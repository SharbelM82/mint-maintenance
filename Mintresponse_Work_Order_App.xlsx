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ork Orders" sheetId="2" state="visible" r:id="rId2"/>
    <sheet xmlns:r="http://schemas.openxmlformats.org/officeDocument/2006/relationships" name="Work Order Card" sheetId="3" state="visible" r:id="rId3"/>
    <sheet xmlns:r="http://schemas.openxmlformats.org/officeDocument/2006/relationships" name="Receivables" sheetId="4" state="visible" r:id="rId4"/>
    <sheet xmlns:r="http://schemas.openxmlformats.org/officeDocument/2006/relationships" name="Clients" sheetId="5" state="visible" r:id="rId5"/>
    <sheet xmlns:r="http://schemas.openxmlformats.org/officeDocument/2006/relationships" name="Guide and Example" sheetId="6" state="visible" r:id="rId6"/>
  </sheets>
  <definedNames>
    <definedName name="_xlnm.Print_Area" localSheetId="2">'Work Order Card'!$B$2:$F$48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.00;[Red]\(\$#,##0.00\);\$0.00"/>
    <numFmt numFmtId="165" formatCode="0.0%"/>
    <numFmt numFmtId="166" formatCode="mm/dd/yy"/>
  </numFmts>
  <fonts count="26">
    <font>
      <name val="Carlito"/>
      <sz val="11"/>
    </font>
    <font>
      <name val="Arial"/>
      <color rgb="FF203040"/>
      <sz val="10"/>
    </font>
    <font>
      <name val="Arial"/>
      <b val="1"/>
      <color rgb="FF203D56"/>
      <sz val="16"/>
    </font>
    <font>
      <name val="Arial"/>
      <b val="1"/>
      <color rgb="FFFFFFFF"/>
      <sz val="10"/>
    </font>
    <font>
      <name val="Arial"/>
      <b val="1"/>
      <color rgb="FF203040"/>
      <sz val="12"/>
    </font>
    <font>
      <name val="Arial"/>
      <i val="1"/>
      <color rgb="FF526578"/>
      <sz val="10"/>
    </font>
    <font>
      <name val="Arial"/>
      <color rgb="FF235A9F"/>
      <sz val="10"/>
    </font>
    <font>
      <name val="Arial"/>
      <color rgb="FF152C3B"/>
      <sz val="10"/>
    </font>
    <font>
      <name val="Arial"/>
      <b val="1"/>
      <color rgb="FF203D56"/>
      <sz val="10"/>
    </font>
    <font>
      <b val="1"/>
      <color rgb="00203D56"/>
      <sz val="16"/>
    </font>
    <font>
      <color rgb="00526578"/>
      <sz val="10"/>
    </font>
    <font>
      <b val="1"/>
      <color rgb="00FFFFFF"/>
      <sz val="10"/>
    </font>
    <font>
      <color rgb="00526578"/>
    </font>
    <font>
      <b val="1"/>
    </font>
    <font>
      <b val="1"/>
      <color rgb="00526578"/>
    </font>
    <font>
      <b val="1"/>
      <color rgb="00203040"/>
      <sz val="13"/>
    </font>
    <font>
      <b val="1"/>
      <color rgb="00203D56"/>
      <sz val="12"/>
    </font>
    <font>
      <b val="1"/>
      <sz val="12"/>
    </font>
    <font>
      <i val="1"/>
      <color rgb="00B42318"/>
    </font>
    <font>
      <b val="1"/>
      <color rgb="00203040"/>
    </font>
    <font>
      <b val="1"/>
      <color rgb="00203D56"/>
      <sz val="18"/>
    </font>
    <font>
      <b val="1"/>
      <color rgb="00526578"/>
      <sz val="9"/>
    </font>
    <font>
      <b val="1"/>
      <color rgb="00203040"/>
      <sz val="18"/>
    </font>
    <font>
      <color rgb="00526578"/>
      <sz val="9"/>
    </font>
    <font>
      <i val="1"/>
      <color rgb="00526578"/>
      <sz val="9"/>
    </font>
    <font>
      <color rgb="00203040"/>
      <sz val="10"/>
    </font>
  </fonts>
  <fills count="10">
    <fill>
      <patternFill/>
    </fill>
    <fill>
      <patternFill patternType="gray125"/>
    </fill>
    <fill>
      <patternFill patternType="solid">
        <fgColor rgb="FF203D56"/>
      </patternFill>
    </fill>
    <fill>
      <patternFill patternType="solid">
        <fgColor rgb="FFFFF7DF"/>
      </patternFill>
    </fill>
    <fill>
      <patternFill patternType="solid">
        <fgColor rgb="FFE8F4EC"/>
      </patternFill>
    </fill>
    <fill>
      <patternFill patternType="solid">
        <fgColor rgb="FFEDF3F8"/>
      </patternFill>
    </fill>
    <fill>
      <patternFill patternType="solid">
        <fgColor rgb="00203D56"/>
      </patternFill>
    </fill>
    <fill>
      <patternFill patternType="solid">
        <fgColor rgb="00FFF7DF"/>
      </patternFill>
    </fill>
    <fill>
      <patternFill patternType="solid">
        <fgColor rgb="00EDF3F8"/>
      </patternFill>
    </fill>
    <fill>
      <patternFill patternType="solid">
        <fgColor rgb="00F3F6F9"/>
      </patternFill>
    </fill>
  </fills>
  <borders count="11">
    <border>
      <left/>
      <right/>
      <top/>
      <bottom/>
      <diagonal/>
    </border>
    <border>
      <bottom style="thin">
        <color rgb="00D5DCE3"/>
      </bottom>
    </border>
    <border>
      <left style="thin">
        <color rgb="00D5DCE3"/>
      </left>
      <right style="thin">
        <color rgb="00D5DCE3"/>
      </right>
      <top style="thin">
        <color rgb="00D5DCE3"/>
      </top>
      <bottom style="thin">
        <color rgb="00D5DCE3"/>
      </bottom>
    </border>
    <border>
      <left style="thin">
        <color rgb="00D5DCE3"/>
      </left>
      <top style="thin">
        <color rgb="00D5DCE3"/>
      </top>
    </border>
    <border>
      <top style="thin">
        <color rgb="00D5DCE3"/>
      </top>
    </border>
    <border>
      <right style="thin">
        <color rgb="00D5DCE3"/>
      </right>
      <top style="thin">
        <color rgb="00D5DCE3"/>
      </top>
    </border>
    <border>
      <left style="thin">
        <color rgb="00D5DCE3"/>
      </left>
    </border>
    <border/>
    <border>
      <right style="thin">
        <color rgb="00D5DCE3"/>
      </right>
    </border>
    <border>
      <left style="thin">
        <color rgb="00D5DCE3"/>
      </left>
      <bottom style="thin">
        <color rgb="00D5DCE3"/>
      </bottom>
    </border>
    <border>
      <right style="thin">
        <color rgb="00D5DCE3"/>
      </right>
      <bottom style="thin">
        <color rgb="00D5DCE3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164" fontId="6" fillId="3" borderId="0" applyAlignment="1" pivotButton="0" quotePrefix="0" xfId="0">
      <alignment vertical="center"/>
    </xf>
    <xf numFmtId="164" fontId="7" fillId="4" borderId="0" applyAlignment="1" pivotButton="0" quotePrefix="0" xfId="0">
      <alignment vertical="center"/>
    </xf>
    <xf numFmtId="164" fontId="7" fillId="5" borderId="0" applyAlignment="1" pivotButton="0" quotePrefix="0" xfId="0">
      <alignment vertical="center"/>
    </xf>
    <xf numFmtId="165" fontId="7" fillId="4" borderId="0" applyAlignment="1" pivotButton="0" quotePrefix="0" xfId="0">
      <alignment vertical="center"/>
    </xf>
    <xf numFmtId="165" fontId="6" fillId="3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166" fontId="6" fillId="3" borderId="0" applyAlignment="1" pivotButton="0" quotePrefix="0" xfId="0">
      <alignment vertical="center"/>
    </xf>
    <xf numFmtId="166" fontId="7" fillId="5" borderId="0" applyAlignment="1" pivotButton="0" quotePrefix="0" xfId="0">
      <alignment vertical="center"/>
    </xf>
    <xf numFmtId="49" fontId="6" fillId="3" borderId="0" applyAlignment="1" pivotButton="0" quotePrefix="0" xfId="0">
      <alignment vertical="center"/>
    </xf>
    <xf numFmtId="1" fontId="6" fillId="3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64" fontId="1" fillId="4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" fillId="4" borderId="0" applyAlignment="1" pivotButton="0" quotePrefix="0" xfId="0">
      <alignment vertical="center"/>
    </xf>
    <xf numFmtId="0" fontId="20" fillId="0" borderId="0" pivotButton="0" quotePrefix="0" xfId="0"/>
    <xf numFmtId="0" fontId="10" fillId="0" borderId="0" pivotButton="0" quotePrefix="0" xfId="0"/>
    <xf numFmtId="0" fontId="21" fillId="9" borderId="3" pivotButton="0" quotePrefix="0" xfId="0"/>
    <xf numFmtId="0" fontId="0" fillId="9" borderId="4" pivotButton="0" quotePrefix="0" xfId="0"/>
    <xf numFmtId="0" fontId="0" fillId="9" borderId="5" pivotButton="0" quotePrefix="0" xfId="0"/>
    <xf numFmtId="1" fontId="22" fillId="9" borderId="6" applyAlignment="1" pivotButton="0" quotePrefix="0" xfId="0">
      <alignment horizontal="left"/>
    </xf>
    <xf numFmtId="0" fontId="0" fillId="9" borderId="7" pivotButton="0" quotePrefix="0" xfId="0"/>
    <xf numFmtId="0" fontId="0" fillId="9" borderId="8" pivotButton="0" quotePrefix="0" xfId="0"/>
    <xf numFmtId="164" fontId="22" fillId="9" borderId="6" applyAlignment="1" pivotButton="0" quotePrefix="0" xfId="0">
      <alignment horizontal="left"/>
    </xf>
    <xf numFmtId="0" fontId="23" fillId="9" borderId="9" pivotButton="0" quotePrefix="0" xfId="0"/>
    <xf numFmtId="0" fontId="0" fillId="9" borderId="1" pivotButton="0" quotePrefix="0" xfId="0"/>
    <xf numFmtId="0" fontId="0" fillId="9" borderId="10" pivotButton="0" quotePrefix="0" xfId="0"/>
    <xf numFmtId="0" fontId="0" fillId="9" borderId="9" pivotButton="0" quotePrefix="0" xfId="0"/>
    <xf numFmtId="0" fontId="24" fillId="0" borderId="0" pivotButton="0" quotePrefix="0" xfId="0"/>
    <xf numFmtId="0" fontId="16" fillId="0" borderId="0" pivotButton="0" quotePrefix="0" xfId="0"/>
    <xf numFmtId="0" fontId="11" fillId="6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23" fillId="0" borderId="0" pivotButton="0" quotePrefix="0" xfId="0"/>
    <xf numFmtId="1" fontId="0" fillId="0" borderId="1" pivotButton="0" quotePrefix="0" xfId="0"/>
    <xf numFmtId="166" fontId="0" fillId="0" borderId="1" pivotButton="0" quotePrefix="0" xfId="0"/>
    <xf numFmtId="0" fontId="25" fillId="0" borderId="0" pivotButton="0" quotePrefix="0" xfId="0"/>
    <xf numFmtId="1" fontId="7" fillId="5" borderId="0" applyAlignment="1" pivotButton="0" quotePrefix="0" xfId="0">
      <alignment vertical="center"/>
    </xf>
    <xf numFmtId="0" fontId="9" fillId="0" borderId="0" pivotButton="0" quotePrefix="0" xfId="0"/>
    <xf numFmtId="0" fontId="17" fillId="7" borderId="2" applyProtection="1" pivotButton="0" quotePrefix="0" xfId="0">
      <protection locked="0" hidden="0"/>
    </xf>
    <xf numFmtId="0" fontId="18" fillId="0" borderId="0" pivotButton="0" quotePrefix="0" xfId="0"/>
    <xf numFmtId="0" fontId="11" fillId="6" borderId="0" pivotButton="0" quotePrefix="0" xfId="0"/>
    <xf numFmtId="0" fontId="12" fillId="0" borderId="1" pivotButton="0" quotePrefix="0" xfId="0"/>
    <xf numFmtId="0" fontId="19" fillId="0" borderId="1" applyAlignment="1" pivotButton="0" quotePrefix="0" xfId="0">
      <alignment horizontal="left" vertical="top" wrapText="1"/>
    </xf>
    <xf numFmtId="164" fontId="19" fillId="0" borderId="1" applyAlignment="1" pivotButton="0" quotePrefix="0" xfId="0">
      <alignment horizontal="left" vertical="top" wrapText="1"/>
    </xf>
    <xf numFmtId="165" fontId="19" fillId="0" borderId="1" applyAlignment="1" pivotButton="0" quotePrefix="0" xfId="0">
      <alignment horizontal="left" vertical="top" wrapText="1"/>
    </xf>
    <xf numFmtId="164" fontId="19" fillId="8" borderId="1" applyAlignment="1" pivotButton="0" quotePrefix="0" xfId="0">
      <alignment horizontal="left" vertical="top" wrapText="1"/>
    </xf>
    <xf numFmtId="0" fontId="19" fillId="8" borderId="1" applyAlignment="1" pivotButton="0" quotePrefix="0" xfId="0">
      <alignment horizontal="left" vertical="top" wrapText="1"/>
    </xf>
    <xf numFmtId="166" fontId="19" fillId="0" borderId="1" applyAlignment="1" pivotButton="0" quotePrefix="0" xfId="0">
      <alignment horizontal="left" vertical="top" wrapText="1"/>
    </xf>
    <xf numFmtId="1" fontId="19" fillId="0" borderId="1" applyAlignment="1" pivotButton="0" quotePrefix="0" xfId="0">
      <alignment horizontal="left" vertical="top" wrapText="1"/>
    </xf>
    <xf numFmtId="166" fontId="19" fillId="8" borderId="1" applyAlignment="1" pivotButton="0" quotePrefix="0" xfId="0">
      <alignment horizontal="left" vertical="top" wrapText="1"/>
    </xf>
    <xf numFmtId="165" fontId="19" fillId="8" borderId="1" applyAlignment="1" pivotButton="0" quotePrefix="0" xfId="0">
      <alignment horizontal="left" vertical="top" wrapText="1"/>
    </xf>
    <xf numFmtId="1" fontId="19" fillId="8" borderId="1" applyAlignment="1" pivotButton="0" quotePrefix="0" xfId="0">
      <alignment horizontal="left" vertical="top" wrapText="1"/>
    </xf>
    <xf numFmtId="0" fontId="14" fillId="0" borderId="0" pivotButton="0" quotePrefix="0" xfId="0"/>
    <xf numFmtId="164" fontId="15" fillId="0" borderId="0" pivotButton="0" quotePrefix="0" xfId="0"/>
    <xf numFmtId="1" fontId="15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" fontId="13" fillId="0" borderId="0" pivotButton="0" quotePrefix="0" xfId="0"/>
    <xf numFmtId="164" fontId="13" fillId="0" borderId="0" pivotButton="0" quotePrefix="0" xfId="0"/>
  </cellXfs>
  <cellStyles count="1">
    <cellStyle name="Normal" xfId="0" builtinId="0"/>
  </cellStyles>
  <dxfs count="8">
    <dxf>
      <font>
        <color rgb="FF8A4800"/>
      </font>
      <fill>
        <patternFill patternType="solid">
          <bgColor rgb="FFFFE7BB"/>
        </patternFill>
      </fill>
    </dxf>
    <dxf>
      <font>
        <b val="1"/>
        <color rgb="FFAC1C1C"/>
      </font>
      <fill>
        <patternFill patternType="solid">
          <bgColor rgb="FFFCE5E5"/>
        </patternFill>
      </fill>
    </dxf>
    <dxf>
      <font>
        <b val="1"/>
        <color rgb="FFAC1C1C"/>
      </font>
      <fill>
        <patternFill patternType="solid">
          <bgColor rgb="FFFCE5E5"/>
        </patternFill>
      </fill>
    </dxf>
    <dxf>
      <font>
        <b val="1"/>
        <color rgb="FFAC1C1C"/>
      </font>
      <fill>
        <patternFill patternType="solid">
          <bgColor rgb="FFFCE5E5"/>
        </patternFill>
      </fill>
    </dxf>
    <dxf>
      <font>
        <b val="1"/>
        <color rgb="FFAC1C1C"/>
      </font>
      <fill>
        <patternFill patternType="solid">
          <bgColor rgb="FFFCE5E5"/>
        </patternFill>
      </fill>
    </dxf>
    <dxf>
      <fill>
        <patternFill patternType="solid">
          <fgColor rgb="00FFF1D6"/>
        </patternFill>
      </fill>
    </dxf>
    <dxf>
      <font>
        <b val="1"/>
        <color rgb="00B42318"/>
      </font>
    </dxf>
    <dxf>
      <font>
        <color rgb="00B42318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3F8F4A"/>
            </a:solidFill>
            <a:ln xmlns:a="http://schemas.openxmlformats.org/drawingml/2006/main">
              <a:noFill/>
              <a:prstDash val="solid"/>
            </a:ln>
          </spPr>
          <dLbls>
            <numFmt formatCode="0"/>
            <showLegendKey val="0"/>
            <showVal val="1"/>
            <showCatName val="0"/>
            <showSerName val="0"/>
            <showPercent val="0"/>
          </dLbls>
          <cat>
            <numRef>
              <f>'Dashboard'!$B$16:$B$23</f>
            </numRef>
          </cat>
          <val>
            <numRef>
              <f>'Dashboard'!$C$16:$C$23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3F8F4A"/>
            </a:solidFill>
            <a:ln xmlns:a="http://schemas.openxmlformats.org/drawingml/2006/main">
              <a:noFill/>
              <a:prstDash val="solid"/>
            </a:ln>
          </spPr>
          <dLbls>
            <numFmt formatCode="&quot;$&quot;#,##0"/>
            <showLegendKey val="0"/>
            <showVal val="1"/>
            <showCatName val="0"/>
            <showSerName val="0"/>
            <showPercent val="0"/>
          </dLbls>
          <cat>
            <numRef>
              <f>'Dashboard'!$B$30:$B$35</f>
            </numRef>
          </cat>
          <val>
            <numRef>
              <f>'Dashboard'!$C$30:$C$35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3F8F4A"/>
            </a:solidFill>
            <a:ln xmlns:a="http://schemas.openxmlformats.org/drawingml/2006/main">
              <a:noFill/>
              <a:prstDash val="solid"/>
            </a:ln>
          </spPr>
          <dLbls>
            <numFmt formatCode="&quot;$&quot;#,##0"/>
            <showLegendKey val="0"/>
            <showVal val="1"/>
            <showCatName val="0"/>
            <showSerName val="0"/>
            <showPercent val="0"/>
          </dLbls>
          <cat>
            <numRef>
              <f>'Dashboard'!$B$44:$B$51</f>
            </numRef>
          </cat>
          <val>
            <numRef>
              <f>'Dashboard'!$C$44:$C$51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13</row>
      <rowOff>0</rowOff>
    </from>
    <ext cx="5580000" cy="223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580000" cy="223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41</row>
      <rowOff>0</rowOff>
    </from>
    <ext cx="5580000" cy="223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1</row>
      <rowOff>0</rowOff>
    </from>
    <ext cx="476250" cy="447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MintresponseWorkOrders" displayName="MintresponseWorkOrders" ref="A10:AP1010" headerRowCount="1" totalsRowShown="0">
  <autoFilter ref="A10:AP1010"/>
  <tableColumns count="42">
    <tableColumn id="1" name="WO #"/>
    <tableColumn id="2" name="Client"/>
    <tableColumn id="3" name="Assignees"/>
    <tableColumn id="4" name="Store name"/>
    <tableColumn id="5" name="Location"/>
    <tableColumn id="6" name="ETA"/>
    <tableColumn id="7" name="Parts ordered / status"/>
    <tableColumn id="8" name="Direct cost"/>
    <tableColumn id="9" name="Approved NTE"/>
    <tableColumn id="10" name="Gross profit"/>
    <tableColumn id="11" name="Gross margin %"/>
    <tableColumn id="12" name="Expected NTE / quote"/>
    <tableColumn id="13" name="Job type / scope"/>
    <tableColumn id="14" name="Handler"/>
    <tableColumn id="15" name="Tech"/>
    <tableColumn id="16" name="Notes"/>
    <tableColumn id="17" name="Invoice #"/>
    <tableColumn id="18" name="WO status"/>
    <tableColumn id="19" name="Address"/>
    <tableColumn id="20" name="Date in"/>
    <tableColumn id="21" name="Invoice sent date"/>
    <tableColumn id="22" name="Invoice status"/>
    <tableColumn id="23" name="Payment method"/>
    <tableColumn id="24" name="Payment due"/>
    <tableColumn id="25" name="Target markup %"/>
    <tableColumn id="26" name="Invoice revenue"/>
    <tableColumn id="27" name="Actual markup %"/>
    <tableColumn id="28" name="Allocated overhead"/>
    <tableColumn id="29" name="Payment / admin fees"/>
    <tableColumn id="30" name="Other expenses / tax"/>
    <tableColumn id="31" name="Net profit"/>
    <tableColumn id="32" name="Net margin %"/>
    <tableColumn id="33" name="Amount received"/>
    <tableColumn id="34" name="Balance due"/>
    <tableColumn id="35" name="Payment terms (days)"/>
    <tableColumn id="36" name="NTE check"/>
    <tableColumn id="37" name="Financial input status"/>
    <tableColumn id="38" name="Aging bucket"/>
    <tableColumn id="39" name="Days overdue"/>
    <tableColumn id="40" name="AR sort key"/>
    <tableColumn id="41" name="AR order"/>
    <tableColumn id="42" name="Client #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F7D3A"/>
    <outlinePr summaryBelow="1" summaryRight="1"/>
    <pageSetUpPr fitToPage="1"/>
  </sheetPr>
  <dimension ref="B2:M76"/>
  <sheetViews>
    <sheetView showGridLines="0" tabSelected="1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2" ht="26" customHeight="1">
      <c r="C2" s="27" t="inlineStr">
        <is>
          <t>Mintresponse — Work Order Dashboard</t>
        </is>
      </c>
    </row>
    <row r="3">
      <c r="C3" s="28">
        <f>"All amounts in USD, excluding sales tax  ·  As of "&amp;TEXT(TODAY(),"mmmm d, yyyy")</f>
        <v/>
      </c>
    </row>
    <row r="5">
      <c r="B5" s="29" t="inlineStr">
        <is>
          <t>WORK ORDERS</t>
        </is>
      </c>
      <c r="C5" s="30" t="n"/>
      <c r="D5" s="31" t="n"/>
      <c r="E5" s="29" t="inlineStr">
        <is>
          <t>INVOICED REVENUE</t>
        </is>
      </c>
      <c r="F5" s="30" t="n"/>
      <c r="G5" s="31" t="n"/>
      <c r="H5" s="29" t="inlineStr">
        <is>
          <t>GROSS PROFIT*</t>
        </is>
      </c>
      <c r="I5" s="30" t="n"/>
      <c r="J5" s="31" t="n"/>
      <c r="K5" s="29" t="inlineStr">
        <is>
          <t>NET PROFIT*</t>
        </is>
      </c>
      <c r="L5" s="30" t="n"/>
      <c r="M5" s="31" t="n"/>
    </row>
    <row r="6" ht="28" customHeight="1">
      <c r="B6" s="32">
        <f>'Work Orders'!A5</f>
        <v/>
      </c>
      <c r="C6" s="33" t="n"/>
      <c r="D6" s="34" t="n"/>
      <c r="E6" s="35">
        <f>'Work Orders'!B5</f>
        <v/>
      </c>
      <c r="F6" s="33" t="n"/>
      <c r="G6" s="34" t="n"/>
      <c r="H6" s="35">
        <f>'Work Orders'!C5</f>
        <v/>
      </c>
      <c r="I6" s="33" t="n"/>
      <c r="J6" s="34" t="n"/>
      <c r="K6" s="35">
        <f>'Work Orders'!D5</f>
        <v/>
      </c>
      <c r="L6" s="33" t="n"/>
      <c r="M6" s="34" t="n"/>
    </row>
    <row r="7">
      <c r="B7" s="36">
        <f>COUNTIFS('Work Orders'!$A$11:$A$1010,"&lt;&gt;",'Work Orders'!$R$11:$R$1010,"&lt;&gt;Completed",'Work Orders'!$R$11:$R$1010,"&lt;&gt;Cancelled")&amp;" open"</f>
        <v/>
      </c>
      <c r="C7" s="37" t="n"/>
      <c r="D7" s="38" t="n"/>
      <c r="E7" s="39" t="n"/>
      <c r="F7" s="37" t="n"/>
      <c r="G7" s="38" t="n"/>
      <c r="H7" s="36">
        <f>IF(N('Work Orders'!B5)=0,"",TEXT('Work Orders'!C5/'Work Orders'!B5,"0.0%")&amp;" margin")</f>
        <v/>
      </c>
      <c r="I7" s="37" t="n"/>
      <c r="J7" s="38" t="n"/>
      <c r="K7" s="36">
        <f>IF(N('Work Orders'!B5)=0,"",TEXT('Work Orders'!D5/'Work Orders'!B5,"0.0%")&amp;" margin")</f>
        <v/>
      </c>
      <c r="L7" s="37" t="n"/>
      <c r="M7" s="38" t="n"/>
    </row>
    <row r="9">
      <c r="B9" s="29" t="inlineStr">
        <is>
          <t>BALANCE DUE*</t>
        </is>
      </c>
      <c r="C9" s="30" t="n"/>
      <c r="D9" s="31" t="n"/>
      <c r="E9" s="29" t="inlineStr">
        <is>
          <t>OVERDUE</t>
        </is>
      </c>
      <c r="F9" s="30" t="n"/>
      <c r="G9" s="31" t="n"/>
      <c r="H9" s="29" t="inlineStr">
        <is>
          <t>NEEDS FINANCIAL INPUT</t>
        </is>
      </c>
      <c r="I9" s="30" t="n"/>
      <c r="J9" s="31" t="n"/>
      <c r="K9" s="29" t="inlineStr">
        <is>
          <t>OVER THE APPROVED NTE</t>
        </is>
      </c>
      <c r="L9" s="30" t="n"/>
      <c r="M9" s="31" t="n"/>
    </row>
    <row r="10" ht="28" customHeight="1">
      <c r="B10" s="35">
        <f>'Work Orders'!E5</f>
        <v/>
      </c>
      <c r="C10" s="33" t="n"/>
      <c r="D10" s="34" t="n"/>
      <c r="E10" s="35">
        <f>SUMIFS('Work Orders'!$AH$11:$AH$1010,'Work Orders'!$AM$11:$AM$1010,"&gt;0")</f>
        <v/>
      </c>
      <c r="F10" s="33" t="n"/>
      <c r="G10" s="34" t="n"/>
      <c r="H10" s="32">
        <f>'Work Orders'!F5</f>
        <v/>
      </c>
      <c r="I10" s="33" t="n"/>
      <c r="J10" s="34" t="n"/>
      <c r="K10" s="32">
        <f>COUNTIF('Work Orders'!$AJ$11:$AJ$1010,"*exceeds NTE")</f>
        <v/>
      </c>
      <c r="L10" s="33" t="n"/>
      <c r="M10" s="34" t="n"/>
    </row>
    <row r="11">
      <c r="B11" s="36">
        <f>COUNTIF('Work Orders'!$AL$11:$AL$1010,"?*")&amp;" open invoices"</f>
        <v/>
      </c>
      <c r="C11" s="37" t="n"/>
      <c r="D11" s="38" t="n"/>
      <c r="E11" s="36">
        <f>COUNTIF('Work Orders'!$AM$11:$AM$1010,"&gt;0")&amp;" invoices past due"</f>
        <v/>
      </c>
      <c r="F11" s="37" t="n"/>
      <c r="G11" s="38" t="n"/>
      <c r="H11" s="36">
        <f>"work orders with an Enter… status"</f>
        <v/>
      </c>
      <c r="I11" s="37" t="n"/>
      <c r="J11" s="38" t="n"/>
      <c r="K11" s="36">
        <f>"quotes or invoices above NTE"</f>
        <v/>
      </c>
      <c r="L11" s="37" t="n"/>
      <c r="M11" s="38" t="n"/>
    </row>
    <row r="12">
      <c r="B12" s="40" t="inlineStr">
        <is>
          <t>*Totals include calculated rows only. Complete financial inputs before relying on profit totals.</t>
        </is>
      </c>
    </row>
    <row r="14">
      <c r="B14" s="41" t="inlineStr">
        <is>
          <t>Work orders by status</t>
        </is>
      </c>
    </row>
    <row r="15" ht="30" customHeight="1">
      <c r="B15" s="42" t="inlineStr">
        <is>
          <t>WO status</t>
        </is>
      </c>
      <c r="C15" s="42" t="inlineStr">
        <is>
          <t>Count</t>
        </is>
      </c>
    </row>
    <row r="16">
      <c r="B16" s="43" t="inlineStr">
        <is>
          <t>New</t>
        </is>
      </c>
      <c r="C16" s="43">
        <f>COUNTIF('Work Orders'!$R$11:$R$1010,B16)</f>
        <v/>
      </c>
    </row>
    <row r="17">
      <c r="B17" s="43" t="inlineStr">
        <is>
          <t>Scheduled</t>
        </is>
      </c>
      <c r="C17" s="43">
        <f>COUNTIF('Work Orders'!$R$11:$R$1010,B17)</f>
        <v/>
      </c>
    </row>
    <row r="18">
      <c r="B18" s="43" t="inlineStr">
        <is>
          <t>In progress</t>
        </is>
      </c>
      <c r="C18" s="43">
        <f>COUNTIF('Work Orders'!$R$11:$R$1010,B18)</f>
        <v/>
      </c>
    </row>
    <row r="19">
      <c r="B19" s="43" t="inlineStr">
        <is>
          <t>Awaiting parts</t>
        </is>
      </c>
      <c r="C19" s="43">
        <f>COUNTIF('Work Orders'!$R$11:$R$1010,B19)</f>
        <v/>
      </c>
    </row>
    <row r="20">
      <c r="B20" s="43" t="inlineStr">
        <is>
          <t>Awaiting approval</t>
        </is>
      </c>
      <c r="C20" s="43">
        <f>COUNTIF('Work Orders'!$R$11:$R$1010,B20)</f>
        <v/>
      </c>
    </row>
    <row r="21">
      <c r="B21" s="43" t="inlineStr">
        <is>
          <t>Completed</t>
        </is>
      </c>
      <c r="C21" s="43">
        <f>COUNTIF('Work Orders'!$R$11:$R$1010,B21)</f>
        <v/>
      </c>
    </row>
    <row r="22">
      <c r="B22" s="43" t="inlineStr">
        <is>
          <t>Cancelled</t>
        </is>
      </c>
      <c r="C22" s="43">
        <f>COUNTIF('Work Orders'!$R$11:$R$1010,B22)</f>
        <v/>
      </c>
    </row>
    <row r="23">
      <c r="B23" s="43" t="inlineStr">
        <is>
          <t>No status</t>
        </is>
      </c>
      <c r="C23" s="43">
        <f>COUNTIFS('Work Orders'!$A$11:$A$1010,"&lt;&gt;",'Work Orders'!$R$11:$R$1010,"")</f>
        <v/>
      </c>
    </row>
    <row r="28">
      <c r="B28" s="41" t="inlineStr">
        <is>
          <t>Receivables aging</t>
        </is>
      </c>
    </row>
    <row r="29" ht="30" customHeight="1">
      <c r="B29" s="42" t="inlineStr">
        <is>
          <t>Days past due</t>
        </is>
      </c>
      <c r="C29" s="42" t="inlineStr">
        <is>
          <t>Balance due</t>
        </is>
      </c>
      <c r="D29" s="42" t="inlineStr">
        <is>
          <t>Invoices</t>
        </is>
      </c>
    </row>
    <row r="30">
      <c r="B30" s="43" t="inlineStr">
        <is>
          <t>Not yet due</t>
        </is>
      </c>
      <c r="C30" s="44">
        <f>SUMIFS('Work Orders'!$AH$11:$AH$1010,'Work Orders'!$AL$11:$AL$1010,B30)</f>
        <v/>
      </c>
      <c r="D30" s="43">
        <f>COUNTIF('Work Orders'!$AL$11:$AL$1010,B30)</f>
        <v/>
      </c>
    </row>
    <row r="31">
      <c r="B31" s="43" t="inlineStr">
        <is>
          <t>1-30 days</t>
        </is>
      </c>
      <c r="C31" s="44">
        <f>SUMIFS('Work Orders'!$AH$11:$AH$1010,'Work Orders'!$AL$11:$AL$1010,B31)</f>
        <v/>
      </c>
      <c r="D31" s="43">
        <f>COUNTIF('Work Orders'!$AL$11:$AL$1010,B31)</f>
        <v/>
      </c>
    </row>
    <row r="32">
      <c r="B32" s="43" t="inlineStr">
        <is>
          <t>31-60 days</t>
        </is>
      </c>
      <c r="C32" s="44">
        <f>SUMIFS('Work Orders'!$AH$11:$AH$1010,'Work Orders'!$AL$11:$AL$1010,B32)</f>
        <v/>
      </c>
      <c r="D32" s="43">
        <f>COUNTIF('Work Orders'!$AL$11:$AL$1010,B32)</f>
        <v/>
      </c>
    </row>
    <row r="33">
      <c r="B33" s="43" t="inlineStr">
        <is>
          <t>61-90 days</t>
        </is>
      </c>
      <c r="C33" s="44">
        <f>SUMIFS('Work Orders'!$AH$11:$AH$1010,'Work Orders'!$AL$11:$AL$1010,B33)</f>
        <v/>
      </c>
      <c r="D33" s="43">
        <f>COUNTIF('Work Orders'!$AL$11:$AL$1010,B33)</f>
        <v/>
      </c>
    </row>
    <row r="34">
      <c r="B34" s="43" t="inlineStr">
        <is>
          <t>Over 90 days</t>
        </is>
      </c>
      <c r="C34" s="44">
        <f>SUMIFS('Work Orders'!$AH$11:$AH$1010,'Work Orders'!$AL$11:$AL$1010,B34)</f>
        <v/>
      </c>
      <c r="D34" s="43">
        <f>COUNTIF('Work Orders'!$AL$11:$AL$1010,B34)</f>
        <v/>
      </c>
    </row>
    <row r="35">
      <c r="B35" s="43" t="inlineStr">
        <is>
          <t>No due date</t>
        </is>
      </c>
      <c r="C35" s="44">
        <f>SUMIFS('Work Orders'!$AH$11:$AH$1010,'Work Orders'!$AL$11:$AL$1010,B35)</f>
        <v/>
      </c>
      <c r="D35" s="43">
        <f>COUNTIF('Work Orders'!$AL$11:$AL$1010,B35)</f>
        <v/>
      </c>
    </row>
    <row r="42">
      <c r="B42" s="41" t="inlineStr">
        <is>
          <t>Top clients by invoice revenue</t>
        </is>
      </c>
    </row>
    <row r="43" ht="30" customHeight="1">
      <c r="B43" s="42" t="inlineStr">
        <is>
          <t>Client</t>
        </is>
      </c>
      <c r="C43" s="42" t="inlineStr">
        <is>
          <t>Revenue</t>
        </is>
      </c>
    </row>
    <row r="44">
      <c r="B44" s="43">
        <f>IFERROR(IF(INDEX(Clients!$D$6:$D$205,MATCH(1,Clients!$I$6:$I$205,0))&gt;0,INDEX(Clients!$B$6:$B$205,MATCH(1,Clients!$I$6:$I$205,0)),""),"")</f>
        <v/>
      </c>
      <c r="C44" s="44">
        <f>IF(B44="","",INDEX(Clients!$D$6:$D$205,MATCH(1,Clients!$I$6:$I$205,0)))</f>
        <v/>
      </c>
    </row>
    <row r="45">
      <c r="B45" s="43">
        <f>IFERROR(IF(INDEX(Clients!$D$6:$D$205,MATCH(2,Clients!$I$6:$I$205,0))&gt;0,INDEX(Clients!$B$6:$B$205,MATCH(2,Clients!$I$6:$I$205,0)),""),"")</f>
        <v/>
      </c>
      <c r="C45" s="44">
        <f>IF(B45="","",INDEX(Clients!$D$6:$D$205,MATCH(2,Clients!$I$6:$I$205,0)))</f>
        <v/>
      </c>
    </row>
    <row r="46">
      <c r="B46" s="43">
        <f>IFERROR(IF(INDEX(Clients!$D$6:$D$205,MATCH(3,Clients!$I$6:$I$205,0))&gt;0,INDEX(Clients!$B$6:$B$205,MATCH(3,Clients!$I$6:$I$205,0)),""),"")</f>
        <v/>
      </c>
      <c r="C46" s="44">
        <f>IF(B46="","",INDEX(Clients!$D$6:$D$205,MATCH(3,Clients!$I$6:$I$205,0)))</f>
        <v/>
      </c>
    </row>
    <row r="47">
      <c r="B47" s="43">
        <f>IFERROR(IF(INDEX(Clients!$D$6:$D$205,MATCH(4,Clients!$I$6:$I$205,0))&gt;0,INDEX(Clients!$B$6:$B$205,MATCH(4,Clients!$I$6:$I$205,0)),""),"")</f>
        <v/>
      </c>
      <c r="C47" s="44">
        <f>IF(B47="","",INDEX(Clients!$D$6:$D$205,MATCH(4,Clients!$I$6:$I$205,0)))</f>
        <v/>
      </c>
    </row>
    <row r="48">
      <c r="B48" s="43">
        <f>IFERROR(IF(INDEX(Clients!$D$6:$D$205,MATCH(5,Clients!$I$6:$I$205,0))&gt;0,INDEX(Clients!$B$6:$B$205,MATCH(5,Clients!$I$6:$I$205,0)),""),"")</f>
        <v/>
      </c>
      <c r="C48" s="44">
        <f>IF(B48="","",INDEX(Clients!$D$6:$D$205,MATCH(5,Clients!$I$6:$I$205,0)))</f>
        <v/>
      </c>
    </row>
    <row r="49">
      <c r="B49" s="43">
        <f>IFERROR(IF(INDEX(Clients!$D$6:$D$205,MATCH(6,Clients!$I$6:$I$205,0))&gt;0,INDEX(Clients!$B$6:$B$205,MATCH(6,Clients!$I$6:$I$205,0)),""),"")</f>
        <v/>
      </c>
      <c r="C49" s="44">
        <f>IF(B49="","",INDEX(Clients!$D$6:$D$205,MATCH(6,Clients!$I$6:$I$205,0)))</f>
        <v/>
      </c>
    </row>
    <row r="50">
      <c r="B50" s="43">
        <f>IFERROR(IF(INDEX(Clients!$D$6:$D$205,MATCH(7,Clients!$I$6:$I$205,0))&gt;0,INDEX(Clients!$B$6:$B$205,MATCH(7,Clients!$I$6:$I$205,0)),""),"")</f>
        <v/>
      </c>
      <c r="C50" s="44">
        <f>IF(B50="","",INDEX(Clients!$D$6:$D$205,MATCH(7,Clients!$I$6:$I$205,0)))</f>
        <v/>
      </c>
    </row>
    <row r="51">
      <c r="B51" s="43">
        <f>IFERROR(IF(INDEX(Clients!$D$6:$D$205,MATCH(8,Clients!$I$6:$I$205,0))&gt;0,INDEX(Clients!$B$6:$B$205,MATCH(8,Clients!$I$6:$I$205,0)),""),"")</f>
        <v/>
      </c>
      <c r="C51" s="44">
        <f>IF(B51="","",INDEX(Clients!$D$6:$D$205,MATCH(8,Clients!$I$6:$I$205,0)))</f>
        <v/>
      </c>
    </row>
    <row r="56">
      <c r="B56" s="41" t="inlineStr">
        <is>
          <t>Most overdue invoices</t>
        </is>
      </c>
      <c r="E56" s="45" t="inlineStr">
        <is>
          <t>Full list on the Receivables sheet</t>
        </is>
      </c>
    </row>
    <row r="57" ht="30" customHeight="1">
      <c r="B57" s="42" t="inlineStr">
        <is>
          <t>WO #</t>
        </is>
      </c>
      <c r="C57" s="42" t="inlineStr">
        <is>
          <t>Client</t>
        </is>
      </c>
      <c r="D57" s="42" t="inlineStr">
        <is>
          <t>Balance due</t>
        </is>
      </c>
      <c r="E57" s="42" t="inlineStr">
        <is>
          <t>Days overdue</t>
        </is>
      </c>
      <c r="F57" s="42" t="inlineStr">
        <is>
          <t>Payment due</t>
        </is>
      </c>
      <c r="G57" s="42" t="inlineStr">
        <is>
          <t>Invoice #</t>
        </is>
      </c>
      <c r="H57" s="42" t="inlineStr">
        <is>
          <t>Handler</t>
        </is>
      </c>
    </row>
    <row r="58">
      <c r="B58" s="43">
        <f>IF(N(Receivables!$M$7)&gt;0,Receivables!C7,"")</f>
        <v/>
      </c>
      <c r="C58" s="43">
        <f>IF(N(Receivables!$M$7)&gt;0,Receivables!D7,"")</f>
        <v/>
      </c>
      <c r="D58" s="44">
        <f>IF(N(Receivables!$M$7)&gt;0,Receivables!L7,"")</f>
        <v/>
      </c>
      <c r="E58" s="46">
        <f>IF(N(Receivables!$M$7)&gt;0,Receivables!M7,"")</f>
        <v/>
      </c>
      <c r="F58" s="47">
        <f>IF(N(Receivables!$M$7)&gt;0,Receivables!I7,"")</f>
        <v/>
      </c>
      <c r="G58" s="43">
        <f>IF(N(Receivables!$M$7)&gt;0,Receivables!F7,"")</f>
        <v/>
      </c>
      <c r="H58" s="43">
        <f>IF(N(Receivables!$M$7)&gt;0,Receivables!O7,"")</f>
        <v/>
      </c>
    </row>
    <row r="59">
      <c r="B59" s="43">
        <f>IF(N(Receivables!$M$8)&gt;0,Receivables!C8,"")</f>
        <v/>
      </c>
      <c r="C59" s="43">
        <f>IF(N(Receivables!$M$8)&gt;0,Receivables!D8,"")</f>
        <v/>
      </c>
      <c r="D59" s="44">
        <f>IF(N(Receivables!$M$8)&gt;0,Receivables!L8,"")</f>
        <v/>
      </c>
      <c r="E59" s="46">
        <f>IF(N(Receivables!$M$8)&gt;0,Receivables!M8,"")</f>
        <v/>
      </c>
      <c r="F59" s="47">
        <f>IF(N(Receivables!$M$8)&gt;0,Receivables!I8,"")</f>
        <v/>
      </c>
      <c r="G59" s="43">
        <f>IF(N(Receivables!$M$8)&gt;0,Receivables!F8,"")</f>
        <v/>
      </c>
      <c r="H59" s="43">
        <f>IF(N(Receivables!$M$8)&gt;0,Receivables!O8,"")</f>
        <v/>
      </c>
    </row>
    <row r="60">
      <c r="B60" s="43">
        <f>IF(N(Receivables!$M$9)&gt;0,Receivables!C9,"")</f>
        <v/>
      </c>
      <c r="C60" s="43">
        <f>IF(N(Receivables!$M$9)&gt;0,Receivables!D9,"")</f>
        <v/>
      </c>
      <c r="D60" s="44">
        <f>IF(N(Receivables!$M$9)&gt;0,Receivables!L9,"")</f>
        <v/>
      </c>
      <c r="E60" s="46">
        <f>IF(N(Receivables!$M$9)&gt;0,Receivables!M9,"")</f>
        <v/>
      </c>
      <c r="F60" s="47">
        <f>IF(N(Receivables!$M$9)&gt;0,Receivables!I9,"")</f>
        <v/>
      </c>
      <c r="G60" s="43">
        <f>IF(N(Receivables!$M$9)&gt;0,Receivables!F9,"")</f>
        <v/>
      </c>
      <c r="H60" s="43">
        <f>IF(N(Receivables!$M$9)&gt;0,Receivables!O9,"")</f>
        <v/>
      </c>
    </row>
    <row r="61">
      <c r="B61" s="43">
        <f>IF(N(Receivables!$M$10)&gt;0,Receivables!C10,"")</f>
        <v/>
      </c>
      <c r="C61" s="43">
        <f>IF(N(Receivables!$M$10)&gt;0,Receivables!D10,"")</f>
        <v/>
      </c>
      <c r="D61" s="44">
        <f>IF(N(Receivables!$M$10)&gt;0,Receivables!L10,"")</f>
        <v/>
      </c>
      <c r="E61" s="46">
        <f>IF(N(Receivables!$M$10)&gt;0,Receivables!M10,"")</f>
        <v/>
      </c>
      <c r="F61" s="47">
        <f>IF(N(Receivables!$M$10)&gt;0,Receivables!I10,"")</f>
        <v/>
      </c>
      <c r="G61" s="43">
        <f>IF(N(Receivables!$M$10)&gt;0,Receivables!F10,"")</f>
        <v/>
      </c>
      <c r="H61" s="43">
        <f>IF(N(Receivables!$M$10)&gt;0,Receivables!O10,"")</f>
        <v/>
      </c>
    </row>
    <row r="62">
      <c r="B62" s="43">
        <f>IF(N(Receivables!$M$11)&gt;0,Receivables!C11,"")</f>
        <v/>
      </c>
      <c r="C62" s="43">
        <f>IF(N(Receivables!$M$11)&gt;0,Receivables!D11,"")</f>
        <v/>
      </c>
      <c r="D62" s="44">
        <f>IF(N(Receivables!$M$11)&gt;0,Receivables!L11,"")</f>
        <v/>
      </c>
      <c r="E62" s="46">
        <f>IF(N(Receivables!$M$11)&gt;0,Receivables!M11,"")</f>
        <v/>
      </c>
      <c r="F62" s="47">
        <f>IF(N(Receivables!$M$11)&gt;0,Receivables!I11,"")</f>
        <v/>
      </c>
      <c r="G62" s="43">
        <f>IF(N(Receivables!$M$11)&gt;0,Receivables!F11,"")</f>
        <v/>
      </c>
      <c r="H62" s="43">
        <f>IF(N(Receivables!$M$11)&gt;0,Receivables!O11,"")</f>
        <v/>
      </c>
    </row>
    <row r="63">
      <c r="B63" s="43">
        <f>IF(N(Receivables!$M$12)&gt;0,Receivables!C12,"")</f>
        <v/>
      </c>
      <c r="C63" s="43">
        <f>IF(N(Receivables!$M$12)&gt;0,Receivables!D12,"")</f>
        <v/>
      </c>
      <c r="D63" s="44">
        <f>IF(N(Receivables!$M$12)&gt;0,Receivables!L12,"")</f>
        <v/>
      </c>
      <c r="E63" s="46">
        <f>IF(N(Receivables!$M$12)&gt;0,Receivables!M12,"")</f>
        <v/>
      </c>
      <c r="F63" s="47">
        <f>IF(N(Receivables!$M$12)&gt;0,Receivables!I12,"")</f>
        <v/>
      </c>
      <c r="G63" s="43">
        <f>IF(N(Receivables!$M$12)&gt;0,Receivables!F12,"")</f>
        <v/>
      </c>
      <c r="H63" s="43">
        <f>IF(N(Receivables!$M$12)&gt;0,Receivables!O12,"")</f>
        <v/>
      </c>
    </row>
    <row r="64">
      <c r="B64" s="43">
        <f>IF(N(Receivables!$M$13)&gt;0,Receivables!C13,"")</f>
        <v/>
      </c>
      <c r="C64" s="43">
        <f>IF(N(Receivables!$M$13)&gt;0,Receivables!D13,"")</f>
        <v/>
      </c>
      <c r="D64" s="44">
        <f>IF(N(Receivables!$M$13)&gt;0,Receivables!L13,"")</f>
        <v/>
      </c>
      <c r="E64" s="46">
        <f>IF(N(Receivables!$M$13)&gt;0,Receivables!M13,"")</f>
        <v/>
      </c>
      <c r="F64" s="47">
        <f>IF(N(Receivables!$M$13)&gt;0,Receivables!I13,"")</f>
        <v/>
      </c>
      <c r="G64" s="43">
        <f>IF(N(Receivables!$M$13)&gt;0,Receivables!F13,"")</f>
        <v/>
      </c>
      <c r="H64" s="43">
        <f>IF(N(Receivables!$M$13)&gt;0,Receivables!O13,"")</f>
        <v/>
      </c>
    </row>
    <row r="65">
      <c r="B65" s="43">
        <f>IF(N(Receivables!$M$14)&gt;0,Receivables!C14,"")</f>
        <v/>
      </c>
      <c r="C65" s="43">
        <f>IF(N(Receivables!$M$14)&gt;0,Receivables!D14,"")</f>
        <v/>
      </c>
      <c r="D65" s="44">
        <f>IF(N(Receivables!$M$14)&gt;0,Receivables!L14,"")</f>
        <v/>
      </c>
      <c r="E65" s="46">
        <f>IF(N(Receivables!$M$14)&gt;0,Receivables!M14,"")</f>
        <v/>
      </c>
      <c r="F65" s="47">
        <f>IF(N(Receivables!$M$14)&gt;0,Receivables!I14,"")</f>
        <v/>
      </c>
      <c r="G65" s="43">
        <f>IF(N(Receivables!$M$14)&gt;0,Receivables!F14,"")</f>
        <v/>
      </c>
      <c r="H65" s="43">
        <f>IF(N(Receivables!$M$14)&gt;0,Receivables!O14,"")</f>
        <v/>
      </c>
    </row>
    <row r="66">
      <c r="B66" s="43">
        <f>IF(N(Receivables!$M$15)&gt;0,Receivables!C15,"")</f>
        <v/>
      </c>
      <c r="C66" s="43">
        <f>IF(N(Receivables!$M$15)&gt;0,Receivables!D15,"")</f>
        <v/>
      </c>
      <c r="D66" s="44">
        <f>IF(N(Receivables!$M$15)&gt;0,Receivables!L15,"")</f>
        <v/>
      </c>
      <c r="E66" s="46">
        <f>IF(N(Receivables!$M$15)&gt;0,Receivables!M15,"")</f>
        <v/>
      </c>
      <c r="F66" s="47">
        <f>IF(N(Receivables!$M$15)&gt;0,Receivables!I15,"")</f>
        <v/>
      </c>
      <c r="G66" s="43">
        <f>IF(N(Receivables!$M$15)&gt;0,Receivables!F15,"")</f>
        <v/>
      </c>
      <c r="H66" s="43">
        <f>IF(N(Receivables!$M$15)&gt;0,Receivables!O15,"")</f>
        <v/>
      </c>
    </row>
    <row r="67">
      <c r="B67" s="43">
        <f>IF(N(Receivables!$M$16)&gt;0,Receivables!C16,"")</f>
        <v/>
      </c>
      <c r="C67" s="43">
        <f>IF(N(Receivables!$M$16)&gt;0,Receivables!D16,"")</f>
        <v/>
      </c>
      <c r="D67" s="44">
        <f>IF(N(Receivables!$M$16)&gt;0,Receivables!L16,"")</f>
        <v/>
      </c>
      <c r="E67" s="46">
        <f>IF(N(Receivables!$M$16)&gt;0,Receivables!M16,"")</f>
        <v/>
      </c>
      <c r="F67" s="47">
        <f>IF(N(Receivables!$M$16)&gt;0,Receivables!I16,"")</f>
        <v/>
      </c>
      <c r="G67" s="43">
        <f>IF(N(Receivables!$M$16)&gt;0,Receivables!F16,"")</f>
        <v/>
      </c>
      <c r="H67" s="43">
        <f>IF(N(Receivables!$M$16)&gt;0,Receivables!O16,"")</f>
        <v/>
      </c>
    </row>
    <row r="68">
      <c r="B68" s="40">
        <f>IF(COUNTIF('Work Orders'!$AM$11:$AM$1010,"&gt;0")=0,"No overdue invoices.",IF(COUNTIF('Work Orders'!$AM$11:$AM$1010,"&gt;0")&gt;10,"+ "&amp;(COUNTIF('Work Orders'!$AM$11:$AM$1010,"&gt;0")-10)&amp;" more on the Receivables sheet",""))</f>
        <v/>
      </c>
    </row>
    <row r="71">
      <c r="B71" s="41" t="inlineStr">
        <is>
          <t>How to use this workbook</t>
        </is>
      </c>
    </row>
    <row r="72">
      <c r="B72" s="48" t="inlineStr">
        <is>
          <t>1. Enter work orders on the Work Orders sheet, one per row from row 11. Fill the yellow cells; blue/green cells calculate by themselves.</t>
        </is>
      </c>
    </row>
    <row r="73">
      <c r="B73" s="48" t="inlineStr">
        <is>
          <t>2. Use the drop-down lists for WO status, Invoice status and Payment method.</t>
        </is>
      </c>
    </row>
    <row r="74">
      <c r="B74" s="48" t="inlineStr">
        <is>
          <t>3. When a payment comes in, add it to 'Amount received' and update the Invoice status.</t>
        </is>
      </c>
    </row>
    <row r="75">
      <c r="B75" s="48" t="inlineStr">
        <is>
          <t>4. This Dashboard, Receivables and Clients refresh automatically. Work Order Card shows any single job — pick the WO # in its yellow box.</t>
        </is>
      </c>
    </row>
    <row r="76">
      <c r="B76" s="48" t="inlineStr">
        <is>
          <t>5. Definitions and the worked example are on the Guide and Example sheet.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4">
    <mergeCell ref="B11:D11"/>
    <mergeCell ref="E10:G10"/>
    <mergeCell ref="E9:G9"/>
    <mergeCell ref="H11:J11"/>
    <mergeCell ref="H7:J7"/>
    <mergeCell ref="E6:G6"/>
    <mergeCell ref="B10:D10"/>
    <mergeCell ref="E11:G11"/>
    <mergeCell ref="B9:D9"/>
    <mergeCell ref="E7:G7"/>
    <mergeCell ref="B6:D6"/>
    <mergeCell ref="K7:M7"/>
    <mergeCell ref="B5:D5"/>
    <mergeCell ref="K10:M10"/>
    <mergeCell ref="K6:M6"/>
    <mergeCell ref="H5:J5"/>
    <mergeCell ref="B7:D7"/>
    <mergeCell ref="H10:J10"/>
    <mergeCell ref="K9:M9"/>
    <mergeCell ref="E5:G5"/>
    <mergeCell ref="K5:M5"/>
    <mergeCell ref="H9:J9"/>
    <mergeCell ref="K11:M11"/>
    <mergeCell ref="H6:J6"/>
  </mergeCells>
  <conditionalFormatting sqref="E9:G11">
    <cfRule type="expression" priority="1" dxfId="5">
      <formula>N($E$10)&gt;0</formula>
    </cfRule>
  </conditionalFormatting>
  <conditionalFormatting sqref="H9:J11">
    <cfRule type="expression" priority="2" dxfId="5">
      <formula>N($H$10)&gt;0</formula>
    </cfRule>
  </conditionalFormatting>
  <conditionalFormatting sqref="K9:M11">
    <cfRule type="expression" priority="3" dxfId="5">
      <formula>N($K$10)&gt;0</formula>
    </cfRule>
  </conditionalFormatting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0B84B"/>
    <outlinePr summaryBelow="1" summaryRight="1"/>
    <pageSetUpPr/>
  </sheetPr>
  <dimension ref="A1:AP1010"/>
  <sheetViews>
    <sheetView showGridLines="0" tabSelected="0" workbookViewId="0">
      <pane xSplit="1" ySplit="10" topLeftCell="B11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3" sqref="A13"/>
    </sheetView>
  </sheetViews>
  <sheetFormatPr baseColWidth="8" defaultRowHeight="14"/>
  <cols>
    <col width="20" customWidth="1" min="1" max="1"/>
    <col width="21" customWidth="1" min="2" max="2"/>
    <col width="20" customWidth="1" min="3" max="3"/>
    <col width="22" customWidth="1" min="4" max="4"/>
    <col width="24" customWidth="1" min="5" max="5"/>
    <col width="15" customWidth="1" min="6" max="6"/>
    <col width="24" customWidth="1" min="7" max="7"/>
    <col width="18" customWidth="1" min="8" max="11"/>
    <col width="22" customWidth="1" min="12" max="12"/>
    <col width="42" customWidth="1" min="13" max="13"/>
    <col width="20" customWidth="1" min="14" max="14"/>
    <col width="22" customWidth="1" min="15" max="15"/>
    <col width="42" customWidth="1" min="16" max="16"/>
    <col width="20" customWidth="1" min="17" max="17"/>
    <col width="22" customWidth="1" min="18" max="18"/>
    <col width="48" customWidth="1" min="19" max="19"/>
    <col width="15" customWidth="1" min="20" max="20"/>
    <col width="18" customWidth="1" min="21" max="21"/>
    <col width="21" customWidth="1" min="22" max="23"/>
    <col width="16" customWidth="1" min="24" max="24"/>
    <col width="18" customWidth="1" min="25" max="25"/>
    <col width="19" customWidth="1" min="26" max="26"/>
    <col width="18" customWidth="1" min="27" max="27"/>
    <col width="21" customWidth="1" min="28" max="28"/>
    <col width="23" customWidth="1" min="29" max="29"/>
    <col width="24" customWidth="1" min="30" max="30"/>
    <col width="19" customWidth="1" min="31" max="31"/>
    <col width="18" customWidth="1" min="32" max="32"/>
    <col width="20" customWidth="1" min="33" max="34"/>
    <col width="22" customWidth="1" min="35" max="35"/>
    <col width="26" customWidth="1" min="36" max="36"/>
    <col width="30" customWidth="1" min="37" max="37"/>
    <col width="16" customWidth="1" min="38" max="38"/>
    <col width="14" customWidth="1" min="39" max="39"/>
    <col hidden="1" outlineLevel="1" width="12" customWidth="1" min="40" max="4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 ht="20" customHeight="1">
      <c r="A2" s="2" t="inlineStr">
        <is>
          <t>Mintresponse LLC — Work Order List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</row>
    <row r="4" ht="30" customHeight="1">
      <c r="A4" s="4" t="inlineStr">
        <is>
          <t>Work orders</t>
        </is>
      </c>
      <c r="B4" s="4" t="inlineStr">
        <is>
          <t>Invoiced revenue</t>
        </is>
      </c>
      <c r="C4" s="4" t="inlineStr">
        <is>
          <t>Gross profit*</t>
        </is>
      </c>
      <c r="D4" s="4" t="inlineStr">
        <is>
          <t>Net profit*</t>
        </is>
      </c>
      <c r="E4" s="4" t="inlineStr">
        <is>
          <t>Balance due*</t>
        </is>
      </c>
      <c r="F4" s="4" t="inlineStr">
        <is>
          <t>Needs financial input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</row>
    <row r="5" ht="15.5" customHeight="1">
      <c r="A5" s="6">
        <f>COUNTA(A11:A1010)</f>
        <v/>
      </c>
      <c r="B5" s="7">
        <f>SUM(Z11:Z1010)</f>
        <v/>
      </c>
      <c r="C5" s="7">
        <f>SUM(J11:J1010)</f>
        <v/>
      </c>
      <c r="D5" s="7">
        <f>SUM(AE11:AE1010)</f>
        <v/>
      </c>
      <c r="E5" s="7">
        <f>SUM(AH11:AH1010)</f>
        <v/>
      </c>
      <c r="F5" s="6">
        <f>COUNTIFS(AK11:AK1010,"Enter*")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</row>
    <row r="7">
      <c r="A7" s="8" t="inlineStr">
        <is>
          <t>Yellow cells = enter data. Blue/green cells = formulas. 1,000 prepared rows. Dashboard, Receivables and Clients update automatically.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</row>
    <row r="8">
      <c r="A8" s="8" t="inlineStr">
        <is>
          <t>*Totals include calculated rows only. Complete financial inputs before using profit totals. All amounts in USD, excluding sales tax.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</row>
    <row r="10" ht="42" customHeight="1">
      <c r="A10" s="9" t="inlineStr">
        <is>
          <t>WO #</t>
        </is>
      </c>
      <c r="B10" s="9" t="inlineStr">
        <is>
          <t>Client</t>
        </is>
      </c>
      <c r="C10" s="9" t="inlineStr">
        <is>
          <t>Assignees</t>
        </is>
      </c>
      <c r="D10" s="9" t="inlineStr">
        <is>
          <t>Store name</t>
        </is>
      </c>
      <c r="E10" s="9" t="inlineStr">
        <is>
          <t>Location</t>
        </is>
      </c>
      <c r="F10" s="9" t="inlineStr">
        <is>
          <t>ETA</t>
        </is>
      </c>
      <c r="G10" s="9" t="inlineStr">
        <is>
          <t>Parts ordered / status</t>
        </is>
      </c>
      <c r="H10" s="9" t="inlineStr">
        <is>
          <t>Direct cost</t>
        </is>
      </c>
      <c r="I10" s="9" t="inlineStr">
        <is>
          <t>Approved NTE</t>
        </is>
      </c>
      <c r="J10" s="9" t="inlineStr">
        <is>
          <t>Gross profit</t>
        </is>
      </c>
      <c r="K10" s="9" t="inlineStr">
        <is>
          <t>Gross margin %</t>
        </is>
      </c>
      <c r="L10" s="9" t="inlineStr">
        <is>
          <t>Expected NTE / quote</t>
        </is>
      </c>
      <c r="M10" s="9" t="inlineStr">
        <is>
          <t>Job type / scope</t>
        </is>
      </c>
      <c r="N10" s="9" t="inlineStr">
        <is>
          <t>Handler</t>
        </is>
      </c>
      <c r="O10" s="9" t="inlineStr">
        <is>
          <t>Tech</t>
        </is>
      </c>
      <c r="P10" s="9" t="inlineStr">
        <is>
          <t>Notes</t>
        </is>
      </c>
      <c r="Q10" s="9" t="inlineStr">
        <is>
          <t>Invoice #</t>
        </is>
      </c>
      <c r="R10" s="9" t="inlineStr">
        <is>
          <t>WO status</t>
        </is>
      </c>
      <c r="S10" s="9" t="inlineStr">
        <is>
          <t>Address</t>
        </is>
      </c>
      <c r="T10" s="9" t="inlineStr">
        <is>
          <t>Date in</t>
        </is>
      </c>
      <c r="U10" s="9" t="inlineStr">
        <is>
          <t>Invoice sent date</t>
        </is>
      </c>
      <c r="V10" s="9" t="inlineStr">
        <is>
          <t>Invoice status</t>
        </is>
      </c>
      <c r="W10" s="9" t="inlineStr">
        <is>
          <t>Payment method</t>
        </is>
      </c>
      <c r="X10" s="9" t="inlineStr">
        <is>
          <t>Payment due</t>
        </is>
      </c>
      <c r="Y10" s="9" t="inlineStr">
        <is>
          <t>Target markup %</t>
        </is>
      </c>
      <c r="Z10" s="9" t="inlineStr">
        <is>
          <t>Invoice revenue</t>
        </is>
      </c>
      <c r="AA10" s="9" t="inlineStr">
        <is>
          <t>Actual markup %</t>
        </is>
      </c>
      <c r="AB10" s="9" t="inlineStr">
        <is>
          <t>Allocated overhead</t>
        </is>
      </c>
      <c r="AC10" s="9" t="inlineStr">
        <is>
          <t>Payment / admin fees</t>
        </is>
      </c>
      <c r="AD10" s="9" t="inlineStr">
        <is>
          <t>Other expenses / tax</t>
        </is>
      </c>
      <c r="AE10" s="9" t="inlineStr">
        <is>
          <t>Net profit</t>
        </is>
      </c>
      <c r="AF10" s="9" t="inlineStr">
        <is>
          <t>Net margin %</t>
        </is>
      </c>
      <c r="AG10" s="9" t="inlineStr">
        <is>
          <t>Amount received</t>
        </is>
      </c>
      <c r="AH10" s="9" t="inlineStr">
        <is>
          <t>Balance due</t>
        </is>
      </c>
      <c r="AI10" s="9" t="inlineStr">
        <is>
          <t>Payment terms (days)</t>
        </is>
      </c>
      <c r="AJ10" s="9" t="inlineStr">
        <is>
          <t>NTE check</t>
        </is>
      </c>
      <c r="AK10" s="9" t="inlineStr">
        <is>
          <t>Financial input status</t>
        </is>
      </c>
      <c r="AL10" s="9" t="inlineStr">
        <is>
          <t>Aging bucket</t>
        </is>
      </c>
      <c r="AM10" s="9" t="inlineStr">
        <is>
          <t>Days overdue</t>
        </is>
      </c>
      <c r="AN10" s="9" t="inlineStr">
        <is>
          <t>AR sort key</t>
        </is>
      </c>
      <c r="AO10" s="9" t="inlineStr">
        <is>
          <t>AR order</t>
        </is>
      </c>
      <c r="AP10" s="9" t="inlineStr">
        <is>
          <t>Client #</t>
        </is>
      </c>
    </row>
    <row r="11" ht="24" customHeight="1">
      <c r="A11" s="20" t="n"/>
      <c r="B11" s="10" t="n"/>
      <c r="C11" s="10" t="n"/>
      <c r="D11" s="10" t="n"/>
      <c r="E11" s="10" t="n"/>
      <c r="F11" s="18" t="n"/>
      <c r="G11" s="10" t="n"/>
      <c r="H11" s="12" t="n"/>
      <c r="I11" s="12" t="n"/>
      <c r="J11" s="13">
        <f>IF(OR(A11="",COUNT(H11)=0,COUNT(Z11)=0),"",ROUND(Z11-H11,2))</f>
        <v/>
      </c>
      <c r="K11" s="15">
        <f>IF(COUNT(J11)=0,"",IF(Z11=0,"n.a.",J11/Z11))</f>
        <v/>
      </c>
      <c r="L11" s="14">
        <f>IF(OR(A11="",COUNT(H11)=0,COUNT(Y11)=0),"",ROUND(H11*(1+Y11),2))</f>
        <v/>
      </c>
      <c r="M11" s="10" t="n"/>
      <c r="N11" s="10" t="n"/>
      <c r="O11" s="10" t="n"/>
      <c r="P11" s="10" t="n"/>
      <c r="Q11" s="20" t="n"/>
      <c r="R11" s="10" t="n"/>
      <c r="S11" s="10" t="n"/>
      <c r="T11" s="18" t="n"/>
      <c r="U11" s="18" t="n"/>
      <c r="V11" s="10" t="n"/>
      <c r="W11" s="10" t="n"/>
      <c r="X11" s="19">
        <f>IF(OR(A11="",COUNT(U11)=0,COUNT(AI11)=0),"",U11+AI11)</f>
        <v/>
      </c>
      <c r="Y11" s="16" t="n"/>
      <c r="Z11" s="12" t="n"/>
      <c r="AA11" s="17">
        <f>IF(COUNT(J11)=0,"",IF(H11=0,"n.a.",J11/H11))</f>
        <v/>
      </c>
      <c r="AB11" s="12" t="n"/>
      <c r="AC11" s="12" t="n"/>
      <c r="AD11" s="12" t="n"/>
      <c r="AE11" s="13">
        <f>IF(OR(COUNT(J11)=0,COUNT(AB11:AD11)&lt;3),"",ROUND(J11-SUM(AB11:AD11),2))</f>
        <v/>
      </c>
      <c r="AF11" s="15">
        <f>IF(COUNT(AE11)=0,"",IF(Z11=0,"n.a.",AE11/Z11))</f>
        <v/>
      </c>
      <c r="AG11" s="12" t="n"/>
      <c r="AH11" s="14">
        <f>IF(OR(A11="",COUNT(Z11)=0,COUNT(AG11)=0),"",ROUND(Z11-AG11,2))</f>
        <v/>
      </c>
      <c r="AI11" s="21" t="n"/>
      <c r="AJ11" s="11">
        <f>IF(A11="","",IF(COUNT(I11)=0,"Enter approved NTE",IF(COUNT(Z11)&gt;0,IF(Z11&gt;I11,"Invoice exceeds NTE","Invoice within NTE"),IF(COUNT(L11)=0,"Enter quote inputs",IF(L11&gt;I11,"Quote exceeds NTE","Quote within NTE")))))</f>
        <v/>
      </c>
      <c r="AK11" s="11">
        <f>IF(A11="","",IF(COUNT(H11)=0,"Enter direct cost",IF(COUNT(Z11)=0,"Enter invoice revenue",IF(COUNT(AB11:AD11)&lt;3,"Enter expenses (0 if none)","Complete"))))</f>
        <v/>
      </c>
      <c r="AL11" s="11">
        <f>IF(A11="","",IF(NOT(AND(COUNT(AH11)=1,N(AH11)&gt;0.004,V11&lt;&gt;"Void",V11&lt;&gt;"Not invoiced",V11&lt;&gt;"Draft")),"",IF(COUNT(X11)=0,"No due date",IF(TODAY()-X11&lt;=0,"Not yet due",IF(TODAY()-X11&lt;=30,"1-30 days",IF(TODAY()-X11&lt;=60,"31-60 days",IF(TODAY()-X11&lt;=90,"61-90 days","Over 90 days")))))))</f>
        <v/>
      </c>
      <c r="AM11" s="49">
        <f>IF(OR(AL11="",AL11="No due date"),"",MAX(TODAY()-X11,0))</f>
        <v/>
      </c>
      <c r="AN11" s="49">
        <f>IF(AL11="","",IF(COUNT(X11)=0,-100000,TODAY()-X11))</f>
        <v/>
      </c>
      <c r="AO11" s="49">
        <f>IF(AN11="","",COUNTIF(AN$11:AN$1010,"&gt;"&amp;AN11)+COUNTIF(AN$11:AN11,AN11))</f>
        <v/>
      </c>
      <c r="AP11" s="49">
        <f>IF(OR(A11="",B11=""),"",IF(COUNTIF(B$11:B11,B11)=1,MAX(AP$10:AP10)+1,""))</f>
        <v/>
      </c>
    </row>
    <row r="12" ht="24" customHeight="1">
      <c r="A12" s="20" t="n"/>
      <c r="B12" s="10" t="n"/>
      <c r="C12" s="10" t="n"/>
      <c r="D12" s="10" t="n"/>
      <c r="E12" s="10" t="n"/>
      <c r="F12" s="18" t="n"/>
      <c r="G12" s="10" t="n"/>
      <c r="H12" s="12" t="n"/>
      <c r="I12" s="12" t="n"/>
      <c r="J12" s="13">
        <f>IF(OR(A12="",COUNT(H12)=0,COUNT(Z12)=0),"",ROUND(Z12-H12,2))</f>
        <v/>
      </c>
      <c r="K12" s="15">
        <f>IF(COUNT(J12)=0,"",IF(Z12=0,"n.a.",J12/Z12))</f>
        <v/>
      </c>
      <c r="L12" s="14">
        <f>IF(OR(A12="",COUNT(H12)=0,COUNT(Y12)=0),"",ROUND(H12*(1+Y12),2))</f>
        <v/>
      </c>
      <c r="M12" s="10" t="n"/>
      <c r="N12" s="10" t="n"/>
      <c r="O12" s="10" t="n"/>
      <c r="P12" s="10" t="n"/>
      <c r="Q12" s="20" t="n"/>
      <c r="R12" s="10" t="n"/>
      <c r="S12" s="10" t="n"/>
      <c r="T12" s="18" t="n"/>
      <c r="U12" s="18" t="n"/>
      <c r="V12" s="10" t="n"/>
      <c r="W12" s="10" t="n"/>
      <c r="X12" s="19">
        <f>IF(OR(A12="",COUNT(U12)=0,COUNT(AI12)=0),"",U12+AI12)</f>
        <v/>
      </c>
      <c r="Y12" s="16" t="n"/>
      <c r="Z12" s="12" t="n"/>
      <c r="AA12" s="17">
        <f>IF(COUNT(J12)=0,"",IF(H12=0,"n.a.",J12/H12))</f>
        <v/>
      </c>
      <c r="AB12" s="12" t="n"/>
      <c r="AC12" s="12" t="n"/>
      <c r="AD12" s="12" t="n"/>
      <c r="AE12" s="13">
        <f>IF(OR(COUNT(J12)=0,COUNT(AB12:AD12)&lt;3),"",ROUND(J12-SUM(AB12:AD12),2))</f>
        <v/>
      </c>
      <c r="AF12" s="15">
        <f>IF(COUNT(AE12)=0,"",IF(Z12=0,"n.a.",AE12/Z12))</f>
        <v/>
      </c>
      <c r="AG12" s="12" t="n"/>
      <c r="AH12" s="14">
        <f>IF(OR(A12="",COUNT(Z12)=0,COUNT(AG12)=0),"",ROUND(Z12-AG12,2))</f>
        <v/>
      </c>
      <c r="AI12" s="21" t="n"/>
      <c r="AJ12" s="11">
        <f>IF(A12="","",IF(COUNT(I12)=0,"Enter approved NTE",IF(COUNT(Z12)&gt;0,IF(Z12&gt;I12,"Invoice exceeds NTE","Invoice within NTE"),IF(COUNT(L12)=0,"Enter quote inputs",IF(L12&gt;I12,"Quote exceeds NTE","Quote within NTE")))))</f>
        <v/>
      </c>
      <c r="AK12" s="11">
        <f>IF(A12="","",IF(COUNT(H12)=0,"Enter direct cost",IF(COUNT(Z12)=0,"Enter invoice revenue",IF(COUNT(AB12:AD12)&lt;3,"Enter expenses (0 if none)","Complete"))))</f>
        <v/>
      </c>
      <c r="AL12" s="11">
        <f>IF(A12="","",IF(NOT(AND(COUNT(AH12)=1,N(AH12)&gt;0.004,V12&lt;&gt;"Void",V12&lt;&gt;"Not invoiced",V12&lt;&gt;"Draft")),"",IF(COUNT(X12)=0,"No due date",IF(TODAY()-X12&lt;=0,"Not yet due",IF(TODAY()-X12&lt;=30,"1-30 days",IF(TODAY()-X12&lt;=60,"31-60 days",IF(TODAY()-X12&lt;=90,"61-90 days","Over 90 days")))))))</f>
        <v/>
      </c>
      <c r="AM12" s="49">
        <f>IF(OR(AL12="",AL12="No due date"),"",MAX(TODAY()-X12,0))</f>
        <v/>
      </c>
      <c r="AN12" s="49">
        <f>IF(AL12="","",IF(COUNT(X12)=0,-100000,TODAY()-X12))</f>
        <v/>
      </c>
      <c r="AO12" s="49">
        <f>IF(AN12="","",COUNTIF(AN$11:AN$1010,"&gt;"&amp;AN12)+COUNTIF(AN$11:AN12,AN12))</f>
        <v/>
      </c>
      <c r="AP12" s="49">
        <f>IF(OR(A12="",B12=""),"",IF(COUNTIF(B$11:B12,B12)=1,MAX(AP$10:AP11)+1,""))</f>
        <v/>
      </c>
    </row>
    <row r="13" ht="24" customHeight="1">
      <c r="A13" s="20" t="n"/>
      <c r="B13" s="10" t="n"/>
      <c r="C13" s="10" t="n"/>
      <c r="D13" s="10" t="n"/>
      <c r="E13" s="10" t="n"/>
      <c r="F13" s="18" t="n"/>
      <c r="G13" s="10" t="n"/>
      <c r="H13" s="12" t="n"/>
      <c r="I13" s="12" t="n"/>
      <c r="J13" s="13">
        <f>IF(OR(A13="",COUNT(H13)=0,COUNT(Z13)=0),"",ROUND(Z13-H13,2))</f>
        <v/>
      </c>
      <c r="K13" s="15">
        <f>IF(COUNT(J13)=0,"",IF(Z13=0,"n.a.",J13/Z13))</f>
        <v/>
      </c>
      <c r="L13" s="14">
        <f>IF(OR(A13="",COUNT(H13)=0,COUNT(Y13)=0),"",ROUND(H13*(1+Y13),2))</f>
        <v/>
      </c>
      <c r="M13" s="10" t="n"/>
      <c r="N13" s="10" t="n"/>
      <c r="O13" s="10" t="n"/>
      <c r="P13" s="10" t="n"/>
      <c r="Q13" s="20" t="n"/>
      <c r="R13" s="10" t="n"/>
      <c r="S13" s="10" t="n"/>
      <c r="T13" s="18" t="n"/>
      <c r="U13" s="18" t="n"/>
      <c r="V13" s="10" t="n"/>
      <c r="W13" s="10" t="n"/>
      <c r="X13" s="19">
        <f>IF(OR(A13="",COUNT(U13)=0,COUNT(AI13)=0),"",U13+AI13)</f>
        <v/>
      </c>
      <c r="Y13" s="16" t="n"/>
      <c r="Z13" s="12" t="n"/>
      <c r="AA13" s="17">
        <f>IF(COUNT(J13)=0,"",IF(H13=0,"n.a.",J13/H13))</f>
        <v/>
      </c>
      <c r="AB13" s="12" t="n"/>
      <c r="AC13" s="12" t="n"/>
      <c r="AD13" s="12" t="n"/>
      <c r="AE13" s="13">
        <f>IF(OR(COUNT(J13)=0,COUNT(AB13:AD13)&lt;3),"",ROUND(J13-SUM(AB13:AD13),2))</f>
        <v/>
      </c>
      <c r="AF13" s="15">
        <f>IF(COUNT(AE13)=0,"",IF(Z13=0,"n.a.",AE13/Z13))</f>
        <v/>
      </c>
      <c r="AG13" s="12" t="n"/>
      <c r="AH13" s="14">
        <f>IF(OR(A13="",COUNT(Z13)=0,COUNT(AG13)=0),"",ROUND(Z13-AG13,2))</f>
        <v/>
      </c>
      <c r="AI13" s="21" t="n"/>
      <c r="AJ13" s="11">
        <f>IF(A13="","",IF(COUNT(I13)=0,"Enter approved NTE",IF(COUNT(Z13)&gt;0,IF(Z13&gt;I13,"Invoice exceeds NTE","Invoice within NTE"),IF(COUNT(L13)=0,"Enter quote inputs",IF(L13&gt;I13,"Quote exceeds NTE","Quote within NTE")))))</f>
        <v/>
      </c>
      <c r="AK13" s="11">
        <f>IF(A13="","",IF(COUNT(H13)=0,"Enter direct cost",IF(COUNT(Z13)=0,"Enter invoice revenue",IF(COUNT(AB13:AD13)&lt;3,"Enter expenses (0 if none)","Complete"))))</f>
        <v/>
      </c>
      <c r="AL13" s="11">
        <f>IF(A13="","",IF(NOT(AND(COUNT(AH13)=1,N(AH13)&gt;0.004,V13&lt;&gt;"Void",V13&lt;&gt;"Not invoiced",V13&lt;&gt;"Draft")),"",IF(COUNT(X13)=0,"No due date",IF(TODAY()-X13&lt;=0,"Not yet due",IF(TODAY()-X13&lt;=30,"1-30 days",IF(TODAY()-X13&lt;=60,"31-60 days",IF(TODAY()-X13&lt;=90,"61-90 days","Over 90 days")))))))</f>
        <v/>
      </c>
      <c r="AM13" s="49">
        <f>IF(OR(AL13="",AL13="No due date"),"",MAX(TODAY()-X13,0))</f>
        <v/>
      </c>
      <c r="AN13" s="49">
        <f>IF(AL13="","",IF(COUNT(X13)=0,-100000,TODAY()-X13))</f>
        <v/>
      </c>
      <c r="AO13" s="49">
        <f>IF(AN13="","",COUNTIF(AN$11:AN$1010,"&gt;"&amp;AN13)+COUNTIF(AN$11:AN13,AN13))</f>
        <v/>
      </c>
      <c r="AP13" s="49">
        <f>IF(OR(A13="",B13=""),"",IF(COUNTIF(B$11:B13,B13)=1,MAX(AP$10:AP12)+1,""))</f>
        <v/>
      </c>
    </row>
    <row r="14" ht="24" customHeight="1">
      <c r="A14" s="20" t="n"/>
      <c r="B14" s="10" t="n"/>
      <c r="C14" s="10" t="n"/>
      <c r="D14" s="10" t="n"/>
      <c r="E14" s="10" t="n"/>
      <c r="F14" s="18" t="n"/>
      <c r="G14" s="10" t="n"/>
      <c r="H14" s="12" t="n"/>
      <c r="I14" s="12" t="n"/>
      <c r="J14" s="13">
        <f>IF(OR(A14="",COUNT(H14)=0,COUNT(Z14)=0),"",ROUND(Z14-H14,2))</f>
        <v/>
      </c>
      <c r="K14" s="15">
        <f>IF(COUNT(J14)=0,"",IF(Z14=0,"n.a.",J14/Z14))</f>
        <v/>
      </c>
      <c r="L14" s="14">
        <f>IF(OR(A14="",COUNT(H14)=0,COUNT(Y14)=0),"",ROUND(H14*(1+Y14),2))</f>
        <v/>
      </c>
      <c r="M14" s="10" t="n"/>
      <c r="N14" s="10" t="n"/>
      <c r="O14" s="10" t="n"/>
      <c r="P14" s="10" t="n"/>
      <c r="Q14" s="20" t="n"/>
      <c r="R14" s="10" t="n"/>
      <c r="S14" s="10" t="n"/>
      <c r="T14" s="18" t="n"/>
      <c r="U14" s="18" t="n"/>
      <c r="V14" s="10" t="n"/>
      <c r="W14" s="10" t="n"/>
      <c r="X14" s="19">
        <f>IF(OR(A14="",COUNT(U14)=0,COUNT(AI14)=0),"",U14+AI14)</f>
        <v/>
      </c>
      <c r="Y14" s="16" t="n"/>
      <c r="Z14" s="12" t="n"/>
      <c r="AA14" s="17">
        <f>IF(COUNT(J14)=0,"",IF(H14=0,"n.a.",J14/H14))</f>
        <v/>
      </c>
      <c r="AB14" s="12" t="n"/>
      <c r="AC14" s="12" t="n"/>
      <c r="AD14" s="12" t="n"/>
      <c r="AE14" s="13">
        <f>IF(OR(COUNT(J14)=0,COUNT(AB14:AD14)&lt;3),"",ROUND(J14-SUM(AB14:AD14),2))</f>
        <v/>
      </c>
      <c r="AF14" s="15">
        <f>IF(COUNT(AE14)=0,"",IF(Z14=0,"n.a.",AE14/Z14))</f>
        <v/>
      </c>
      <c r="AG14" s="12" t="n"/>
      <c r="AH14" s="14">
        <f>IF(OR(A14="",COUNT(Z14)=0,COUNT(AG14)=0),"",ROUND(Z14-AG14,2))</f>
        <v/>
      </c>
      <c r="AI14" s="21" t="n"/>
      <c r="AJ14" s="11">
        <f>IF(A14="","",IF(COUNT(I14)=0,"Enter approved NTE",IF(COUNT(Z14)&gt;0,IF(Z14&gt;I14,"Invoice exceeds NTE","Invoice within NTE"),IF(COUNT(L14)=0,"Enter quote inputs",IF(L14&gt;I14,"Quote exceeds NTE","Quote within NTE")))))</f>
        <v/>
      </c>
      <c r="AK14" s="11">
        <f>IF(A14="","",IF(COUNT(H14)=0,"Enter direct cost",IF(COUNT(Z14)=0,"Enter invoice revenue",IF(COUNT(AB14:AD14)&lt;3,"Enter expenses (0 if none)","Complete"))))</f>
        <v/>
      </c>
      <c r="AL14" s="11">
        <f>IF(A14="","",IF(NOT(AND(COUNT(AH14)=1,N(AH14)&gt;0.004,V14&lt;&gt;"Void",V14&lt;&gt;"Not invoiced",V14&lt;&gt;"Draft")),"",IF(COUNT(X14)=0,"No due date",IF(TODAY()-X14&lt;=0,"Not yet due",IF(TODAY()-X14&lt;=30,"1-30 days",IF(TODAY()-X14&lt;=60,"31-60 days",IF(TODAY()-X14&lt;=90,"61-90 days","Over 90 days")))))))</f>
        <v/>
      </c>
      <c r="AM14" s="49">
        <f>IF(OR(AL14="",AL14="No due date"),"",MAX(TODAY()-X14,0))</f>
        <v/>
      </c>
      <c r="AN14" s="49">
        <f>IF(AL14="","",IF(COUNT(X14)=0,-100000,TODAY()-X14))</f>
        <v/>
      </c>
      <c r="AO14" s="49">
        <f>IF(AN14="","",COUNTIF(AN$11:AN$1010,"&gt;"&amp;AN14)+COUNTIF(AN$11:AN14,AN14))</f>
        <v/>
      </c>
      <c r="AP14" s="49">
        <f>IF(OR(A14="",B14=""),"",IF(COUNTIF(B$11:B14,B14)=1,MAX(AP$10:AP13)+1,""))</f>
        <v/>
      </c>
    </row>
    <row r="15" ht="24" customHeight="1">
      <c r="A15" s="20" t="n"/>
      <c r="B15" s="10" t="n"/>
      <c r="C15" s="10" t="n"/>
      <c r="D15" s="10" t="n"/>
      <c r="E15" s="10" t="n"/>
      <c r="F15" s="18" t="n"/>
      <c r="G15" s="10" t="n"/>
      <c r="H15" s="12" t="n"/>
      <c r="I15" s="12" t="n"/>
      <c r="J15" s="13">
        <f>IF(OR(A15="",COUNT(H15)=0,COUNT(Z15)=0),"",ROUND(Z15-H15,2))</f>
        <v/>
      </c>
      <c r="K15" s="15">
        <f>IF(COUNT(J15)=0,"",IF(Z15=0,"n.a.",J15/Z15))</f>
        <v/>
      </c>
      <c r="L15" s="14">
        <f>IF(OR(A15="",COUNT(H15)=0,COUNT(Y15)=0),"",ROUND(H15*(1+Y15),2))</f>
        <v/>
      </c>
      <c r="M15" s="10" t="n"/>
      <c r="N15" s="10" t="n"/>
      <c r="O15" s="10" t="n"/>
      <c r="P15" s="10" t="n"/>
      <c r="Q15" s="20" t="n"/>
      <c r="R15" s="10" t="n"/>
      <c r="S15" s="10" t="n"/>
      <c r="T15" s="18" t="n"/>
      <c r="U15" s="18" t="n"/>
      <c r="V15" s="10" t="n"/>
      <c r="W15" s="10" t="n"/>
      <c r="X15" s="19">
        <f>IF(OR(A15="",COUNT(U15)=0,COUNT(AI15)=0),"",U15+AI15)</f>
        <v/>
      </c>
      <c r="Y15" s="16" t="n"/>
      <c r="Z15" s="12" t="n"/>
      <c r="AA15" s="17">
        <f>IF(COUNT(J15)=0,"",IF(H15=0,"n.a.",J15/H15))</f>
        <v/>
      </c>
      <c r="AB15" s="12" t="n"/>
      <c r="AC15" s="12" t="n"/>
      <c r="AD15" s="12" t="n"/>
      <c r="AE15" s="13">
        <f>IF(OR(COUNT(J15)=0,COUNT(AB15:AD15)&lt;3),"",ROUND(J15-SUM(AB15:AD15),2))</f>
        <v/>
      </c>
      <c r="AF15" s="15">
        <f>IF(COUNT(AE15)=0,"",IF(Z15=0,"n.a.",AE15/Z15))</f>
        <v/>
      </c>
      <c r="AG15" s="12" t="n"/>
      <c r="AH15" s="14">
        <f>IF(OR(A15="",COUNT(Z15)=0,COUNT(AG15)=0),"",ROUND(Z15-AG15,2))</f>
        <v/>
      </c>
      <c r="AI15" s="21" t="n"/>
      <c r="AJ15" s="11">
        <f>IF(A15="","",IF(COUNT(I15)=0,"Enter approved NTE",IF(COUNT(Z15)&gt;0,IF(Z15&gt;I15,"Invoice exceeds NTE","Invoice within NTE"),IF(COUNT(L15)=0,"Enter quote inputs",IF(L15&gt;I15,"Quote exceeds NTE","Quote within NTE")))))</f>
        <v/>
      </c>
      <c r="AK15" s="11">
        <f>IF(A15="","",IF(COUNT(H15)=0,"Enter direct cost",IF(COUNT(Z15)=0,"Enter invoice revenue",IF(COUNT(AB15:AD15)&lt;3,"Enter expenses (0 if none)","Complete"))))</f>
        <v/>
      </c>
      <c r="AL15" s="11">
        <f>IF(A15="","",IF(NOT(AND(COUNT(AH15)=1,N(AH15)&gt;0.004,V15&lt;&gt;"Void",V15&lt;&gt;"Not invoiced",V15&lt;&gt;"Draft")),"",IF(COUNT(X15)=0,"No due date",IF(TODAY()-X15&lt;=0,"Not yet due",IF(TODAY()-X15&lt;=30,"1-30 days",IF(TODAY()-X15&lt;=60,"31-60 days",IF(TODAY()-X15&lt;=90,"61-90 days","Over 90 days")))))))</f>
        <v/>
      </c>
      <c r="AM15" s="49">
        <f>IF(OR(AL15="",AL15="No due date"),"",MAX(TODAY()-X15,0))</f>
        <v/>
      </c>
      <c r="AN15" s="49">
        <f>IF(AL15="","",IF(COUNT(X15)=0,-100000,TODAY()-X15))</f>
        <v/>
      </c>
      <c r="AO15" s="49">
        <f>IF(AN15="","",COUNTIF(AN$11:AN$1010,"&gt;"&amp;AN15)+COUNTIF(AN$11:AN15,AN15))</f>
        <v/>
      </c>
      <c r="AP15" s="49">
        <f>IF(OR(A15="",B15=""),"",IF(COUNTIF(B$11:B15,B15)=1,MAX(AP$10:AP14)+1,""))</f>
        <v/>
      </c>
    </row>
    <row r="16" ht="24" customHeight="1">
      <c r="A16" s="20" t="n"/>
      <c r="B16" s="10" t="n"/>
      <c r="C16" s="10" t="n"/>
      <c r="D16" s="10" t="n"/>
      <c r="E16" s="10" t="n"/>
      <c r="F16" s="18" t="n"/>
      <c r="G16" s="10" t="n"/>
      <c r="H16" s="12" t="n"/>
      <c r="I16" s="12" t="n"/>
      <c r="J16" s="13">
        <f>IF(OR(A16="",COUNT(H16)=0,COUNT(Z16)=0),"",ROUND(Z16-H16,2))</f>
        <v/>
      </c>
      <c r="K16" s="15">
        <f>IF(COUNT(J16)=0,"",IF(Z16=0,"n.a.",J16/Z16))</f>
        <v/>
      </c>
      <c r="L16" s="14">
        <f>IF(OR(A16="",COUNT(H16)=0,COUNT(Y16)=0),"",ROUND(H16*(1+Y16),2))</f>
        <v/>
      </c>
      <c r="M16" s="10" t="n"/>
      <c r="N16" s="10" t="n"/>
      <c r="O16" s="10" t="n"/>
      <c r="P16" s="10" t="n"/>
      <c r="Q16" s="20" t="n"/>
      <c r="R16" s="10" t="n"/>
      <c r="S16" s="10" t="n"/>
      <c r="T16" s="18" t="n"/>
      <c r="U16" s="18" t="n"/>
      <c r="V16" s="10" t="n"/>
      <c r="W16" s="10" t="n"/>
      <c r="X16" s="19">
        <f>IF(OR(A16="",COUNT(U16)=0,COUNT(AI16)=0),"",U16+AI16)</f>
        <v/>
      </c>
      <c r="Y16" s="16" t="n"/>
      <c r="Z16" s="12" t="n"/>
      <c r="AA16" s="17">
        <f>IF(COUNT(J16)=0,"",IF(H16=0,"n.a.",J16/H16))</f>
        <v/>
      </c>
      <c r="AB16" s="12" t="n"/>
      <c r="AC16" s="12" t="n"/>
      <c r="AD16" s="12" t="n"/>
      <c r="AE16" s="13">
        <f>IF(OR(COUNT(J16)=0,COUNT(AB16:AD16)&lt;3),"",ROUND(J16-SUM(AB16:AD16),2))</f>
        <v/>
      </c>
      <c r="AF16" s="15">
        <f>IF(COUNT(AE16)=0,"",IF(Z16=0,"n.a.",AE16/Z16))</f>
        <v/>
      </c>
      <c r="AG16" s="12" t="n"/>
      <c r="AH16" s="14">
        <f>IF(OR(A16="",COUNT(Z16)=0,COUNT(AG16)=0),"",ROUND(Z16-AG16,2))</f>
        <v/>
      </c>
      <c r="AI16" s="21" t="n"/>
      <c r="AJ16" s="11">
        <f>IF(A16="","",IF(COUNT(I16)=0,"Enter approved NTE",IF(COUNT(Z16)&gt;0,IF(Z16&gt;I16,"Invoice exceeds NTE","Invoice within NTE"),IF(COUNT(L16)=0,"Enter quote inputs",IF(L16&gt;I16,"Quote exceeds NTE","Quote within NTE")))))</f>
        <v/>
      </c>
      <c r="AK16" s="11">
        <f>IF(A16="","",IF(COUNT(H16)=0,"Enter direct cost",IF(COUNT(Z16)=0,"Enter invoice revenue",IF(COUNT(AB16:AD16)&lt;3,"Enter expenses (0 if none)","Complete"))))</f>
        <v/>
      </c>
      <c r="AL16" s="11">
        <f>IF(A16="","",IF(NOT(AND(COUNT(AH16)=1,N(AH16)&gt;0.004,V16&lt;&gt;"Void",V16&lt;&gt;"Not invoiced",V16&lt;&gt;"Draft")),"",IF(COUNT(X16)=0,"No due date",IF(TODAY()-X16&lt;=0,"Not yet due",IF(TODAY()-X16&lt;=30,"1-30 days",IF(TODAY()-X16&lt;=60,"31-60 days",IF(TODAY()-X16&lt;=90,"61-90 days","Over 90 days")))))))</f>
        <v/>
      </c>
      <c r="AM16" s="49">
        <f>IF(OR(AL16="",AL16="No due date"),"",MAX(TODAY()-X16,0))</f>
        <v/>
      </c>
      <c r="AN16" s="49">
        <f>IF(AL16="","",IF(COUNT(X16)=0,-100000,TODAY()-X16))</f>
        <v/>
      </c>
      <c r="AO16" s="49">
        <f>IF(AN16="","",COUNTIF(AN$11:AN$1010,"&gt;"&amp;AN16)+COUNTIF(AN$11:AN16,AN16))</f>
        <v/>
      </c>
      <c r="AP16" s="49">
        <f>IF(OR(A16="",B16=""),"",IF(COUNTIF(B$11:B16,B16)=1,MAX(AP$10:AP15)+1,""))</f>
        <v/>
      </c>
    </row>
    <row r="17" ht="24" customHeight="1">
      <c r="A17" s="20" t="n"/>
      <c r="B17" s="10" t="n"/>
      <c r="C17" s="10" t="n"/>
      <c r="D17" s="10" t="n"/>
      <c r="E17" s="10" t="n"/>
      <c r="F17" s="18" t="n"/>
      <c r="G17" s="10" t="n"/>
      <c r="H17" s="12" t="n"/>
      <c r="I17" s="12" t="n"/>
      <c r="J17" s="13">
        <f>IF(OR(A17="",COUNT(H17)=0,COUNT(Z17)=0),"",ROUND(Z17-H17,2))</f>
        <v/>
      </c>
      <c r="K17" s="15">
        <f>IF(COUNT(J17)=0,"",IF(Z17=0,"n.a.",J17/Z17))</f>
        <v/>
      </c>
      <c r="L17" s="14">
        <f>IF(OR(A17="",COUNT(H17)=0,COUNT(Y17)=0),"",ROUND(H17*(1+Y17),2))</f>
        <v/>
      </c>
      <c r="M17" s="10" t="n"/>
      <c r="N17" s="10" t="n"/>
      <c r="O17" s="10" t="n"/>
      <c r="P17" s="10" t="n"/>
      <c r="Q17" s="20" t="n"/>
      <c r="R17" s="10" t="n"/>
      <c r="S17" s="10" t="n"/>
      <c r="T17" s="18" t="n"/>
      <c r="U17" s="18" t="n"/>
      <c r="V17" s="10" t="n"/>
      <c r="W17" s="10" t="n"/>
      <c r="X17" s="19">
        <f>IF(OR(A17="",COUNT(U17)=0,COUNT(AI17)=0),"",U17+AI17)</f>
        <v/>
      </c>
      <c r="Y17" s="16" t="n"/>
      <c r="Z17" s="12" t="n"/>
      <c r="AA17" s="17">
        <f>IF(COUNT(J17)=0,"",IF(H17=0,"n.a.",J17/H17))</f>
        <v/>
      </c>
      <c r="AB17" s="12" t="n"/>
      <c r="AC17" s="12" t="n"/>
      <c r="AD17" s="12" t="n"/>
      <c r="AE17" s="13">
        <f>IF(OR(COUNT(J17)=0,COUNT(AB17:AD17)&lt;3),"",ROUND(J17-SUM(AB17:AD17),2))</f>
        <v/>
      </c>
      <c r="AF17" s="15">
        <f>IF(COUNT(AE17)=0,"",IF(Z17=0,"n.a.",AE17/Z17))</f>
        <v/>
      </c>
      <c r="AG17" s="12" t="n"/>
      <c r="AH17" s="14">
        <f>IF(OR(A17="",COUNT(Z17)=0,COUNT(AG17)=0),"",ROUND(Z17-AG17,2))</f>
        <v/>
      </c>
      <c r="AI17" s="21" t="n"/>
      <c r="AJ17" s="11">
        <f>IF(A17="","",IF(COUNT(I17)=0,"Enter approved NTE",IF(COUNT(Z17)&gt;0,IF(Z17&gt;I17,"Invoice exceeds NTE","Invoice within NTE"),IF(COUNT(L17)=0,"Enter quote inputs",IF(L17&gt;I17,"Quote exceeds NTE","Quote within NTE")))))</f>
        <v/>
      </c>
      <c r="AK17" s="11">
        <f>IF(A17="","",IF(COUNT(H17)=0,"Enter direct cost",IF(COUNT(Z17)=0,"Enter invoice revenue",IF(COUNT(AB17:AD17)&lt;3,"Enter expenses (0 if none)","Complete"))))</f>
        <v/>
      </c>
      <c r="AL17" s="11">
        <f>IF(A17="","",IF(NOT(AND(COUNT(AH17)=1,N(AH17)&gt;0.004,V17&lt;&gt;"Void",V17&lt;&gt;"Not invoiced",V17&lt;&gt;"Draft")),"",IF(COUNT(X17)=0,"No due date",IF(TODAY()-X17&lt;=0,"Not yet due",IF(TODAY()-X17&lt;=30,"1-30 days",IF(TODAY()-X17&lt;=60,"31-60 days",IF(TODAY()-X17&lt;=90,"61-90 days","Over 90 days")))))))</f>
        <v/>
      </c>
      <c r="AM17" s="49">
        <f>IF(OR(AL17="",AL17="No due date"),"",MAX(TODAY()-X17,0))</f>
        <v/>
      </c>
      <c r="AN17" s="49">
        <f>IF(AL17="","",IF(COUNT(X17)=0,-100000,TODAY()-X17))</f>
        <v/>
      </c>
      <c r="AO17" s="49">
        <f>IF(AN17="","",COUNTIF(AN$11:AN$1010,"&gt;"&amp;AN17)+COUNTIF(AN$11:AN17,AN17))</f>
        <v/>
      </c>
      <c r="AP17" s="49">
        <f>IF(OR(A17="",B17=""),"",IF(COUNTIF(B$11:B17,B17)=1,MAX(AP$10:AP16)+1,""))</f>
        <v/>
      </c>
    </row>
    <row r="18" ht="24" customHeight="1">
      <c r="A18" s="20" t="n"/>
      <c r="B18" s="10" t="n"/>
      <c r="C18" s="10" t="n"/>
      <c r="D18" s="10" t="n"/>
      <c r="E18" s="10" t="n"/>
      <c r="F18" s="18" t="n"/>
      <c r="G18" s="10" t="n"/>
      <c r="H18" s="12" t="n"/>
      <c r="I18" s="12" t="n"/>
      <c r="J18" s="13">
        <f>IF(OR(A18="",COUNT(H18)=0,COUNT(Z18)=0),"",ROUND(Z18-H18,2))</f>
        <v/>
      </c>
      <c r="K18" s="15">
        <f>IF(COUNT(J18)=0,"",IF(Z18=0,"n.a.",J18/Z18))</f>
        <v/>
      </c>
      <c r="L18" s="14">
        <f>IF(OR(A18="",COUNT(H18)=0,COUNT(Y18)=0),"",ROUND(H18*(1+Y18),2))</f>
        <v/>
      </c>
      <c r="M18" s="10" t="n"/>
      <c r="N18" s="10" t="n"/>
      <c r="O18" s="10" t="n"/>
      <c r="P18" s="10" t="n"/>
      <c r="Q18" s="20" t="n"/>
      <c r="R18" s="10" t="n"/>
      <c r="S18" s="10" t="n"/>
      <c r="T18" s="18" t="n"/>
      <c r="U18" s="18" t="n"/>
      <c r="V18" s="10" t="n"/>
      <c r="W18" s="10" t="n"/>
      <c r="X18" s="19">
        <f>IF(OR(A18="",COUNT(U18)=0,COUNT(AI18)=0),"",U18+AI18)</f>
        <v/>
      </c>
      <c r="Y18" s="16" t="n"/>
      <c r="Z18" s="12" t="n"/>
      <c r="AA18" s="17">
        <f>IF(COUNT(J18)=0,"",IF(H18=0,"n.a.",J18/H18))</f>
        <v/>
      </c>
      <c r="AB18" s="12" t="n"/>
      <c r="AC18" s="12" t="n"/>
      <c r="AD18" s="12" t="n"/>
      <c r="AE18" s="13">
        <f>IF(OR(COUNT(J18)=0,COUNT(AB18:AD18)&lt;3),"",ROUND(J18-SUM(AB18:AD18),2))</f>
        <v/>
      </c>
      <c r="AF18" s="15">
        <f>IF(COUNT(AE18)=0,"",IF(Z18=0,"n.a.",AE18/Z18))</f>
        <v/>
      </c>
      <c r="AG18" s="12" t="n"/>
      <c r="AH18" s="14">
        <f>IF(OR(A18="",COUNT(Z18)=0,COUNT(AG18)=0),"",ROUND(Z18-AG18,2))</f>
        <v/>
      </c>
      <c r="AI18" s="21" t="n"/>
      <c r="AJ18" s="11">
        <f>IF(A18="","",IF(COUNT(I18)=0,"Enter approved NTE",IF(COUNT(Z18)&gt;0,IF(Z18&gt;I18,"Invoice exceeds NTE","Invoice within NTE"),IF(COUNT(L18)=0,"Enter quote inputs",IF(L18&gt;I18,"Quote exceeds NTE","Quote within NTE")))))</f>
        <v/>
      </c>
      <c r="AK18" s="11">
        <f>IF(A18="","",IF(COUNT(H18)=0,"Enter direct cost",IF(COUNT(Z18)=0,"Enter invoice revenue",IF(COUNT(AB18:AD18)&lt;3,"Enter expenses (0 if none)","Complete"))))</f>
        <v/>
      </c>
      <c r="AL18" s="11">
        <f>IF(A18="","",IF(NOT(AND(COUNT(AH18)=1,N(AH18)&gt;0.004,V18&lt;&gt;"Void",V18&lt;&gt;"Not invoiced",V18&lt;&gt;"Draft")),"",IF(COUNT(X18)=0,"No due date",IF(TODAY()-X18&lt;=0,"Not yet due",IF(TODAY()-X18&lt;=30,"1-30 days",IF(TODAY()-X18&lt;=60,"31-60 days",IF(TODAY()-X18&lt;=90,"61-90 days","Over 90 days")))))))</f>
        <v/>
      </c>
      <c r="AM18" s="49">
        <f>IF(OR(AL18="",AL18="No due date"),"",MAX(TODAY()-X18,0))</f>
        <v/>
      </c>
      <c r="AN18" s="49">
        <f>IF(AL18="","",IF(COUNT(X18)=0,-100000,TODAY()-X18))</f>
        <v/>
      </c>
      <c r="AO18" s="49">
        <f>IF(AN18="","",COUNTIF(AN$11:AN$1010,"&gt;"&amp;AN18)+COUNTIF(AN$11:AN18,AN18))</f>
        <v/>
      </c>
      <c r="AP18" s="49">
        <f>IF(OR(A18="",B18=""),"",IF(COUNTIF(B$11:B18,B18)=1,MAX(AP$10:AP17)+1,""))</f>
        <v/>
      </c>
    </row>
    <row r="19" ht="24" customHeight="1">
      <c r="A19" s="20" t="n"/>
      <c r="B19" s="10" t="n"/>
      <c r="C19" s="10" t="n"/>
      <c r="D19" s="10" t="n"/>
      <c r="E19" s="10" t="n"/>
      <c r="F19" s="18" t="n"/>
      <c r="G19" s="10" t="n"/>
      <c r="H19" s="12" t="n"/>
      <c r="I19" s="12" t="n"/>
      <c r="J19" s="13">
        <f>IF(OR(A19="",COUNT(H19)=0,COUNT(Z19)=0),"",ROUND(Z19-H19,2))</f>
        <v/>
      </c>
      <c r="K19" s="15">
        <f>IF(COUNT(J19)=0,"",IF(Z19=0,"n.a.",J19/Z19))</f>
        <v/>
      </c>
      <c r="L19" s="14">
        <f>IF(OR(A19="",COUNT(H19)=0,COUNT(Y19)=0),"",ROUND(H19*(1+Y19),2))</f>
        <v/>
      </c>
      <c r="M19" s="10" t="n"/>
      <c r="N19" s="10" t="n"/>
      <c r="O19" s="10" t="n"/>
      <c r="P19" s="10" t="n"/>
      <c r="Q19" s="20" t="n"/>
      <c r="R19" s="10" t="n"/>
      <c r="S19" s="10" t="n"/>
      <c r="T19" s="18" t="n"/>
      <c r="U19" s="18" t="n"/>
      <c r="V19" s="10" t="n"/>
      <c r="W19" s="10" t="n"/>
      <c r="X19" s="19">
        <f>IF(OR(A19="",COUNT(U19)=0,COUNT(AI19)=0),"",U19+AI19)</f>
        <v/>
      </c>
      <c r="Y19" s="16" t="n"/>
      <c r="Z19" s="12" t="n"/>
      <c r="AA19" s="17">
        <f>IF(COUNT(J19)=0,"",IF(H19=0,"n.a.",J19/H19))</f>
        <v/>
      </c>
      <c r="AB19" s="12" t="n"/>
      <c r="AC19" s="12" t="n"/>
      <c r="AD19" s="12" t="n"/>
      <c r="AE19" s="13">
        <f>IF(OR(COUNT(J19)=0,COUNT(AB19:AD19)&lt;3),"",ROUND(J19-SUM(AB19:AD19),2))</f>
        <v/>
      </c>
      <c r="AF19" s="15">
        <f>IF(COUNT(AE19)=0,"",IF(Z19=0,"n.a.",AE19/Z19))</f>
        <v/>
      </c>
      <c r="AG19" s="12" t="n"/>
      <c r="AH19" s="14">
        <f>IF(OR(A19="",COUNT(Z19)=0,COUNT(AG19)=0),"",ROUND(Z19-AG19,2))</f>
        <v/>
      </c>
      <c r="AI19" s="21" t="n"/>
      <c r="AJ19" s="11">
        <f>IF(A19="","",IF(COUNT(I19)=0,"Enter approved NTE",IF(COUNT(Z19)&gt;0,IF(Z19&gt;I19,"Invoice exceeds NTE","Invoice within NTE"),IF(COUNT(L19)=0,"Enter quote inputs",IF(L19&gt;I19,"Quote exceeds NTE","Quote within NTE")))))</f>
        <v/>
      </c>
      <c r="AK19" s="11">
        <f>IF(A19="","",IF(COUNT(H19)=0,"Enter direct cost",IF(COUNT(Z19)=0,"Enter invoice revenue",IF(COUNT(AB19:AD19)&lt;3,"Enter expenses (0 if none)","Complete"))))</f>
        <v/>
      </c>
      <c r="AL19" s="11">
        <f>IF(A19="","",IF(NOT(AND(COUNT(AH19)=1,N(AH19)&gt;0.004,V19&lt;&gt;"Void",V19&lt;&gt;"Not invoiced",V19&lt;&gt;"Draft")),"",IF(COUNT(X19)=0,"No due date",IF(TODAY()-X19&lt;=0,"Not yet due",IF(TODAY()-X19&lt;=30,"1-30 days",IF(TODAY()-X19&lt;=60,"31-60 days",IF(TODAY()-X19&lt;=90,"61-90 days","Over 90 days")))))))</f>
        <v/>
      </c>
      <c r="AM19" s="49">
        <f>IF(OR(AL19="",AL19="No due date"),"",MAX(TODAY()-X19,0))</f>
        <v/>
      </c>
      <c r="AN19" s="49">
        <f>IF(AL19="","",IF(COUNT(X19)=0,-100000,TODAY()-X19))</f>
        <v/>
      </c>
      <c r="AO19" s="49">
        <f>IF(AN19="","",COUNTIF(AN$11:AN$1010,"&gt;"&amp;AN19)+COUNTIF(AN$11:AN19,AN19))</f>
        <v/>
      </c>
      <c r="AP19" s="49">
        <f>IF(OR(A19="",B19=""),"",IF(COUNTIF(B$11:B19,B19)=1,MAX(AP$10:AP18)+1,""))</f>
        <v/>
      </c>
    </row>
    <row r="20" ht="24" customHeight="1">
      <c r="A20" s="20" t="n"/>
      <c r="B20" s="10" t="n"/>
      <c r="C20" s="10" t="n"/>
      <c r="D20" s="10" t="n"/>
      <c r="E20" s="10" t="n"/>
      <c r="F20" s="18" t="n"/>
      <c r="G20" s="10" t="n"/>
      <c r="H20" s="12" t="n"/>
      <c r="I20" s="12" t="n"/>
      <c r="J20" s="13">
        <f>IF(OR(A20="",COUNT(H20)=0,COUNT(Z20)=0),"",ROUND(Z20-H20,2))</f>
        <v/>
      </c>
      <c r="K20" s="15">
        <f>IF(COUNT(J20)=0,"",IF(Z20=0,"n.a.",J20/Z20))</f>
        <v/>
      </c>
      <c r="L20" s="14">
        <f>IF(OR(A20="",COUNT(H20)=0,COUNT(Y20)=0),"",ROUND(H20*(1+Y20),2))</f>
        <v/>
      </c>
      <c r="M20" s="10" t="n"/>
      <c r="N20" s="10" t="n"/>
      <c r="O20" s="10" t="n"/>
      <c r="P20" s="10" t="n"/>
      <c r="Q20" s="20" t="n"/>
      <c r="R20" s="10" t="n"/>
      <c r="S20" s="10" t="n"/>
      <c r="T20" s="18" t="n"/>
      <c r="U20" s="18" t="n"/>
      <c r="V20" s="10" t="n"/>
      <c r="W20" s="10" t="n"/>
      <c r="X20" s="19">
        <f>IF(OR(A20="",COUNT(U20)=0,COUNT(AI20)=0),"",U20+AI20)</f>
        <v/>
      </c>
      <c r="Y20" s="16" t="n"/>
      <c r="Z20" s="12" t="n"/>
      <c r="AA20" s="17">
        <f>IF(COUNT(J20)=0,"",IF(H20=0,"n.a.",J20/H20))</f>
        <v/>
      </c>
      <c r="AB20" s="12" t="n"/>
      <c r="AC20" s="12" t="n"/>
      <c r="AD20" s="12" t="n"/>
      <c r="AE20" s="13">
        <f>IF(OR(COUNT(J20)=0,COUNT(AB20:AD20)&lt;3),"",ROUND(J20-SUM(AB20:AD20),2))</f>
        <v/>
      </c>
      <c r="AF20" s="15">
        <f>IF(COUNT(AE20)=0,"",IF(Z20=0,"n.a.",AE20/Z20))</f>
        <v/>
      </c>
      <c r="AG20" s="12" t="n"/>
      <c r="AH20" s="14">
        <f>IF(OR(A20="",COUNT(Z20)=0,COUNT(AG20)=0),"",ROUND(Z20-AG20,2))</f>
        <v/>
      </c>
      <c r="AI20" s="21" t="n"/>
      <c r="AJ20" s="11">
        <f>IF(A20="","",IF(COUNT(I20)=0,"Enter approved NTE",IF(COUNT(Z20)&gt;0,IF(Z20&gt;I20,"Invoice exceeds NTE","Invoice within NTE"),IF(COUNT(L20)=0,"Enter quote inputs",IF(L20&gt;I20,"Quote exceeds NTE","Quote within NTE")))))</f>
        <v/>
      </c>
      <c r="AK20" s="11">
        <f>IF(A20="","",IF(COUNT(H20)=0,"Enter direct cost",IF(COUNT(Z20)=0,"Enter invoice revenue",IF(COUNT(AB20:AD20)&lt;3,"Enter expenses (0 if none)","Complete"))))</f>
        <v/>
      </c>
      <c r="AL20" s="11">
        <f>IF(A20="","",IF(NOT(AND(COUNT(AH20)=1,N(AH20)&gt;0.004,V20&lt;&gt;"Void",V20&lt;&gt;"Not invoiced",V20&lt;&gt;"Draft")),"",IF(COUNT(X20)=0,"No due date",IF(TODAY()-X20&lt;=0,"Not yet due",IF(TODAY()-X20&lt;=30,"1-30 days",IF(TODAY()-X20&lt;=60,"31-60 days",IF(TODAY()-X20&lt;=90,"61-90 days","Over 90 days")))))))</f>
        <v/>
      </c>
      <c r="AM20" s="49">
        <f>IF(OR(AL20="",AL20="No due date"),"",MAX(TODAY()-X20,0))</f>
        <v/>
      </c>
      <c r="AN20" s="49">
        <f>IF(AL20="","",IF(COUNT(X20)=0,-100000,TODAY()-X20))</f>
        <v/>
      </c>
      <c r="AO20" s="49">
        <f>IF(AN20="","",COUNTIF(AN$11:AN$1010,"&gt;"&amp;AN20)+COUNTIF(AN$11:AN20,AN20))</f>
        <v/>
      </c>
      <c r="AP20" s="49">
        <f>IF(OR(A20="",B20=""),"",IF(COUNTIF(B$11:B20,B20)=1,MAX(AP$10:AP19)+1,""))</f>
        <v/>
      </c>
    </row>
    <row r="21" ht="24" customHeight="1">
      <c r="A21" s="20" t="n"/>
      <c r="B21" s="10" t="n"/>
      <c r="C21" s="10" t="n"/>
      <c r="D21" s="10" t="n"/>
      <c r="E21" s="10" t="n"/>
      <c r="F21" s="18" t="n"/>
      <c r="G21" s="10" t="n"/>
      <c r="H21" s="12" t="n"/>
      <c r="I21" s="12" t="n"/>
      <c r="J21" s="13">
        <f>IF(OR(A21="",COUNT(H21)=0,COUNT(Z21)=0),"",ROUND(Z21-H21,2))</f>
        <v/>
      </c>
      <c r="K21" s="15">
        <f>IF(COUNT(J21)=0,"",IF(Z21=0,"n.a.",J21/Z21))</f>
        <v/>
      </c>
      <c r="L21" s="14">
        <f>IF(OR(A21="",COUNT(H21)=0,COUNT(Y21)=0),"",ROUND(H21*(1+Y21),2))</f>
        <v/>
      </c>
      <c r="M21" s="10" t="n"/>
      <c r="N21" s="10" t="n"/>
      <c r="O21" s="10" t="n"/>
      <c r="P21" s="10" t="n"/>
      <c r="Q21" s="20" t="n"/>
      <c r="R21" s="10" t="n"/>
      <c r="S21" s="10" t="n"/>
      <c r="T21" s="18" t="n"/>
      <c r="U21" s="18" t="n"/>
      <c r="V21" s="10" t="n"/>
      <c r="W21" s="10" t="n"/>
      <c r="X21" s="19">
        <f>IF(OR(A21="",COUNT(U21)=0,COUNT(AI21)=0),"",U21+AI21)</f>
        <v/>
      </c>
      <c r="Y21" s="16" t="n"/>
      <c r="Z21" s="12" t="n"/>
      <c r="AA21" s="17">
        <f>IF(COUNT(J21)=0,"",IF(H21=0,"n.a.",J21/H21))</f>
        <v/>
      </c>
      <c r="AB21" s="12" t="n"/>
      <c r="AC21" s="12" t="n"/>
      <c r="AD21" s="12" t="n"/>
      <c r="AE21" s="13">
        <f>IF(OR(COUNT(J21)=0,COUNT(AB21:AD21)&lt;3),"",ROUND(J21-SUM(AB21:AD21),2))</f>
        <v/>
      </c>
      <c r="AF21" s="15">
        <f>IF(COUNT(AE21)=0,"",IF(Z21=0,"n.a.",AE21/Z21))</f>
        <v/>
      </c>
      <c r="AG21" s="12" t="n"/>
      <c r="AH21" s="14">
        <f>IF(OR(A21="",COUNT(Z21)=0,COUNT(AG21)=0),"",ROUND(Z21-AG21,2))</f>
        <v/>
      </c>
      <c r="AI21" s="21" t="n"/>
      <c r="AJ21" s="11">
        <f>IF(A21="","",IF(COUNT(I21)=0,"Enter approved NTE",IF(COUNT(Z21)&gt;0,IF(Z21&gt;I21,"Invoice exceeds NTE","Invoice within NTE"),IF(COUNT(L21)=0,"Enter quote inputs",IF(L21&gt;I21,"Quote exceeds NTE","Quote within NTE")))))</f>
        <v/>
      </c>
      <c r="AK21" s="11">
        <f>IF(A21="","",IF(COUNT(H21)=0,"Enter direct cost",IF(COUNT(Z21)=0,"Enter invoice revenue",IF(COUNT(AB21:AD21)&lt;3,"Enter expenses (0 if none)","Complete"))))</f>
        <v/>
      </c>
      <c r="AL21" s="11">
        <f>IF(A21="","",IF(NOT(AND(COUNT(AH21)=1,N(AH21)&gt;0.004,V21&lt;&gt;"Void",V21&lt;&gt;"Not invoiced",V21&lt;&gt;"Draft")),"",IF(COUNT(X21)=0,"No due date",IF(TODAY()-X21&lt;=0,"Not yet due",IF(TODAY()-X21&lt;=30,"1-30 days",IF(TODAY()-X21&lt;=60,"31-60 days",IF(TODAY()-X21&lt;=90,"61-90 days","Over 90 days")))))))</f>
        <v/>
      </c>
      <c r="AM21" s="49">
        <f>IF(OR(AL21="",AL21="No due date"),"",MAX(TODAY()-X21,0))</f>
        <v/>
      </c>
      <c r="AN21" s="49">
        <f>IF(AL21="","",IF(COUNT(X21)=0,-100000,TODAY()-X21))</f>
        <v/>
      </c>
      <c r="AO21" s="49">
        <f>IF(AN21="","",COUNTIF(AN$11:AN$1010,"&gt;"&amp;AN21)+COUNTIF(AN$11:AN21,AN21))</f>
        <v/>
      </c>
      <c r="AP21" s="49">
        <f>IF(OR(A21="",B21=""),"",IF(COUNTIF(B$11:B21,B21)=1,MAX(AP$10:AP20)+1,""))</f>
        <v/>
      </c>
    </row>
    <row r="22" ht="24" customHeight="1">
      <c r="A22" s="20" t="n"/>
      <c r="B22" s="10" t="n"/>
      <c r="C22" s="10" t="n"/>
      <c r="D22" s="10" t="n"/>
      <c r="E22" s="10" t="n"/>
      <c r="F22" s="18" t="n"/>
      <c r="G22" s="10" t="n"/>
      <c r="H22" s="12" t="n"/>
      <c r="I22" s="12" t="n"/>
      <c r="J22" s="13">
        <f>IF(OR(A22="",COUNT(H22)=0,COUNT(Z22)=0),"",ROUND(Z22-H22,2))</f>
        <v/>
      </c>
      <c r="K22" s="15">
        <f>IF(COUNT(J22)=0,"",IF(Z22=0,"n.a.",J22/Z22))</f>
        <v/>
      </c>
      <c r="L22" s="14">
        <f>IF(OR(A22="",COUNT(H22)=0,COUNT(Y22)=0),"",ROUND(H22*(1+Y22),2))</f>
        <v/>
      </c>
      <c r="M22" s="10" t="n"/>
      <c r="N22" s="10" t="n"/>
      <c r="O22" s="10" t="n"/>
      <c r="P22" s="10" t="n"/>
      <c r="Q22" s="20" t="n"/>
      <c r="R22" s="10" t="n"/>
      <c r="S22" s="10" t="n"/>
      <c r="T22" s="18" t="n"/>
      <c r="U22" s="18" t="n"/>
      <c r="V22" s="10" t="n"/>
      <c r="W22" s="10" t="n"/>
      <c r="X22" s="19">
        <f>IF(OR(A22="",COUNT(U22)=0,COUNT(AI22)=0),"",U22+AI22)</f>
        <v/>
      </c>
      <c r="Y22" s="16" t="n"/>
      <c r="Z22" s="12" t="n"/>
      <c r="AA22" s="17">
        <f>IF(COUNT(J22)=0,"",IF(H22=0,"n.a.",J22/H22))</f>
        <v/>
      </c>
      <c r="AB22" s="12" t="n"/>
      <c r="AC22" s="12" t="n"/>
      <c r="AD22" s="12" t="n"/>
      <c r="AE22" s="13">
        <f>IF(OR(COUNT(J22)=0,COUNT(AB22:AD22)&lt;3),"",ROUND(J22-SUM(AB22:AD22),2))</f>
        <v/>
      </c>
      <c r="AF22" s="15">
        <f>IF(COUNT(AE22)=0,"",IF(Z22=0,"n.a.",AE22/Z22))</f>
        <v/>
      </c>
      <c r="AG22" s="12" t="n"/>
      <c r="AH22" s="14">
        <f>IF(OR(A22="",COUNT(Z22)=0,COUNT(AG22)=0),"",ROUND(Z22-AG22,2))</f>
        <v/>
      </c>
      <c r="AI22" s="21" t="n"/>
      <c r="AJ22" s="11">
        <f>IF(A22="","",IF(COUNT(I22)=0,"Enter approved NTE",IF(COUNT(Z22)&gt;0,IF(Z22&gt;I22,"Invoice exceeds NTE","Invoice within NTE"),IF(COUNT(L22)=0,"Enter quote inputs",IF(L22&gt;I22,"Quote exceeds NTE","Quote within NTE")))))</f>
        <v/>
      </c>
      <c r="AK22" s="11">
        <f>IF(A22="","",IF(COUNT(H22)=0,"Enter direct cost",IF(COUNT(Z22)=0,"Enter invoice revenue",IF(COUNT(AB22:AD22)&lt;3,"Enter expenses (0 if none)","Complete"))))</f>
        <v/>
      </c>
      <c r="AL22" s="11">
        <f>IF(A22="","",IF(NOT(AND(COUNT(AH22)=1,N(AH22)&gt;0.004,V22&lt;&gt;"Void",V22&lt;&gt;"Not invoiced",V22&lt;&gt;"Draft")),"",IF(COUNT(X22)=0,"No due date",IF(TODAY()-X22&lt;=0,"Not yet due",IF(TODAY()-X22&lt;=30,"1-30 days",IF(TODAY()-X22&lt;=60,"31-60 days",IF(TODAY()-X22&lt;=90,"61-90 days","Over 90 days")))))))</f>
        <v/>
      </c>
      <c r="AM22" s="49">
        <f>IF(OR(AL22="",AL22="No due date"),"",MAX(TODAY()-X22,0))</f>
        <v/>
      </c>
      <c r="AN22" s="49">
        <f>IF(AL22="","",IF(COUNT(X22)=0,-100000,TODAY()-X22))</f>
        <v/>
      </c>
      <c r="AO22" s="49">
        <f>IF(AN22="","",COUNTIF(AN$11:AN$1010,"&gt;"&amp;AN22)+COUNTIF(AN$11:AN22,AN22))</f>
        <v/>
      </c>
      <c r="AP22" s="49">
        <f>IF(OR(A22="",B22=""),"",IF(COUNTIF(B$11:B22,B22)=1,MAX(AP$10:AP21)+1,""))</f>
        <v/>
      </c>
    </row>
    <row r="23" ht="24" customHeight="1">
      <c r="A23" s="20" t="n"/>
      <c r="B23" s="10" t="n"/>
      <c r="C23" s="10" t="n"/>
      <c r="D23" s="10" t="n"/>
      <c r="E23" s="10" t="n"/>
      <c r="F23" s="18" t="n"/>
      <c r="G23" s="10" t="n"/>
      <c r="H23" s="12" t="n"/>
      <c r="I23" s="12" t="n"/>
      <c r="J23" s="13">
        <f>IF(OR(A23="",COUNT(H23)=0,COUNT(Z23)=0),"",ROUND(Z23-H23,2))</f>
        <v/>
      </c>
      <c r="K23" s="15">
        <f>IF(COUNT(J23)=0,"",IF(Z23=0,"n.a.",J23/Z23))</f>
        <v/>
      </c>
      <c r="L23" s="14">
        <f>IF(OR(A23="",COUNT(H23)=0,COUNT(Y23)=0),"",ROUND(H23*(1+Y23),2))</f>
        <v/>
      </c>
      <c r="M23" s="10" t="n"/>
      <c r="N23" s="10" t="n"/>
      <c r="O23" s="10" t="n"/>
      <c r="P23" s="10" t="n"/>
      <c r="Q23" s="20" t="n"/>
      <c r="R23" s="10" t="n"/>
      <c r="S23" s="10" t="n"/>
      <c r="T23" s="18" t="n"/>
      <c r="U23" s="18" t="n"/>
      <c r="V23" s="10" t="n"/>
      <c r="W23" s="10" t="n"/>
      <c r="X23" s="19">
        <f>IF(OR(A23="",COUNT(U23)=0,COUNT(AI23)=0),"",U23+AI23)</f>
        <v/>
      </c>
      <c r="Y23" s="16" t="n"/>
      <c r="Z23" s="12" t="n"/>
      <c r="AA23" s="17">
        <f>IF(COUNT(J23)=0,"",IF(H23=0,"n.a.",J23/H23))</f>
        <v/>
      </c>
      <c r="AB23" s="12" t="n"/>
      <c r="AC23" s="12" t="n"/>
      <c r="AD23" s="12" t="n"/>
      <c r="AE23" s="13">
        <f>IF(OR(COUNT(J23)=0,COUNT(AB23:AD23)&lt;3),"",ROUND(J23-SUM(AB23:AD23),2))</f>
        <v/>
      </c>
      <c r="AF23" s="15">
        <f>IF(COUNT(AE23)=0,"",IF(Z23=0,"n.a.",AE23/Z23))</f>
        <v/>
      </c>
      <c r="AG23" s="12" t="n"/>
      <c r="AH23" s="14">
        <f>IF(OR(A23="",COUNT(Z23)=0,COUNT(AG23)=0),"",ROUND(Z23-AG23,2))</f>
        <v/>
      </c>
      <c r="AI23" s="21" t="n"/>
      <c r="AJ23" s="11">
        <f>IF(A23="","",IF(COUNT(I23)=0,"Enter approved NTE",IF(COUNT(Z23)&gt;0,IF(Z23&gt;I23,"Invoice exceeds NTE","Invoice within NTE"),IF(COUNT(L23)=0,"Enter quote inputs",IF(L23&gt;I23,"Quote exceeds NTE","Quote within NTE")))))</f>
        <v/>
      </c>
      <c r="AK23" s="11">
        <f>IF(A23="","",IF(COUNT(H23)=0,"Enter direct cost",IF(COUNT(Z23)=0,"Enter invoice revenue",IF(COUNT(AB23:AD23)&lt;3,"Enter expenses (0 if none)","Complete"))))</f>
        <v/>
      </c>
      <c r="AL23" s="11">
        <f>IF(A23="","",IF(NOT(AND(COUNT(AH23)=1,N(AH23)&gt;0.004,V23&lt;&gt;"Void",V23&lt;&gt;"Not invoiced",V23&lt;&gt;"Draft")),"",IF(COUNT(X23)=0,"No due date",IF(TODAY()-X23&lt;=0,"Not yet due",IF(TODAY()-X23&lt;=30,"1-30 days",IF(TODAY()-X23&lt;=60,"31-60 days",IF(TODAY()-X23&lt;=90,"61-90 days","Over 90 days")))))))</f>
        <v/>
      </c>
      <c r="AM23" s="49">
        <f>IF(OR(AL23="",AL23="No due date"),"",MAX(TODAY()-X23,0))</f>
        <v/>
      </c>
      <c r="AN23" s="49">
        <f>IF(AL23="","",IF(COUNT(X23)=0,-100000,TODAY()-X23))</f>
        <v/>
      </c>
      <c r="AO23" s="49">
        <f>IF(AN23="","",COUNTIF(AN$11:AN$1010,"&gt;"&amp;AN23)+COUNTIF(AN$11:AN23,AN23))</f>
        <v/>
      </c>
      <c r="AP23" s="49">
        <f>IF(OR(A23="",B23=""),"",IF(COUNTIF(B$11:B23,B23)=1,MAX(AP$10:AP22)+1,""))</f>
        <v/>
      </c>
    </row>
    <row r="24" ht="24" customHeight="1">
      <c r="A24" s="20" t="n"/>
      <c r="B24" s="10" t="n"/>
      <c r="C24" s="10" t="n"/>
      <c r="D24" s="10" t="n"/>
      <c r="E24" s="10" t="n"/>
      <c r="F24" s="18" t="n"/>
      <c r="G24" s="10" t="n"/>
      <c r="H24" s="12" t="n"/>
      <c r="I24" s="12" t="n"/>
      <c r="J24" s="13">
        <f>IF(OR(A24="",COUNT(H24)=0,COUNT(Z24)=0),"",ROUND(Z24-H24,2))</f>
        <v/>
      </c>
      <c r="K24" s="15">
        <f>IF(COUNT(J24)=0,"",IF(Z24=0,"n.a.",J24/Z24))</f>
        <v/>
      </c>
      <c r="L24" s="14">
        <f>IF(OR(A24="",COUNT(H24)=0,COUNT(Y24)=0),"",ROUND(H24*(1+Y24),2))</f>
        <v/>
      </c>
      <c r="M24" s="10" t="n"/>
      <c r="N24" s="10" t="n"/>
      <c r="O24" s="10" t="n"/>
      <c r="P24" s="10" t="n"/>
      <c r="Q24" s="20" t="n"/>
      <c r="R24" s="10" t="n"/>
      <c r="S24" s="10" t="n"/>
      <c r="T24" s="18" t="n"/>
      <c r="U24" s="18" t="n"/>
      <c r="V24" s="10" t="n"/>
      <c r="W24" s="10" t="n"/>
      <c r="X24" s="19">
        <f>IF(OR(A24="",COUNT(U24)=0,COUNT(AI24)=0),"",U24+AI24)</f>
        <v/>
      </c>
      <c r="Y24" s="16" t="n"/>
      <c r="Z24" s="12" t="n"/>
      <c r="AA24" s="17">
        <f>IF(COUNT(J24)=0,"",IF(H24=0,"n.a.",J24/H24))</f>
        <v/>
      </c>
      <c r="AB24" s="12" t="n"/>
      <c r="AC24" s="12" t="n"/>
      <c r="AD24" s="12" t="n"/>
      <c r="AE24" s="13">
        <f>IF(OR(COUNT(J24)=0,COUNT(AB24:AD24)&lt;3),"",ROUND(J24-SUM(AB24:AD24),2))</f>
        <v/>
      </c>
      <c r="AF24" s="15">
        <f>IF(COUNT(AE24)=0,"",IF(Z24=0,"n.a.",AE24/Z24))</f>
        <v/>
      </c>
      <c r="AG24" s="12" t="n"/>
      <c r="AH24" s="14">
        <f>IF(OR(A24="",COUNT(Z24)=0,COUNT(AG24)=0),"",ROUND(Z24-AG24,2))</f>
        <v/>
      </c>
      <c r="AI24" s="21" t="n"/>
      <c r="AJ24" s="11">
        <f>IF(A24="","",IF(COUNT(I24)=0,"Enter approved NTE",IF(COUNT(Z24)&gt;0,IF(Z24&gt;I24,"Invoice exceeds NTE","Invoice within NTE"),IF(COUNT(L24)=0,"Enter quote inputs",IF(L24&gt;I24,"Quote exceeds NTE","Quote within NTE")))))</f>
        <v/>
      </c>
      <c r="AK24" s="11">
        <f>IF(A24="","",IF(COUNT(H24)=0,"Enter direct cost",IF(COUNT(Z24)=0,"Enter invoice revenue",IF(COUNT(AB24:AD24)&lt;3,"Enter expenses (0 if none)","Complete"))))</f>
        <v/>
      </c>
      <c r="AL24" s="11">
        <f>IF(A24="","",IF(NOT(AND(COUNT(AH24)=1,N(AH24)&gt;0.004,V24&lt;&gt;"Void",V24&lt;&gt;"Not invoiced",V24&lt;&gt;"Draft")),"",IF(COUNT(X24)=0,"No due date",IF(TODAY()-X24&lt;=0,"Not yet due",IF(TODAY()-X24&lt;=30,"1-30 days",IF(TODAY()-X24&lt;=60,"31-60 days",IF(TODAY()-X24&lt;=90,"61-90 days","Over 90 days")))))))</f>
        <v/>
      </c>
      <c r="AM24" s="49">
        <f>IF(OR(AL24="",AL24="No due date"),"",MAX(TODAY()-X24,0))</f>
        <v/>
      </c>
      <c r="AN24" s="49">
        <f>IF(AL24="","",IF(COUNT(X24)=0,-100000,TODAY()-X24))</f>
        <v/>
      </c>
      <c r="AO24" s="49">
        <f>IF(AN24="","",COUNTIF(AN$11:AN$1010,"&gt;"&amp;AN24)+COUNTIF(AN$11:AN24,AN24))</f>
        <v/>
      </c>
      <c r="AP24" s="49">
        <f>IF(OR(A24="",B24=""),"",IF(COUNTIF(B$11:B24,B24)=1,MAX(AP$10:AP23)+1,""))</f>
        <v/>
      </c>
    </row>
    <row r="25" ht="24" customHeight="1">
      <c r="A25" s="20" t="n"/>
      <c r="B25" s="10" t="n"/>
      <c r="C25" s="10" t="n"/>
      <c r="D25" s="10" t="n"/>
      <c r="E25" s="10" t="n"/>
      <c r="F25" s="18" t="n"/>
      <c r="G25" s="10" t="n"/>
      <c r="H25" s="12" t="n"/>
      <c r="I25" s="12" t="n"/>
      <c r="J25" s="13">
        <f>IF(OR(A25="",COUNT(H25)=0,COUNT(Z25)=0),"",ROUND(Z25-H25,2))</f>
        <v/>
      </c>
      <c r="K25" s="15">
        <f>IF(COUNT(J25)=0,"",IF(Z25=0,"n.a.",J25/Z25))</f>
        <v/>
      </c>
      <c r="L25" s="14">
        <f>IF(OR(A25="",COUNT(H25)=0,COUNT(Y25)=0),"",ROUND(H25*(1+Y25),2))</f>
        <v/>
      </c>
      <c r="M25" s="10" t="n"/>
      <c r="N25" s="10" t="n"/>
      <c r="O25" s="10" t="n"/>
      <c r="P25" s="10" t="n"/>
      <c r="Q25" s="20" t="n"/>
      <c r="R25" s="10" t="n"/>
      <c r="S25" s="10" t="n"/>
      <c r="T25" s="18" t="n"/>
      <c r="U25" s="18" t="n"/>
      <c r="V25" s="10" t="n"/>
      <c r="W25" s="10" t="n"/>
      <c r="X25" s="19">
        <f>IF(OR(A25="",COUNT(U25)=0,COUNT(AI25)=0),"",U25+AI25)</f>
        <v/>
      </c>
      <c r="Y25" s="16" t="n"/>
      <c r="Z25" s="12" t="n"/>
      <c r="AA25" s="17">
        <f>IF(COUNT(J25)=0,"",IF(H25=0,"n.a.",J25/H25))</f>
        <v/>
      </c>
      <c r="AB25" s="12" t="n"/>
      <c r="AC25" s="12" t="n"/>
      <c r="AD25" s="12" t="n"/>
      <c r="AE25" s="13">
        <f>IF(OR(COUNT(J25)=0,COUNT(AB25:AD25)&lt;3),"",ROUND(J25-SUM(AB25:AD25),2))</f>
        <v/>
      </c>
      <c r="AF25" s="15">
        <f>IF(COUNT(AE25)=0,"",IF(Z25=0,"n.a.",AE25/Z25))</f>
        <v/>
      </c>
      <c r="AG25" s="12" t="n"/>
      <c r="AH25" s="14">
        <f>IF(OR(A25="",COUNT(Z25)=0,COUNT(AG25)=0),"",ROUND(Z25-AG25,2))</f>
        <v/>
      </c>
      <c r="AI25" s="21" t="n"/>
      <c r="AJ25" s="11">
        <f>IF(A25="","",IF(COUNT(I25)=0,"Enter approved NTE",IF(COUNT(Z25)&gt;0,IF(Z25&gt;I25,"Invoice exceeds NTE","Invoice within NTE"),IF(COUNT(L25)=0,"Enter quote inputs",IF(L25&gt;I25,"Quote exceeds NTE","Quote within NTE")))))</f>
        <v/>
      </c>
      <c r="AK25" s="11">
        <f>IF(A25="","",IF(COUNT(H25)=0,"Enter direct cost",IF(COUNT(Z25)=0,"Enter invoice revenue",IF(COUNT(AB25:AD25)&lt;3,"Enter expenses (0 if none)","Complete"))))</f>
        <v/>
      </c>
      <c r="AL25" s="11">
        <f>IF(A25="","",IF(NOT(AND(COUNT(AH25)=1,N(AH25)&gt;0.004,V25&lt;&gt;"Void",V25&lt;&gt;"Not invoiced",V25&lt;&gt;"Draft")),"",IF(COUNT(X25)=0,"No due date",IF(TODAY()-X25&lt;=0,"Not yet due",IF(TODAY()-X25&lt;=30,"1-30 days",IF(TODAY()-X25&lt;=60,"31-60 days",IF(TODAY()-X25&lt;=90,"61-90 days","Over 90 days")))))))</f>
        <v/>
      </c>
      <c r="AM25" s="49">
        <f>IF(OR(AL25="",AL25="No due date"),"",MAX(TODAY()-X25,0))</f>
        <v/>
      </c>
      <c r="AN25" s="49">
        <f>IF(AL25="","",IF(COUNT(X25)=0,-100000,TODAY()-X25))</f>
        <v/>
      </c>
      <c r="AO25" s="49">
        <f>IF(AN25="","",COUNTIF(AN$11:AN$1010,"&gt;"&amp;AN25)+COUNTIF(AN$11:AN25,AN25))</f>
        <v/>
      </c>
      <c r="AP25" s="49">
        <f>IF(OR(A25="",B25=""),"",IF(COUNTIF(B$11:B25,B25)=1,MAX(AP$10:AP24)+1,""))</f>
        <v/>
      </c>
    </row>
    <row r="26" ht="24" customHeight="1">
      <c r="A26" s="20" t="n"/>
      <c r="B26" s="10" t="n"/>
      <c r="C26" s="10" t="n"/>
      <c r="D26" s="10" t="n"/>
      <c r="E26" s="10" t="n"/>
      <c r="F26" s="18" t="n"/>
      <c r="G26" s="10" t="n"/>
      <c r="H26" s="12" t="n"/>
      <c r="I26" s="12" t="n"/>
      <c r="J26" s="13">
        <f>IF(OR(A26="",COUNT(H26)=0,COUNT(Z26)=0),"",ROUND(Z26-H26,2))</f>
        <v/>
      </c>
      <c r="K26" s="15">
        <f>IF(COUNT(J26)=0,"",IF(Z26=0,"n.a.",J26/Z26))</f>
        <v/>
      </c>
      <c r="L26" s="14">
        <f>IF(OR(A26="",COUNT(H26)=0,COUNT(Y26)=0),"",ROUND(H26*(1+Y26),2))</f>
        <v/>
      </c>
      <c r="M26" s="10" t="n"/>
      <c r="N26" s="10" t="n"/>
      <c r="O26" s="10" t="n"/>
      <c r="P26" s="10" t="n"/>
      <c r="Q26" s="20" t="n"/>
      <c r="R26" s="10" t="n"/>
      <c r="S26" s="10" t="n"/>
      <c r="T26" s="18" t="n"/>
      <c r="U26" s="18" t="n"/>
      <c r="V26" s="10" t="n"/>
      <c r="W26" s="10" t="n"/>
      <c r="X26" s="19">
        <f>IF(OR(A26="",COUNT(U26)=0,COUNT(AI26)=0),"",U26+AI26)</f>
        <v/>
      </c>
      <c r="Y26" s="16" t="n"/>
      <c r="Z26" s="12" t="n"/>
      <c r="AA26" s="17">
        <f>IF(COUNT(J26)=0,"",IF(H26=0,"n.a.",J26/H26))</f>
        <v/>
      </c>
      <c r="AB26" s="12" t="n"/>
      <c r="AC26" s="12" t="n"/>
      <c r="AD26" s="12" t="n"/>
      <c r="AE26" s="13">
        <f>IF(OR(COUNT(J26)=0,COUNT(AB26:AD26)&lt;3),"",ROUND(J26-SUM(AB26:AD26),2))</f>
        <v/>
      </c>
      <c r="AF26" s="15">
        <f>IF(COUNT(AE26)=0,"",IF(Z26=0,"n.a.",AE26/Z26))</f>
        <v/>
      </c>
      <c r="AG26" s="12" t="n"/>
      <c r="AH26" s="14">
        <f>IF(OR(A26="",COUNT(Z26)=0,COUNT(AG26)=0),"",ROUND(Z26-AG26,2))</f>
        <v/>
      </c>
      <c r="AI26" s="21" t="n"/>
      <c r="AJ26" s="11">
        <f>IF(A26="","",IF(COUNT(I26)=0,"Enter approved NTE",IF(COUNT(Z26)&gt;0,IF(Z26&gt;I26,"Invoice exceeds NTE","Invoice within NTE"),IF(COUNT(L26)=0,"Enter quote inputs",IF(L26&gt;I26,"Quote exceeds NTE","Quote within NTE")))))</f>
        <v/>
      </c>
      <c r="AK26" s="11">
        <f>IF(A26="","",IF(COUNT(H26)=0,"Enter direct cost",IF(COUNT(Z26)=0,"Enter invoice revenue",IF(COUNT(AB26:AD26)&lt;3,"Enter expenses (0 if none)","Complete"))))</f>
        <v/>
      </c>
      <c r="AL26" s="11">
        <f>IF(A26="","",IF(NOT(AND(COUNT(AH26)=1,N(AH26)&gt;0.004,V26&lt;&gt;"Void",V26&lt;&gt;"Not invoiced",V26&lt;&gt;"Draft")),"",IF(COUNT(X26)=0,"No due date",IF(TODAY()-X26&lt;=0,"Not yet due",IF(TODAY()-X26&lt;=30,"1-30 days",IF(TODAY()-X26&lt;=60,"31-60 days",IF(TODAY()-X26&lt;=90,"61-90 days","Over 90 days")))))))</f>
        <v/>
      </c>
      <c r="AM26" s="49">
        <f>IF(OR(AL26="",AL26="No due date"),"",MAX(TODAY()-X26,0))</f>
        <v/>
      </c>
      <c r="AN26" s="49">
        <f>IF(AL26="","",IF(COUNT(X26)=0,-100000,TODAY()-X26))</f>
        <v/>
      </c>
      <c r="AO26" s="49">
        <f>IF(AN26="","",COUNTIF(AN$11:AN$1010,"&gt;"&amp;AN26)+COUNTIF(AN$11:AN26,AN26))</f>
        <v/>
      </c>
      <c r="AP26" s="49">
        <f>IF(OR(A26="",B26=""),"",IF(COUNTIF(B$11:B26,B26)=1,MAX(AP$10:AP25)+1,""))</f>
        <v/>
      </c>
    </row>
    <row r="27" ht="24" customHeight="1">
      <c r="A27" s="20" t="n"/>
      <c r="B27" s="10" t="n"/>
      <c r="C27" s="10" t="n"/>
      <c r="D27" s="10" t="n"/>
      <c r="E27" s="10" t="n"/>
      <c r="F27" s="18" t="n"/>
      <c r="G27" s="10" t="n"/>
      <c r="H27" s="12" t="n"/>
      <c r="I27" s="12" t="n"/>
      <c r="J27" s="13">
        <f>IF(OR(A27="",COUNT(H27)=0,COUNT(Z27)=0),"",ROUND(Z27-H27,2))</f>
        <v/>
      </c>
      <c r="K27" s="15">
        <f>IF(COUNT(J27)=0,"",IF(Z27=0,"n.a.",J27/Z27))</f>
        <v/>
      </c>
      <c r="L27" s="14">
        <f>IF(OR(A27="",COUNT(H27)=0,COUNT(Y27)=0),"",ROUND(H27*(1+Y27),2))</f>
        <v/>
      </c>
      <c r="M27" s="10" t="n"/>
      <c r="N27" s="10" t="n"/>
      <c r="O27" s="10" t="n"/>
      <c r="P27" s="10" t="n"/>
      <c r="Q27" s="20" t="n"/>
      <c r="R27" s="10" t="n"/>
      <c r="S27" s="10" t="n"/>
      <c r="T27" s="18" t="n"/>
      <c r="U27" s="18" t="n"/>
      <c r="V27" s="10" t="n"/>
      <c r="W27" s="10" t="n"/>
      <c r="X27" s="19">
        <f>IF(OR(A27="",COUNT(U27)=0,COUNT(AI27)=0),"",U27+AI27)</f>
        <v/>
      </c>
      <c r="Y27" s="16" t="n"/>
      <c r="Z27" s="12" t="n"/>
      <c r="AA27" s="17">
        <f>IF(COUNT(J27)=0,"",IF(H27=0,"n.a.",J27/H27))</f>
        <v/>
      </c>
      <c r="AB27" s="12" t="n"/>
      <c r="AC27" s="12" t="n"/>
      <c r="AD27" s="12" t="n"/>
      <c r="AE27" s="13">
        <f>IF(OR(COUNT(J27)=0,COUNT(AB27:AD27)&lt;3),"",ROUND(J27-SUM(AB27:AD27),2))</f>
        <v/>
      </c>
      <c r="AF27" s="15">
        <f>IF(COUNT(AE27)=0,"",IF(Z27=0,"n.a.",AE27/Z27))</f>
        <v/>
      </c>
      <c r="AG27" s="12" t="n"/>
      <c r="AH27" s="14">
        <f>IF(OR(A27="",COUNT(Z27)=0,COUNT(AG27)=0),"",ROUND(Z27-AG27,2))</f>
        <v/>
      </c>
      <c r="AI27" s="21" t="n"/>
      <c r="AJ27" s="11">
        <f>IF(A27="","",IF(COUNT(I27)=0,"Enter approved NTE",IF(COUNT(Z27)&gt;0,IF(Z27&gt;I27,"Invoice exceeds NTE","Invoice within NTE"),IF(COUNT(L27)=0,"Enter quote inputs",IF(L27&gt;I27,"Quote exceeds NTE","Quote within NTE")))))</f>
        <v/>
      </c>
      <c r="AK27" s="11">
        <f>IF(A27="","",IF(COUNT(H27)=0,"Enter direct cost",IF(COUNT(Z27)=0,"Enter invoice revenue",IF(COUNT(AB27:AD27)&lt;3,"Enter expenses (0 if none)","Complete"))))</f>
        <v/>
      </c>
      <c r="AL27" s="11">
        <f>IF(A27="","",IF(NOT(AND(COUNT(AH27)=1,N(AH27)&gt;0.004,V27&lt;&gt;"Void",V27&lt;&gt;"Not invoiced",V27&lt;&gt;"Draft")),"",IF(COUNT(X27)=0,"No due date",IF(TODAY()-X27&lt;=0,"Not yet due",IF(TODAY()-X27&lt;=30,"1-30 days",IF(TODAY()-X27&lt;=60,"31-60 days",IF(TODAY()-X27&lt;=90,"61-90 days","Over 90 days")))))))</f>
        <v/>
      </c>
      <c r="AM27" s="49">
        <f>IF(OR(AL27="",AL27="No due date"),"",MAX(TODAY()-X27,0))</f>
        <v/>
      </c>
      <c r="AN27" s="49">
        <f>IF(AL27="","",IF(COUNT(X27)=0,-100000,TODAY()-X27))</f>
        <v/>
      </c>
      <c r="AO27" s="49">
        <f>IF(AN27="","",COUNTIF(AN$11:AN$1010,"&gt;"&amp;AN27)+COUNTIF(AN$11:AN27,AN27))</f>
        <v/>
      </c>
      <c r="AP27" s="49">
        <f>IF(OR(A27="",B27=""),"",IF(COUNTIF(B$11:B27,B27)=1,MAX(AP$10:AP26)+1,""))</f>
        <v/>
      </c>
    </row>
    <row r="28" ht="24" customHeight="1">
      <c r="A28" s="20" t="n"/>
      <c r="B28" s="10" t="n"/>
      <c r="C28" s="10" t="n"/>
      <c r="D28" s="10" t="n"/>
      <c r="E28" s="10" t="n"/>
      <c r="F28" s="18" t="n"/>
      <c r="G28" s="10" t="n"/>
      <c r="H28" s="12" t="n"/>
      <c r="I28" s="12" t="n"/>
      <c r="J28" s="13">
        <f>IF(OR(A28="",COUNT(H28)=0,COUNT(Z28)=0),"",ROUND(Z28-H28,2))</f>
        <v/>
      </c>
      <c r="K28" s="15">
        <f>IF(COUNT(J28)=0,"",IF(Z28=0,"n.a.",J28/Z28))</f>
        <v/>
      </c>
      <c r="L28" s="14">
        <f>IF(OR(A28="",COUNT(H28)=0,COUNT(Y28)=0),"",ROUND(H28*(1+Y28),2))</f>
        <v/>
      </c>
      <c r="M28" s="10" t="n"/>
      <c r="N28" s="10" t="n"/>
      <c r="O28" s="10" t="n"/>
      <c r="P28" s="10" t="n"/>
      <c r="Q28" s="20" t="n"/>
      <c r="R28" s="10" t="n"/>
      <c r="S28" s="10" t="n"/>
      <c r="T28" s="18" t="n"/>
      <c r="U28" s="18" t="n"/>
      <c r="V28" s="10" t="n"/>
      <c r="W28" s="10" t="n"/>
      <c r="X28" s="19">
        <f>IF(OR(A28="",COUNT(U28)=0,COUNT(AI28)=0),"",U28+AI28)</f>
        <v/>
      </c>
      <c r="Y28" s="16" t="n"/>
      <c r="Z28" s="12" t="n"/>
      <c r="AA28" s="17">
        <f>IF(COUNT(J28)=0,"",IF(H28=0,"n.a.",J28/H28))</f>
        <v/>
      </c>
      <c r="AB28" s="12" t="n"/>
      <c r="AC28" s="12" t="n"/>
      <c r="AD28" s="12" t="n"/>
      <c r="AE28" s="13">
        <f>IF(OR(COUNT(J28)=0,COUNT(AB28:AD28)&lt;3),"",ROUND(J28-SUM(AB28:AD28),2))</f>
        <v/>
      </c>
      <c r="AF28" s="15">
        <f>IF(COUNT(AE28)=0,"",IF(Z28=0,"n.a.",AE28/Z28))</f>
        <v/>
      </c>
      <c r="AG28" s="12" t="n"/>
      <c r="AH28" s="14">
        <f>IF(OR(A28="",COUNT(Z28)=0,COUNT(AG28)=0),"",ROUND(Z28-AG28,2))</f>
        <v/>
      </c>
      <c r="AI28" s="21" t="n"/>
      <c r="AJ28" s="11">
        <f>IF(A28="","",IF(COUNT(I28)=0,"Enter approved NTE",IF(COUNT(Z28)&gt;0,IF(Z28&gt;I28,"Invoice exceeds NTE","Invoice within NTE"),IF(COUNT(L28)=0,"Enter quote inputs",IF(L28&gt;I28,"Quote exceeds NTE","Quote within NTE")))))</f>
        <v/>
      </c>
      <c r="AK28" s="11">
        <f>IF(A28="","",IF(COUNT(H28)=0,"Enter direct cost",IF(COUNT(Z28)=0,"Enter invoice revenue",IF(COUNT(AB28:AD28)&lt;3,"Enter expenses (0 if none)","Complete"))))</f>
        <v/>
      </c>
      <c r="AL28" s="11">
        <f>IF(A28="","",IF(NOT(AND(COUNT(AH28)=1,N(AH28)&gt;0.004,V28&lt;&gt;"Void",V28&lt;&gt;"Not invoiced",V28&lt;&gt;"Draft")),"",IF(COUNT(X28)=0,"No due date",IF(TODAY()-X28&lt;=0,"Not yet due",IF(TODAY()-X28&lt;=30,"1-30 days",IF(TODAY()-X28&lt;=60,"31-60 days",IF(TODAY()-X28&lt;=90,"61-90 days","Over 90 days")))))))</f>
        <v/>
      </c>
      <c r="AM28" s="49">
        <f>IF(OR(AL28="",AL28="No due date"),"",MAX(TODAY()-X28,0))</f>
        <v/>
      </c>
      <c r="AN28" s="49">
        <f>IF(AL28="","",IF(COUNT(X28)=0,-100000,TODAY()-X28))</f>
        <v/>
      </c>
      <c r="AO28" s="49">
        <f>IF(AN28="","",COUNTIF(AN$11:AN$1010,"&gt;"&amp;AN28)+COUNTIF(AN$11:AN28,AN28))</f>
        <v/>
      </c>
      <c r="AP28" s="49">
        <f>IF(OR(A28="",B28=""),"",IF(COUNTIF(B$11:B28,B28)=1,MAX(AP$10:AP27)+1,""))</f>
        <v/>
      </c>
    </row>
    <row r="29" ht="24" customHeight="1">
      <c r="A29" s="20" t="n"/>
      <c r="B29" s="10" t="n"/>
      <c r="C29" s="10" t="n"/>
      <c r="D29" s="10" t="n"/>
      <c r="E29" s="10" t="n"/>
      <c r="F29" s="18" t="n"/>
      <c r="G29" s="10" t="n"/>
      <c r="H29" s="12" t="n"/>
      <c r="I29" s="12" t="n"/>
      <c r="J29" s="13">
        <f>IF(OR(A29="",COUNT(H29)=0,COUNT(Z29)=0),"",ROUND(Z29-H29,2))</f>
        <v/>
      </c>
      <c r="K29" s="15">
        <f>IF(COUNT(J29)=0,"",IF(Z29=0,"n.a.",J29/Z29))</f>
        <v/>
      </c>
      <c r="L29" s="14">
        <f>IF(OR(A29="",COUNT(H29)=0,COUNT(Y29)=0),"",ROUND(H29*(1+Y29),2))</f>
        <v/>
      </c>
      <c r="M29" s="10" t="n"/>
      <c r="N29" s="10" t="n"/>
      <c r="O29" s="10" t="n"/>
      <c r="P29" s="10" t="n"/>
      <c r="Q29" s="20" t="n"/>
      <c r="R29" s="10" t="n"/>
      <c r="S29" s="10" t="n"/>
      <c r="T29" s="18" t="n"/>
      <c r="U29" s="18" t="n"/>
      <c r="V29" s="10" t="n"/>
      <c r="W29" s="10" t="n"/>
      <c r="X29" s="19">
        <f>IF(OR(A29="",COUNT(U29)=0,COUNT(AI29)=0),"",U29+AI29)</f>
        <v/>
      </c>
      <c r="Y29" s="16" t="n"/>
      <c r="Z29" s="12" t="n"/>
      <c r="AA29" s="17">
        <f>IF(COUNT(J29)=0,"",IF(H29=0,"n.a.",J29/H29))</f>
        <v/>
      </c>
      <c r="AB29" s="12" t="n"/>
      <c r="AC29" s="12" t="n"/>
      <c r="AD29" s="12" t="n"/>
      <c r="AE29" s="13">
        <f>IF(OR(COUNT(J29)=0,COUNT(AB29:AD29)&lt;3),"",ROUND(J29-SUM(AB29:AD29),2))</f>
        <v/>
      </c>
      <c r="AF29" s="15">
        <f>IF(COUNT(AE29)=0,"",IF(Z29=0,"n.a.",AE29/Z29))</f>
        <v/>
      </c>
      <c r="AG29" s="12" t="n"/>
      <c r="AH29" s="14">
        <f>IF(OR(A29="",COUNT(Z29)=0,COUNT(AG29)=0),"",ROUND(Z29-AG29,2))</f>
        <v/>
      </c>
      <c r="AI29" s="21" t="n"/>
      <c r="AJ29" s="11">
        <f>IF(A29="","",IF(COUNT(I29)=0,"Enter approved NTE",IF(COUNT(Z29)&gt;0,IF(Z29&gt;I29,"Invoice exceeds NTE","Invoice within NTE"),IF(COUNT(L29)=0,"Enter quote inputs",IF(L29&gt;I29,"Quote exceeds NTE","Quote within NTE")))))</f>
        <v/>
      </c>
      <c r="AK29" s="11">
        <f>IF(A29="","",IF(COUNT(H29)=0,"Enter direct cost",IF(COUNT(Z29)=0,"Enter invoice revenue",IF(COUNT(AB29:AD29)&lt;3,"Enter expenses (0 if none)","Complete"))))</f>
        <v/>
      </c>
      <c r="AL29" s="11">
        <f>IF(A29="","",IF(NOT(AND(COUNT(AH29)=1,N(AH29)&gt;0.004,V29&lt;&gt;"Void",V29&lt;&gt;"Not invoiced",V29&lt;&gt;"Draft")),"",IF(COUNT(X29)=0,"No due date",IF(TODAY()-X29&lt;=0,"Not yet due",IF(TODAY()-X29&lt;=30,"1-30 days",IF(TODAY()-X29&lt;=60,"31-60 days",IF(TODAY()-X29&lt;=90,"61-90 days","Over 90 days")))))))</f>
        <v/>
      </c>
      <c r="AM29" s="49">
        <f>IF(OR(AL29="",AL29="No due date"),"",MAX(TODAY()-X29,0))</f>
        <v/>
      </c>
      <c r="AN29" s="49">
        <f>IF(AL29="","",IF(COUNT(X29)=0,-100000,TODAY()-X29))</f>
        <v/>
      </c>
      <c r="AO29" s="49">
        <f>IF(AN29="","",COUNTIF(AN$11:AN$1010,"&gt;"&amp;AN29)+COUNTIF(AN$11:AN29,AN29))</f>
        <v/>
      </c>
      <c r="AP29" s="49">
        <f>IF(OR(A29="",B29=""),"",IF(COUNTIF(B$11:B29,B29)=1,MAX(AP$10:AP28)+1,""))</f>
        <v/>
      </c>
    </row>
    <row r="30" ht="24" customHeight="1">
      <c r="A30" s="20" t="n"/>
      <c r="B30" s="10" t="n"/>
      <c r="C30" s="10" t="n"/>
      <c r="D30" s="10" t="n"/>
      <c r="E30" s="10" t="n"/>
      <c r="F30" s="18" t="n"/>
      <c r="G30" s="10" t="n"/>
      <c r="H30" s="12" t="n"/>
      <c r="I30" s="12" t="n"/>
      <c r="J30" s="13">
        <f>IF(OR(A30="",COUNT(H30)=0,COUNT(Z30)=0),"",ROUND(Z30-H30,2))</f>
        <v/>
      </c>
      <c r="K30" s="15">
        <f>IF(COUNT(J30)=0,"",IF(Z30=0,"n.a.",J30/Z30))</f>
        <v/>
      </c>
      <c r="L30" s="14">
        <f>IF(OR(A30="",COUNT(H30)=0,COUNT(Y30)=0),"",ROUND(H30*(1+Y30),2))</f>
        <v/>
      </c>
      <c r="M30" s="10" t="n"/>
      <c r="N30" s="10" t="n"/>
      <c r="O30" s="10" t="n"/>
      <c r="P30" s="10" t="n"/>
      <c r="Q30" s="20" t="n"/>
      <c r="R30" s="10" t="n"/>
      <c r="S30" s="10" t="n"/>
      <c r="T30" s="18" t="n"/>
      <c r="U30" s="18" t="n"/>
      <c r="V30" s="10" t="n"/>
      <c r="W30" s="10" t="n"/>
      <c r="X30" s="19">
        <f>IF(OR(A30="",COUNT(U30)=0,COUNT(AI30)=0),"",U30+AI30)</f>
        <v/>
      </c>
      <c r="Y30" s="16" t="n"/>
      <c r="Z30" s="12" t="n"/>
      <c r="AA30" s="17">
        <f>IF(COUNT(J30)=0,"",IF(H30=0,"n.a.",J30/H30))</f>
        <v/>
      </c>
      <c r="AB30" s="12" t="n"/>
      <c r="AC30" s="12" t="n"/>
      <c r="AD30" s="12" t="n"/>
      <c r="AE30" s="13">
        <f>IF(OR(COUNT(J30)=0,COUNT(AB30:AD30)&lt;3),"",ROUND(J30-SUM(AB30:AD30),2))</f>
        <v/>
      </c>
      <c r="AF30" s="15">
        <f>IF(COUNT(AE30)=0,"",IF(Z30=0,"n.a.",AE30/Z30))</f>
        <v/>
      </c>
      <c r="AG30" s="12" t="n"/>
      <c r="AH30" s="14">
        <f>IF(OR(A30="",COUNT(Z30)=0,COUNT(AG30)=0),"",ROUND(Z30-AG30,2))</f>
        <v/>
      </c>
      <c r="AI30" s="21" t="n"/>
      <c r="AJ30" s="11">
        <f>IF(A30="","",IF(COUNT(I30)=0,"Enter approved NTE",IF(COUNT(Z30)&gt;0,IF(Z30&gt;I30,"Invoice exceeds NTE","Invoice within NTE"),IF(COUNT(L30)=0,"Enter quote inputs",IF(L30&gt;I30,"Quote exceeds NTE","Quote within NTE")))))</f>
        <v/>
      </c>
      <c r="AK30" s="11">
        <f>IF(A30="","",IF(COUNT(H30)=0,"Enter direct cost",IF(COUNT(Z30)=0,"Enter invoice revenue",IF(COUNT(AB30:AD30)&lt;3,"Enter expenses (0 if none)","Complete"))))</f>
        <v/>
      </c>
      <c r="AL30" s="11">
        <f>IF(A30="","",IF(NOT(AND(COUNT(AH30)=1,N(AH30)&gt;0.004,V30&lt;&gt;"Void",V30&lt;&gt;"Not invoiced",V30&lt;&gt;"Draft")),"",IF(COUNT(X30)=0,"No due date",IF(TODAY()-X30&lt;=0,"Not yet due",IF(TODAY()-X30&lt;=30,"1-30 days",IF(TODAY()-X30&lt;=60,"31-60 days",IF(TODAY()-X30&lt;=90,"61-90 days","Over 90 days")))))))</f>
        <v/>
      </c>
      <c r="AM30" s="49">
        <f>IF(OR(AL30="",AL30="No due date"),"",MAX(TODAY()-X30,0))</f>
        <v/>
      </c>
      <c r="AN30" s="49">
        <f>IF(AL30="","",IF(COUNT(X30)=0,-100000,TODAY()-X30))</f>
        <v/>
      </c>
      <c r="AO30" s="49">
        <f>IF(AN30="","",COUNTIF(AN$11:AN$1010,"&gt;"&amp;AN30)+COUNTIF(AN$11:AN30,AN30))</f>
        <v/>
      </c>
      <c r="AP30" s="49">
        <f>IF(OR(A30="",B30=""),"",IF(COUNTIF(B$11:B30,B30)=1,MAX(AP$10:AP29)+1,""))</f>
        <v/>
      </c>
    </row>
    <row r="31" ht="24" customHeight="1">
      <c r="A31" s="20" t="n"/>
      <c r="B31" s="10" t="n"/>
      <c r="C31" s="10" t="n"/>
      <c r="D31" s="10" t="n"/>
      <c r="E31" s="10" t="n"/>
      <c r="F31" s="18" t="n"/>
      <c r="G31" s="10" t="n"/>
      <c r="H31" s="12" t="n"/>
      <c r="I31" s="12" t="n"/>
      <c r="J31" s="13">
        <f>IF(OR(A31="",COUNT(H31)=0,COUNT(Z31)=0),"",ROUND(Z31-H31,2))</f>
        <v/>
      </c>
      <c r="K31" s="15">
        <f>IF(COUNT(J31)=0,"",IF(Z31=0,"n.a.",J31/Z31))</f>
        <v/>
      </c>
      <c r="L31" s="14">
        <f>IF(OR(A31="",COUNT(H31)=0,COUNT(Y31)=0),"",ROUND(H31*(1+Y31),2))</f>
        <v/>
      </c>
      <c r="M31" s="10" t="n"/>
      <c r="N31" s="10" t="n"/>
      <c r="O31" s="10" t="n"/>
      <c r="P31" s="10" t="n"/>
      <c r="Q31" s="20" t="n"/>
      <c r="R31" s="10" t="n"/>
      <c r="S31" s="10" t="n"/>
      <c r="T31" s="18" t="n"/>
      <c r="U31" s="18" t="n"/>
      <c r="V31" s="10" t="n"/>
      <c r="W31" s="10" t="n"/>
      <c r="X31" s="19">
        <f>IF(OR(A31="",COUNT(U31)=0,COUNT(AI31)=0),"",U31+AI31)</f>
        <v/>
      </c>
      <c r="Y31" s="16" t="n"/>
      <c r="Z31" s="12" t="n"/>
      <c r="AA31" s="17">
        <f>IF(COUNT(J31)=0,"",IF(H31=0,"n.a.",J31/H31))</f>
        <v/>
      </c>
      <c r="AB31" s="12" t="n"/>
      <c r="AC31" s="12" t="n"/>
      <c r="AD31" s="12" t="n"/>
      <c r="AE31" s="13">
        <f>IF(OR(COUNT(J31)=0,COUNT(AB31:AD31)&lt;3),"",ROUND(J31-SUM(AB31:AD31),2))</f>
        <v/>
      </c>
      <c r="AF31" s="15">
        <f>IF(COUNT(AE31)=0,"",IF(Z31=0,"n.a.",AE31/Z31))</f>
        <v/>
      </c>
      <c r="AG31" s="12" t="n"/>
      <c r="AH31" s="14">
        <f>IF(OR(A31="",COUNT(Z31)=0,COUNT(AG31)=0),"",ROUND(Z31-AG31,2))</f>
        <v/>
      </c>
      <c r="AI31" s="21" t="n"/>
      <c r="AJ31" s="11">
        <f>IF(A31="","",IF(COUNT(I31)=0,"Enter approved NTE",IF(COUNT(Z31)&gt;0,IF(Z31&gt;I31,"Invoice exceeds NTE","Invoice within NTE"),IF(COUNT(L31)=0,"Enter quote inputs",IF(L31&gt;I31,"Quote exceeds NTE","Quote within NTE")))))</f>
        <v/>
      </c>
      <c r="AK31" s="11">
        <f>IF(A31="","",IF(COUNT(H31)=0,"Enter direct cost",IF(COUNT(Z31)=0,"Enter invoice revenue",IF(COUNT(AB31:AD31)&lt;3,"Enter expenses (0 if none)","Complete"))))</f>
        <v/>
      </c>
      <c r="AL31" s="11">
        <f>IF(A31="","",IF(NOT(AND(COUNT(AH31)=1,N(AH31)&gt;0.004,V31&lt;&gt;"Void",V31&lt;&gt;"Not invoiced",V31&lt;&gt;"Draft")),"",IF(COUNT(X31)=0,"No due date",IF(TODAY()-X31&lt;=0,"Not yet due",IF(TODAY()-X31&lt;=30,"1-30 days",IF(TODAY()-X31&lt;=60,"31-60 days",IF(TODAY()-X31&lt;=90,"61-90 days","Over 90 days")))))))</f>
        <v/>
      </c>
      <c r="AM31" s="49">
        <f>IF(OR(AL31="",AL31="No due date"),"",MAX(TODAY()-X31,0))</f>
        <v/>
      </c>
      <c r="AN31" s="49">
        <f>IF(AL31="","",IF(COUNT(X31)=0,-100000,TODAY()-X31))</f>
        <v/>
      </c>
      <c r="AO31" s="49">
        <f>IF(AN31="","",COUNTIF(AN$11:AN$1010,"&gt;"&amp;AN31)+COUNTIF(AN$11:AN31,AN31))</f>
        <v/>
      </c>
      <c r="AP31" s="49">
        <f>IF(OR(A31="",B31=""),"",IF(COUNTIF(B$11:B31,B31)=1,MAX(AP$10:AP30)+1,""))</f>
        <v/>
      </c>
    </row>
    <row r="32" ht="24" customHeight="1">
      <c r="A32" s="20" t="n"/>
      <c r="B32" s="10" t="n"/>
      <c r="C32" s="10" t="n"/>
      <c r="D32" s="10" t="n"/>
      <c r="E32" s="10" t="n"/>
      <c r="F32" s="18" t="n"/>
      <c r="G32" s="10" t="n"/>
      <c r="H32" s="12" t="n"/>
      <c r="I32" s="12" t="n"/>
      <c r="J32" s="13">
        <f>IF(OR(A32="",COUNT(H32)=0,COUNT(Z32)=0),"",ROUND(Z32-H32,2))</f>
        <v/>
      </c>
      <c r="K32" s="15">
        <f>IF(COUNT(J32)=0,"",IF(Z32=0,"n.a.",J32/Z32))</f>
        <v/>
      </c>
      <c r="L32" s="14">
        <f>IF(OR(A32="",COUNT(H32)=0,COUNT(Y32)=0),"",ROUND(H32*(1+Y32),2))</f>
        <v/>
      </c>
      <c r="M32" s="10" t="n"/>
      <c r="N32" s="10" t="n"/>
      <c r="O32" s="10" t="n"/>
      <c r="P32" s="10" t="n"/>
      <c r="Q32" s="20" t="n"/>
      <c r="R32" s="10" t="n"/>
      <c r="S32" s="10" t="n"/>
      <c r="T32" s="18" t="n"/>
      <c r="U32" s="18" t="n"/>
      <c r="V32" s="10" t="n"/>
      <c r="W32" s="10" t="n"/>
      <c r="X32" s="19">
        <f>IF(OR(A32="",COUNT(U32)=0,COUNT(AI32)=0),"",U32+AI32)</f>
        <v/>
      </c>
      <c r="Y32" s="16" t="n"/>
      <c r="Z32" s="12" t="n"/>
      <c r="AA32" s="17">
        <f>IF(COUNT(J32)=0,"",IF(H32=0,"n.a.",J32/H32))</f>
        <v/>
      </c>
      <c r="AB32" s="12" t="n"/>
      <c r="AC32" s="12" t="n"/>
      <c r="AD32" s="12" t="n"/>
      <c r="AE32" s="13">
        <f>IF(OR(COUNT(J32)=0,COUNT(AB32:AD32)&lt;3),"",ROUND(J32-SUM(AB32:AD32),2))</f>
        <v/>
      </c>
      <c r="AF32" s="15">
        <f>IF(COUNT(AE32)=0,"",IF(Z32=0,"n.a.",AE32/Z32))</f>
        <v/>
      </c>
      <c r="AG32" s="12" t="n"/>
      <c r="AH32" s="14">
        <f>IF(OR(A32="",COUNT(Z32)=0,COUNT(AG32)=0),"",ROUND(Z32-AG32,2))</f>
        <v/>
      </c>
      <c r="AI32" s="21" t="n"/>
      <c r="AJ32" s="11">
        <f>IF(A32="","",IF(COUNT(I32)=0,"Enter approved NTE",IF(COUNT(Z32)&gt;0,IF(Z32&gt;I32,"Invoice exceeds NTE","Invoice within NTE"),IF(COUNT(L32)=0,"Enter quote inputs",IF(L32&gt;I32,"Quote exceeds NTE","Quote within NTE")))))</f>
        <v/>
      </c>
      <c r="AK32" s="11">
        <f>IF(A32="","",IF(COUNT(H32)=0,"Enter direct cost",IF(COUNT(Z32)=0,"Enter invoice revenue",IF(COUNT(AB32:AD32)&lt;3,"Enter expenses (0 if none)","Complete"))))</f>
        <v/>
      </c>
      <c r="AL32" s="11">
        <f>IF(A32="","",IF(NOT(AND(COUNT(AH32)=1,N(AH32)&gt;0.004,V32&lt;&gt;"Void",V32&lt;&gt;"Not invoiced",V32&lt;&gt;"Draft")),"",IF(COUNT(X32)=0,"No due date",IF(TODAY()-X32&lt;=0,"Not yet due",IF(TODAY()-X32&lt;=30,"1-30 days",IF(TODAY()-X32&lt;=60,"31-60 days",IF(TODAY()-X32&lt;=90,"61-90 days","Over 90 days")))))))</f>
        <v/>
      </c>
      <c r="AM32" s="49">
        <f>IF(OR(AL32="",AL32="No due date"),"",MAX(TODAY()-X32,0))</f>
        <v/>
      </c>
      <c r="AN32" s="49">
        <f>IF(AL32="","",IF(COUNT(X32)=0,-100000,TODAY()-X32))</f>
        <v/>
      </c>
      <c r="AO32" s="49">
        <f>IF(AN32="","",COUNTIF(AN$11:AN$1010,"&gt;"&amp;AN32)+COUNTIF(AN$11:AN32,AN32))</f>
        <v/>
      </c>
      <c r="AP32" s="49">
        <f>IF(OR(A32="",B32=""),"",IF(COUNTIF(B$11:B32,B32)=1,MAX(AP$10:AP31)+1,""))</f>
        <v/>
      </c>
    </row>
    <row r="33" ht="24" customHeight="1">
      <c r="A33" s="20" t="n"/>
      <c r="B33" s="10" t="n"/>
      <c r="C33" s="10" t="n"/>
      <c r="D33" s="10" t="n"/>
      <c r="E33" s="10" t="n"/>
      <c r="F33" s="18" t="n"/>
      <c r="G33" s="10" t="n"/>
      <c r="H33" s="12" t="n"/>
      <c r="I33" s="12" t="n"/>
      <c r="J33" s="13">
        <f>IF(OR(A33="",COUNT(H33)=0,COUNT(Z33)=0),"",ROUND(Z33-H33,2))</f>
        <v/>
      </c>
      <c r="K33" s="15">
        <f>IF(COUNT(J33)=0,"",IF(Z33=0,"n.a.",J33/Z33))</f>
        <v/>
      </c>
      <c r="L33" s="14">
        <f>IF(OR(A33="",COUNT(H33)=0,COUNT(Y33)=0),"",ROUND(H33*(1+Y33),2))</f>
        <v/>
      </c>
      <c r="M33" s="10" t="n"/>
      <c r="N33" s="10" t="n"/>
      <c r="O33" s="10" t="n"/>
      <c r="P33" s="10" t="n"/>
      <c r="Q33" s="20" t="n"/>
      <c r="R33" s="10" t="n"/>
      <c r="S33" s="10" t="n"/>
      <c r="T33" s="18" t="n"/>
      <c r="U33" s="18" t="n"/>
      <c r="V33" s="10" t="n"/>
      <c r="W33" s="10" t="n"/>
      <c r="X33" s="19">
        <f>IF(OR(A33="",COUNT(U33)=0,COUNT(AI33)=0),"",U33+AI33)</f>
        <v/>
      </c>
      <c r="Y33" s="16" t="n"/>
      <c r="Z33" s="12" t="n"/>
      <c r="AA33" s="17">
        <f>IF(COUNT(J33)=0,"",IF(H33=0,"n.a.",J33/H33))</f>
        <v/>
      </c>
      <c r="AB33" s="12" t="n"/>
      <c r="AC33" s="12" t="n"/>
      <c r="AD33" s="12" t="n"/>
      <c r="AE33" s="13">
        <f>IF(OR(COUNT(J33)=0,COUNT(AB33:AD33)&lt;3),"",ROUND(J33-SUM(AB33:AD33),2))</f>
        <v/>
      </c>
      <c r="AF33" s="15">
        <f>IF(COUNT(AE33)=0,"",IF(Z33=0,"n.a.",AE33/Z33))</f>
        <v/>
      </c>
      <c r="AG33" s="12" t="n"/>
      <c r="AH33" s="14">
        <f>IF(OR(A33="",COUNT(Z33)=0,COUNT(AG33)=0),"",ROUND(Z33-AG33,2))</f>
        <v/>
      </c>
      <c r="AI33" s="21" t="n"/>
      <c r="AJ33" s="11">
        <f>IF(A33="","",IF(COUNT(I33)=0,"Enter approved NTE",IF(COUNT(Z33)&gt;0,IF(Z33&gt;I33,"Invoice exceeds NTE","Invoice within NTE"),IF(COUNT(L33)=0,"Enter quote inputs",IF(L33&gt;I33,"Quote exceeds NTE","Quote within NTE")))))</f>
        <v/>
      </c>
      <c r="AK33" s="11">
        <f>IF(A33="","",IF(COUNT(H33)=0,"Enter direct cost",IF(COUNT(Z33)=0,"Enter invoice revenue",IF(COUNT(AB33:AD33)&lt;3,"Enter expenses (0 if none)","Complete"))))</f>
        <v/>
      </c>
      <c r="AL33" s="11">
        <f>IF(A33="","",IF(NOT(AND(COUNT(AH33)=1,N(AH33)&gt;0.004,V33&lt;&gt;"Void",V33&lt;&gt;"Not invoiced",V33&lt;&gt;"Draft")),"",IF(COUNT(X33)=0,"No due date",IF(TODAY()-X33&lt;=0,"Not yet due",IF(TODAY()-X33&lt;=30,"1-30 days",IF(TODAY()-X33&lt;=60,"31-60 days",IF(TODAY()-X33&lt;=90,"61-90 days","Over 90 days")))))))</f>
        <v/>
      </c>
      <c r="AM33" s="49">
        <f>IF(OR(AL33="",AL33="No due date"),"",MAX(TODAY()-X33,0))</f>
        <v/>
      </c>
      <c r="AN33" s="49">
        <f>IF(AL33="","",IF(COUNT(X33)=0,-100000,TODAY()-X33))</f>
        <v/>
      </c>
      <c r="AO33" s="49">
        <f>IF(AN33="","",COUNTIF(AN$11:AN$1010,"&gt;"&amp;AN33)+COUNTIF(AN$11:AN33,AN33))</f>
        <v/>
      </c>
      <c r="AP33" s="49">
        <f>IF(OR(A33="",B33=""),"",IF(COUNTIF(B$11:B33,B33)=1,MAX(AP$10:AP32)+1,""))</f>
        <v/>
      </c>
    </row>
    <row r="34" ht="24" customHeight="1">
      <c r="A34" s="20" t="n"/>
      <c r="B34" s="10" t="n"/>
      <c r="C34" s="10" t="n"/>
      <c r="D34" s="10" t="n"/>
      <c r="E34" s="10" t="n"/>
      <c r="F34" s="18" t="n"/>
      <c r="G34" s="10" t="n"/>
      <c r="H34" s="12" t="n"/>
      <c r="I34" s="12" t="n"/>
      <c r="J34" s="13">
        <f>IF(OR(A34="",COUNT(H34)=0,COUNT(Z34)=0),"",ROUND(Z34-H34,2))</f>
        <v/>
      </c>
      <c r="K34" s="15">
        <f>IF(COUNT(J34)=0,"",IF(Z34=0,"n.a.",J34/Z34))</f>
        <v/>
      </c>
      <c r="L34" s="14">
        <f>IF(OR(A34="",COUNT(H34)=0,COUNT(Y34)=0),"",ROUND(H34*(1+Y34),2))</f>
        <v/>
      </c>
      <c r="M34" s="10" t="n"/>
      <c r="N34" s="10" t="n"/>
      <c r="O34" s="10" t="n"/>
      <c r="P34" s="10" t="n"/>
      <c r="Q34" s="20" t="n"/>
      <c r="R34" s="10" t="n"/>
      <c r="S34" s="10" t="n"/>
      <c r="T34" s="18" t="n"/>
      <c r="U34" s="18" t="n"/>
      <c r="V34" s="10" t="n"/>
      <c r="W34" s="10" t="n"/>
      <c r="X34" s="19">
        <f>IF(OR(A34="",COUNT(U34)=0,COUNT(AI34)=0),"",U34+AI34)</f>
        <v/>
      </c>
      <c r="Y34" s="16" t="n"/>
      <c r="Z34" s="12" t="n"/>
      <c r="AA34" s="17">
        <f>IF(COUNT(J34)=0,"",IF(H34=0,"n.a.",J34/H34))</f>
        <v/>
      </c>
      <c r="AB34" s="12" t="n"/>
      <c r="AC34" s="12" t="n"/>
      <c r="AD34" s="12" t="n"/>
      <c r="AE34" s="13">
        <f>IF(OR(COUNT(J34)=0,COUNT(AB34:AD34)&lt;3),"",ROUND(J34-SUM(AB34:AD34),2))</f>
        <v/>
      </c>
      <c r="AF34" s="15">
        <f>IF(COUNT(AE34)=0,"",IF(Z34=0,"n.a.",AE34/Z34))</f>
        <v/>
      </c>
      <c r="AG34" s="12" t="n"/>
      <c r="AH34" s="14">
        <f>IF(OR(A34="",COUNT(Z34)=0,COUNT(AG34)=0),"",ROUND(Z34-AG34,2))</f>
        <v/>
      </c>
      <c r="AI34" s="21" t="n"/>
      <c r="AJ34" s="11">
        <f>IF(A34="","",IF(COUNT(I34)=0,"Enter approved NTE",IF(COUNT(Z34)&gt;0,IF(Z34&gt;I34,"Invoice exceeds NTE","Invoice within NTE"),IF(COUNT(L34)=0,"Enter quote inputs",IF(L34&gt;I34,"Quote exceeds NTE","Quote within NTE")))))</f>
        <v/>
      </c>
      <c r="AK34" s="11">
        <f>IF(A34="","",IF(COUNT(H34)=0,"Enter direct cost",IF(COUNT(Z34)=0,"Enter invoice revenue",IF(COUNT(AB34:AD34)&lt;3,"Enter expenses (0 if none)","Complete"))))</f>
        <v/>
      </c>
      <c r="AL34" s="11">
        <f>IF(A34="","",IF(NOT(AND(COUNT(AH34)=1,N(AH34)&gt;0.004,V34&lt;&gt;"Void",V34&lt;&gt;"Not invoiced",V34&lt;&gt;"Draft")),"",IF(COUNT(X34)=0,"No due date",IF(TODAY()-X34&lt;=0,"Not yet due",IF(TODAY()-X34&lt;=30,"1-30 days",IF(TODAY()-X34&lt;=60,"31-60 days",IF(TODAY()-X34&lt;=90,"61-90 days","Over 90 days")))))))</f>
        <v/>
      </c>
      <c r="AM34" s="49">
        <f>IF(OR(AL34="",AL34="No due date"),"",MAX(TODAY()-X34,0))</f>
        <v/>
      </c>
      <c r="AN34" s="49">
        <f>IF(AL34="","",IF(COUNT(X34)=0,-100000,TODAY()-X34))</f>
        <v/>
      </c>
      <c r="AO34" s="49">
        <f>IF(AN34="","",COUNTIF(AN$11:AN$1010,"&gt;"&amp;AN34)+COUNTIF(AN$11:AN34,AN34))</f>
        <v/>
      </c>
      <c r="AP34" s="49">
        <f>IF(OR(A34="",B34=""),"",IF(COUNTIF(B$11:B34,B34)=1,MAX(AP$10:AP33)+1,""))</f>
        <v/>
      </c>
    </row>
    <row r="35" ht="24" customHeight="1">
      <c r="A35" s="20" t="n"/>
      <c r="B35" s="10" t="n"/>
      <c r="C35" s="10" t="n"/>
      <c r="D35" s="10" t="n"/>
      <c r="E35" s="10" t="n"/>
      <c r="F35" s="18" t="n"/>
      <c r="G35" s="10" t="n"/>
      <c r="H35" s="12" t="n"/>
      <c r="I35" s="12" t="n"/>
      <c r="J35" s="13">
        <f>IF(OR(A35="",COUNT(H35)=0,COUNT(Z35)=0),"",ROUND(Z35-H35,2))</f>
        <v/>
      </c>
      <c r="K35" s="15">
        <f>IF(COUNT(J35)=0,"",IF(Z35=0,"n.a.",J35/Z35))</f>
        <v/>
      </c>
      <c r="L35" s="14">
        <f>IF(OR(A35="",COUNT(H35)=0,COUNT(Y35)=0),"",ROUND(H35*(1+Y35),2))</f>
        <v/>
      </c>
      <c r="M35" s="10" t="n"/>
      <c r="N35" s="10" t="n"/>
      <c r="O35" s="10" t="n"/>
      <c r="P35" s="10" t="n"/>
      <c r="Q35" s="20" t="n"/>
      <c r="R35" s="10" t="n"/>
      <c r="S35" s="10" t="n"/>
      <c r="T35" s="18" t="n"/>
      <c r="U35" s="18" t="n"/>
      <c r="V35" s="10" t="n"/>
      <c r="W35" s="10" t="n"/>
      <c r="X35" s="19">
        <f>IF(OR(A35="",COUNT(U35)=0,COUNT(AI35)=0),"",U35+AI35)</f>
        <v/>
      </c>
      <c r="Y35" s="16" t="n"/>
      <c r="Z35" s="12" t="n"/>
      <c r="AA35" s="17">
        <f>IF(COUNT(J35)=0,"",IF(H35=0,"n.a.",J35/H35))</f>
        <v/>
      </c>
      <c r="AB35" s="12" t="n"/>
      <c r="AC35" s="12" t="n"/>
      <c r="AD35" s="12" t="n"/>
      <c r="AE35" s="13">
        <f>IF(OR(COUNT(J35)=0,COUNT(AB35:AD35)&lt;3),"",ROUND(J35-SUM(AB35:AD35),2))</f>
        <v/>
      </c>
      <c r="AF35" s="15">
        <f>IF(COUNT(AE35)=0,"",IF(Z35=0,"n.a.",AE35/Z35))</f>
        <v/>
      </c>
      <c r="AG35" s="12" t="n"/>
      <c r="AH35" s="14">
        <f>IF(OR(A35="",COUNT(Z35)=0,COUNT(AG35)=0),"",ROUND(Z35-AG35,2))</f>
        <v/>
      </c>
      <c r="AI35" s="21" t="n"/>
      <c r="AJ35" s="11">
        <f>IF(A35="","",IF(COUNT(I35)=0,"Enter approved NTE",IF(COUNT(Z35)&gt;0,IF(Z35&gt;I35,"Invoice exceeds NTE","Invoice within NTE"),IF(COUNT(L35)=0,"Enter quote inputs",IF(L35&gt;I35,"Quote exceeds NTE","Quote within NTE")))))</f>
        <v/>
      </c>
      <c r="AK35" s="11">
        <f>IF(A35="","",IF(COUNT(H35)=0,"Enter direct cost",IF(COUNT(Z35)=0,"Enter invoice revenue",IF(COUNT(AB35:AD35)&lt;3,"Enter expenses (0 if none)","Complete"))))</f>
        <v/>
      </c>
      <c r="AL35" s="11">
        <f>IF(A35="","",IF(NOT(AND(COUNT(AH35)=1,N(AH35)&gt;0.004,V35&lt;&gt;"Void",V35&lt;&gt;"Not invoiced",V35&lt;&gt;"Draft")),"",IF(COUNT(X35)=0,"No due date",IF(TODAY()-X35&lt;=0,"Not yet due",IF(TODAY()-X35&lt;=30,"1-30 days",IF(TODAY()-X35&lt;=60,"31-60 days",IF(TODAY()-X35&lt;=90,"61-90 days","Over 90 days")))))))</f>
        <v/>
      </c>
      <c r="AM35" s="49">
        <f>IF(OR(AL35="",AL35="No due date"),"",MAX(TODAY()-X35,0))</f>
        <v/>
      </c>
      <c r="AN35" s="49">
        <f>IF(AL35="","",IF(COUNT(X35)=0,-100000,TODAY()-X35))</f>
        <v/>
      </c>
      <c r="AO35" s="49">
        <f>IF(AN35="","",COUNTIF(AN$11:AN$1010,"&gt;"&amp;AN35)+COUNTIF(AN$11:AN35,AN35))</f>
        <v/>
      </c>
      <c r="AP35" s="49">
        <f>IF(OR(A35="",B35=""),"",IF(COUNTIF(B$11:B35,B35)=1,MAX(AP$10:AP34)+1,""))</f>
        <v/>
      </c>
    </row>
    <row r="36" ht="24" customHeight="1">
      <c r="A36" s="20" t="n"/>
      <c r="B36" s="10" t="n"/>
      <c r="C36" s="10" t="n"/>
      <c r="D36" s="10" t="n"/>
      <c r="E36" s="10" t="n"/>
      <c r="F36" s="18" t="n"/>
      <c r="G36" s="10" t="n"/>
      <c r="H36" s="12" t="n"/>
      <c r="I36" s="12" t="n"/>
      <c r="J36" s="13">
        <f>IF(OR(A36="",COUNT(H36)=0,COUNT(Z36)=0),"",ROUND(Z36-H36,2))</f>
        <v/>
      </c>
      <c r="K36" s="15">
        <f>IF(COUNT(J36)=0,"",IF(Z36=0,"n.a.",J36/Z36))</f>
        <v/>
      </c>
      <c r="L36" s="14">
        <f>IF(OR(A36="",COUNT(H36)=0,COUNT(Y36)=0),"",ROUND(H36*(1+Y36),2))</f>
        <v/>
      </c>
      <c r="M36" s="10" t="n"/>
      <c r="N36" s="10" t="n"/>
      <c r="O36" s="10" t="n"/>
      <c r="P36" s="10" t="n"/>
      <c r="Q36" s="20" t="n"/>
      <c r="R36" s="10" t="n"/>
      <c r="S36" s="10" t="n"/>
      <c r="T36" s="18" t="n"/>
      <c r="U36" s="18" t="n"/>
      <c r="V36" s="10" t="n"/>
      <c r="W36" s="10" t="n"/>
      <c r="X36" s="19">
        <f>IF(OR(A36="",COUNT(U36)=0,COUNT(AI36)=0),"",U36+AI36)</f>
        <v/>
      </c>
      <c r="Y36" s="16" t="n"/>
      <c r="Z36" s="12" t="n"/>
      <c r="AA36" s="17">
        <f>IF(COUNT(J36)=0,"",IF(H36=0,"n.a.",J36/H36))</f>
        <v/>
      </c>
      <c r="AB36" s="12" t="n"/>
      <c r="AC36" s="12" t="n"/>
      <c r="AD36" s="12" t="n"/>
      <c r="AE36" s="13">
        <f>IF(OR(COUNT(J36)=0,COUNT(AB36:AD36)&lt;3),"",ROUND(J36-SUM(AB36:AD36),2))</f>
        <v/>
      </c>
      <c r="AF36" s="15">
        <f>IF(COUNT(AE36)=0,"",IF(Z36=0,"n.a.",AE36/Z36))</f>
        <v/>
      </c>
      <c r="AG36" s="12" t="n"/>
      <c r="AH36" s="14">
        <f>IF(OR(A36="",COUNT(Z36)=0,COUNT(AG36)=0),"",ROUND(Z36-AG36,2))</f>
        <v/>
      </c>
      <c r="AI36" s="21" t="n"/>
      <c r="AJ36" s="11">
        <f>IF(A36="","",IF(COUNT(I36)=0,"Enter approved NTE",IF(COUNT(Z36)&gt;0,IF(Z36&gt;I36,"Invoice exceeds NTE","Invoice within NTE"),IF(COUNT(L36)=0,"Enter quote inputs",IF(L36&gt;I36,"Quote exceeds NTE","Quote within NTE")))))</f>
        <v/>
      </c>
      <c r="AK36" s="11">
        <f>IF(A36="","",IF(COUNT(H36)=0,"Enter direct cost",IF(COUNT(Z36)=0,"Enter invoice revenue",IF(COUNT(AB36:AD36)&lt;3,"Enter expenses (0 if none)","Complete"))))</f>
        <v/>
      </c>
      <c r="AL36" s="11">
        <f>IF(A36="","",IF(NOT(AND(COUNT(AH36)=1,N(AH36)&gt;0.004,V36&lt;&gt;"Void",V36&lt;&gt;"Not invoiced",V36&lt;&gt;"Draft")),"",IF(COUNT(X36)=0,"No due date",IF(TODAY()-X36&lt;=0,"Not yet due",IF(TODAY()-X36&lt;=30,"1-30 days",IF(TODAY()-X36&lt;=60,"31-60 days",IF(TODAY()-X36&lt;=90,"61-90 days","Over 90 days")))))))</f>
        <v/>
      </c>
      <c r="AM36" s="49">
        <f>IF(OR(AL36="",AL36="No due date"),"",MAX(TODAY()-X36,0))</f>
        <v/>
      </c>
      <c r="AN36" s="49">
        <f>IF(AL36="","",IF(COUNT(X36)=0,-100000,TODAY()-X36))</f>
        <v/>
      </c>
      <c r="AO36" s="49">
        <f>IF(AN36="","",COUNTIF(AN$11:AN$1010,"&gt;"&amp;AN36)+COUNTIF(AN$11:AN36,AN36))</f>
        <v/>
      </c>
      <c r="AP36" s="49">
        <f>IF(OR(A36="",B36=""),"",IF(COUNTIF(B$11:B36,B36)=1,MAX(AP$10:AP35)+1,""))</f>
        <v/>
      </c>
    </row>
    <row r="37" ht="24" customHeight="1">
      <c r="A37" s="20" t="n"/>
      <c r="B37" s="10" t="n"/>
      <c r="C37" s="10" t="n"/>
      <c r="D37" s="10" t="n"/>
      <c r="E37" s="10" t="n"/>
      <c r="F37" s="18" t="n"/>
      <c r="G37" s="10" t="n"/>
      <c r="H37" s="12" t="n"/>
      <c r="I37" s="12" t="n"/>
      <c r="J37" s="13">
        <f>IF(OR(A37="",COUNT(H37)=0,COUNT(Z37)=0),"",ROUND(Z37-H37,2))</f>
        <v/>
      </c>
      <c r="K37" s="15">
        <f>IF(COUNT(J37)=0,"",IF(Z37=0,"n.a.",J37/Z37))</f>
        <v/>
      </c>
      <c r="L37" s="14">
        <f>IF(OR(A37="",COUNT(H37)=0,COUNT(Y37)=0),"",ROUND(H37*(1+Y37),2))</f>
        <v/>
      </c>
      <c r="M37" s="10" t="n"/>
      <c r="N37" s="10" t="n"/>
      <c r="O37" s="10" t="n"/>
      <c r="P37" s="10" t="n"/>
      <c r="Q37" s="20" t="n"/>
      <c r="R37" s="10" t="n"/>
      <c r="S37" s="10" t="n"/>
      <c r="T37" s="18" t="n"/>
      <c r="U37" s="18" t="n"/>
      <c r="V37" s="10" t="n"/>
      <c r="W37" s="10" t="n"/>
      <c r="X37" s="19">
        <f>IF(OR(A37="",COUNT(U37)=0,COUNT(AI37)=0),"",U37+AI37)</f>
        <v/>
      </c>
      <c r="Y37" s="16" t="n"/>
      <c r="Z37" s="12" t="n"/>
      <c r="AA37" s="17">
        <f>IF(COUNT(J37)=0,"",IF(H37=0,"n.a.",J37/H37))</f>
        <v/>
      </c>
      <c r="AB37" s="12" t="n"/>
      <c r="AC37" s="12" t="n"/>
      <c r="AD37" s="12" t="n"/>
      <c r="AE37" s="13">
        <f>IF(OR(COUNT(J37)=0,COUNT(AB37:AD37)&lt;3),"",ROUND(J37-SUM(AB37:AD37),2))</f>
        <v/>
      </c>
      <c r="AF37" s="15">
        <f>IF(COUNT(AE37)=0,"",IF(Z37=0,"n.a.",AE37/Z37))</f>
        <v/>
      </c>
      <c r="AG37" s="12" t="n"/>
      <c r="AH37" s="14">
        <f>IF(OR(A37="",COUNT(Z37)=0,COUNT(AG37)=0),"",ROUND(Z37-AG37,2))</f>
        <v/>
      </c>
      <c r="AI37" s="21" t="n"/>
      <c r="AJ37" s="11">
        <f>IF(A37="","",IF(COUNT(I37)=0,"Enter approved NTE",IF(COUNT(Z37)&gt;0,IF(Z37&gt;I37,"Invoice exceeds NTE","Invoice within NTE"),IF(COUNT(L37)=0,"Enter quote inputs",IF(L37&gt;I37,"Quote exceeds NTE","Quote within NTE")))))</f>
        <v/>
      </c>
      <c r="AK37" s="11">
        <f>IF(A37="","",IF(COUNT(H37)=0,"Enter direct cost",IF(COUNT(Z37)=0,"Enter invoice revenue",IF(COUNT(AB37:AD37)&lt;3,"Enter expenses (0 if none)","Complete"))))</f>
        <v/>
      </c>
      <c r="AL37" s="11">
        <f>IF(A37="","",IF(NOT(AND(COUNT(AH37)=1,N(AH37)&gt;0.004,V37&lt;&gt;"Void",V37&lt;&gt;"Not invoiced",V37&lt;&gt;"Draft")),"",IF(COUNT(X37)=0,"No due date",IF(TODAY()-X37&lt;=0,"Not yet due",IF(TODAY()-X37&lt;=30,"1-30 days",IF(TODAY()-X37&lt;=60,"31-60 days",IF(TODAY()-X37&lt;=90,"61-90 days","Over 90 days")))))))</f>
        <v/>
      </c>
      <c r="AM37" s="49">
        <f>IF(OR(AL37="",AL37="No due date"),"",MAX(TODAY()-X37,0))</f>
        <v/>
      </c>
      <c r="AN37" s="49">
        <f>IF(AL37="","",IF(COUNT(X37)=0,-100000,TODAY()-X37))</f>
        <v/>
      </c>
      <c r="AO37" s="49">
        <f>IF(AN37="","",COUNTIF(AN$11:AN$1010,"&gt;"&amp;AN37)+COUNTIF(AN$11:AN37,AN37))</f>
        <v/>
      </c>
      <c r="AP37" s="49">
        <f>IF(OR(A37="",B37=""),"",IF(COUNTIF(B$11:B37,B37)=1,MAX(AP$10:AP36)+1,""))</f>
        <v/>
      </c>
    </row>
    <row r="38" ht="24" customHeight="1">
      <c r="A38" s="20" t="n"/>
      <c r="B38" s="10" t="n"/>
      <c r="C38" s="10" t="n"/>
      <c r="D38" s="10" t="n"/>
      <c r="E38" s="10" t="n"/>
      <c r="F38" s="18" t="n"/>
      <c r="G38" s="10" t="n"/>
      <c r="H38" s="12" t="n"/>
      <c r="I38" s="12" t="n"/>
      <c r="J38" s="13">
        <f>IF(OR(A38="",COUNT(H38)=0,COUNT(Z38)=0),"",ROUND(Z38-H38,2))</f>
        <v/>
      </c>
      <c r="K38" s="15">
        <f>IF(COUNT(J38)=0,"",IF(Z38=0,"n.a.",J38/Z38))</f>
        <v/>
      </c>
      <c r="L38" s="14">
        <f>IF(OR(A38="",COUNT(H38)=0,COUNT(Y38)=0),"",ROUND(H38*(1+Y38),2))</f>
        <v/>
      </c>
      <c r="M38" s="10" t="n"/>
      <c r="N38" s="10" t="n"/>
      <c r="O38" s="10" t="n"/>
      <c r="P38" s="10" t="n"/>
      <c r="Q38" s="20" t="n"/>
      <c r="R38" s="10" t="n"/>
      <c r="S38" s="10" t="n"/>
      <c r="T38" s="18" t="n"/>
      <c r="U38" s="18" t="n"/>
      <c r="V38" s="10" t="n"/>
      <c r="W38" s="10" t="n"/>
      <c r="X38" s="19">
        <f>IF(OR(A38="",COUNT(U38)=0,COUNT(AI38)=0),"",U38+AI38)</f>
        <v/>
      </c>
      <c r="Y38" s="16" t="n"/>
      <c r="Z38" s="12" t="n"/>
      <c r="AA38" s="17">
        <f>IF(COUNT(J38)=0,"",IF(H38=0,"n.a.",J38/H38))</f>
        <v/>
      </c>
      <c r="AB38" s="12" t="n"/>
      <c r="AC38" s="12" t="n"/>
      <c r="AD38" s="12" t="n"/>
      <c r="AE38" s="13">
        <f>IF(OR(COUNT(J38)=0,COUNT(AB38:AD38)&lt;3),"",ROUND(J38-SUM(AB38:AD38),2))</f>
        <v/>
      </c>
      <c r="AF38" s="15">
        <f>IF(COUNT(AE38)=0,"",IF(Z38=0,"n.a.",AE38/Z38))</f>
        <v/>
      </c>
      <c r="AG38" s="12" t="n"/>
      <c r="AH38" s="14">
        <f>IF(OR(A38="",COUNT(Z38)=0,COUNT(AG38)=0),"",ROUND(Z38-AG38,2))</f>
        <v/>
      </c>
      <c r="AI38" s="21" t="n"/>
      <c r="AJ38" s="11">
        <f>IF(A38="","",IF(COUNT(I38)=0,"Enter approved NTE",IF(COUNT(Z38)&gt;0,IF(Z38&gt;I38,"Invoice exceeds NTE","Invoice within NTE"),IF(COUNT(L38)=0,"Enter quote inputs",IF(L38&gt;I38,"Quote exceeds NTE","Quote within NTE")))))</f>
        <v/>
      </c>
      <c r="AK38" s="11">
        <f>IF(A38="","",IF(COUNT(H38)=0,"Enter direct cost",IF(COUNT(Z38)=0,"Enter invoice revenue",IF(COUNT(AB38:AD38)&lt;3,"Enter expenses (0 if none)","Complete"))))</f>
        <v/>
      </c>
      <c r="AL38" s="11">
        <f>IF(A38="","",IF(NOT(AND(COUNT(AH38)=1,N(AH38)&gt;0.004,V38&lt;&gt;"Void",V38&lt;&gt;"Not invoiced",V38&lt;&gt;"Draft")),"",IF(COUNT(X38)=0,"No due date",IF(TODAY()-X38&lt;=0,"Not yet due",IF(TODAY()-X38&lt;=30,"1-30 days",IF(TODAY()-X38&lt;=60,"31-60 days",IF(TODAY()-X38&lt;=90,"61-90 days","Over 90 days")))))))</f>
        <v/>
      </c>
      <c r="AM38" s="49">
        <f>IF(OR(AL38="",AL38="No due date"),"",MAX(TODAY()-X38,0))</f>
        <v/>
      </c>
      <c r="AN38" s="49">
        <f>IF(AL38="","",IF(COUNT(X38)=0,-100000,TODAY()-X38))</f>
        <v/>
      </c>
      <c r="AO38" s="49">
        <f>IF(AN38="","",COUNTIF(AN$11:AN$1010,"&gt;"&amp;AN38)+COUNTIF(AN$11:AN38,AN38))</f>
        <v/>
      </c>
      <c r="AP38" s="49">
        <f>IF(OR(A38="",B38=""),"",IF(COUNTIF(B$11:B38,B38)=1,MAX(AP$10:AP37)+1,""))</f>
        <v/>
      </c>
    </row>
    <row r="39" ht="24" customHeight="1">
      <c r="A39" s="20" t="n"/>
      <c r="B39" s="10" t="n"/>
      <c r="C39" s="10" t="n"/>
      <c r="D39" s="10" t="n"/>
      <c r="E39" s="10" t="n"/>
      <c r="F39" s="18" t="n"/>
      <c r="G39" s="10" t="n"/>
      <c r="H39" s="12" t="n"/>
      <c r="I39" s="12" t="n"/>
      <c r="J39" s="13">
        <f>IF(OR(A39="",COUNT(H39)=0,COUNT(Z39)=0),"",ROUND(Z39-H39,2))</f>
        <v/>
      </c>
      <c r="K39" s="15">
        <f>IF(COUNT(J39)=0,"",IF(Z39=0,"n.a.",J39/Z39))</f>
        <v/>
      </c>
      <c r="L39" s="14">
        <f>IF(OR(A39="",COUNT(H39)=0,COUNT(Y39)=0),"",ROUND(H39*(1+Y39),2))</f>
        <v/>
      </c>
      <c r="M39" s="10" t="n"/>
      <c r="N39" s="10" t="n"/>
      <c r="O39" s="10" t="n"/>
      <c r="P39" s="10" t="n"/>
      <c r="Q39" s="20" t="n"/>
      <c r="R39" s="10" t="n"/>
      <c r="S39" s="10" t="n"/>
      <c r="T39" s="18" t="n"/>
      <c r="U39" s="18" t="n"/>
      <c r="V39" s="10" t="n"/>
      <c r="W39" s="10" t="n"/>
      <c r="X39" s="19">
        <f>IF(OR(A39="",COUNT(U39)=0,COUNT(AI39)=0),"",U39+AI39)</f>
        <v/>
      </c>
      <c r="Y39" s="16" t="n"/>
      <c r="Z39" s="12" t="n"/>
      <c r="AA39" s="17">
        <f>IF(COUNT(J39)=0,"",IF(H39=0,"n.a.",J39/H39))</f>
        <v/>
      </c>
      <c r="AB39" s="12" t="n"/>
      <c r="AC39" s="12" t="n"/>
      <c r="AD39" s="12" t="n"/>
      <c r="AE39" s="13">
        <f>IF(OR(COUNT(J39)=0,COUNT(AB39:AD39)&lt;3),"",ROUND(J39-SUM(AB39:AD39),2))</f>
        <v/>
      </c>
      <c r="AF39" s="15">
        <f>IF(COUNT(AE39)=0,"",IF(Z39=0,"n.a.",AE39/Z39))</f>
        <v/>
      </c>
      <c r="AG39" s="12" t="n"/>
      <c r="AH39" s="14">
        <f>IF(OR(A39="",COUNT(Z39)=0,COUNT(AG39)=0),"",ROUND(Z39-AG39,2))</f>
        <v/>
      </c>
      <c r="AI39" s="21" t="n"/>
      <c r="AJ39" s="11">
        <f>IF(A39="","",IF(COUNT(I39)=0,"Enter approved NTE",IF(COUNT(Z39)&gt;0,IF(Z39&gt;I39,"Invoice exceeds NTE","Invoice within NTE"),IF(COUNT(L39)=0,"Enter quote inputs",IF(L39&gt;I39,"Quote exceeds NTE","Quote within NTE")))))</f>
        <v/>
      </c>
      <c r="AK39" s="11">
        <f>IF(A39="","",IF(COUNT(H39)=0,"Enter direct cost",IF(COUNT(Z39)=0,"Enter invoice revenue",IF(COUNT(AB39:AD39)&lt;3,"Enter expenses (0 if none)","Complete"))))</f>
        <v/>
      </c>
      <c r="AL39" s="11">
        <f>IF(A39="","",IF(NOT(AND(COUNT(AH39)=1,N(AH39)&gt;0.004,V39&lt;&gt;"Void",V39&lt;&gt;"Not invoiced",V39&lt;&gt;"Draft")),"",IF(COUNT(X39)=0,"No due date",IF(TODAY()-X39&lt;=0,"Not yet due",IF(TODAY()-X39&lt;=30,"1-30 days",IF(TODAY()-X39&lt;=60,"31-60 days",IF(TODAY()-X39&lt;=90,"61-90 days","Over 90 days")))))))</f>
        <v/>
      </c>
      <c r="AM39" s="49">
        <f>IF(OR(AL39="",AL39="No due date"),"",MAX(TODAY()-X39,0))</f>
        <v/>
      </c>
      <c r="AN39" s="49">
        <f>IF(AL39="","",IF(COUNT(X39)=0,-100000,TODAY()-X39))</f>
        <v/>
      </c>
      <c r="AO39" s="49">
        <f>IF(AN39="","",COUNTIF(AN$11:AN$1010,"&gt;"&amp;AN39)+COUNTIF(AN$11:AN39,AN39))</f>
        <v/>
      </c>
      <c r="AP39" s="49">
        <f>IF(OR(A39="",B39=""),"",IF(COUNTIF(B$11:B39,B39)=1,MAX(AP$10:AP38)+1,""))</f>
        <v/>
      </c>
    </row>
    <row r="40" ht="24" customHeight="1">
      <c r="A40" s="20" t="n"/>
      <c r="B40" s="10" t="n"/>
      <c r="C40" s="10" t="n"/>
      <c r="D40" s="10" t="n"/>
      <c r="E40" s="10" t="n"/>
      <c r="F40" s="18" t="n"/>
      <c r="G40" s="10" t="n"/>
      <c r="H40" s="12" t="n"/>
      <c r="I40" s="12" t="n"/>
      <c r="J40" s="13">
        <f>IF(OR(A40="",COUNT(H40)=0,COUNT(Z40)=0),"",ROUND(Z40-H40,2))</f>
        <v/>
      </c>
      <c r="K40" s="15">
        <f>IF(COUNT(J40)=0,"",IF(Z40=0,"n.a.",J40/Z40))</f>
        <v/>
      </c>
      <c r="L40" s="14">
        <f>IF(OR(A40="",COUNT(H40)=0,COUNT(Y40)=0),"",ROUND(H40*(1+Y40),2))</f>
        <v/>
      </c>
      <c r="M40" s="10" t="n"/>
      <c r="N40" s="10" t="n"/>
      <c r="O40" s="10" t="n"/>
      <c r="P40" s="10" t="n"/>
      <c r="Q40" s="20" t="n"/>
      <c r="R40" s="10" t="n"/>
      <c r="S40" s="10" t="n"/>
      <c r="T40" s="18" t="n"/>
      <c r="U40" s="18" t="n"/>
      <c r="V40" s="10" t="n"/>
      <c r="W40" s="10" t="n"/>
      <c r="X40" s="19">
        <f>IF(OR(A40="",COUNT(U40)=0,COUNT(AI40)=0),"",U40+AI40)</f>
        <v/>
      </c>
      <c r="Y40" s="16" t="n"/>
      <c r="Z40" s="12" t="n"/>
      <c r="AA40" s="17">
        <f>IF(COUNT(J40)=0,"",IF(H40=0,"n.a.",J40/H40))</f>
        <v/>
      </c>
      <c r="AB40" s="12" t="n"/>
      <c r="AC40" s="12" t="n"/>
      <c r="AD40" s="12" t="n"/>
      <c r="AE40" s="13">
        <f>IF(OR(COUNT(J40)=0,COUNT(AB40:AD40)&lt;3),"",ROUND(J40-SUM(AB40:AD40),2))</f>
        <v/>
      </c>
      <c r="AF40" s="15">
        <f>IF(COUNT(AE40)=0,"",IF(Z40=0,"n.a.",AE40/Z40))</f>
        <v/>
      </c>
      <c r="AG40" s="12" t="n"/>
      <c r="AH40" s="14">
        <f>IF(OR(A40="",COUNT(Z40)=0,COUNT(AG40)=0),"",ROUND(Z40-AG40,2))</f>
        <v/>
      </c>
      <c r="AI40" s="21" t="n"/>
      <c r="AJ40" s="11">
        <f>IF(A40="","",IF(COUNT(I40)=0,"Enter approved NTE",IF(COUNT(Z40)&gt;0,IF(Z40&gt;I40,"Invoice exceeds NTE","Invoice within NTE"),IF(COUNT(L40)=0,"Enter quote inputs",IF(L40&gt;I40,"Quote exceeds NTE","Quote within NTE")))))</f>
        <v/>
      </c>
      <c r="AK40" s="11">
        <f>IF(A40="","",IF(COUNT(H40)=0,"Enter direct cost",IF(COUNT(Z40)=0,"Enter invoice revenue",IF(COUNT(AB40:AD40)&lt;3,"Enter expenses (0 if none)","Complete"))))</f>
        <v/>
      </c>
      <c r="AL40" s="11">
        <f>IF(A40="","",IF(NOT(AND(COUNT(AH40)=1,N(AH40)&gt;0.004,V40&lt;&gt;"Void",V40&lt;&gt;"Not invoiced",V40&lt;&gt;"Draft")),"",IF(COUNT(X40)=0,"No due date",IF(TODAY()-X40&lt;=0,"Not yet due",IF(TODAY()-X40&lt;=30,"1-30 days",IF(TODAY()-X40&lt;=60,"31-60 days",IF(TODAY()-X40&lt;=90,"61-90 days","Over 90 days")))))))</f>
        <v/>
      </c>
      <c r="AM40" s="49">
        <f>IF(OR(AL40="",AL40="No due date"),"",MAX(TODAY()-X40,0))</f>
        <v/>
      </c>
      <c r="AN40" s="49">
        <f>IF(AL40="","",IF(COUNT(X40)=0,-100000,TODAY()-X40))</f>
        <v/>
      </c>
      <c r="AO40" s="49">
        <f>IF(AN40="","",COUNTIF(AN$11:AN$1010,"&gt;"&amp;AN40)+COUNTIF(AN$11:AN40,AN40))</f>
        <v/>
      </c>
      <c r="AP40" s="49">
        <f>IF(OR(A40="",B40=""),"",IF(COUNTIF(B$11:B40,B40)=1,MAX(AP$10:AP39)+1,""))</f>
        <v/>
      </c>
    </row>
    <row r="41" ht="24" customHeight="1">
      <c r="A41" s="20" t="n"/>
      <c r="B41" s="10" t="n"/>
      <c r="C41" s="10" t="n"/>
      <c r="D41" s="10" t="n"/>
      <c r="E41" s="10" t="n"/>
      <c r="F41" s="18" t="n"/>
      <c r="G41" s="10" t="n"/>
      <c r="H41" s="12" t="n"/>
      <c r="I41" s="12" t="n"/>
      <c r="J41" s="13">
        <f>IF(OR(A41="",COUNT(H41)=0,COUNT(Z41)=0),"",ROUND(Z41-H41,2))</f>
        <v/>
      </c>
      <c r="K41" s="15">
        <f>IF(COUNT(J41)=0,"",IF(Z41=0,"n.a.",J41/Z41))</f>
        <v/>
      </c>
      <c r="L41" s="14">
        <f>IF(OR(A41="",COUNT(H41)=0,COUNT(Y41)=0),"",ROUND(H41*(1+Y41),2))</f>
        <v/>
      </c>
      <c r="M41" s="10" t="n"/>
      <c r="N41" s="10" t="n"/>
      <c r="O41" s="10" t="n"/>
      <c r="P41" s="10" t="n"/>
      <c r="Q41" s="20" t="n"/>
      <c r="R41" s="10" t="n"/>
      <c r="S41" s="10" t="n"/>
      <c r="T41" s="18" t="n"/>
      <c r="U41" s="18" t="n"/>
      <c r="V41" s="10" t="n"/>
      <c r="W41" s="10" t="n"/>
      <c r="X41" s="19">
        <f>IF(OR(A41="",COUNT(U41)=0,COUNT(AI41)=0),"",U41+AI41)</f>
        <v/>
      </c>
      <c r="Y41" s="16" t="n"/>
      <c r="Z41" s="12" t="n"/>
      <c r="AA41" s="17">
        <f>IF(COUNT(J41)=0,"",IF(H41=0,"n.a.",J41/H41))</f>
        <v/>
      </c>
      <c r="AB41" s="12" t="n"/>
      <c r="AC41" s="12" t="n"/>
      <c r="AD41" s="12" t="n"/>
      <c r="AE41" s="13">
        <f>IF(OR(COUNT(J41)=0,COUNT(AB41:AD41)&lt;3),"",ROUND(J41-SUM(AB41:AD41),2))</f>
        <v/>
      </c>
      <c r="AF41" s="15">
        <f>IF(COUNT(AE41)=0,"",IF(Z41=0,"n.a.",AE41/Z41))</f>
        <v/>
      </c>
      <c r="AG41" s="12" t="n"/>
      <c r="AH41" s="14">
        <f>IF(OR(A41="",COUNT(Z41)=0,COUNT(AG41)=0),"",ROUND(Z41-AG41,2))</f>
        <v/>
      </c>
      <c r="AI41" s="21" t="n"/>
      <c r="AJ41" s="11">
        <f>IF(A41="","",IF(COUNT(I41)=0,"Enter approved NTE",IF(COUNT(Z41)&gt;0,IF(Z41&gt;I41,"Invoice exceeds NTE","Invoice within NTE"),IF(COUNT(L41)=0,"Enter quote inputs",IF(L41&gt;I41,"Quote exceeds NTE","Quote within NTE")))))</f>
        <v/>
      </c>
      <c r="AK41" s="11">
        <f>IF(A41="","",IF(COUNT(H41)=0,"Enter direct cost",IF(COUNT(Z41)=0,"Enter invoice revenue",IF(COUNT(AB41:AD41)&lt;3,"Enter expenses (0 if none)","Complete"))))</f>
        <v/>
      </c>
      <c r="AL41" s="11">
        <f>IF(A41="","",IF(NOT(AND(COUNT(AH41)=1,N(AH41)&gt;0.004,V41&lt;&gt;"Void",V41&lt;&gt;"Not invoiced",V41&lt;&gt;"Draft")),"",IF(COUNT(X41)=0,"No due date",IF(TODAY()-X41&lt;=0,"Not yet due",IF(TODAY()-X41&lt;=30,"1-30 days",IF(TODAY()-X41&lt;=60,"31-60 days",IF(TODAY()-X41&lt;=90,"61-90 days","Over 90 days")))))))</f>
        <v/>
      </c>
      <c r="AM41" s="49">
        <f>IF(OR(AL41="",AL41="No due date"),"",MAX(TODAY()-X41,0))</f>
        <v/>
      </c>
      <c r="AN41" s="49">
        <f>IF(AL41="","",IF(COUNT(X41)=0,-100000,TODAY()-X41))</f>
        <v/>
      </c>
      <c r="AO41" s="49">
        <f>IF(AN41="","",COUNTIF(AN$11:AN$1010,"&gt;"&amp;AN41)+COUNTIF(AN$11:AN41,AN41))</f>
        <v/>
      </c>
      <c r="AP41" s="49">
        <f>IF(OR(A41="",B41=""),"",IF(COUNTIF(B$11:B41,B41)=1,MAX(AP$10:AP40)+1,""))</f>
        <v/>
      </c>
    </row>
    <row r="42" ht="24" customHeight="1">
      <c r="A42" s="20" t="n"/>
      <c r="B42" s="10" t="n"/>
      <c r="C42" s="10" t="n"/>
      <c r="D42" s="10" t="n"/>
      <c r="E42" s="10" t="n"/>
      <c r="F42" s="18" t="n"/>
      <c r="G42" s="10" t="n"/>
      <c r="H42" s="12" t="n"/>
      <c r="I42" s="12" t="n"/>
      <c r="J42" s="13">
        <f>IF(OR(A42="",COUNT(H42)=0,COUNT(Z42)=0),"",ROUND(Z42-H42,2))</f>
        <v/>
      </c>
      <c r="K42" s="15">
        <f>IF(COUNT(J42)=0,"",IF(Z42=0,"n.a.",J42/Z42))</f>
        <v/>
      </c>
      <c r="L42" s="14">
        <f>IF(OR(A42="",COUNT(H42)=0,COUNT(Y42)=0),"",ROUND(H42*(1+Y42),2))</f>
        <v/>
      </c>
      <c r="M42" s="10" t="n"/>
      <c r="N42" s="10" t="n"/>
      <c r="O42" s="10" t="n"/>
      <c r="P42" s="10" t="n"/>
      <c r="Q42" s="20" t="n"/>
      <c r="R42" s="10" t="n"/>
      <c r="S42" s="10" t="n"/>
      <c r="T42" s="18" t="n"/>
      <c r="U42" s="18" t="n"/>
      <c r="V42" s="10" t="n"/>
      <c r="W42" s="10" t="n"/>
      <c r="X42" s="19">
        <f>IF(OR(A42="",COUNT(U42)=0,COUNT(AI42)=0),"",U42+AI42)</f>
        <v/>
      </c>
      <c r="Y42" s="16" t="n"/>
      <c r="Z42" s="12" t="n"/>
      <c r="AA42" s="17">
        <f>IF(COUNT(J42)=0,"",IF(H42=0,"n.a.",J42/H42))</f>
        <v/>
      </c>
      <c r="AB42" s="12" t="n"/>
      <c r="AC42" s="12" t="n"/>
      <c r="AD42" s="12" t="n"/>
      <c r="AE42" s="13">
        <f>IF(OR(COUNT(J42)=0,COUNT(AB42:AD42)&lt;3),"",ROUND(J42-SUM(AB42:AD42),2))</f>
        <v/>
      </c>
      <c r="AF42" s="15">
        <f>IF(COUNT(AE42)=0,"",IF(Z42=0,"n.a.",AE42/Z42))</f>
        <v/>
      </c>
      <c r="AG42" s="12" t="n"/>
      <c r="AH42" s="14">
        <f>IF(OR(A42="",COUNT(Z42)=0,COUNT(AG42)=0),"",ROUND(Z42-AG42,2))</f>
        <v/>
      </c>
      <c r="AI42" s="21" t="n"/>
      <c r="AJ42" s="11">
        <f>IF(A42="","",IF(COUNT(I42)=0,"Enter approved NTE",IF(COUNT(Z42)&gt;0,IF(Z42&gt;I42,"Invoice exceeds NTE","Invoice within NTE"),IF(COUNT(L42)=0,"Enter quote inputs",IF(L42&gt;I42,"Quote exceeds NTE","Quote within NTE")))))</f>
        <v/>
      </c>
      <c r="AK42" s="11">
        <f>IF(A42="","",IF(COUNT(H42)=0,"Enter direct cost",IF(COUNT(Z42)=0,"Enter invoice revenue",IF(COUNT(AB42:AD42)&lt;3,"Enter expenses (0 if none)","Complete"))))</f>
        <v/>
      </c>
      <c r="AL42" s="11">
        <f>IF(A42="","",IF(NOT(AND(COUNT(AH42)=1,N(AH42)&gt;0.004,V42&lt;&gt;"Void",V42&lt;&gt;"Not invoiced",V42&lt;&gt;"Draft")),"",IF(COUNT(X42)=0,"No due date",IF(TODAY()-X42&lt;=0,"Not yet due",IF(TODAY()-X42&lt;=30,"1-30 days",IF(TODAY()-X42&lt;=60,"31-60 days",IF(TODAY()-X42&lt;=90,"61-90 days","Over 90 days")))))))</f>
        <v/>
      </c>
      <c r="AM42" s="49">
        <f>IF(OR(AL42="",AL42="No due date"),"",MAX(TODAY()-X42,0))</f>
        <v/>
      </c>
      <c r="AN42" s="49">
        <f>IF(AL42="","",IF(COUNT(X42)=0,-100000,TODAY()-X42))</f>
        <v/>
      </c>
      <c r="AO42" s="49">
        <f>IF(AN42="","",COUNTIF(AN$11:AN$1010,"&gt;"&amp;AN42)+COUNTIF(AN$11:AN42,AN42))</f>
        <v/>
      </c>
      <c r="AP42" s="49">
        <f>IF(OR(A42="",B42=""),"",IF(COUNTIF(B$11:B42,B42)=1,MAX(AP$10:AP41)+1,""))</f>
        <v/>
      </c>
    </row>
    <row r="43" ht="24" customHeight="1">
      <c r="A43" s="20" t="n"/>
      <c r="B43" s="10" t="n"/>
      <c r="C43" s="10" t="n"/>
      <c r="D43" s="10" t="n"/>
      <c r="E43" s="10" t="n"/>
      <c r="F43" s="18" t="n"/>
      <c r="G43" s="10" t="n"/>
      <c r="H43" s="12" t="n"/>
      <c r="I43" s="12" t="n"/>
      <c r="J43" s="13">
        <f>IF(OR(A43="",COUNT(H43)=0,COUNT(Z43)=0),"",ROUND(Z43-H43,2))</f>
        <v/>
      </c>
      <c r="K43" s="15">
        <f>IF(COUNT(J43)=0,"",IF(Z43=0,"n.a.",J43/Z43))</f>
        <v/>
      </c>
      <c r="L43" s="14">
        <f>IF(OR(A43="",COUNT(H43)=0,COUNT(Y43)=0),"",ROUND(H43*(1+Y43),2))</f>
        <v/>
      </c>
      <c r="M43" s="10" t="n"/>
      <c r="N43" s="10" t="n"/>
      <c r="O43" s="10" t="n"/>
      <c r="P43" s="10" t="n"/>
      <c r="Q43" s="20" t="n"/>
      <c r="R43" s="10" t="n"/>
      <c r="S43" s="10" t="n"/>
      <c r="T43" s="18" t="n"/>
      <c r="U43" s="18" t="n"/>
      <c r="V43" s="10" t="n"/>
      <c r="W43" s="10" t="n"/>
      <c r="X43" s="19">
        <f>IF(OR(A43="",COUNT(U43)=0,COUNT(AI43)=0),"",U43+AI43)</f>
        <v/>
      </c>
      <c r="Y43" s="16" t="n"/>
      <c r="Z43" s="12" t="n"/>
      <c r="AA43" s="17">
        <f>IF(COUNT(J43)=0,"",IF(H43=0,"n.a.",J43/H43))</f>
        <v/>
      </c>
      <c r="AB43" s="12" t="n"/>
      <c r="AC43" s="12" t="n"/>
      <c r="AD43" s="12" t="n"/>
      <c r="AE43" s="13">
        <f>IF(OR(COUNT(J43)=0,COUNT(AB43:AD43)&lt;3),"",ROUND(J43-SUM(AB43:AD43),2))</f>
        <v/>
      </c>
      <c r="AF43" s="15">
        <f>IF(COUNT(AE43)=0,"",IF(Z43=0,"n.a.",AE43/Z43))</f>
        <v/>
      </c>
      <c r="AG43" s="12" t="n"/>
      <c r="AH43" s="14">
        <f>IF(OR(A43="",COUNT(Z43)=0,COUNT(AG43)=0),"",ROUND(Z43-AG43,2))</f>
        <v/>
      </c>
      <c r="AI43" s="21" t="n"/>
      <c r="AJ43" s="11">
        <f>IF(A43="","",IF(COUNT(I43)=0,"Enter approved NTE",IF(COUNT(Z43)&gt;0,IF(Z43&gt;I43,"Invoice exceeds NTE","Invoice within NTE"),IF(COUNT(L43)=0,"Enter quote inputs",IF(L43&gt;I43,"Quote exceeds NTE","Quote within NTE")))))</f>
        <v/>
      </c>
      <c r="AK43" s="11">
        <f>IF(A43="","",IF(COUNT(H43)=0,"Enter direct cost",IF(COUNT(Z43)=0,"Enter invoice revenue",IF(COUNT(AB43:AD43)&lt;3,"Enter expenses (0 if none)","Complete"))))</f>
        <v/>
      </c>
      <c r="AL43" s="11">
        <f>IF(A43="","",IF(NOT(AND(COUNT(AH43)=1,N(AH43)&gt;0.004,V43&lt;&gt;"Void",V43&lt;&gt;"Not invoiced",V43&lt;&gt;"Draft")),"",IF(COUNT(X43)=0,"No due date",IF(TODAY()-X43&lt;=0,"Not yet due",IF(TODAY()-X43&lt;=30,"1-30 days",IF(TODAY()-X43&lt;=60,"31-60 days",IF(TODAY()-X43&lt;=90,"61-90 days","Over 90 days")))))))</f>
        <v/>
      </c>
      <c r="AM43" s="49">
        <f>IF(OR(AL43="",AL43="No due date"),"",MAX(TODAY()-X43,0))</f>
        <v/>
      </c>
      <c r="AN43" s="49">
        <f>IF(AL43="","",IF(COUNT(X43)=0,-100000,TODAY()-X43))</f>
        <v/>
      </c>
      <c r="AO43" s="49">
        <f>IF(AN43="","",COUNTIF(AN$11:AN$1010,"&gt;"&amp;AN43)+COUNTIF(AN$11:AN43,AN43))</f>
        <v/>
      </c>
      <c r="AP43" s="49">
        <f>IF(OR(A43="",B43=""),"",IF(COUNTIF(B$11:B43,B43)=1,MAX(AP$10:AP42)+1,""))</f>
        <v/>
      </c>
    </row>
    <row r="44" ht="24" customHeight="1">
      <c r="A44" s="20" t="n"/>
      <c r="B44" s="10" t="n"/>
      <c r="C44" s="10" t="n"/>
      <c r="D44" s="10" t="n"/>
      <c r="E44" s="10" t="n"/>
      <c r="F44" s="18" t="n"/>
      <c r="G44" s="10" t="n"/>
      <c r="H44" s="12" t="n"/>
      <c r="I44" s="12" t="n"/>
      <c r="J44" s="13">
        <f>IF(OR(A44="",COUNT(H44)=0,COUNT(Z44)=0),"",ROUND(Z44-H44,2))</f>
        <v/>
      </c>
      <c r="K44" s="15">
        <f>IF(COUNT(J44)=0,"",IF(Z44=0,"n.a.",J44/Z44))</f>
        <v/>
      </c>
      <c r="L44" s="14">
        <f>IF(OR(A44="",COUNT(H44)=0,COUNT(Y44)=0),"",ROUND(H44*(1+Y44),2))</f>
        <v/>
      </c>
      <c r="M44" s="10" t="n"/>
      <c r="N44" s="10" t="n"/>
      <c r="O44" s="10" t="n"/>
      <c r="P44" s="10" t="n"/>
      <c r="Q44" s="20" t="n"/>
      <c r="R44" s="10" t="n"/>
      <c r="S44" s="10" t="n"/>
      <c r="T44" s="18" t="n"/>
      <c r="U44" s="18" t="n"/>
      <c r="V44" s="10" t="n"/>
      <c r="W44" s="10" t="n"/>
      <c r="X44" s="19">
        <f>IF(OR(A44="",COUNT(U44)=0,COUNT(AI44)=0),"",U44+AI44)</f>
        <v/>
      </c>
      <c r="Y44" s="16" t="n"/>
      <c r="Z44" s="12" t="n"/>
      <c r="AA44" s="17">
        <f>IF(COUNT(J44)=0,"",IF(H44=0,"n.a.",J44/H44))</f>
        <v/>
      </c>
      <c r="AB44" s="12" t="n"/>
      <c r="AC44" s="12" t="n"/>
      <c r="AD44" s="12" t="n"/>
      <c r="AE44" s="13">
        <f>IF(OR(COUNT(J44)=0,COUNT(AB44:AD44)&lt;3),"",ROUND(J44-SUM(AB44:AD44),2))</f>
        <v/>
      </c>
      <c r="AF44" s="15">
        <f>IF(COUNT(AE44)=0,"",IF(Z44=0,"n.a.",AE44/Z44))</f>
        <v/>
      </c>
      <c r="AG44" s="12" t="n"/>
      <c r="AH44" s="14">
        <f>IF(OR(A44="",COUNT(Z44)=0,COUNT(AG44)=0),"",ROUND(Z44-AG44,2))</f>
        <v/>
      </c>
      <c r="AI44" s="21" t="n"/>
      <c r="AJ44" s="11">
        <f>IF(A44="","",IF(COUNT(I44)=0,"Enter approved NTE",IF(COUNT(Z44)&gt;0,IF(Z44&gt;I44,"Invoice exceeds NTE","Invoice within NTE"),IF(COUNT(L44)=0,"Enter quote inputs",IF(L44&gt;I44,"Quote exceeds NTE","Quote within NTE")))))</f>
        <v/>
      </c>
      <c r="AK44" s="11">
        <f>IF(A44="","",IF(COUNT(H44)=0,"Enter direct cost",IF(COUNT(Z44)=0,"Enter invoice revenue",IF(COUNT(AB44:AD44)&lt;3,"Enter expenses (0 if none)","Complete"))))</f>
        <v/>
      </c>
      <c r="AL44" s="11">
        <f>IF(A44="","",IF(NOT(AND(COUNT(AH44)=1,N(AH44)&gt;0.004,V44&lt;&gt;"Void",V44&lt;&gt;"Not invoiced",V44&lt;&gt;"Draft")),"",IF(COUNT(X44)=0,"No due date",IF(TODAY()-X44&lt;=0,"Not yet due",IF(TODAY()-X44&lt;=30,"1-30 days",IF(TODAY()-X44&lt;=60,"31-60 days",IF(TODAY()-X44&lt;=90,"61-90 days","Over 90 days")))))))</f>
        <v/>
      </c>
      <c r="AM44" s="49">
        <f>IF(OR(AL44="",AL44="No due date"),"",MAX(TODAY()-X44,0))</f>
        <v/>
      </c>
      <c r="AN44" s="49">
        <f>IF(AL44="","",IF(COUNT(X44)=0,-100000,TODAY()-X44))</f>
        <v/>
      </c>
      <c r="AO44" s="49">
        <f>IF(AN44="","",COUNTIF(AN$11:AN$1010,"&gt;"&amp;AN44)+COUNTIF(AN$11:AN44,AN44))</f>
        <v/>
      </c>
      <c r="AP44" s="49">
        <f>IF(OR(A44="",B44=""),"",IF(COUNTIF(B$11:B44,B44)=1,MAX(AP$10:AP43)+1,""))</f>
        <v/>
      </c>
    </row>
    <row r="45" ht="24" customHeight="1">
      <c r="A45" s="20" t="n"/>
      <c r="B45" s="10" t="n"/>
      <c r="C45" s="10" t="n"/>
      <c r="D45" s="10" t="n"/>
      <c r="E45" s="10" t="n"/>
      <c r="F45" s="18" t="n"/>
      <c r="G45" s="10" t="n"/>
      <c r="H45" s="12" t="n"/>
      <c r="I45" s="12" t="n"/>
      <c r="J45" s="13">
        <f>IF(OR(A45="",COUNT(H45)=0,COUNT(Z45)=0),"",ROUND(Z45-H45,2))</f>
        <v/>
      </c>
      <c r="K45" s="15">
        <f>IF(COUNT(J45)=0,"",IF(Z45=0,"n.a.",J45/Z45))</f>
        <v/>
      </c>
      <c r="L45" s="14">
        <f>IF(OR(A45="",COUNT(H45)=0,COUNT(Y45)=0),"",ROUND(H45*(1+Y45),2))</f>
        <v/>
      </c>
      <c r="M45" s="10" t="n"/>
      <c r="N45" s="10" t="n"/>
      <c r="O45" s="10" t="n"/>
      <c r="P45" s="10" t="n"/>
      <c r="Q45" s="20" t="n"/>
      <c r="R45" s="10" t="n"/>
      <c r="S45" s="10" t="n"/>
      <c r="T45" s="18" t="n"/>
      <c r="U45" s="18" t="n"/>
      <c r="V45" s="10" t="n"/>
      <c r="W45" s="10" t="n"/>
      <c r="X45" s="19">
        <f>IF(OR(A45="",COUNT(U45)=0,COUNT(AI45)=0),"",U45+AI45)</f>
        <v/>
      </c>
      <c r="Y45" s="16" t="n"/>
      <c r="Z45" s="12" t="n"/>
      <c r="AA45" s="17">
        <f>IF(COUNT(J45)=0,"",IF(H45=0,"n.a.",J45/H45))</f>
        <v/>
      </c>
      <c r="AB45" s="12" t="n"/>
      <c r="AC45" s="12" t="n"/>
      <c r="AD45" s="12" t="n"/>
      <c r="AE45" s="13">
        <f>IF(OR(COUNT(J45)=0,COUNT(AB45:AD45)&lt;3),"",ROUND(J45-SUM(AB45:AD45),2))</f>
        <v/>
      </c>
      <c r="AF45" s="15">
        <f>IF(COUNT(AE45)=0,"",IF(Z45=0,"n.a.",AE45/Z45))</f>
        <v/>
      </c>
      <c r="AG45" s="12" t="n"/>
      <c r="AH45" s="14">
        <f>IF(OR(A45="",COUNT(Z45)=0,COUNT(AG45)=0),"",ROUND(Z45-AG45,2))</f>
        <v/>
      </c>
      <c r="AI45" s="21" t="n"/>
      <c r="AJ45" s="11">
        <f>IF(A45="","",IF(COUNT(I45)=0,"Enter approved NTE",IF(COUNT(Z45)&gt;0,IF(Z45&gt;I45,"Invoice exceeds NTE","Invoice within NTE"),IF(COUNT(L45)=0,"Enter quote inputs",IF(L45&gt;I45,"Quote exceeds NTE","Quote within NTE")))))</f>
        <v/>
      </c>
      <c r="AK45" s="11">
        <f>IF(A45="","",IF(COUNT(H45)=0,"Enter direct cost",IF(COUNT(Z45)=0,"Enter invoice revenue",IF(COUNT(AB45:AD45)&lt;3,"Enter expenses (0 if none)","Complete"))))</f>
        <v/>
      </c>
      <c r="AL45" s="11">
        <f>IF(A45="","",IF(NOT(AND(COUNT(AH45)=1,N(AH45)&gt;0.004,V45&lt;&gt;"Void",V45&lt;&gt;"Not invoiced",V45&lt;&gt;"Draft")),"",IF(COUNT(X45)=0,"No due date",IF(TODAY()-X45&lt;=0,"Not yet due",IF(TODAY()-X45&lt;=30,"1-30 days",IF(TODAY()-X45&lt;=60,"31-60 days",IF(TODAY()-X45&lt;=90,"61-90 days","Over 90 days")))))))</f>
        <v/>
      </c>
      <c r="AM45" s="49">
        <f>IF(OR(AL45="",AL45="No due date"),"",MAX(TODAY()-X45,0))</f>
        <v/>
      </c>
      <c r="AN45" s="49">
        <f>IF(AL45="","",IF(COUNT(X45)=0,-100000,TODAY()-X45))</f>
        <v/>
      </c>
      <c r="AO45" s="49">
        <f>IF(AN45="","",COUNTIF(AN$11:AN$1010,"&gt;"&amp;AN45)+COUNTIF(AN$11:AN45,AN45))</f>
        <v/>
      </c>
      <c r="AP45" s="49">
        <f>IF(OR(A45="",B45=""),"",IF(COUNTIF(B$11:B45,B45)=1,MAX(AP$10:AP44)+1,""))</f>
        <v/>
      </c>
    </row>
    <row r="46" ht="24" customHeight="1">
      <c r="A46" s="20" t="n"/>
      <c r="B46" s="10" t="n"/>
      <c r="C46" s="10" t="n"/>
      <c r="D46" s="10" t="n"/>
      <c r="E46" s="10" t="n"/>
      <c r="F46" s="18" t="n"/>
      <c r="G46" s="10" t="n"/>
      <c r="H46" s="12" t="n"/>
      <c r="I46" s="12" t="n"/>
      <c r="J46" s="13">
        <f>IF(OR(A46="",COUNT(H46)=0,COUNT(Z46)=0),"",ROUND(Z46-H46,2))</f>
        <v/>
      </c>
      <c r="K46" s="15">
        <f>IF(COUNT(J46)=0,"",IF(Z46=0,"n.a.",J46/Z46))</f>
        <v/>
      </c>
      <c r="L46" s="14">
        <f>IF(OR(A46="",COUNT(H46)=0,COUNT(Y46)=0),"",ROUND(H46*(1+Y46),2))</f>
        <v/>
      </c>
      <c r="M46" s="10" t="n"/>
      <c r="N46" s="10" t="n"/>
      <c r="O46" s="10" t="n"/>
      <c r="P46" s="10" t="n"/>
      <c r="Q46" s="20" t="n"/>
      <c r="R46" s="10" t="n"/>
      <c r="S46" s="10" t="n"/>
      <c r="T46" s="18" t="n"/>
      <c r="U46" s="18" t="n"/>
      <c r="V46" s="10" t="n"/>
      <c r="W46" s="10" t="n"/>
      <c r="X46" s="19">
        <f>IF(OR(A46="",COUNT(U46)=0,COUNT(AI46)=0),"",U46+AI46)</f>
        <v/>
      </c>
      <c r="Y46" s="16" t="n"/>
      <c r="Z46" s="12" t="n"/>
      <c r="AA46" s="17">
        <f>IF(COUNT(J46)=0,"",IF(H46=0,"n.a.",J46/H46))</f>
        <v/>
      </c>
      <c r="AB46" s="12" t="n"/>
      <c r="AC46" s="12" t="n"/>
      <c r="AD46" s="12" t="n"/>
      <c r="AE46" s="13">
        <f>IF(OR(COUNT(J46)=0,COUNT(AB46:AD46)&lt;3),"",ROUND(J46-SUM(AB46:AD46),2))</f>
        <v/>
      </c>
      <c r="AF46" s="15">
        <f>IF(COUNT(AE46)=0,"",IF(Z46=0,"n.a.",AE46/Z46))</f>
        <v/>
      </c>
      <c r="AG46" s="12" t="n"/>
      <c r="AH46" s="14">
        <f>IF(OR(A46="",COUNT(Z46)=0,COUNT(AG46)=0),"",ROUND(Z46-AG46,2))</f>
        <v/>
      </c>
      <c r="AI46" s="21" t="n"/>
      <c r="AJ46" s="11">
        <f>IF(A46="","",IF(COUNT(I46)=0,"Enter approved NTE",IF(COUNT(Z46)&gt;0,IF(Z46&gt;I46,"Invoice exceeds NTE","Invoice within NTE"),IF(COUNT(L46)=0,"Enter quote inputs",IF(L46&gt;I46,"Quote exceeds NTE","Quote within NTE")))))</f>
        <v/>
      </c>
      <c r="AK46" s="11">
        <f>IF(A46="","",IF(COUNT(H46)=0,"Enter direct cost",IF(COUNT(Z46)=0,"Enter invoice revenue",IF(COUNT(AB46:AD46)&lt;3,"Enter expenses (0 if none)","Complete"))))</f>
        <v/>
      </c>
      <c r="AL46" s="11">
        <f>IF(A46="","",IF(NOT(AND(COUNT(AH46)=1,N(AH46)&gt;0.004,V46&lt;&gt;"Void",V46&lt;&gt;"Not invoiced",V46&lt;&gt;"Draft")),"",IF(COUNT(X46)=0,"No due date",IF(TODAY()-X46&lt;=0,"Not yet due",IF(TODAY()-X46&lt;=30,"1-30 days",IF(TODAY()-X46&lt;=60,"31-60 days",IF(TODAY()-X46&lt;=90,"61-90 days","Over 90 days")))))))</f>
        <v/>
      </c>
      <c r="AM46" s="49">
        <f>IF(OR(AL46="",AL46="No due date"),"",MAX(TODAY()-X46,0))</f>
        <v/>
      </c>
      <c r="AN46" s="49">
        <f>IF(AL46="","",IF(COUNT(X46)=0,-100000,TODAY()-X46))</f>
        <v/>
      </c>
      <c r="AO46" s="49">
        <f>IF(AN46="","",COUNTIF(AN$11:AN$1010,"&gt;"&amp;AN46)+COUNTIF(AN$11:AN46,AN46))</f>
        <v/>
      </c>
      <c r="AP46" s="49">
        <f>IF(OR(A46="",B46=""),"",IF(COUNTIF(B$11:B46,B46)=1,MAX(AP$10:AP45)+1,""))</f>
        <v/>
      </c>
    </row>
    <row r="47" ht="24" customHeight="1">
      <c r="A47" s="20" t="n"/>
      <c r="B47" s="10" t="n"/>
      <c r="C47" s="10" t="n"/>
      <c r="D47" s="10" t="n"/>
      <c r="E47" s="10" t="n"/>
      <c r="F47" s="18" t="n"/>
      <c r="G47" s="10" t="n"/>
      <c r="H47" s="12" t="n"/>
      <c r="I47" s="12" t="n"/>
      <c r="J47" s="13">
        <f>IF(OR(A47="",COUNT(H47)=0,COUNT(Z47)=0),"",ROUND(Z47-H47,2))</f>
        <v/>
      </c>
      <c r="K47" s="15">
        <f>IF(COUNT(J47)=0,"",IF(Z47=0,"n.a.",J47/Z47))</f>
        <v/>
      </c>
      <c r="L47" s="14">
        <f>IF(OR(A47="",COUNT(H47)=0,COUNT(Y47)=0),"",ROUND(H47*(1+Y47),2))</f>
        <v/>
      </c>
      <c r="M47" s="10" t="n"/>
      <c r="N47" s="10" t="n"/>
      <c r="O47" s="10" t="n"/>
      <c r="P47" s="10" t="n"/>
      <c r="Q47" s="20" t="n"/>
      <c r="R47" s="10" t="n"/>
      <c r="S47" s="10" t="n"/>
      <c r="T47" s="18" t="n"/>
      <c r="U47" s="18" t="n"/>
      <c r="V47" s="10" t="n"/>
      <c r="W47" s="10" t="n"/>
      <c r="X47" s="19">
        <f>IF(OR(A47="",COUNT(U47)=0,COUNT(AI47)=0),"",U47+AI47)</f>
        <v/>
      </c>
      <c r="Y47" s="16" t="n"/>
      <c r="Z47" s="12" t="n"/>
      <c r="AA47" s="17">
        <f>IF(COUNT(J47)=0,"",IF(H47=0,"n.a.",J47/H47))</f>
        <v/>
      </c>
      <c r="AB47" s="12" t="n"/>
      <c r="AC47" s="12" t="n"/>
      <c r="AD47" s="12" t="n"/>
      <c r="AE47" s="13">
        <f>IF(OR(COUNT(J47)=0,COUNT(AB47:AD47)&lt;3),"",ROUND(J47-SUM(AB47:AD47),2))</f>
        <v/>
      </c>
      <c r="AF47" s="15">
        <f>IF(COUNT(AE47)=0,"",IF(Z47=0,"n.a.",AE47/Z47))</f>
        <v/>
      </c>
      <c r="AG47" s="12" t="n"/>
      <c r="AH47" s="14">
        <f>IF(OR(A47="",COUNT(Z47)=0,COUNT(AG47)=0),"",ROUND(Z47-AG47,2))</f>
        <v/>
      </c>
      <c r="AI47" s="21" t="n"/>
      <c r="AJ47" s="11">
        <f>IF(A47="","",IF(COUNT(I47)=0,"Enter approved NTE",IF(COUNT(Z47)&gt;0,IF(Z47&gt;I47,"Invoice exceeds NTE","Invoice within NTE"),IF(COUNT(L47)=0,"Enter quote inputs",IF(L47&gt;I47,"Quote exceeds NTE","Quote within NTE")))))</f>
        <v/>
      </c>
      <c r="AK47" s="11">
        <f>IF(A47="","",IF(COUNT(H47)=0,"Enter direct cost",IF(COUNT(Z47)=0,"Enter invoice revenue",IF(COUNT(AB47:AD47)&lt;3,"Enter expenses (0 if none)","Complete"))))</f>
        <v/>
      </c>
      <c r="AL47" s="11">
        <f>IF(A47="","",IF(NOT(AND(COUNT(AH47)=1,N(AH47)&gt;0.004,V47&lt;&gt;"Void",V47&lt;&gt;"Not invoiced",V47&lt;&gt;"Draft")),"",IF(COUNT(X47)=0,"No due date",IF(TODAY()-X47&lt;=0,"Not yet due",IF(TODAY()-X47&lt;=30,"1-30 days",IF(TODAY()-X47&lt;=60,"31-60 days",IF(TODAY()-X47&lt;=90,"61-90 days","Over 90 days")))))))</f>
        <v/>
      </c>
      <c r="AM47" s="49">
        <f>IF(OR(AL47="",AL47="No due date"),"",MAX(TODAY()-X47,0))</f>
        <v/>
      </c>
      <c r="AN47" s="49">
        <f>IF(AL47="","",IF(COUNT(X47)=0,-100000,TODAY()-X47))</f>
        <v/>
      </c>
      <c r="AO47" s="49">
        <f>IF(AN47="","",COUNTIF(AN$11:AN$1010,"&gt;"&amp;AN47)+COUNTIF(AN$11:AN47,AN47))</f>
        <v/>
      </c>
      <c r="AP47" s="49">
        <f>IF(OR(A47="",B47=""),"",IF(COUNTIF(B$11:B47,B47)=1,MAX(AP$10:AP46)+1,""))</f>
        <v/>
      </c>
    </row>
    <row r="48" ht="24" customHeight="1">
      <c r="A48" s="20" t="n"/>
      <c r="B48" s="10" t="n"/>
      <c r="C48" s="10" t="n"/>
      <c r="D48" s="10" t="n"/>
      <c r="E48" s="10" t="n"/>
      <c r="F48" s="18" t="n"/>
      <c r="G48" s="10" t="n"/>
      <c r="H48" s="12" t="n"/>
      <c r="I48" s="12" t="n"/>
      <c r="J48" s="13">
        <f>IF(OR(A48="",COUNT(H48)=0,COUNT(Z48)=0),"",ROUND(Z48-H48,2))</f>
        <v/>
      </c>
      <c r="K48" s="15">
        <f>IF(COUNT(J48)=0,"",IF(Z48=0,"n.a.",J48/Z48))</f>
        <v/>
      </c>
      <c r="L48" s="14">
        <f>IF(OR(A48="",COUNT(H48)=0,COUNT(Y48)=0),"",ROUND(H48*(1+Y48),2))</f>
        <v/>
      </c>
      <c r="M48" s="10" t="n"/>
      <c r="N48" s="10" t="n"/>
      <c r="O48" s="10" t="n"/>
      <c r="P48" s="10" t="n"/>
      <c r="Q48" s="20" t="n"/>
      <c r="R48" s="10" t="n"/>
      <c r="S48" s="10" t="n"/>
      <c r="T48" s="18" t="n"/>
      <c r="U48" s="18" t="n"/>
      <c r="V48" s="10" t="n"/>
      <c r="W48" s="10" t="n"/>
      <c r="X48" s="19">
        <f>IF(OR(A48="",COUNT(U48)=0,COUNT(AI48)=0),"",U48+AI48)</f>
        <v/>
      </c>
      <c r="Y48" s="16" t="n"/>
      <c r="Z48" s="12" t="n"/>
      <c r="AA48" s="17">
        <f>IF(COUNT(J48)=0,"",IF(H48=0,"n.a.",J48/H48))</f>
        <v/>
      </c>
      <c r="AB48" s="12" t="n"/>
      <c r="AC48" s="12" t="n"/>
      <c r="AD48" s="12" t="n"/>
      <c r="AE48" s="13">
        <f>IF(OR(COUNT(J48)=0,COUNT(AB48:AD48)&lt;3),"",ROUND(J48-SUM(AB48:AD48),2))</f>
        <v/>
      </c>
      <c r="AF48" s="15">
        <f>IF(COUNT(AE48)=0,"",IF(Z48=0,"n.a.",AE48/Z48))</f>
        <v/>
      </c>
      <c r="AG48" s="12" t="n"/>
      <c r="AH48" s="14">
        <f>IF(OR(A48="",COUNT(Z48)=0,COUNT(AG48)=0),"",ROUND(Z48-AG48,2))</f>
        <v/>
      </c>
      <c r="AI48" s="21" t="n"/>
      <c r="AJ48" s="11">
        <f>IF(A48="","",IF(COUNT(I48)=0,"Enter approved NTE",IF(COUNT(Z48)&gt;0,IF(Z48&gt;I48,"Invoice exceeds NTE","Invoice within NTE"),IF(COUNT(L48)=0,"Enter quote inputs",IF(L48&gt;I48,"Quote exceeds NTE","Quote within NTE")))))</f>
        <v/>
      </c>
      <c r="AK48" s="11">
        <f>IF(A48="","",IF(COUNT(H48)=0,"Enter direct cost",IF(COUNT(Z48)=0,"Enter invoice revenue",IF(COUNT(AB48:AD48)&lt;3,"Enter expenses (0 if none)","Complete"))))</f>
        <v/>
      </c>
      <c r="AL48" s="11">
        <f>IF(A48="","",IF(NOT(AND(COUNT(AH48)=1,N(AH48)&gt;0.004,V48&lt;&gt;"Void",V48&lt;&gt;"Not invoiced",V48&lt;&gt;"Draft")),"",IF(COUNT(X48)=0,"No due date",IF(TODAY()-X48&lt;=0,"Not yet due",IF(TODAY()-X48&lt;=30,"1-30 days",IF(TODAY()-X48&lt;=60,"31-60 days",IF(TODAY()-X48&lt;=90,"61-90 days","Over 90 days")))))))</f>
        <v/>
      </c>
      <c r="AM48" s="49">
        <f>IF(OR(AL48="",AL48="No due date"),"",MAX(TODAY()-X48,0))</f>
        <v/>
      </c>
      <c r="AN48" s="49">
        <f>IF(AL48="","",IF(COUNT(X48)=0,-100000,TODAY()-X48))</f>
        <v/>
      </c>
      <c r="AO48" s="49">
        <f>IF(AN48="","",COUNTIF(AN$11:AN$1010,"&gt;"&amp;AN48)+COUNTIF(AN$11:AN48,AN48))</f>
        <v/>
      </c>
      <c r="AP48" s="49">
        <f>IF(OR(A48="",B48=""),"",IF(COUNTIF(B$11:B48,B48)=1,MAX(AP$10:AP47)+1,""))</f>
        <v/>
      </c>
    </row>
    <row r="49" ht="24" customHeight="1">
      <c r="A49" s="20" t="n"/>
      <c r="B49" s="10" t="n"/>
      <c r="C49" s="10" t="n"/>
      <c r="D49" s="10" t="n"/>
      <c r="E49" s="10" t="n"/>
      <c r="F49" s="18" t="n"/>
      <c r="G49" s="10" t="n"/>
      <c r="H49" s="12" t="n"/>
      <c r="I49" s="12" t="n"/>
      <c r="J49" s="13">
        <f>IF(OR(A49="",COUNT(H49)=0,COUNT(Z49)=0),"",ROUND(Z49-H49,2))</f>
        <v/>
      </c>
      <c r="K49" s="15">
        <f>IF(COUNT(J49)=0,"",IF(Z49=0,"n.a.",J49/Z49))</f>
        <v/>
      </c>
      <c r="L49" s="14">
        <f>IF(OR(A49="",COUNT(H49)=0,COUNT(Y49)=0),"",ROUND(H49*(1+Y49),2))</f>
        <v/>
      </c>
      <c r="M49" s="10" t="n"/>
      <c r="N49" s="10" t="n"/>
      <c r="O49" s="10" t="n"/>
      <c r="P49" s="10" t="n"/>
      <c r="Q49" s="20" t="n"/>
      <c r="R49" s="10" t="n"/>
      <c r="S49" s="10" t="n"/>
      <c r="T49" s="18" t="n"/>
      <c r="U49" s="18" t="n"/>
      <c r="V49" s="10" t="n"/>
      <c r="W49" s="10" t="n"/>
      <c r="X49" s="19">
        <f>IF(OR(A49="",COUNT(U49)=0,COUNT(AI49)=0),"",U49+AI49)</f>
        <v/>
      </c>
      <c r="Y49" s="16" t="n"/>
      <c r="Z49" s="12" t="n"/>
      <c r="AA49" s="17">
        <f>IF(COUNT(J49)=0,"",IF(H49=0,"n.a.",J49/H49))</f>
        <v/>
      </c>
      <c r="AB49" s="12" t="n"/>
      <c r="AC49" s="12" t="n"/>
      <c r="AD49" s="12" t="n"/>
      <c r="AE49" s="13">
        <f>IF(OR(COUNT(J49)=0,COUNT(AB49:AD49)&lt;3),"",ROUND(J49-SUM(AB49:AD49),2))</f>
        <v/>
      </c>
      <c r="AF49" s="15">
        <f>IF(COUNT(AE49)=0,"",IF(Z49=0,"n.a.",AE49/Z49))</f>
        <v/>
      </c>
      <c r="AG49" s="12" t="n"/>
      <c r="AH49" s="14">
        <f>IF(OR(A49="",COUNT(Z49)=0,COUNT(AG49)=0),"",ROUND(Z49-AG49,2))</f>
        <v/>
      </c>
      <c r="AI49" s="21" t="n"/>
      <c r="AJ49" s="11">
        <f>IF(A49="","",IF(COUNT(I49)=0,"Enter approved NTE",IF(COUNT(Z49)&gt;0,IF(Z49&gt;I49,"Invoice exceeds NTE","Invoice within NTE"),IF(COUNT(L49)=0,"Enter quote inputs",IF(L49&gt;I49,"Quote exceeds NTE","Quote within NTE")))))</f>
        <v/>
      </c>
      <c r="AK49" s="11">
        <f>IF(A49="","",IF(COUNT(H49)=0,"Enter direct cost",IF(COUNT(Z49)=0,"Enter invoice revenue",IF(COUNT(AB49:AD49)&lt;3,"Enter expenses (0 if none)","Complete"))))</f>
        <v/>
      </c>
      <c r="AL49" s="11">
        <f>IF(A49="","",IF(NOT(AND(COUNT(AH49)=1,N(AH49)&gt;0.004,V49&lt;&gt;"Void",V49&lt;&gt;"Not invoiced",V49&lt;&gt;"Draft")),"",IF(COUNT(X49)=0,"No due date",IF(TODAY()-X49&lt;=0,"Not yet due",IF(TODAY()-X49&lt;=30,"1-30 days",IF(TODAY()-X49&lt;=60,"31-60 days",IF(TODAY()-X49&lt;=90,"61-90 days","Over 90 days")))))))</f>
        <v/>
      </c>
      <c r="AM49" s="49">
        <f>IF(OR(AL49="",AL49="No due date"),"",MAX(TODAY()-X49,0))</f>
        <v/>
      </c>
      <c r="AN49" s="49">
        <f>IF(AL49="","",IF(COUNT(X49)=0,-100000,TODAY()-X49))</f>
        <v/>
      </c>
      <c r="AO49" s="49">
        <f>IF(AN49="","",COUNTIF(AN$11:AN$1010,"&gt;"&amp;AN49)+COUNTIF(AN$11:AN49,AN49))</f>
        <v/>
      </c>
      <c r="AP49" s="49">
        <f>IF(OR(A49="",B49=""),"",IF(COUNTIF(B$11:B49,B49)=1,MAX(AP$10:AP48)+1,""))</f>
        <v/>
      </c>
    </row>
    <row r="50" ht="24" customHeight="1">
      <c r="A50" s="20" t="n"/>
      <c r="B50" s="10" t="n"/>
      <c r="C50" s="10" t="n"/>
      <c r="D50" s="10" t="n"/>
      <c r="E50" s="10" t="n"/>
      <c r="F50" s="18" t="n"/>
      <c r="G50" s="10" t="n"/>
      <c r="H50" s="12" t="n"/>
      <c r="I50" s="12" t="n"/>
      <c r="J50" s="13">
        <f>IF(OR(A50="",COUNT(H50)=0,COUNT(Z50)=0),"",ROUND(Z50-H50,2))</f>
        <v/>
      </c>
      <c r="K50" s="15">
        <f>IF(COUNT(J50)=0,"",IF(Z50=0,"n.a.",J50/Z50))</f>
        <v/>
      </c>
      <c r="L50" s="14">
        <f>IF(OR(A50="",COUNT(H50)=0,COUNT(Y50)=0),"",ROUND(H50*(1+Y50),2))</f>
        <v/>
      </c>
      <c r="M50" s="10" t="n"/>
      <c r="N50" s="10" t="n"/>
      <c r="O50" s="10" t="n"/>
      <c r="P50" s="10" t="n"/>
      <c r="Q50" s="20" t="n"/>
      <c r="R50" s="10" t="n"/>
      <c r="S50" s="10" t="n"/>
      <c r="T50" s="18" t="n"/>
      <c r="U50" s="18" t="n"/>
      <c r="V50" s="10" t="n"/>
      <c r="W50" s="10" t="n"/>
      <c r="X50" s="19">
        <f>IF(OR(A50="",COUNT(U50)=0,COUNT(AI50)=0),"",U50+AI50)</f>
        <v/>
      </c>
      <c r="Y50" s="16" t="n"/>
      <c r="Z50" s="12" t="n"/>
      <c r="AA50" s="17">
        <f>IF(COUNT(J50)=0,"",IF(H50=0,"n.a.",J50/H50))</f>
        <v/>
      </c>
      <c r="AB50" s="12" t="n"/>
      <c r="AC50" s="12" t="n"/>
      <c r="AD50" s="12" t="n"/>
      <c r="AE50" s="13">
        <f>IF(OR(COUNT(J50)=0,COUNT(AB50:AD50)&lt;3),"",ROUND(J50-SUM(AB50:AD50),2))</f>
        <v/>
      </c>
      <c r="AF50" s="15">
        <f>IF(COUNT(AE50)=0,"",IF(Z50=0,"n.a.",AE50/Z50))</f>
        <v/>
      </c>
      <c r="AG50" s="12" t="n"/>
      <c r="AH50" s="14">
        <f>IF(OR(A50="",COUNT(Z50)=0,COUNT(AG50)=0),"",ROUND(Z50-AG50,2))</f>
        <v/>
      </c>
      <c r="AI50" s="21" t="n"/>
      <c r="AJ50" s="11">
        <f>IF(A50="","",IF(COUNT(I50)=0,"Enter approved NTE",IF(COUNT(Z50)&gt;0,IF(Z50&gt;I50,"Invoice exceeds NTE","Invoice within NTE"),IF(COUNT(L50)=0,"Enter quote inputs",IF(L50&gt;I50,"Quote exceeds NTE","Quote within NTE")))))</f>
        <v/>
      </c>
      <c r="AK50" s="11">
        <f>IF(A50="","",IF(COUNT(H50)=0,"Enter direct cost",IF(COUNT(Z50)=0,"Enter invoice revenue",IF(COUNT(AB50:AD50)&lt;3,"Enter expenses (0 if none)","Complete"))))</f>
        <v/>
      </c>
      <c r="AL50" s="11">
        <f>IF(A50="","",IF(NOT(AND(COUNT(AH50)=1,N(AH50)&gt;0.004,V50&lt;&gt;"Void",V50&lt;&gt;"Not invoiced",V50&lt;&gt;"Draft")),"",IF(COUNT(X50)=0,"No due date",IF(TODAY()-X50&lt;=0,"Not yet due",IF(TODAY()-X50&lt;=30,"1-30 days",IF(TODAY()-X50&lt;=60,"31-60 days",IF(TODAY()-X50&lt;=90,"61-90 days","Over 90 days")))))))</f>
        <v/>
      </c>
      <c r="AM50" s="49">
        <f>IF(OR(AL50="",AL50="No due date"),"",MAX(TODAY()-X50,0))</f>
        <v/>
      </c>
      <c r="AN50" s="49">
        <f>IF(AL50="","",IF(COUNT(X50)=0,-100000,TODAY()-X50))</f>
        <v/>
      </c>
      <c r="AO50" s="49">
        <f>IF(AN50="","",COUNTIF(AN$11:AN$1010,"&gt;"&amp;AN50)+COUNTIF(AN$11:AN50,AN50))</f>
        <v/>
      </c>
      <c r="AP50" s="49">
        <f>IF(OR(A50="",B50=""),"",IF(COUNTIF(B$11:B50,B50)=1,MAX(AP$10:AP49)+1,""))</f>
        <v/>
      </c>
    </row>
    <row r="51" ht="24" customHeight="1">
      <c r="A51" s="20" t="n"/>
      <c r="B51" s="10" t="n"/>
      <c r="C51" s="10" t="n"/>
      <c r="D51" s="10" t="n"/>
      <c r="E51" s="10" t="n"/>
      <c r="F51" s="18" t="n"/>
      <c r="G51" s="10" t="n"/>
      <c r="H51" s="12" t="n"/>
      <c r="I51" s="12" t="n"/>
      <c r="J51" s="13">
        <f>IF(OR(A51="",COUNT(H51)=0,COUNT(Z51)=0),"",ROUND(Z51-H51,2))</f>
        <v/>
      </c>
      <c r="K51" s="15">
        <f>IF(COUNT(J51)=0,"",IF(Z51=0,"n.a.",J51/Z51))</f>
        <v/>
      </c>
      <c r="L51" s="14">
        <f>IF(OR(A51="",COUNT(H51)=0,COUNT(Y51)=0),"",ROUND(H51*(1+Y51),2))</f>
        <v/>
      </c>
      <c r="M51" s="10" t="n"/>
      <c r="N51" s="10" t="n"/>
      <c r="O51" s="10" t="n"/>
      <c r="P51" s="10" t="n"/>
      <c r="Q51" s="20" t="n"/>
      <c r="R51" s="10" t="n"/>
      <c r="S51" s="10" t="n"/>
      <c r="T51" s="18" t="n"/>
      <c r="U51" s="18" t="n"/>
      <c r="V51" s="10" t="n"/>
      <c r="W51" s="10" t="n"/>
      <c r="X51" s="19">
        <f>IF(OR(A51="",COUNT(U51)=0,COUNT(AI51)=0),"",U51+AI51)</f>
        <v/>
      </c>
      <c r="Y51" s="16" t="n"/>
      <c r="Z51" s="12" t="n"/>
      <c r="AA51" s="17">
        <f>IF(COUNT(J51)=0,"",IF(H51=0,"n.a.",J51/H51))</f>
        <v/>
      </c>
      <c r="AB51" s="12" t="n"/>
      <c r="AC51" s="12" t="n"/>
      <c r="AD51" s="12" t="n"/>
      <c r="AE51" s="13">
        <f>IF(OR(COUNT(J51)=0,COUNT(AB51:AD51)&lt;3),"",ROUND(J51-SUM(AB51:AD51),2))</f>
        <v/>
      </c>
      <c r="AF51" s="15">
        <f>IF(COUNT(AE51)=0,"",IF(Z51=0,"n.a.",AE51/Z51))</f>
        <v/>
      </c>
      <c r="AG51" s="12" t="n"/>
      <c r="AH51" s="14">
        <f>IF(OR(A51="",COUNT(Z51)=0,COUNT(AG51)=0),"",ROUND(Z51-AG51,2))</f>
        <v/>
      </c>
      <c r="AI51" s="21" t="n"/>
      <c r="AJ51" s="11">
        <f>IF(A51="","",IF(COUNT(I51)=0,"Enter approved NTE",IF(COUNT(Z51)&gt;0,IF(Z51&gt;I51,"Invoice exceeds NTE","Invoice within NTE"),IF(COUNT(L51)=0,"Enter quote inputs",IF(L51&gt;I51,"Quote exceeds NTE","Quote within NTE")))))</f>
        <v/>
      </c>
      <c r="AK51" s="11">
        <f>IF(A51="","",IF(COUNT(H51)=0,"Enter direct cost",IF(COUNT(Z51)=0,"Enter invoice revenue",IF(COUNT(AB51:AD51)&lt;3,"Enter expenses (0 if none)","Complete"))))</f>
        <v/>
      </c>
      <c r="AL51" s="11">
        <f>IF(A51="","",IF(NOT(AND(COUNT(AH51)=1,N(AH51)&gt;0.004,V51&lt;&gt;"Void",V51&lt;&gt;"Not invoiced",V51&lt;&gt;"Draft")),"",IF(COUNT(X51)=0,"No due date",IF(TODAY()-X51&lt;=0,"Not yet due",IF(TODAY()-X51&lt;=30,"1-30 days",IF(TODAY()-X51&lt;=60,"31-60 days",IF(TODAY()-X51&lt;=90,"61-90 days","Over 90 days")))))))</f>
        <v/>
      </c>
      <c r="AM51" s="49">
        <f>IF(OR(AL51="",AL51="No due date"),"",MAX(TODAY()-X51,0))</f>
        <v/>
      </c>
      <c r="AN51" s="49">
        <f>IF(AL51="","",IF(COUNT(X51)=0,-100000,TODAY()-X51))</f>
        <v/>
      </c>
      <c r="AO51" s="49">
        <f>IF(AN51="","",COUNTIF(AN$11:AN$1010,"&gt;"&amp;AN51)+COUNTIF(AN$11:AN51,AN51))</f>
        <v/>
      </c>
      <c r="AP51" s="49">
        <f>IF(OR(A51="",B51=""),"",IF(COUNTIF(B$11:B51,B51)=1,MAX(AP$10:AP50)+1,""))</f>
        <v/>
      </c>
    </row>
    <row r="52" ht="24" customHeight="1">
      <c r="A52" s="20" t="n"/>
      <c r="B52" s="10" t="n"/>
      <c r="C52" s="10" t="n"/>
      <c r="D52" s="10" t="n"/>
      <c r="E52" s="10" t="n"/>
      <c r="F52" s="18" t="n"/>
      <c r="G52" s="10" t="n"/>
      <c r="H52" s="12" t="n"/>
      <c r="I52" s="12" t="n"/>
      <c r="J52" s="13">
        <f>IF(OR(A52="",COUNT(H52)=0,COUNT(Z52)=0),"",ROUND(Z52-H52,2))</f>
        <v/>
      </c>
      <c r="K52" s="15">
        <f>IF(COUNT(J52)=0,"",IF(Z52=0,"n.a.",J52/Z52))</f>
        <v/>
      </c>
      <c r="L52" s="14">
        <f>IF(OR(A52="",COUNT(H52)=0,COUNT(Y52)=0),"",ROUND(H52*(1+Y52),2))</f>
        <v/>
      </c>
      <c r="M52" s="10" t="n"/>
      <c r="N52" s="10" t="n"/>
      <c r="O52" s="10" t="n"/>
      <c r="P52" s="10" t="n"/>
      <c r="Q52" s="20" t="n"/>
      <c r="R52" s="10" t="n"/>
      <c r="S52" s="10" t="n"/>
      <c r="T52" s="18" t="n"/>
      <c r="U52" s="18" t="n"/>
      <c r="V52" s="10" t="n"/>
      <c r="W52" s="10" t="n"/>
      <c r="X52" s="19">
        <f>IF(OR(A52="",COUNT(U52)=0,COUNT(AI52)=0),"",U52+AI52)</f>
        <v/>
      </c>
      <c r="Y52" s="16" t="n"/>
      <c r="Z52" s="12" t="n"/>
      <c r="AA52" s="17">
        <f>IF(COUNT(J52)=0,"",IF(H52=0,"n.a.",J52/H52))</f>
        <v/>
      </c>
      <c r="AB52" s="12" t="n"/>
      <c r="AC52" s="12" t="n"/>
      <c r="AD52" s="12" t="n"/>
      <c r="AE52" s="13">
        <f>IF(OR(COUNT(J52)=0,COUNT(AB52:AD52)&lt;3),"",ROUND(J52-SUM(AB52:AD52),2))</f>
        <v/>
      </c>
      <c r="AF52" s="15">
        <f>IF(COUNT(AE52)=0,"",IF(Z52=0,"n.a.",AE52/Z52))</f>
        <v/>
      </c>
      <c r="AG52" s="12" t="n"/>
      <c r="AH52" s="14">
        <f>IF(OR(A52="",COUNT(Z52)=0,COUNT(AG52)=0),"",ROUND(Z52-AG52,2))</f>
        <v/>
      </c>
      <c r="AI52" s="21" t="n"/>
      <c r="AJ52" s="11">
        <f>IF(A52="","",IF(COUNT(I52)=0,"Enter approved NTE",IF(COUNT(Z52)&gt;0,IF(Z52&gt;I52,"Invoice exceeds NTE","Invoice within NTE"),IF(COUNT(L52)=0,"Enter quote inputs",IF(L52&gt;I52,"Quote exceeds NTE","Quote within NTE")))))</f>
        <v/>
      </c>
      <c r="AK52" s="11">
        <f>IF(A52="","",IF(COUNT(H52)=0,"Enter direct cost",IF(COUNT(Z52)=0,"Enter invoice revenue",IF(COUNT(AB52:AD52)&lt;3,"Enter expenses (0 if none)","Complete"))))</f>
        <v/>
      </c>
      <c r="AL52" s="11">
        <f>IF(A52="","",IF(NOT(AND(COUNT(AH52)=1,N(AH52)&gt;0.004,V52&lt;&gt;"Void",V52&lt;&gt;"Not invoiced",V52&lt;&gt;"Draft")),"",IF(COUNT(X52)=0,"No due date",IF(TODAY()-X52&lt;=0,"Not yet due",IF(TODAY()-X52&lt;=30,"1-30 days",IF(TODAY()-X52&lt;=60,"31-60 days",IF(TODAY()-X52&lt;=90,"61-90 days","Over 90 days")))))))</f>
        <v/>
      </c>
      <c r="AM52" s="49">
        <f>IF(OR(AL52="",AL52="No due date"),"",MAX(TODAY()-X52,0))</f>
        <v/>
      </c>
      <c r="AN52" s="49">
        <f>IF(AL52="","",IF(COUNT(X52)=0,-100000,TODAY()-X52))</f>
        <v/>
      </c>
      <c r="AO52" s="49">
        <f>IF(AN52="","",COUNTIF(AN$11:AN$1010,"&gt;"&amp;AN52)+COUNTIF(AN$11:AN52,AN52))</f>
        <v/>
      </c>
      <c r="AP52" s="49">
        <f>IF(OR(A52="",B52=""),"",IF(COUNTIF(B$11:B52,B52)=1,MAX(AP$10:AP51)+1,""))</f>
        <v/>
      </c>
    </row>
    <row r="53" ht="24" customHeight="1">
      <c r="A53" s="20" t="n"/>
      <c r="B53" s="10" t="n"/>
      <c r="C53" s="10" t="n"/>
      <c r="D53" s="10" t="n"/>
      <c r="E53" s="10" t="n"/>
      <c r="F53" s="18" t="n"/>
      <c r="G53" s="10" t="n"/>
      <c r="H53" s="12" t="n"/>
      <c r="I53" s="12" t="n"/>
      <c r="J53" s="13">
        <f>IF(OR(A53="",COUNT(H53)=0,COUNT(Z53)=0),"",ROUND(Z53-H53,2))</f>
        <v/>
      </c>
      <c r="K53" s="15">
        <f>IF(COUNT(J53)=0,"",IF(Z53=0,"n.a.",J53/Z53))</f>
        <v/>
      </c>
      <c r="L53" s="14">
        <f>IF(OR(A53="",COUNT(H53)=0,COUNT(Y53)=0),"",ROUND(H53*(1+Y53),2))</f>
        <v/>
      </c>
      <c r="M53" s="10" t="n"/>
      <c r="N53" s="10" t="n"/>
      <c r="O53" s="10" t="n"/>
      <c r="P53" s="10" t="n"/>
      <c r="Q53" s="20" t="n"/>
      <c r="R53" s="10" t="n"/>
      <c r="S53" s="10" t="n"/>
      <c r="T53" s="18" t="n"/>
      <c r="U53" s="18" t="n"/>
      <c r="V53" s="10" t="n"/>
      <c r="W53" s="10" t="n"/>
      <c r="X53" s="19">
        <f>IF(OR(A53="",COUNT(U53)=0,COUNT(AI53)=0),"",U53+AI53)</f>
        <v/>
      </c>
      <c r="Y53" s="16" t="n"/>
      <c r="Z53" s="12" t="n"/>
      <c r="AA53" s="17">
        <f>IF(COUNT(J53)=0,"",IF(H53=0,"n.a.",J53/H53))</f>
        <v/>
      </c>
      <c r="AB53" s="12" t="n"/>
      <c r="AC53" s="12" t="n"/>
      <c r="AD53" s="12" t="n"/>
      <c r="AE53" s="13">
        <f>IF(OR(COUNT(J53)=0,COUNT(AB53:AD53)&lt;3),"",ROUND(J53-SUM(AB53:AD53),2))</f>
        <v/>
      </c>
      <c r="AF53" s="15">
        <f>IF(COUNT(AE53)=0,"",IF(Z53=0,"n.a.",AE53/Z53))</f>
        <v/>
      </c>
      <c r="AG53" s="12" t="n"/>
      <c r="AH53" s="14">
        <f>IF(OR(A53="",COUNT(Z53)=0,COUNT(AG53)=0),"",ROUND(Z53-AG53,2))</f>
        <v/>
      </c>
      <c r="AI53" s="21" t="n"/>
      <c r="AJ53" s="11">
        <f>IF(A53="","",IF(COUNT(I53)=0,"Enter approved NTE",IF(COUNT(Z53)&gt;0,IF(Z53&gt;I53,"Invoice exceeds NTE","Invoice within NTE"),IF(COUNT(L53)=0,"Enter quote inputs",IF(L53&gt;I53,"Quote exceeds NTE","Quote within NTE")))))</f>
        <v/>
      </c>
      <c r="AK53" s="11">
        <f>IF(A53="","",IF(COUNT(H53)=0,"Enter direct cost",IF(COUNT(Z53)=0,"Enter invoice revenue",IF(COUNT(AB53:AD53)&lt;3,"Enter expenses (0 if none)","Complete"))))</f>
        <v/>
      </c>
      <c r="AL53" s="11">
        <f>IF(A53="","",IF(NOT(AND(COUNT(AH53)=1,N(AH53)&gt;0.004,V53&lt;&gt;"Void",V53&lt;&gt;"Not invoiced",V53&lt;&gt;"Draft")),"",IF(COUNT(X53)=0,"No due date",IF(TODAY()-X53&lt;=0,"Not yet due",IF(TODAY()-X53&lt;=30,"1-30 days",IF(TODAY()-X53&lt;=60,"31-60 days",IF(TODAY()-X53&lt;=90,"61-90 days","Over 90 days")))))))</f>
        <v/>
      </c>
      <c r="AM53" s="49">
        <f>IF(OR(AL53="",AL53="No due date"),"",MAX(TODAY()-X53,0))</f>
        <v/>
      </c>
      <c r="AN53" s="49">
        <f>IF(AL53="","",IF(COUNT(X53)=0,-100000,TODAY()-X53))</f>
        <v/>
      </c>
      <c r="AO53" s="49">
        <f>IF(AN53="","",COUNTIF(AN$11:AN$1010,"&gt;"&amp;AN53)+COUNTIF(AN$11:AN53,AN53))</f>
        <v/>
      </c>
      <c r="AP53" s="49">
        <f>IF(OR(A53="",B53=""),"",IF(COUNTIF(B$11:B53,B53)=1,MAX(AP$10:AP52)+1,""))</f>
        <v/>
      </c>
    </row>
    <row r="54" ht="24" customHeight="1">
      <c r="A54" s="20" t="n"/>
      <c r="B54" s="10" t="n"/>
      <c r="C54" s="10" t="n"/>
      <c r="D54" s="10" t="n"/>
      <c r="E54" s="10" t="n"/>
      <c r="F54" s="18" t="n"/>
      <c r="G54" s="10" t="n"/>
      <c r="H54" s="12" t="n"/>
      <c r="I54" s="12" t="n"/>
      <c r="J54" s="13">
        <f>IF(OR(A54="",COUNT(H54)=0,COUNT(Z54)=0),"",ROUND(Z54-H54,2))</f>
        <v/>
      </c>
      <c r="K54" s="15">
        <f>IF(COUNT(J54)=0,"",IF(Z54=0,"n.a.",J54/Z54))</f>
        <v/>
      </c>
      <c r="L54" s="14">
        <f>IF(OR(A54="",COUNT(H54)=0,COUNT(Y54)=0),"",ROUND(H54*(1+Y54),2))</f>
        <v/>
      </c>
      <c r="M54" s="10" t="n"/>
      <c r="N54" s="10" t="n"/>
      <c r="O54" s="10" t="n"/>
      <c r="P54" s="10" t="n"/>
      <c r="Q54" s="20" t="n"/>
      <c r="R54" s="10" t="n"/>
      <c r="S54" s="10" t="n"/>
      <c r="T54" s="18" t="n"/>
      <c r="U54" s="18" t="n"/>
      <c r="V54" s="10" t="n"/>
      <c r="W54" s="10" t="n"/>
      <c r="X54" s="19">
        <f>IF(OR(A54="",COUNT(U54)=0,COUNT(AI54)=0),"",U54+AI54)</f>
        <v/>
      </c>
      <c r="Y54" s="16" t="n"/>
      <c r="Z54" s="12" t="n"/>
      <c r="AA54" s="17">
        <f>IF(COUNT(J54)=0,"",IF(H54=0,"n.a.",J54/H54))</f>
        <v/>
      </c>
      <c r="AB54" s="12" t="n"/>
      <c r="AC54" s="12" t="n"/>
      <c r="AD54" s="12" t="n"/>
      <c r="AE54" s="13">
        <f>IF(OR(COUNT(J54)=0,COUNT(AB54:AD54)&lt;3),"",ROUND(J54-SUM(AB54:AD54),2))</f>
        <v/>
      </c>
      <c r="AF54" s="15">
        <f>IF(COUNT(AE54)=0,"",IF(Z54=0,"n.a.",AE54/Z54))</f>
        <v/>
      </c>
      <c r="AG54" s="12" t="n"/>
      <c r="AH54" s="14">
        <f>IF(OR(A54="",COUNT(Z54)=0,COUNT(AG54)=0),"",ROUND(Z54-AG54,2))</f>
        <v/>
      </c>
      <c r="AI54" s="21" t="n"/>
      <c r="AJ54" s="11">
        <f>IF(A54="","",IF(COUNT(I54)=0,"Enter approved NTE",IF(COUNT(Z54)&gt;0,IF(Z54&gt;I54,"Invoice exceeds NTE","Invoice within NTE"),IF(COUNT(L54)=0,"Enter quote inputs",IF(L54&gt;I54,"Quote exceeds NTE","Quote within NTE")))))</f>
        <v/>
      </c>
      <c r="AK54" s="11">
        <f>IF(A54="","",IF(COUNT(H54)=0,"Enter direct cost",IF(COUNT(Z54)=0,"Enter invoice revenue",IF(COUNT(AB54:AD54)&lt;3,"Enter expenses (0 if none)","Complete"))))</f>
        <v/>
      </c>
      <c r="AL54" s="11">
        <f>IF(A54="","",IF(NOT(AND(COUNT(AH54)=1,N(AH54)&gt;0.004,V54&lt;&gt;"Void",V54&lt;&gt;"Not invoiced",V54&lt;&gt;"Draft")),"",IF(COUNT(X54)=0,"No due date",IF(TODAY()-X54&lt;=0,"Not yet due",IF(TODAY()-X54&lt;=30,"1-30 days",IF(TODAY()-X54&lt;=60,"31-60 days",IF(TODAY()-X54&lt;=90,"61-90 days","Over 90 days")))))))</f>
        <v/>
      </c>
      <c r="AM54" s="49">
        <f>IF(OR(AL54="",AL54="No due date"),"",MAX(TODAY()-X54,0))</f>
        <v/>
      </c>
      <c r="AN54" s="49">
        <f>IF(AL54="","",IF(COUNT(X54)=0,-100000,TODAY()-X54))</f>
        <v/>
      </c>
      <c r="AO54" s="49">
        <f>IF(AN54="","",COUNTIF(AN$11:AN$1010,"&gt;"&amp;AN54)+COUNTIF(AN$11:AN54,AN54))</f>
        <v/>
      </c>
      <c r="AP54" s="49">
        <f>IF(OR(A54="",B54=""),"",IF(COUNTIF(B$11:B54,B54)=1,MAX(AP$10:AP53)+1,""))</f>
        <v/>
      </c>
    </row>
    <row r="55" ht="24" customHeight="1">
      <c r="A55" s="20" t="n"/>
      <c r="B55" s="10" t="n"/>
      <c r="C55" s="10" t="n"/>
      <c r="D55" s="10" t="n"/>
      <c r="E55" s="10" t="n"/>
      <c r="F55" s="18" t="n"/>
      <c r="G55" s="10" t="n"/>
      <c r="H55" s="12" t="n"/>
      <c r="I55" s="12" t="n"/>
      <c r="J55" s="13">
        <f>IF(OR(A55="",COUNT(H55)=0,COUNT(Z55)=0),"",ROUND(Z55-H55,2))</f>
        <v/>
      </c>
      <c r="K55" s="15">
        <f>IF(COUNT(J55)=0,"",IF(Z55=0,"n.a.",J55/Z55))</f>
        <v/>
      </c>
      <c r="L55" s="14">
        <f>IF(OR(A55="",COUNT(H55)=0,COUNT(Y55)=0),"",ROUND(H55*(1+Y55),2))</f>
        <v/>
      </c>
      <c r="M55" s="10" t="n"/>
      <c r="N55" s="10" t="n"/>
      <c r="O55" s="10" t="n"/>
      <c r="P55" s="10" t="n"/>
      <c r="Q55" s="20" t="n"/>
      <c r="R55" s="10" t="n"/>
      <c r="S55" s="10" t="n"/>
      <c r="T55" s="18" t="n"/>
      <c r="U55" s="18" t="n"/>
      <c r="V55" s="10" t="n"/>
      <c r="W55" s="10" t="n"/>
      <c r="X55" s="19">
        <f>IF(OR(A55="",COUNT(U55)=0,COUNT(AI55)=0),"",U55+AI55)</f>
        <v/>
      </c>
      <c r="Y55" s="16" t="n"/>
      <c r="Z55" s="12" t="n"/>
      <c r="AA55" s="17">
        <f>IF(COUNT(J55)=0,"",IF(H55=0,"n.a.",J55/H55))</f>
        <v/>
      </c>
      <c r="AB55" s="12" t="n"/>
      <c r="AC55" s="12" t="n"/>
      <c r="AD55" s="12" t="n"/>
      <c r="AE55" s="13">
        <f>IF(OR(COUNT(J55)=0,COUNT(AB55:AD55)&lt;3),"",ROUND(J55-SUM(AB55:AD55),2))</f>
        <v/>
      </c>
      <c r="AF55" s="15">
        <f>IF(COUNT(AE55)=0,"",IF(Z55=0,"n.a.",AE55/Z55))</f>
        <v/>
      </c>
      <c r="AG55" s="12" t="n"/>
      <c r="AH55" s="14">
        <f>IF(OR(A55="",COUNT(Z55)=0,COUNT(AG55)=0),"",ROUND(Z55-AG55,2))</f>
        <v/>
      </c>
      <c r="AI55" s="21" t="n"/>
      <c r="AJ55" s="11">
        <f>IF(A55="","",IF(COUNT(I55)=0,"Enter approved NTE",IF(COUNT(Z55)&gt;0,IF(Z55&gt;I55,"Invoice exceeds NTE","Invoice within NTE"),IF(COUNT(L55)=0,"Enter quote inputs",IF(L55&gt;I55,"Quote exceeds NTE","Quote within NTE")))))</f>
        <v/>
      </c>
      <c r="AK55" s="11">
        <f>IF(A55="","",IF(COUNT(H55)=0,"Enter direct cost",IF(COUNT(Z55)=0,"Enter invoice revenue",IF(COUNT(AB55:AD55)&lt;3,"Enter expenses (0 if none)","Complete"))))</f>
        <v/>
      </c>
      <c r="AL55" s="11">
        <f>IF(A55="","",IF(NOT(AND(COUNT(AH55)=1,N(AH55)&gt;0.004,V55&lt;&gt;"Void",V55&lt;&gt;"Not invoiced",V55&lt;&gt;"Draft")),"",IF(COUNT(X55)=0,"No due date",IF(TODAY()-X55&lt;=0,"Not yet due",IF(TODAY()-X55&lt;=30,"1-30 days",IF(TODAY()-X55&lt;=60,"31-60 days",IF(TODAY()-X55&lt;=90,"61-90 days","Over 90 days")))))))</f>
        <v/>
      </c>
      <c r="AM55" s="49">
        <f>IF(OR(AL55="",AL55="No due date"),"",MAX(TODAY()-X55,0))</f>
        <v/>
      </c>
      <c r="AN55" s="49">
        <f>IF(AL55="","",IF(COUNT(X55)=0,-100000,TODAY()-X55))</f>
        <v/>
      </c>
      <c r="AO55" s="49">
        <f>IF(AN55="","",COUNTIF(AN$11:AN$1010,"&gt;"&amp;AN55)+COUNTIF(AN$11:AN55,AN55))</f>
        <v/>
      </c>
      <c r="AP55" s="49">
        <f>IF(OR(A55="",B55=""),"",IF(COUNTIF(B$11:B55,B55)=1,MAX(AP$10:AP54)+1,""))</f>
        <v/>
      </c>
    </row>
    <row r="56" ht="24" customHeight="1">
      <c r="A56" s="20" t="n"/>
      <c r="B56" s="10" t="n"/>
      <c r="C56" s="10" t="n"/>
      <c r="D56" s="10" t="n"/>
      <c r="E56" s="10" t="n"/>
      <c r="F56" s="18" t="n"/>
      <c r="G56" s="10" t="n"/>
      <c r="H56" s="12" t="n"/>
      <c r="I56" s="12" t="n"/>
      <c r="J56" s="13">
        <f>IF(OR(A56="",COUNT(H56)=0,COUNT(Z56)=0),"",ROUND(Z56-H56,2))</f>
        <v/>
      </c>
      <c r="K56" s="15">
        <f>IF(COUNT(J56)=0,"",IF(Z56=0,"n.a.",J56/Z56))</f>
        <v/>
      </c>
      <c r="L56" s="14">
        <f>IF(OR(A56="",COUNT(H56)=0,COUNT(Y56)=0),"",ROUND(H56*(1+Y56),2))</f>
        <v/>
      </c>
      <c r="M56" s="10" t="n"/>
      <c r="N56" s="10" t="n"/>
      <c r="O56" s="10" t="n"/>
      <c r="P56" s="10" t="n"/>
      <c r="Q56" s="20" t="n"/>
      <c r="R56" s="10" t="n"/>
      <c r="S56" s="10" t="n"/>
      <c r="T56" s="18" t="n"/>
      <c r="U56" s="18" t="n"/>
      <c r="V56" s="10" t="n"/>
      <c r="W56" s="10" t="n"/>
      <c r="X56" s="19">
        <f>IF(OR(A56="",COUNT(U56)=0,COUNT(AI56)=0),"",U56+AI56)</f>
        <v/>
      </c>
      <c r="Y56" s="16" t="n"/>
      <c r="Z56" s="12" t="n"/>
      <c r="AA56" s="17">
        <f>IF(COUNT(J56)=0,"",IF(H56=0,"n.a.",J56/H56))</f>
        <v/>
      </c>
      <c r="AB56" s="12" t="n"/>
      <c r="AC56" s="12" t="n"/>
      <c r="AD56" s="12" t="n"/>
      <c r="AE56" s="13">
        <f>IF(OR(COUNT(J56)=0,COUNT(AB56:AD56)&lt;3),"",ROUND(J56-SUM(AB56:AD56),2))</f>
        <v/>
      </c>
      <c r="AF56" s="15">
        <f>IF(COUNT(AE56)=0,"",IF(Z56=0,"n.a.",AE56/Z56))</f>
        <v/>
      </c>
      <c r="AG56" s="12" t="n"/>
      <c r="AH56" s="14">
        <f>IF(OR(A56="",COUNT(Z56)=0,COUNT(AG56)=0),"",ROUND(Z56-AG56,2))</f>
        <v/>
      </c>
      <c r="AI56" s="21" t="n"/>
      <c r="AJ56" s="11">
        <f>IF(A56="","",IF(COUNT(I56)=0,"Enter approved NTE",IF(COUNT(Z56)&gt;0,IF(Z56&gt;I56,"Invoice exceeds NTE","Invoice within NTE"),IF(COUNT(L56)=0,"Enter quote inputs",IF(L56&gt;I56,"Quote exceeds NTE","Quote within NTE")))))</f>
        <v/>
      </c>
      <c r="AK56" s="11">
        <f>IF(A56="","",IF(COUNT(H56)=0,"Enter direct cost",IF(COUNT(Z56)=0,"Enter invoice revenue",IF(COUNT(AB56:AD56)&lt;3,"Enter expenses (0 if none)","Complete"))))</f>
        <v/>
      </c>
      <c r="AL56" s="11">
        <f>IF(A56="","",IF(NOT(AND(COUNT(AH56)=1,N(AH56)&gt;0.004,V56&lt;&gt;"Void",V56&lt;&gt;"Not invoiced",V56&lt;&gt;"Draft")),"",IF(COUNT(X56)=0,"No due date",IF(TODAY()-X56&lt;=0,"Not yet due",IF(TODAY()-X56&lt;=30,"1-30 days",IF(TODAY()-X56&lt;=60,"31-60 days",IF(TODAY()-X56&lt;=90,"61-90 days","Over 90 days")))))))</f>
        <v/>
      </c>
      <c r="AM56" s="49">
        <f>IF(OR(AL56="",AL56="No due date"),"",MAX(TODAY()-X56,0))</f>
        <v/>
      </c>
      <c r="AN56" s="49">
        <f>IF(AL56="","",IF(COUNT(X56)=0,-100000,TODAY()-X56))</f>
        <v/>
      </c>
      <c r="AO56" s="49">
        <f>IF(AN56="","",COUNTIF(AN$11:AN$1010,"&gt;"&amp;AN56)+COUNTIF(AN$11:AN56,AN56))</f>
        <v/>
      </c>
      <c r="AP56" s="49">
        <f>IF(OR(A56="",B56=""),"",IF(COUNTIF(B$11:B56,B56)=1,MAX(AP$10:AP55)+1,""))</f>
        <v/>
      </c>
    </row>
    <row r="57" ht="24" customHeight="1">
      <c r="A57" s="20" t="n"/>
      <c r="B57" s="10" t="n"/>
      <c r="C57" s="10" t="n"/>
      <c r="D57" s="10" t="n"/>
      <c r="E57" s="10" t="n"/>
      <c r="F57" s="18" t="n"/>
      <c r="G57" s="10" t="n"/>
      <c r="H57" s="12" t="n"/>
      <c r="I57" s="12" t="n"/>
      <c r="J57" s="13">
        <f>IF(OR(A57="",COUNT(H57)=0,COUNT(Z57)=0),"",ROUND(Z57-H57,2))</f>
        <v/>
      </c>
      <c r="K57" s="15">
        <f>IF(COUNT(J57)=0,"",IF(Z57=0,"n.a.",J57/Z57))</f>
        <v/>
      </c>
      <c r="L57" s="14">
        <f>IF(OR(A57="",COUNT(H57)=0,COUNT(Y57)=0),"",ROUND(H57*(1+Y57),2))</f>
        <v/>
      </c>
      <c r="M57" s="10" t="n"/>
      <c r="N57" s="10" t="n"/>
      <c r="O57" s="10" t="n"/>
      <c r="P57" s="10" t="n"/>
      <c r="Q57" s="20" t="n"/>
      <c r="R57" s="10" t="n"/>
      <c r="S57" s="10" t="n"/>
      <c r="T57" s="18" t="n"/>
      <c r="U57" s="18" t="n"/>
      <c r="V57" s="10" t="n"/>
      <c r="W57" s="10" t="n"/>
      <c r="X57" s="19">
        <f>IF(OR(A57="",COUNT(U57)=0,COUNT(AI57)=0),"",U57+AI57)</f>
        <v/>
      </c>
      <c r="Y57" s="16" t="n"/>
      <c r="Z57" s="12" t="n"/>
      <c r="AA57" s="17">
        <f>IF(COUNT(J57)=0,"",IF(H57=0,"n.a.",J57/H57))</f>
        <v/>
      </c>
      <c r="AB57" s="12" t="n"/>
      <c r="AC57" s="12" t="n"/>
      <c r="AD57" s="12" t="n"/>
      <c r="AE57" s="13">
        <f>IF(OR(COUNT(J57)=0,COUNT(AB57:AD57)&lt;3),"",ROUND(J57-SUM(AB57:AD57),2))</f>
        <v/>
      </c>
      <c r="AF57" s="15">
        <f>IF(COUNT(AE57)=0,"",IF(Z57=0,"n.a.",AE57/Z57))</f>
        <v/>
      </c>
      <c r="AG57" s="12" t="n"/>
      <c r="AH57" s="14">
        <f>IF(OR(A57="",COUNT(Z57)=0,COUNT(AG57)=0),"",ROUND(Z57-AG57,2))</f>
        <v/>
      </c>
      <c r="AI57" s="21" t="n"/>
      <c r="AJ57" s="11">
        <f>IF(A57="","",IF(COUNT(I57)=0,"Enter approved NTE",IF(COUNT(Z57)&gt;0,IF(Z57&gt;I57,"Invoice exceeds NTE","Invoice within NTE"),IF(COUNT(L57)=0,"Enter quote inputs",IF(L57&gt;I57,"Quote exceeds NTE","Quote within NTE")))))</f>
        <v/>
      </c>
      <c r="AK57" s="11">
        <f>IF(A57="","",IF(COUNT(H57)=0,"Enter direct cost",IF(COUNT(Z57)=0,"Enter invoice revenue",IF(COUNT(AB57:AD57)&lt;3,"Enter expenses (0 if none)","Complete"))))</f>
        <v/>
      </c>
      <c r="AL57" s="11">
        <f>IF(A57="","",IF(NOT(AND(COUNT(AH57)=1,N(AH57)&gt;0.004,V57&lt;&gt;"Void",V57&lt;&gt;"Not invoiced",V57&lt;&gt;"Draft")),"",IF(COUNT(X57)=0,"No due date",IF(TODAY()-X57&lt;=0,"Not yet due",IF(TODAY()-X57&lt;=30,"1-30 days",IF(TODAY()-X57&lt;=60,"31-60 days",IF(TODAY()-X57&lt;=90,"61-90 days","Over 90 days")))))))</f>
        <v/>
      </c>
      <c r="AM57" s="49">
        <f>IF(OR(AL57="",AL57="No due date"),"",MAX(TODAY()-X57,0))</f>
        <v/>
      </c>
      <c r="AN57" s="49">
        <f>IF(AL57="","",IF(COUNT(X57)=0,-100000,TODAY()-X57))</f>
        <v/>
      </c>
      <c r="AO57" s="49">
        <f>IF(AN57="","",COUNTIF(AN$11:AN$1010,"&gt;"&amp;AN57)+COUNTIF(AN$11:AN57,AN57))</f>
        <v/>
      </c>
      <c r="AP57" s="49">
        <f>IF(OR(A57="",B57=""),"",IF(COUNTIF(B$11:B57,B57)=1,MAX(AP$10:AP56)+1,""))</f>
        <v/>
      </c>
    </row>
    <row r="58" ht="24" customHeight="1">
      <c r="A58" s="20" t="n"/>
      <c r="B58" s="10" t="n"/>
      <c r="C58" s="10" t="n"/>
      <c r="D58" s="10" t="n"/>
      <c r="E58" s="10" t="n"/>
      <c r="F58" s="18" t="n"/>
      <c r="G58" s="10" t="n"/>
      <c r="H58" s="12" t="n"/>
      <c r="I58" s="12" t="n"/>
      <c r="J58" s="13">
        <f>IF(OR(A58="",COUNT(H58)=0,COUNT(Z58)=0),"",ROUND(Z58-H58,2))</f>
        <v/>
      </c>
      <c r="K58" s="15">
        <f>IF(COUNT(J58)=0,"",IF(Z58=0,"n.a.",J58/Z58))</f>
        <v/>
      </c>
      <c r="L58" s="14">
        <f>IF(OR(A58="",COUNT(H58)=0,COUNT(Y58)=0),"",ROUND(H58*(1+Y58),2))</f>
        <v/>
      </c>
      <c r="M58" s="10" t="n"/>
      <c r="N58" s="10" t="n"/>
      <c r="O58" s="10" t="n"/>
      <c r="P58" s="10" t="n"/>
      <c r="Q58" s="20" t="n"/>
      <c r="R58" s="10" t="n"/>
      <c r="S58" s="10" t="n"/>
      <c r="T58" s="18" t="n"/>
      <c r="U58" s="18" t="n"/>
      <c r="V58" s="10" t="n"/>
      <c r="W58" s="10" t="n"/>
      <c r="X58" s="19">
        <f>IF(OR(A58="",COUNT(U58)=0,COUNT(AI58)=0),"",U58+AI58)</f>
        <v/>
      </c>
      <c r="Y58" s="16" t="n"/>
      <c r="Z58" s="12" t="n"/>
      <c r="AA58" s="17">
        <f>IF(COUNT(J58)=0,"",IF(H58=0,"n.a.",J58/H58))</f>
        <v/>
      </c>
      <c r="AB58" s="12" t="n"/>
      <c r="AC58" s="12" t="n"/>
      <c r="AD58" s="12" t="n"/>
      <c r="AE58" s="13">
        <f>IF(OR(COUNT(J58)=0,COUNT(AB58:AD58)&lt;3),"",ROUND(J58-SUM(AB58:AD58),2))</f>
        <v/>
      </c>
      <c r="AF58" s="15">
        <f>IF(COUNT(AE58)=0,"",IF(Z58=0,"n.a.",AE58/Z58))</f>
        <v/>
      </c>
      <c r="AG58" s="12" t="n"/>
      <c r="AH58" s="14">
        <f>IF(OR(A58="",COUNT(Z58)=0,COUNT(AG58)=0),"",ROUND(Z58-AG58,2))</f>
        <v/>
      </c>
      <c r="AI58" s="21" t="n"/>
      <c r="AJ58" s="11">
        <f>IF(A58="","",IF(COUNT(I58)=0,"Enter approved NTE",IF(COUNT(Z58)&gt;0,IF(Z58&gt;I58,"Invoice exceeds NTE","Invoice within NTE"),IF(COUNT(L58)=0,"Enter quote inputs",IF(L58&gt;I58,"Quote exceeds NTE","Quote within NTE")))))</f>
        <v/>
      </c>
      <c r="AK58" s="11">
        <f>IF(A58="","",IF(COUNT(H58)=0,"Enter direct cost",IF(COUNT(Z58)=0,"Enter invoice revenue",IF(COUNT(AB58:AD58)&lt;3,"Enter expenses (0 if none)","Complete"))))</f>
        <v/>
      </c>
      <c r="AL58" s="11">
        <f>IF(A58="","",IF(NOT(AND(COUNT(AH58)=1,N(AH58)&gt;0.004,V58&lt;&gt;"Void",V58&lt;&gt;"Not invoiced",V58&lt;&gt;"Draft")),"",IF(COUNT(X58)=0,"No due date",IF(TODAY()-X58&lt;=0,"Not yet due",IF(TODAY()-X58&lt;=30,"1-30 days",IF(TODAY()-X58&lt;=60,"31-60 days",IF(TODAY()-X58&lt;=90,"61-90 days","Over 90 days")))))))</f>
        <v/>
      </c>
      <c r="AM58" s="49">
        <f>IF(OR(AL58="",AL58="No due date"),"",MAX(TODAY()-X58,0))</f>
        <v/>
      </c>
      <c r="AN58" s="49">
        <f>IF(AL58="","",IF(COUNT(X58)=0,-100000,TODAY()-X58))</f>
        <v/>
      </c>
      <c r="AO58" s="49">
        <f>IF(AN58="","",COUNTIF(AN$11:AN$1010,"&gt;"&amp;AN58)+COUNTIF(AN$11:AN58,AN58))</f>
        <v/>
      </c>
      <c r="AP58" s="49">
        <f>IF(OR(A58="",B58=""),"",IF(COUNTIF(B$11:B58,B58)=1,MAX(AP$10:AP57)+1,""))</f>
        <v/>
      </c>
    </row>
    <row r="59" ht="24" customHeight="1">
      <c r="A59" s="20" t="n"/>
      <c r="B59" s="10" t="n"/>
      <c r="C59" s="10" t="n"/>
      <c r="D59" s="10" t="n"/>
      <c r="E59" s="10" t="n"/>
      <c r="F59" s="18" t="n"/>
      <c r="G59" s="10" t="n"/>
      <c r="H59" s="12" t="n"/>
      <c r="I59" s="12" t="n"/>
      <c r="J59" s="13">
        <f>IF(OR(A59="",COUNT(H59)=0,COUNT(Z59)=0),"",ROUND(Z59-H59,2))</f>
        <v/>
      </c>
      <c r="K59" s="15">
        <f>IF(COUNT(J59)=0,"",IF(Z59=0,"n.a.",J59/Z59))</f>
        <v/>
      </c>
      <c r="L59" s="14">
        <f>IF(OR(A59="",COUNT(H59)=0,COUNT(Y59)=0),"",ROUND(H59*(1+Y59),2))</f>
        <v/>
      </c>
      <c r="M59" s="10" t="n"/>
      <c r="N59" s="10" t="n"/>
      <c r="O59" s="10" t="n"/>
      <c r="P59" s="10" t="n"/>
      <c r="Q59" s="20" t="n"/>
      <c r="R59" s="10" t="n"/>
      <c r="S59" s="10" t="n"/>
      <c r="T59" s="18" t="n"/>
      <c r="U59" s="18" t="n"/>
      <c r="V59" s="10" t="n"/>
      <c r="W59" s="10" t="n"/>
      <c r="X59" s="19">
        <f>IF(OR(A59="",COUNT(U59)=0,COUNT(AI59)=0),"",U59+AI59)</f>
        <v/>
      </c>
      <c r="Y59" s="16" t="n"/>
      <c r="Z59" s="12" t="n"/>
      <c r="AA59" s="17">
        <f>IF(COUNT(J59)=0,"",IF(H59=0,"n.a.",J59/H59))</f>
        <v/>
      </c>
      <c r="AB59" s="12" t="n"/>
      <c r="AC59" s="12" t="n"/>
      <c r="AD59" s="12" t="n"/>
      <c r="AE59" s="13">
        <f>IF(OR(COUNT(J59)=0,COUNT(AB59:AD59)&lt;3),"",ROUND(J59-SUM(AB59:AD59),2))</f>
        <v/>
      </c>
      <c r="AF59" s="15">
        <f>IF(COUNT(AE59)=0,"",IF(Z59=0,"n.a.",AE59/Z59))</f>
        <v/>
      </c>
      <c r="AG59" s="12" t="n"/>
      <c r="AH59" s="14">
        <f>IF(OR(A59="",COUNT(Z59)=0,COUNT(AG59)=0),"",ROUND(Z59-AG59,2))</f>
        <v/>
      </c>
      <c r="AI59" s="21" t="n"/>
      <c r="AJ59" s="11">
        <f>IF(A59="","",IF(COUNT(I59)=0,"Enter approved NTE",IF(COUNT(Z59)&gt;0,IF(Z59&gt;I59,"Invoice exceeds NTE","Invoice within NTE"),IF(COUNT(L59)=0,"Enter quote inputs",IF(L59&gt;I59,"Quote exceeds NTE","Quote within NTE")))))</f>
        <v/>
      </c>
      <c r="AK59" s="11">
        <f>IF(A59="","",IF(COUNT(H59)=0,"Enter direct cost",IF(COUNT(Z59)=0,"Enter invoice revenue",IF(COUNT(AB59:AD59)&lt;3,"Enter expenses (0 if none)","Complete"))))</f>
        <v/>
      </c>
      <c r="AL59" s="11">
        <f>IF(A59="","",IF(NOT(AND(COUNT(AH59)=1,N(AH59)&gt;0.004,V59&lt;&gt;"Void",V59&lt;&gt;"Not invoiced",V59&lt;&gt;"Draft")),"",IF(COUNT(X59)=0,"No due date",IF(TODAY()-X59&lt;=0,"Not yet due",IF(TODAY()-X59&lt;=30,"1-30 days",IF(TODAY()-X59&lt;=60,"31-60 days",IF(TODAY()-X59&lt;=90,"61-90 days","Over 90 days")))))))</f>
        <v/>
      </c>
      <c r="AM59" s="49">
        <f>IF(OR(AL59="",AL59="No due date"),"",MAX(TODAY()-X59,0))</f>
        <v/>
      </c>
      <c r="AN59" s="49">
        <f>IF(AL59="","",IF(COUNT(X59)=0,-100000,TODAY()-X59))</f>
        <v/>
      </c>
      <c r="AO59" s="49">
        <f>IF(AN59="","",COUNTIF(AN$11:AN$1010,"&gt;"&amp;AN59)+COUNTIF(AN$11:AN59,AN59))</f>
        <v/>
      </c>
      <c r="AP59" s="49">
        <f>IF(OR(A59="",B59=""),"",IF(COUNTIF(B$11:B59,B59)=1,MAX(AP$10:AP58)+1,""))</f>
        <v/>
      </c>
    </row>
    <row r="60" ht="24" customHeight="1">
      <c r="A60" s="20" t="n"/>
      <c r="B60" s="10" t="n"/>
      <c r="C60" s="10" t="n"/>
      <c r="D60" s="10" t="n"/>
      <c r="E60" s="10" t="n"/>
      <c r="F60" s="18" t="n"/>
      <c r="G60" s="10" t="n"/>
      <c r="H60" s="12" t="n"/>
      <c r="I60" s="12" t="n"/>
      <c r="J60" s="13">
        <f>IF(OR(A60="",COUNT(H60)=0,COUNT(Z60)=0),"",ROUND(Z60-H60,2))</f>
        <v/>
      </c>
      <c r="K60" s="15">
        <f>IF(COUNT(J60)=0,"",IF(Z60=0,"n.a.",J60/Z60))</f>
        <v/>
      </c>
      <c r="L60" s="14">
        <f>IF(OR(A60="",COUNT(H60)=0,COUNT(Y60)=0),"",ROUND(H60*(1+Y60),2))</f>
        <v/>
      </c>
      <c r="M60" s="10" t="n"/>
      <c r="N60" s="10" t="n"/>
      <c r="O60" s="10" t="n"/>
      <c r="P60" s="10" t="n"/>
      <c r="Q60" s="20" t="n"/>
      <c r="R60" s="10" t="n"/>
      <c r="S60" s="10" t="n"/>
      <c r="T60" s="18" t="n"/>
      <c r="U60" s="18" t="n"/>
      <c r="V60" s="10" t="n"/>
      <c r="W60" s="10" t="n"/>
      <c r="X60" s="19">
        <f>IF(OR(A60="",COUNT(U60)=0,COUNT(AI60)=0),"",U60+AI60)</f>
        <v/>
      </c>
      <c r="Y60" s="16" t="n"/>
      <c r="Z60" s="12" t="n"/>
      <c r="AA60" s="17">
        <f>IF(COUNT(J60)=0,"",IF(H60=0,"n.a.",J60/H60))</f>
        <v/>
      </c>
      <c r="AB60" s="12" t="n"/>
      <c r="AC60" s="12" t="n"/>
      <c r="AD60" s="12" t="n"/>
      <c r="AE60" s="13">
        <f>IF(OR(COUNT(J60)=0,COUNT(AB60:AD60)&lt;3),"",ROUND(J60-SUM(AB60:AD60),2))</f>
        <v/>
      </c>
      <c r="AF60" s="15">
        <f>IF(COUNT(AE60)=0,"",IF(Z60=0,"n.a.",AE60/Z60))</f>
        <v/>
      </c>
      <c r="AG60" s="12" t="n"/>
      <c r="AH60" s="14">
        <f>IF(OR(A60="",COUNT(Z60)=0,COUNT(AG60)=0),"",ROUND(Z60-AG60,2))</f>
        <v/>
      </c>
      <c r="AI60" s="21" t="n"/>
      <c r="AJ60" s="11">
        <f>IF(A60="","",IF(COUNT(I60)=0,"Enter approved NTE",IF(COUNT(Z60)&gt;0,IF(Z60&gt;I60,"Invoice exceeds NTE","Invoice within NTE"),IF(COUNT(L60)=0,"Enter quote inputs",IF(L60&gt;I60,"Quote exceeds NTE","Quote within NTE")))))</f>
        <v/>
      </c>
      <c r="AK60" s="11">
        <f>IF(A60="","",IF(COUNT(H60)=0,"Enter direct cost",IF(COUNT(Z60)=0,"Enter invoice revenue",IF(COUNT(AB60:AD60)&lt;3,"Enter expenses (0 if none)","Complete"))))</f>
        <v/>
      </c>
      <c r="AL60" s="11">
        <f>IF(A60="","",IF(NOT(AND(COUNT(AH60)=1,N(AH60)&gt;0.004,V60&lt;&gt;"Void",V60&lt;&gt;"Not invoiced",V60&lt;&gt;"Draft")),"",IF(COUNT(X60)=0,"No due date",IF(TODAY()-X60&lt;=0,"Not yet due",IF(TODAY()-X60&lt;=30,"1-30 days",IF(TODAY()-X60&lt;=60,"31-60 days",IF(TODAY()-X60&lt;=90,"61-90 days","Over 90 days")))))))</f>
        <v/>
      </c>
      <c r="AM60" s="49">
        <f>IF(OR(AL60="",AL60="No due date"),"",MAX(TODAY()-X60,0))</f>
        <v/>
      </c>
      <c r="AN60" s="49">
        <f>IF(AL60="","",IF(COUNT(X60)=0,-100000,TODAY()-X60))</f>
        <v/>
      </c>
      <c r="AO60" s="49">
        <f>IF(AN60="","",COUNTIF(AN$11:AN$1010,"&gt;"&amp;AN60)+COUNTIF(AN$11:AN60,AN60))</f>
        <v/>
      </c>
      <c r="AP60" s="49">
        <f>IF(OR(A60="",B60=""),"",IF(COUNTIF(B$11:B60,B60)=1,MAX(AP$10:AP59)+1,""))</f>
        <v/>
      </c>
    </row>
    <row r="61" ht="24" customHeight="1">
      <c r="A61" s="20" t="n"/>
      <c r="B61" s="10" t="n"/>
      <c r="C61" s="10" t="n"/>
      <c r="D61" s="10" t="n"/>
      <c r="E61" s="10" t="n"/>
      <c r="F61" s="18" t="n"/>
      <c r="G61" s="10" t="n"/>
      <c r="H61" s="12" t="n"/>
      <c r="I61" s="12" t="n"/>
      <c r="J61" s="13">
        <f>IF(OR(A61="",COUNT(H61)=0,COUNT(Z61)=0),"",ROUND(Z61-H61,2))</f>
        <v/>
      </c>
      <c r="K61" s="15">
        <f>IF(COUNT(J61)=0,"",IF(Z61=0,"n.a.",J61/Z61))</f>
        <v/>
      </c>
      <c r="L61" s="14">
        <f>IF(OR(A61="",COUNT(H61)=0,COUNT(Y61)=0),"",ROUND(H61*(1+Y61),2))</f>
        <v/>
      </c>
      <c r="M61" s="10" t="n"/>
      <c r="N61" s="10" t="n"/>
      <c r="O61" s="10" t="n"/>
      <c r="P61" s="10" t="n"/>
      <c r="Q61" s="20" t="n"/>
      <c r="R61" s="10" t="n"/>
      <c r="S61" s="10" t="n"/>
      <c r="T61" s="18" t="n"/>
      <c r="U61" s="18" t="n"/>
      <c r="V61" s="10" t="n"/>
      <c r="W61" s="10" t="n"/>
      <c r="X61" s="19">
        <f>IF(OR(A61="",COUNT(U61)=0,COUNT(AI61)=0),"",U61+AI61)</f>
        <v/>
      </c>
      <c r="Y61" s="16" t="n"/>
      <c r="Z61" s="12" t="n"/>
      <c r="AA61" s="17">
        <f>IF(COUNT(J61)=0,"",IF(H61=0,"n.a.",J61/H61))</f>
        <v/>
      </c>
      <c r="AB61" s="12" t="n"/>
      <c r="AC61" s="12" t="n"/>
      <c r="AD61" s="12" t="n"/>
      <c r="AE61" s="13">
        <f>IF(OR(COUNT(J61)=0,COUNT(AB61:AD61)&lt;3),"",ROUND(J61-SUM(AB61:AD61),2))</f>
        <v/>
      </c>
      <c r="AF61" s="15">
        <f>IF(COUNT(AE61)=0,"",IF(Z61=0,"n.a.",AE61/Z61))</f>
        <v/>
      </c>
      <c r="AG61" s="12" t="n"/>
      <c r="AH61" s="14">
        <f>IF(OR(A61="",COUNT(Z61)=0,COUNT(AG61)=0),"",ROUND(Z61-AG61,2))</f>
        <v/>
      </c>
      <c r="AI61" s="21" t="n"/>
      <c r="AJ61" s="11">
        <f>IF(A61="","",IF(COUNT(I61)=0,"Enter approved NTE",IF(COUNT(Z61)&gt;0,IF(Z61&gt;I61,"Invoice exceeds NTE","Invoice within NTE"),IF(COUNT(L61)=0,"Enter quote inputs",IF(L61&gt;I61,"Quote exceeds NTE","Quote within NTE")))))</f>
        <v/>
      </c>
      <c r="AK61" s="11">
        <f>IF(A61="","",IF(COUNT(H61)=0,"Enter direct cost",IF(COUNT(Z61)=0,"Enter invoice revenue",IF(COUNT(AB61:AD61)&lt;3,"Enter expenses (0 if none)","Complete"))))</f>
        <v/>
      </c>
      <c r="AL61" s="11">
        <f>IF(A61="","",IF(NOT(AND(COUNT(AH61)=1,N(AH61)&gt;0.004,V61&lt;&gt;"Void",V61&lt;&gt;"Not invoiced",V61&lt;&gt;"Draft")),"",IF(COUNT(X61)=0,"No due date",IF(TODAY()-X61&lt;=0,"Not yet due",IF(TODAY()-X61&lt;=30,"1-30 days",IF(TODAY()-X61&lt;=60,"31-60 days",IF(TODAY()-X61&lt;=90,"61-90 days","Over 90 days")))))))</f>
        <v/>
      </c>
      <c r="AM61" s="49">
        <f>IF(OR(AL61="",AL61="No due date"),"",MAX(TODAY()-X61,0))</f>
        <v/>
      </c>
      <c r="AN61" s="49">
        <f>IF(AL61="","",IF(COUNT(X61)=0,-100000,TODAY()-X61))</f>
        <v/>
      </c>
      <c r="AO61" s="49">
        <f>IF(AN61="","",COUNTIF(AN$11:AN$1010,"&gt;"&amp;AN61)+COUNTIF(AN$11:AN61,AN61))</f>
        <v/>
      </c>
      <c r="AP61" s="49">
        <f>IF(OR(A61="",B61=""),"",IF(COUNTIF(B$11:B61,B61)=1,MAX(AP$10:AP60)+1,""))</f>
        <v/>
      </c>
    </row>
    <row r="62" ht="24" customHeight="1">
      <c r="A62" s="20" t="n"/>
      <c r="B62" s="10" t="n"/>
      <c r="C62" s="10" t="n"/>
      <c r="D62" s="10" t="n"/>
      <c r="E62" s="10" t="n"/>
      <c r="F62" s="18" t="n"/>
      <c r="G62" s="10" t="n"/>
      <c r="H62" s="12" t="n"/>
      <c r="I62" s="12" t="n"/>
      <c r="J62" s="13">
        <f>IF(OR(A62="",COUNT(H62)=0,COUNT(Z62)=0),"",ROUND(Z62-H62,2))</f>
        <v/>
      </c>
      <c r="K62" s="15">
        <f>IF(COUNT(J62)=0,"",IF(Z62=0,"n.a.",J62/Z62))</f>
        <v/>
      </c>
      <c r="L62" s="14">
        <f>IF(OR(A62="",COUNT(H62)=0,COUNT(Y62)=0),"",ROUND(H62*(1+Y62),2))</f>
        <v/>
      </c>
      <c r="M62" s="10" t="n"/>
      <c r="N62" s="10" t="n"/>
      <c r="O62" s="10" t="n"/>
      <c r="P62" s="10" t="n"/>
      <c r="Q62" s="20" t="n"/>
      <c r="R62" s="10" t="n"/>
      <c r="S62" s="10" t="n"/>
      <c r="T62" s="18" t="n"/>
      <c r="U62" s="18" t="n"/>
      <c r="V62" s="10" t="n"/>
      <c r="W62" s="10" t="n"/>
      <c r="X62" s="19">
        <f>IF(OR(A62="",COUNT(U62)=0,COUNT(AI62)=0),"",U62+AI62)</f>
        <v/>
      </c>
      <c r="Y62" s="16" t="n"/>
      <c r="Z62" s="12" t="n"/>
      <c r="AA62" s="17">
        <f>IF(COUNT(J62)=0,"",IF(H62=0,"n.a.",J62/H62))</f>
        <v/>
      </c>
      <c r="AB62" s="12" t="n"/>
      <c r="AC62" s="12" t="n"/>
      <c r="AD62" s="12" t="n"/>
      <c r="AE62" s="13">
        <f>IF(OR(COUNT(J62)=0,COUNT(AB62:AD62)&lt;3),"",ROUND(J62-SUM(AB62:AD62),2))</f>
        <v/>
      </c>
      <c r="AF62" s="15">
        <f>IF(COUNT(AE62)=0,"",IF(Z62=0,"n.a.",AE62/Z62))</f>
        <v/>
      </c>
      <c r="AG62" s="12" t="n"/>
      <c r="AH62" s="14">
        <f>IF(OR(A62="",COUNT(Z62)=0,COUNT(AG62)=0),"",ROUND(Z62-AG62,2))</f>
        <v/>
      </c>
      <c r="AI62" s="21" t="n"/>
      <c r="AJ62" s="11">
        <f>IF(A62="","",IF(COUNT(I62)=0,"Enter approved NTE",IF(COUNT(Z62)&gt;0,IF(Z62&gt;I62,"Invoice exceeds NTE","Invoice within NTE"),IF(COUNT(L62)=0,"Enter quote inputs",IF(L62&gt;I62,"Quote exceeds NTE","Quote within NTE")))))</f>
        <v/>
      </c>
      <c r="AK62" s="11">
        <f>IF(A62="","",IF(COUNT(H62)=0,"Enter direct cost",IF(COUNT(Z62)=0,"Enter invoice revenue",IF(COUNT(AB62:AD62)&lt;3,"Enter expenses (0 if none)","Complete"))))</f>
        <v/>
      </c>
      <c r="AL62" s="11">
        <f>IF(A62="","",IF(NOT(AND(COUNT(AH62)=1,N(AH62)&gt;0.004,V62&lt;&gt;"Void",V62&lt;&gt;"Not invoiced",V62&lt;&gt;"Draft")),"",IF(COUNT(X62)=0,"No due date",IF(TODAY()-X62&lt;=0,"Not yet due",IF(TODAY()-X62&lt;=30,"1-30 days",IF(TODAY()-X62&lt;=60,"31-60 days",IF(TODAY()-X62&lt;=90,"61-90 days","Over 90 days")))))))</f>
        <v/>
      </c>
      <c r="AM62" s="49">
        <f>IF(OR(AL62="",AL62="No due date"),"",MAX(TODAY()-X62,0))</f>
        <v/>
      </c>
      <c r="AN62" s="49">
        <f>IF(AL62="","",IF(COUNT(X62)=0,-100000,TODAY()-X62))</f>
        <v/>
      </c>
      <c r="AO62" s="49">
        <f>IF(AN62="","",COUNTIF(AN$11:AN$1010,"&gt;"&amp;AN62)+COUNTIF(AN$11:AN62,AN62))</f>
        <v/>
      </c>
      <c r="AP62" s="49">
        <f>IF(OR(A62="",B62=""),"",IF(COUNTIF(B$11:B62,B62)=1,MAX(AP$10:AP61)+1,""))</f>
        <v/>
      </c>
    </row>
    <row r="63" ht="24" customHeight="1">
      <c r="A63" s="20" t="n"/>
      <c r="B63" s="10" t="n"/>
      <c r="C63" s="10" t="n"/>
      <c r="D63" s="10" t="n"/>
      <c r="E63" s="10" t="n"/>
      <c r="F63" s="18" t="n"/>
      <c r="G63" s="10" t="n"/>
      <c r="H63" s="12" t="n"/>
      <c r="I63" s="12" t="n"/>
      <c r="J63" s="13">
        <f>IF(OR(A63="",COUNT(H63)=0,COUNT(Z63)=0),"",ROUND(Z63-H63,2))</f>
        <v/>
      </c>
      <c r="K63" s="15">
        <f>IF(COUNT(J63)=0,"",IF(Z63=0,"n.a.",J63/Z63))</f>
        <v/>
      </c>
      <c r="L63" s="14">
        <f>IF(OR(A63="",COUNT(H63)=0,COUNT(Y63)=0),"",ROUND(H63*(1+Y63),2))</f>
        <v/>
      </c>
      <c r="M63" s="10" t="n"/>
      <c r="N63" s="10" t="n"/>
      <c r="O63" s="10" t="n"/>
      <c r="P63" s="10" t="n"/>
      <c r="Q63" s="20" t="n"/>
      <c r="R63" s="10" t="n"/>
      <c r="S63" s="10" t="n"/>
      <c r="T63" s="18" t="n"/>
      <c r="U63" s="18" t="n"/>
      <c r="V63" s="10" t="n"/>
      <c r="W63" s="10" t="n"/>
      <c r="X63" s="19">
        <f>IF(OR(A63="",COUNT(U63)=0,COUNT(AI63)=0),"",U63+AI63)</f>
        <v/>
      </c>
      <c r="Y63" s="16" t="n"/>
      <c r="Z63" s="12" t="n"/>
      <c r="AA63" s="17">
        <f>IF(COUNT(J63)=0,"",IF(H63=0,"n.a.",J63/H63))</f>
        <v/>
      </c>
      <c r="AB63" s="12" t="n"/>
      <c r="AC63" s="12" t="n"/>
      <c r="AD63" s="12" t="n"/>
      <c r="AE63" s="13">
        <f>IF(OR(COUNT(J63)=0,COUNT(AB63:AD63)&lt;3),"",ROUND(J63-SUM(AB63:AD63),2))</f>
        <v/>
      </c>
      <c r="AF63" s="15">
        <f>IF(COUNT(AE63)=0,"",IF(Z63=0,"n.a.",AE63/Z63))</f>
        <v/>
      </c>
      <c r="AG63" s="12" t="n"/>
      <c r="AH63" s="14">
        <f>IF(OR(A63="",COUNT(Z63)=0,COUNT(AG63)=0),"",ROUND(Z63-AG63,2))</f>
        <v/>
      </c>
      <c r="AI63" s="21" t="n"/>
      <c r="AJ63" s="11">
        <f>IF(A63="","",IF(COUNT(I63)=0,"Enter approved NTE",IF(COUNT(Z63)&gt;0,IF(Z63&gt;I63,"Invoice exceeds NTE","Invoice within NTE"),IF(COUNT(L63)=0,"Enter quote inputs",IF(L63&gt;I63,"Quote exceeds NTE","Quote within NTE")))))</f>
        <v/>
      </c>
      <c r="AK63" s="11">
        <f>IF(A63="","",IF(COUNT(H63)=0,"Enter direct cost",IF(COUNT(Z63)=0,"Enter invoice revenue",IF(COUNT(AB63:AD63)&lt;3,"Enter expenses (0 if none)","Complete"))))</f>
        <v/>
      </c>
      <c r="AL63" s="11">
        <f>IF(A63="","",IF(NOT(AND(COUNT(AH63)=1,N(AH63)&gt;0.004,V63&lt;&gt;"Void",V63&lt;&gt;"Not invoiced",V63&lt;&gt;"Draft")),"",IF(COUNT(X63)=0,"No due date",IF(TODAY()-X63&lt;=0,"Not yet due",IF(TODAY()-X63&lt;=30,"1-30 days",IF(TODAY()-X63&lt;=60,"31-60 days",IF(TODAY()-X63&lt;=90,"61-90 days","Over 90 days")))))))</f>
        <v/>
      </c>
      <c r="AM63" s="49">
        <f>IF(OR(AL63="",AL63="No due date"),"",MAX(TODAY()-X63,0))</f>
        <v/>
      </c>
      <c r="AN63" s="49">
        <f>IF(AL63="","",IF(COUNT(X63)=0,-100000,TODAY()-X63))</f>
        <v/>
      </c>
      <c r="AO63" s="49">
        <f>IF(AN63="","",COUNTIF(AN$11:AN$1010,"&gt;"&amp;AN63)+COUNTIF(AN$11:AN63,AN63))</f>
        <v/>
      </c>
      <c r="AP63" s="49">
        <f>IF(OR(A63="",B63=""),"",IF(COUNTIF(B$11:B63,B63)=1,MAX(AP$10:AP62)+1,""))</f>
        <v/>
      </c>
    </row>
    <row r="64" ht="24" customHeight="1">
      <c r="A64" s="20" t="n"/>
      <c r="B64" s="10" t="n"/>
      <c r="C64" s="10" t="n"/>
      <c r="D64" s="10" t="n"/>
      <c r="E64" s="10" t="n"/>
      <c r="F64" s="18" t="n"/>
      <c r="G64" s="10" t="n"/>
      <c r="H64" s="12" t="n"/>
      <c r="I64" s="12" t="n"/>
      <c r="J64" s="13">
        <f>IF(OR(A64="",COUNT(H64)=0,COUNT(Z64)=0),"",ROUND(Z64-H64,2))</f>
        <v/>
      </c>
      <c r="K64" s="15">
        <f>IF(COUNT(J64)=0,"",IF(Z64=0,"n.a.",J64/Z64))</f>
        <v/>
      </c>
      <c r="L64" s="14">
        <f>IF(OR(A64="",COUNT(H64)=0,COUNT(Y64)=0),"",ROUND(H64*(1+Y64),2))</f>
        <v/>
      </c>
      <c r="M64" s="10" t="n"/>
      <c r="N64" s="10" t="n"/>
      <c r="O64" s="10" t="n"/>
      <c r="P64" s="10" t="n"/>
      <c r="Q64" s="20" t="n"/>
      <c r="R64" s="10" t="n"/>
      <c r="S64" s="10" t="n"/>
      <c r="T64" s="18" t="n"/>
      <c r="U64" s="18" t="n"/>
      <c r="V64" s="10" t="n"/>
      <c r="W64" s="10" t="n"/>
      <c r="X64" s="19">
        <f>IF(OR(A64="",COUNT(U64)=0,COUNT(AI64)=0),"",U64+AI64)</f>
        <v/>
      </c>
      <c r="Y64" s="16" t="n"/>
      <c r="Z64" s="12" t="n"/>
      <c r="AA64" s="17">
        <f>IF(COUNT(J64)=0,"",IF(H64=0,"n.a.",J64/H64))</f>
        <v/>
      </c>
      <c r="AB64" s="12" t="n"/>
      <c r="AC64" s="12" t="n"/>
      <c r="AD64" s="12" t="n"/>
      <c r="AE64" s="13">
        <f>IF(OR(COUNT(J64)=0,COUNT(AB64:AD64)&lt;3),"",ROUND(J64-SUM(AB64:AD64),2))</f>
        <v/>
      </c>
      <c r="AF64" s="15">
        <f>IF(COUNT(AE64)=0,"",IF(Z64=0,"n.a.",AE64/Z64))</f>
        <v/>
      </c>
      <c r="AG64" s="12" t="n"/>
      <c r="AH64" s="14">
        <f>IF(OR(A64="",COUNT(Z64)=0,COUNT(AG64)=0),"",ROUND(Z64-AG64,2))</f>
        <v/>
      </c>
      <c r="AI64" s="21" t="n"/>
      <c r="AJ64" s="11">
        <f>IF(A64="","",IF(COUNT(I64)=0,"Enter approved NTE",IF(COUNT(Z64)&gt;0,IF(Z64&gt;I64,"Invoice exceeds NTE","Invoice within NTE"),IF(COUNT(L64)=0,"Enter quote inputs",IF(L64&gt;I64,"Quote exceeds NTE","Quote within NTE")))))</f>
        <v/>
      </c>
      <c r="AK64" s="11">
        <f>IF(A64="","",IF(COUNT(H64)=0,"Enter direct cost",IF(COUNT(Z64)=0,"Enter invoice revenue",IF(COUNT(AB64:AD64)&lt;3,"Enter expenses (0 if none)","Complete"))))</f>
        <v/>
      </c>
      <c r="AL64" s="11">
        <f>IF(A64="","",IF(NOT(AND(COUNT(AH64)=1,N(AH64)&gt;0.004,V64&lt;&gt;"Void",V64&lt;&gt;"Not invoiced",V64&lt;&gt;"Draft")),"",IF(COUNT(X64)=0,"No due date",IF(TODAY()-X64&lt;=0,"Not yet due",IF(TODAY()-X64&lt;=30,"1-30 days",IF(TODAY()-X64&lt;=60,"31-60 days",IF(TODAY()-X64&lt;=90,"61-90 days","Over 90 days")))))))</f>
        <v/>
      </c>
      <c r="AM64" s="49">
        <f>IF(OR(AL64="",AL64="No due date"),"",MAX(TODAY()-X64,0))</f>
        <v/>
      </c>
      <c r="AN64" s="49">
        <f>IF(AL64="","",IF(COUNT(X64)=0,-100000,TODAY()-X64))</f>
        <v/>
      </c>
      <c r="AO64" s="49">
        <f>IF(AN64="","",COUNTIF(AN$11:AN$1010,"&gt;"&amp;AN64)+COUNTIF(AN$11:AN64,AN64))</f>
        <v/>
      </c>
      <c r="AP64" s="49">
        <f>IF(OR(A64="",B64=""),"",IF(COUNTIF(B$11:B64,B64)=1,MAX(AP$10:AP63)+1,""))</f>
        <v/>
      </c>
    </row>
    <row r="65" ht="24" customHeight="1">
      <c r="A65" s="20" t="n"/>
      <c r="B65" s="10" t="n"/>
      <c r="C65" s="10" t="n"/>
      <c r="D65" s="10" t="n"/>
      <c r="E65" s="10" t="n"/>
      <c r="F65" s="18" t="n"/>
      <c r="G65" s="10" t="n"/>
      <c r="H65" s="12" t="n"/>
      <c r="I65" s="12" t="n"/>
      <c r="J65" s="13">
        <f>IF(OR(A65="",COUNT(H65)=0,COUNT(Z65)=0),"",ROUND(Z65-H65,2))</f>
        <v/>
      </c>
      <c r="K65" s="15">
        <f>IF(COUNT(J65)=0,"",IF(Z65=0,"n.a.",J65/Z65))</f>
        <v/>
      </c>
      <c r="L65" s="14">
        <f>IF(OR(A65="",COUNT(H65)=0,COUNT(Y65)=0),"",ROUND(H65*(1+Y65),2))</f>
        <v/>
      </c>
      <c r="M65" s="10" t="n"/>
      <c r="N65" s="10" t="n"/>
      <c r="O65" s="10" t="n"/>
      <c r="P65" s="10" t="n"/>
      <c r="Q65" s="20" t="n"/>
      <c r="R65" s="10" t="n"/>
      <c r="S65" s="10" t="n"/>
      <c r="T65" s="18" t="n"/>
      <c r="U65" s="18" t="n"/>
      <c r="V65" s="10" t="n"/>
      <c r="W65" s="10" t="n"/>
      <c r="X65" s="19">
        <f>IF(OR(A65="",COUNT(U65)=0,COUNT(AI65)=0),"",U65+AI65)</f>
        <v/>
      </c>
      <c r="Y65" s="16" t="n"/>
      <c r="Z65" s="12" t="n"/>
      <c r="AA65" s="17">
        <f>IF(COUNT(J65)=0,"",IF(H65=0,"n.a.",J65/H65))</f>
        <v/>
      </c>
      <c r="AB65" s="12" t="n"/>
      <c r="AC65" s="12" t="n"/>
      <c r="AD65" s="12" t="n"/>
      <c r="AE65" s="13">
        <f>IF(OR(COUNT(J65)=0,COUNT(AB65:AD65)&lt;3),"",ROUND(J65-SUM(AB65:AD65),2))</f>
        <v/>
      </c>
      <c r="AF65" s="15">
        <f>IF(COUNT(AE65)=0,"",IF(Z65=0,"n.a.",AE65/Z65))</f>
        <v/>
      </c>
      <c r="AG65" s="12" t="n"/>
      <c r="AH65" s="14">
        <f>IF(OR(A65="",COUNT(Z65)=0,COUNT(AG65)=0),"",ROUND(Z65-AG65,2))</f>
        <v/>
      </c>
      <c r="AI65" s="21" t="n"/>
      <c r="AJ65" s="11">
        <f>IF(A65="","",IF(COUNT(I65)=0,"Enter approved NTE",IF(COUNT(Z65)&gt;0,IF(Z65&gt;I65,"Invoice exceeds NTE","Invoice within NTE"),IF(COUNT(L65)=0,"Enter quote inputs",IF(L65&gt;I65,"Quote exceeds NTE","Quote within NTE")))))</f>
        <v/>
      </c>
      <c r="AK65" s="11">
        <f>IF(A65="","",IF(COUNT(H65)=0,"Enter direct cost",IF(COUNT(Z65)=0,"Enter invoice revenue",IF(COUNT(AB65:AD65)&lt;3,"Enter expenses (0 if none)","Complete"))))</f>
        <v/>
      </c>
      <c r="AL65" s="11">
        <f>IF(A65="","",IF(NOT(AND(COUNT(AH65)=1,N(AH65)&gt;0.004,V65&lt;&gt;"Void",V65&lt;&gt;"Not invoiced",V65&lt;&gt;"Draft")),"",IF(COUNT(X65)=0,"No due date",IF(TODAY()-X65&lt;=0,"Not yet due",IF(TODAY()-X65&lt;=30,"1-30 days",IF(TODAY()-X65&lt;=60,"31-60 days",IF(TODAY()-X65&lt;=90,"61-90 days","Over 90 days")))))))</f>
        <v/>
      </c>
      <c r="AM65" s="49">
        <f>IF(OR(AL65="",AL65="No due date"),"",MAX(TODAY()-X65,0))</f>
        <v/>
      </c>
      <c r="AN65" s="49">
        <f>IF(AL65="","",IF(COUNT(X65)=0,-100000,TODAY()-X65))</f>
        <v/>
      </c>
      <c r="AO65" s="49">
        <f>IF(AN65="","",COUNTIF(AN$11:AN$1010,"&gt;"&amp;AN65)+COUNTIF(AN$11:AN65,AN65))</f>
        <v/>
      </c>
      <c r="AP65" s="49">
        <f>IF(OR(A65="",B65=""),"",IF(COUNTIF(B$11:B65,B65)=1,MAX(AP$10:AP64)+1,""))</f>
        <v/>
      </c>
    </row>
    <row r="66" ht="24" customHeight="1">
      <c r="A66" s="20" t="n"/>
      <c r="B66" s="10" t="n"/>
      <c r="C66" s="10" t="n"/>
      <c r="D66" s="10" t="n"/>
      <c r="E66" s="10" t="n"/>
      <c r="F66" s="18" t="n"/>
      <c r="G66" s="10" t="n"/>
      <c r="H66" s="12" t="n"/>
      <c r="I66" s="12" t="n"/>
      <c r="J66" s="13">
        <f>IF(OR(A66="",COUNT(H66)=0,COUNT(Z66)=0),"",ROUND(Z66-H66,2))</f>
        <v/>
      </c>
      <c r="K66" s="15">
        <f>IF(COUNT(J66)=0,"",IF(Z66=0,"n.a.",J66/Z66))</f>
        <v/>
      </c>
      <c r="L66" s="14">
        <f>IF(OR(A66="",COUNT(H66)=0,COUNT(Y66)=0),"",ROUND(H66*(1+Y66),2))</f>
        <v/>
      </c>
      <c r="M66" s="10" t="n"/>
      <c r="N66" s="10" t="n"/>
      <c r="O66" s="10" t="n"/>
      <c r="P66" s="10" t="n"/>
      <c r="Q66" s="20" t="n"/>
      <c r="R66" s="10" t="n"/>
      <c r="S66" s="10" t="n"/>
      <c r="T66" s="18" t="n"/>
      <c r="U66" s="18" t="n"/>
      <c r="V66" s="10" t="n"/>
      <c r="W66" s="10" t="n"/>
      <c r="X66" s="19">
        <f>IF(OR(A66="",COUNT(U66)=0,COUNT(AI66)=0),"",U66+AI66)</f>
        <v/>
      </c>
      <c r="Y66" s="16" t="n"/>
      <c r="Z66" s="12" t="n"/>
      <c r="AA66" s="17">
        <f>IF(COUNT(J66)=0,"",IF(H66=0,"n.a.",J66/H66))</f>
        <v/>
      </c>
      <c r="AB66" s="12" t="n"/>
      <c r="AC66" s="12" t="n"/>
      <c r="AD66" s="12" t="n"/>
      <c r="AE66" s="13">
        <f>IF(OR(COUNT(J66)=0,COUNT(AB66:AD66)&lt;3),"",ROUND(J66-SUM(AB66:AD66),2))</f>
        <v/>
      </c>
      <c r="AF66" s="15">
        <f>IF(COUNT(AE66)=0,"",IF(Z66=0,"n.a.",AE66/Z66))</f>
        <v/>
      </c>
      <c r="AG66" s="12" t="n"/>
      <c r="AH66" s="14">
        <f>IF(OR(A66="",COUNT(Z66)=0,COUNT(AG66)=0),"",ROUND(Z66-AG66,2))</f>
        <v/>
      </c>
      <c r="AI66" s="21" t="n"/>
      <c r="AJ66" s="11">
        <f>IF(A66="","",IF(COUNT(I66)=0,"Enter approved NTE",IF(COUNT(Z66)&gt;0,IF(Z66&gt;I66,"Invoice exceeds NTE","Invoice within NTE"),IF(COUNT(L66)=0,"Enter quote inputs",IF(L66&gt;I66,"Quote exceeds NTE","Quote within NTE")))))</f>
        <v/>
      </c>
      <c r="AK66" s="11">
        <f>IF(A66="","",IF(COUNT(H66)=0,"Enter direct cost",IF(COUNT(Z66)=0,"Enter invoice revenue",IF(COUNT(AB66:AD66)&lt;3,"Enter expenses (0 if none)","Complete"))))</f>
        <v/>
      </c>
      <c r="AL66" s="11">
        <f>IF(A66="","",IF(NOT(AND(COUNT(AH66)=1,N(AH66)&gt;0.004,V66&lt;&gt;"Void",V66&lt;&gt;"Not invoiced",V66&lt;&gt;"Draft")),"",IF(COUNT(X66)=0,"No due date",IF(TODAY()-X66&lt;=0,"Not yet due",IF(TODAY()-X66&lt;=30,"1-30 days",IF(TODAY()-X66&lt;=60,"31-60 days",IF(TODAY()-X66&lt;=90,"61-90 days","Over 90 days")))))))</f>
        <v/>
      </c>
      <c r="AM66" s="49">
        <f>IF(OR(AL66="",AL66="No due date"),"",MAX(TODAY()-X66,0))</f>
        <v/>
      </c>
      <c r="AN66" s="49">
        <f>IF(AL66="","",IF(COUNT(X66)=0,-100000,TODAY()-X66))</f>
        <v/>
      </c>
      <c r="AO66" s="49">
        <f>IF(AN66="","",COUNTIF(AN$11:AN$1010,"&gt;"&amp;AN66)+COUNTIF(AN$11:AN66,AN66))</f>
        <v/>
      </c>
      <c r="AP66" s="49">
        <f>IF(OR(A66="",B66=""),"",IF(COUNTIF(B$11:B66,B66)=1,MAX(AP$10:AP65)+1,""))</f>
        <v/>
      </c>
    </row>
    <row r="67" ht="24" customHeight="1">
      <c r="A67" s="20" t="n"/>
      <c r="B67" s="10" t="n"/>
      <c r="C67" s="10" t="n"/>
      <c r="D67" s="10" t="n"/>
      <c r="E67" s="10" t="n"/>
      <c r="F67" s="18" t="n"/>
      <c r="G67" s="10" t="n"/>
      <c r="H67" s="12" t="n"/>
      <c r="I67" s="12" t="n"/>
      <c r="J67" s="13">
        <f>IF(OR(A67="",COUNT(H67)=0,COUNT(Z67)=0),"",ROUND(Z67-H67,2))</f>
        <v/>
      </c>
      <c r="K67" s="15">
        <f>IF(COUNT(J67)=0,"",IF(Z67=0,"n.a.",J67/Z67))</f>
        <v/>
      </c>
      <c r="L67" s="14">
        <f>IF(OR(A67="",COUNT(H67)=0,COUNT(Y67)=0),"",ROUND(H67*(1+Y67),2))</f>
        <v/>
      </c>
      <c r="M67" s="10" t="n"/>
      <c r="N67" s="10" t="n"/>
      <c r="O67" s="10" t="n"/>
      <c r="P67" s="10" t="n"/>
      <c r="Q67" s="20" t="n"/>
      <c r="R67" s="10" t="n"/>
      <c r="S67" s="10" t="n"/>
      <c r="T67" s="18" t="n"/>
      <c r="U67" s="18" t="n"/>
      <c r="V67" s="10" t="n"/>
      <c r="W67" s="10" t="n"/>
      <c r="X67" s="19">
        <f>IF(OR(A67="",COUNT(U67)=0,COUNT(AI67)=0),"",U67+AI67)</f>
        <v/>
      </c>
      <c r="Y67" s="16" t="n"/>
      <c r="Z67" s="12" t="n"/>
      <c r="AA67" s="17">
        <f>IF(COUNT(J67)=0,"",IF(H67=0,"n.a.",J67/H67))</f>
        <v/>
      </c>
      <c r="AB67" s="12" t="n"/>
      <c r="AC67" s="12" t="n"/>
      <c r="AD67" s="12" t="n"/>
      <c r="AE67" s="13">
        <f>IF(OR(COUNT(J67)=0,COUNT(AB67:AD67)&lt;3),"",ROUND(J67-SUM(AB67:AD67),2))</f>
        <v/>
      </c>
      <c r="AF67" s="15">
        <f>IF(COUNT(AE67)=0,"",IF(Z67=0,"n.a.",AE67/Z67))</f>
        <v/>
      </c>
      <c r="AG67" s="12" t="n"/>
      <c r="AH67" s="14">
        <f>IF(OR(A67="",COUNT(Z67)=0,COUNT(AG67)=0),"",ROUND(Z67-AG67,2))</f>
        <v/>
      </c>
      <c r="AI67" s="21" t="n"/>
      <c r="AJ67" s="11">
        <f>IF(A67="","",IF(COUNT(I67)=0,"Enter approved NTE",IF(COUNT(Z67)&gt;0,IF(Z67&gt;I67,"Invoice exceeds NTE","Invoice within NTE"),IF(COUNT(L67)=0,"Enter quote inputs",IF(L67&gt;I67,"Quote exceeds NTE","Quote within NTE")))))</f>
        <v/>
      </c>
      <c r="AK67" s="11">
        <f>IF(A67="","",IF(COUNT(H67)=0,"Enter direct cost",IF(COUNT(Z67)=0,"Enter invoice revenue",IF(COUNT(AB67:AD67)&lt;3,"Enter expenses (0 if none)","Complete"))))</f>
        <v/>
      </c>
      <c r="AL67" s="11">
        <f>IF(A67="","",IF(NOT(AND(COUNT(AH67)=1,N(AH67)&gt;0.004,V67&lt;&gt;"Void",V67&lt;&gt;"Not invoiced",V67&lt;&gt;"Draft")),"",IF(COUNT(X67)=0,"No due date",IF(TODAY()-X67&lt;=0,"Not yet due",IF(TODAY()-X67&lt;=30,"1-30 days",IF(TODAY()-X67&lt;=60,"31-60 days",IF(TODAY()-X67&lt;=90,"61-90 days","Over 90 days")))))))</f>
        <v/>
      </c>
      <c r="AM67" s="49">
        <f>IF(OR(AL67="",AL67="No due date"),"",MAX(TODAY()-X67,0))</f>
        <v/>
      </c>
      <c r="AN67" s="49">
        <f>IF(AL67="","",IF(COUNT(X67)=0,-100000,TODAY()-X67))</f>
        <v/>
      </c>
      <c r="AO67" s="49">
        <f>IF(AN67="","",COUNTIF(AN$11:AN$1010,"&gt;"&amp;AN67)+COUNTIF(AN$11:AN67,AN67))</f>
        <v/>
      </c>
      <c r="AP67" s="49">
        <f>IF(OR(A67="",B67=""),"",IF(COUNTIF(B$11:B67,B67)=1,MAX(AP$10:AP66)+1,""))</f>
        <v/>
      </c>
    </row>
    <row r="68" ht="24" customHeight="1">
      <c r="A68" s="20" t="n"/>
      <c r="B68" s="10" t="n"/>
      <c r="C68" s="10" t="n"/>
      <c r="D68" s="10" t="n"/>
      <c r="E68" s="10" t="n"/>
      <c r="F68" s="18" t="n"/>
      <c r="G68" s="10" t="n"/>
      <c r="H68" s="12" t="n"/>
      <c r="I68" s="12" t="n"/>
      <c r="J68" s="13">
        <f>IF(OR(A68="",COUNT(H68)=0,COUNT(Z68)=0),"",ROUND(Z68-H68,2))</f>
        <v/>
      </c>
      <c r="K68" s="15">
        <f>IF(COUNT(J68)=0,"",IF(Z68=0,"n.a.",J68/Z68))</f>
        <v/>
      </c>
      <c r="L68" s="14">
        <f>IF(OR(A68="",COUNT(H68)=0,COUNT(Y68)=0),"",ROUND(H68*(1+Y68),2))</f>
        <v/>
      </c>
      <c r="M68" s="10" t="n"/>
      <c r="N68" s="10" t="n"/>
      <c r="O68" s="10" t="n"/>
      <c r="P68" s="10" t="n"/>
      <c r="Q68" s="20" t="n"/>
      <c r="R68" s="10" t="n"/>
      <c r="S68" s="10" t="n"/>
      <c r="T68" s="18" t="n"/>
      <c r="U68" s="18" t="n"/>
      <c r="V68" s="10" t="n"/>
      <c r="W68" s="10" t="n"/>
      <c r="X68" s="19">
        <f>IF(OR(A68="",COUNT(U68)=0,COUNT(AI68)=0),"",U68+AI68)</f>
        <v/>
      </c>
      <c r="Y68" s="16" t="n"/>
      <c r="Z68" s="12" t="n"/>
      <c r="AA68" s="17">
        <f>IF(COUNT(J68)=0,"",IF(H68=0,"n.a.",J68/H68))</f>
        <v/>
      </c>
      <c r="AB68" s="12" t="n"/>
      <c r="AC68" s="12" t="n"/>
      <c r="AD68" s="12" t="n"/>
      <c r="AE68" s="13">
        <f>IF(OR(COUNT(J68)=0,COUNT(AB68:AD68)&lt;3),"",ROUND(J68-SUM(AB68:AD68),2))</f>
        <v/>
      </c>
      <c r="AF68" s="15">
        <f>IF(COUNT(AE68)=0,"",IF(Z68=0,"n.a.",AE68/Z68))</f>
        <v/>
      </c>
      <c r="AG68" s="12" t="n"/>
      <c r="AH68" s="14">
        <f>IF(OR(A68="",COUNT(Z68)=0,COUNT(AG68)=0),"",ROUND(Z68-AG68,2))</f>
        <v/>
      </c>
      <c r="AI68" s="21" t="n"/>
      <c r="AJ68" s="11">
        <f>IF(A68="","",IF(COUNT(I68)=0,"Enter approved NTE",IF(COUNT(Z68)&gt;0,IF(Z68&gt;I68,"Invoice exceeds NTE","Invoice within NTE"),IF(COUNT(L68)=0,"Enter quote inputs",IF(L68&gt;I68,"Quote exceeds NTE","Quote within NTE")))))</f>
        <v/>
      </c>
      <c r="AK68" s="11">
        <f>IF(A68="","",IF(COUNT(H68)=0,"Enter direct cost",IF(COUNT(Z68)=0,"Enter invoice revenue",IF(COUNT(AB68:AD68)&lt;3,"Enter expenses (0 if none)","Complete"))))</f>
        <v/>
      </c>
      <c r="AL68" s="11">
        <f>IF(A68="","",IF(NOT(AND(COUNT(AH68)=1,N(AH68)&gt;0.004,V68&lt;&gt;"Void",V68&lt;&gt;"Not invoiced",V68&lt;&gt;"Draft")),"",IF(COUNT(X68)=0,"No due date",IF(TODAY()-X68&lt;=0,"Not yet due",IF(TODAY()-X68&lt;=30,"1-30 days",IF(TODAY()-X68&lt;=60,"31-60 days",IF(TODAY()-X68&lt;=90,"61-90 days","Over 90 days")))))))</f>
        <v/>
      </c>
      <c r="AM68" s="49">
        <f>IF(OR(AL68="",AL68="No due date"),"",MAX(TODAY()-X68,0))</f>
        <v/>
      </c>
      <c r="AN68" s="49">
        <f>IF(AL68="","",IF(COUNT(X68)=0,-100000,TODAY()-X68))</f>
        <v/>
      </c>
      <c r="AO68" s="49">
        <f>IF(AN68="","",COUNTIF(AN$11:AN$1010,"&gt;"&amp;AN68)+COUNTIF(AN$11:AN68,AN68))</f>
        <v/>
      </c>
      <c r="AP68" s="49">
        <f>IF(OR(A68="",B68=""),"",IF(COUNTIF(B$11:B68,B68)=1,MAX(AP$10:AP67)+1,""))</f>
        <v/>
      </c>
    </row>
    <row r="69" ht="24" customHeight="1">
      <c r="A69" s="20" t="n"/>
      <c r="B69" s="10" t="n"/>
      <c r="C69" s="10" t="n"/>
      <c r="D69" s="10" t="n"/>
      <c r="E69" s="10" t="n"/>
      <c r="F69" s="18" t="n"/>
      <c r="G69" s="10" t="n"/>
      <c r="H69" s="12" t="n"/>
      <c r="I69" s="12" t="n"/>
      <c r="J69" s="13">
        <f>IF(OR(A69="",COUNT(H69)=0,COUNT(Z69)=0),"",ROUND(Z69-H69,2))</f>
        <v/>
      </c>
      <c r="K69" s="15">
        <f>IF(COUNT(J69)=0,"",IF(Z69=0,"n.a.",J69/Z69))</f>
        <v/>
      </c>
      <c r="L69" s="14">
        <f>IF(OR(A69="",COUNT(H69)=0,COUNT(Y69)=0),"",ROUND(H69*(1+Y69),2))</f>
        <v/>
      </c>
      <c r="M69" s="10" t="n"/>
      <c r="N69" s="10" t="n"/>
      <c r="O69" s="10" t="n"/>
      <c r="P69" s="10" t="n"/>
      <c r="Q69" s="20" t="n"/>
      <c r="R69" s="10" t="n"/>
      <c r="S69" s="10" t="n"/>
      <c r="T69" s="18" t="n"/>
      <c r="U69" s="18" t="n"/>
      <c r="V69" s="10" t="n"/>
      <c r="W69" s="10" t="n"/>
      <c r="X69" s="19">
        <f>IF(OR(A69="",COUNT(U69)=0,COUNT(AI69)=0),"",U69+AI69)</f>
        <v/>
      </c>
      <c r="Y69" s="16" t="n"/>
      <c r="Z69" s="12" t="n"/>
      <c r="AA69" s="17">
        <f>IF(COUNT(J69)=0,"",IF(H69=0,"n.a.",J69/H69))</f>
        <v/>
      </c>
      <c r="AB69" s="12" t="n"/>
      <c r="AC69" s="12" t="n"/>
      <c r="AD69" s="12" t="n"/>
      <c r="AE69" s="13">
        <f>IF(OR(COUNT(J69)=0,COUNT(AB69:AD69)&lt;3),"",ROUND(J69-SUM(AB69:AD69),2))</f>
        <v/>
      </c>
      <c r="AF69" s="15">
        <f>IF(COUNT(AE69)=0,"",IF(Z69=0,"n.a.",AE69/Z69))</f>
        <v/>
      </c>
      <c r="AG69" s="12" t="n"/>
      <c r="AH69" s="14">
        <f>IF(OR(A69="",COUNT(Z69)=0,COUNT(AG69)=0),"",ROUND(Z69-AG69,2))</f>
        <v/>
      </c>
      <c r="AI69" s="21" t="n"/>
      <c r="AJ69" s="11">
        <f>IF(A69="","",IF(COUNT(I69)=0,"Enter approved NTE",IF(COUNT(Z69)&gt;0,IF(Z69&gt;I69,"Invoice exceeds NTE","Invoice within NTE"),IF(COUNT(L69)=0,"Enter quote inputs",IF(L69&gt;I69,"Quote exceeds NTE","Quote within NTE")))))</f>
        <v/>
      </c>
      <c r="AK69" s="11">
        <f>IF(A69="","",IF(COUNT(H69)=0,"Enter direct cost",IF(COUNT(Z69)=0,"Enter invoice revenue",IF(COUNT(AB69:AD69)&lt;3,"Enter expenses (0 if none)","Complete"))))</f>
        <v/>
      </c>
      <c r="AL69" s="11">
        <f>IF(A69="","",IF(NOT(AND(COUNT(AH69)=1,N(AH69)&gt;0.004,V69&lt;&gt;"Void",V69&lt;&gt;"Not invoiced",V69&lt;&gt;"Draft")),"",IF(COUNT(X69)=0,"No due date",IF(TODAY()-X69&lt;=0,"Not yet due",IF(TODAY()-X69&lt;=30,"1-30 days",IF(TODAY()-X69&lt;=60,"31-60 days",IF(TODAY()-X69&lt;=90,"61-90 days","Over 90 days")))))))</f>
        <v/>
      </c>
      <c r="AM69" s="49">
        <f>IF(OR(AL69="",AL69="No due date"),"",MAX(TODAY()-X69,0))</f>
        <v/>
      </c>
      <c r="AN69" s="49">
        <f>IF(AL69="","",IF(COUNT(X69)=0,-100000,TODAY()-X69))</f>
        <v/>
      </c>
      <c r="AO69" s="49">
        <f>IF(AN69="","",COUNTIF(AN$11:AN$1010,"&gt;"&amp;AN69)+COUNTIF(AN$11:AN69,AN69))</f>
        <v/>
      </c>
      <c r="AP69" s="49">
        <f>IF(OR(A69="",B69=""),"",IF(COUNTIF(B$11:B69,B69)=1,MAX(AP$10:AP68)+1,""))</f>
        <v/>
      </c>
    </row>
    <row r="70" ht="24" customHeight="1">
      <c r="A70" s="20" t="n"/>
      <c r="B70" s="10" t="n"/>
      <c r="C70" s="10" t="n"/>
      <c r="D70" s="10" t="n"/>
      <c r="E70" s="10" t="n"/>
      <c r="F70" s="18" t="n"/>
      <c r="G70" s="10" t="n"/>
      <c r="H70" s="12" t="n"/>
      <c r="I70" s="12" t="n"/>
      <c r="J70" s="13">
        <f>IF(OR(A70="",COUNT(H70)=0,COUNT(Z70)=0),"",ROUND(Z70-H70,2))</f>
        <v/>
      </c>
      <c r="K70" s="15">
        <f>IF(COUNT(J70)=0,"",IF(Z70=0,"n.a.",J70/Z70))</f>
        <v/>
      </c>
      <c r="L70" s="14">
        <f>IF(OR(A70="",COUNT(H70)=0,COUNT(Y70)=0),"",ROUND(H70*(1+Y70),2))</f>
        <v/>
      </c>
      <c r="M70" s="10" t="n"/>
      <c r="N70" s="10" t="n"/>
      <c r="O70" s="10" t="n"/>
      <c r="P70" s="10" t="n"/>
      <c r="Q70" s="20" t="n"/>
      <c r="R70" s="10" t="n"/>
      <c r="S70" s="10" t="n"/>
      <c r="T70" s="18" t="n"/>
      <c r="U70" s="18" t="n"/>
      <c r="V70" s="10" t="n"/>
      <c r="W70" s="10" t="n"/>
      <c r="X70" s="19">
        <f>IF(OR(A70="",COUNT(U70)=0,COUNT(AI70)=0),"",U70+AI70)</f>
        <v/>
      </c>
      <c r="Y70" s="16" t="n"/>
      <c r="Z70" s="12" t="n"/>
      <c r="AA70" s="17">
        <f>IF(COUNT(J70)=0,"",IF(H70=0,"n.a.",J70/H70))</f>
        <v/>
      </c>
      <c r="AB70" s="12" t="n"/>
      <c r="AC70" s="12" t="n"/>
      <c r="AD70" s="12" t="n"/>
      <c r="AE70" s="13">
        <f>IF(OR(COUNT(J70)=0,COUNT(AB70:AD70)&lt;3),"",ROUND(J70-SUM(AB70:AD70),2))</f>
        <v/>
      </c>
      <c r="AF70" s="15">
        <f>IF(COUNT(AE70)=0,"",IF(Z70=0,"n.a.",AE70/Z70))</f>
        <v/>
      </c>
      <c r="AG70" s="12" t="n"/>
      <c r="AH70" s="14">
        <f>IF(OR(A70="",COUNT(Z70)=0,COUNT(AG70)=0),"",ROUND(Z70-AG70,2))</f>
        <v/>
      </c>
      <c r="AI70" s="21" t="n"/>
      <c r="AJ70" s="11">
        <f>IF(A70="","",IF(COUNT(I70)=0,"Enter approved NTE",IF(COUNT(Z70)&gt;0,IF(Z70&gt;I70,"Invoice exceeds NTE","Invoice within NTE"),IF(COUNT(L70)=0,"Enter quote inputs",IF(L70&gt;I70,"Quote exceeds NTE","Quote within NTE")))))</f>
        <v/>
      </c>
      <c r="AK70" s="11">
        <f>IF(A70="","",IF(COUNT(H70)=0,"Enter direct cost",IF(COUNT(Z70)=0,"Enter invoice revenue",IF(COUNT(AB70:AD70)&lt;3,"Enter expenses (0 if none)","Complete"))))</f>
        <v/>
      </c>
      <c r="AL70" s="11">
        <f>IF(A70="","",IF(NOT(AND(COUNT(AH70)=1,N(AH70)&gt;0.004,V70&lt;&gt;"Void",V70&lt;&gt;"Not invoiced",V70&lt;&gt;"Draft")),"",IF(COUNT(X70)=0,"No due date",IF(TODAY()-X70&lt;=0,"Not yet due",IF(TODAY()-X70&lt;=30,"1-30 days",IF(TODAY()-X70&lt;=60,"31-60 days",IF(TODAY()-X70&lt;=90,"61-90 days","Over 90 days")))))))</f>
        <v/>
      </c>
      <c r="AM70" s="49">
        <f>IF(OR(AL70="",AL70="No due date"),"",MAX(TODAY()-X70,0))</f>
        <v/>
      </c>
      <c r="AN70" s="49">
        <f>IF(AL70="","",IF(COUNT(X70)=0,-100000,TODAY()-X70))</f>
        <v/>
      </c>
      <c r="AO70" s="49">
        <f>IF(AN70="","",COUNTIF(AN$11:AN$1010,"&gt;"&amp;AN70)+COUNTIF(AN$11:AN70,AN70))</f>
        <v/>
      </c>
      <c r="AP70" s="49">
        <f>IF(OR(A70="",B70=""),"",IF(COUNTIF(B$11:B70,B70)=1,MAX(AP$10:AP69)+1,""))</f>
        <v/>
      </c>
    </row>
    <row r="71" ht="24" customHeight="1">
      <c r="A71" s="20" t="n"/>
      <c r="B71" s="10" t="n"/>
      <c r="C71" s="10" t="n"/>
      <c r="D71" s="10" t="n"/>
      <c r="E71" s="10" t="n"/>
      <c r="F71" s="18" t="n"/>
      <c r="G71" s="10" t="n"/>
      <c r="H71" s="12" t="n"/>
      <c r="I71" s="12" t="n"/>
      <c r="J71" s="13">
        <f>IF(OR(A71="",COUNT(H71)=0,COUNT(Z71)=0),"",ROUND(Z71-H71,2))</f>
        <v/>
      </c>
      <c r="K71" s="15">
        <f>IF(COUNT(J71)=0,"",IF(Z71=0,"n.a.",J71/Z71))</f>
        <v/>
      </c>
      <c r="L71" s="14">
        <f>IF(OR(A71="",COUNT(H71)=0,COUNT(Y71)=0),"",ROUND(H71*(1+Y71),2))</f>
        <v/>
      </c>
      <c r="M71" s="10" t="n"/>
      <c r="N71" s="10" t="n"/>
      <c r="O71" s="10" t="n"/>
      <c r="P71" s="10" t="n"/>
      <c r="Q71" s="20" t="n"/>
      <c r="R71" s="10" t="n"/>
      <c r="S71" s="10" t="n"/>
      <c r="T71" s="18" t="n"/>
      <c r="U71" s="18" t="n"/>
      <c r="V71" s="10" t="n"/>
      <c r="W71" s="10" t="n"/>
      <c r="X71" s="19">
        <f>IF(OR(A71="",COUNT(U71)=0,COUNT(AI71)=0),"",U71+AI71)</f>
        <v/>
      </c>
      <c r="Y71" s="16" t="n"/>
      <c r="Z71" s="12" t="n"/>
      <c r="AA71" s="17">
        <f>IF(COUNT(J71)=0,"",IF(H71=0,"n.a.",J71/H71))</f>
        <v/>
      </c>
      <c r="AB71" s="12" t="n"/>
      <c r="AC71" s="12" t="n"/>
      <c r="AD71" s="12" t="n"/>
      <c r="AE71" s="13">
        <f>IF(OR(COUNT(J71)=0,COUNT(AB71:AD71)&lt;3),"",ROUND(J71-SUM(AB71:AD71),2))</f>
        <v/>
      </c>
      <c r="AF71" s="15">
        <f>IF(COUNT(AE71)=0,"",IF(Z71=0,"n.a.",AE71/Z71))</f>
        <v/>
      </c>
      <c r="AG71" s="12" t="n"/>
      <c r="AH71" s="14">
        <f>IF(OR(A71="",COUNT(Z71)=0,COUNT(AG71)=0),"",ROUND(Z71-AG71,2))</f>
        <v/>
      </c>
      <c r="AI71" s="21" t="n"/>
      <c r="AJ71" s="11">
        <f>IF(A71="","",IF(COUNT(I71)=0,"Enter approved NTE",IF(COUNT(Z71)&gt;0,IF(Z71&gt;I71,"Invoice exceeds NTE","Invoice within NTE"),IF(COUNT(L71)=0,"Enter quote inputs",IF(L71&gt;I71,"Quote exceeds NTE","Quote within NTE")))))</f>
        <v/>
      </c>
      <c r="AK71" s="11">
        <f>IF(A71="","",IF(COUNT(H71)=0,"Enter direct cost",IF(COUNT(Z71)=0,"Enter invoice revenue",IF(COUNT(AB71:AD71)&lt;3,"Enter expenses (0 if none)","Complete"))))</f>
        <v/>
      </c>
      <c r="AL71" s="11">
        <f>IF(A71="","",IF(NOT(AND(COUNT(AH71)=1,N(AH71)&gt;0.004,V71&lt;&gt;"Void",V71&lt;&gt;"Not invoiced",V71&lt;&gt;"Draft")),"",IF(COUNT(X71)=0,"No due date",IF(TODAY()-X71&lt;=0,"Not yet due",IF(TODAY()-X71&lt;=30,"1-30 days",IF(TODAY()-X71&lt;=60,"31-60 days",IF(TODAY()-X71&lt;=90,"61-90 days","Over 90 days")))))))</f>
        <v/>
      </c>
      <c r="AM71" s="49">
        <f>IF(OR(AL71="",AL71="No due date"),"",MAX(TODAY()-X71,0))</f>
        <v/>
      </c>
      <c r="AN71" s="49">
        <f>IF(AL71="","",IF(COUNT(X71)=0,-100000,TODAY()-X71))</f>
        <v/>
      </c>
      <c r="AO71" s="49">
        <f>IF(AN71="","",COUNTIF(AN$11:AN$1010,"&gt;"&amp;AN71)+COUNTIF(AN$11:AN71,AN71))</f>
        <v/>
      </c>
      <c r="AP71" s="49">
        <f>IF(OR(A71="",B71=""),"",IF(COUNTIF(B$11:B71,B71)=1,MAX(AP$10:AP70)+1,""))</f>
        <v/>
      </c>
    </row>
    <row r="72" ht="24" customHeight="1">
      <c r="A72" s="20" t="n"/>
      <c r="B72" s="10" t="n"/>
      <c r="C72" s="10" t="n"/>
      <c r="D72" s="10" t="n"/>
      <c r="E72" s="10" t="n"/>
      <c r="F72" s="18" t="n"/>
      <c r="G72" s="10" t="n"/>
      <c r="H72" s="12" t="n"/>
      <c r="I72" s="12" t="n"/>
      <c r="J72" s="13">
        <f>IF(OR(A72="",COUNT(H72)=0,COUNT(Z72)=0),"",ROUND(Z72-H72,2))</f>
        <v/>
      </c>
      <c r="K72" s="15">
        <f>IF(COUNT(J72)=0,"",IF(Z72=0,"n.a.",J72/Z72))</f>
        <v/>
      </c>
      <c r="L72" s="14">
        <f>IF(OR(A72="",COUNT(H72)=0,COUNT(Y72)=0),"",ROUND(H72*(1+Y72),2))</f>
        <v/>
      </c>
      <c r="M72" s="10" t="n"/>
      <c r="N72" s="10" t="n"/>
      <c r="O72" s="10" t="n"/>
      <c r="P72" s="10" t="n"/>
      <c r="Q72" s="20" t="n"/>
      <c r="R72" s="10" t="n"/>
      <c r="S72" s="10" t="n"/>
      <c r="T72" s="18" t="n"/>
      <c r="U72" s="18" t="n"/>
      <c r="V72" s="10" t="n"/>
      <c r="W72" s="10" t="n"/>
      <c r="X72" s="19">
        <f>IF(OR(A72="",COUNT(U72)=0,COUNT(AI72)=0),"",U72+AI72)</f>
        <v/>
      </c>
      <c r="Y72" s="16" t="n"/>
      <c r="Z72" s="12" t="n"/>
      <c r="AA72" s="17">
        <f>IF(COUNT(J72)=0,"",IF(H72=0,"n.a.",J72/H72))</f>
        <v/>
      </c>
      <c r="AB72" s="12" t="n"/>
      <c r="AC72" s="12" t="n"/>
      <c r="AD72" s="12" t="n"/>
      <c r="AE72" s="13">
        <f>IF(OR(COUNT(J72)=0,COUNT(AB72:AD72)&lt;3),"",ROUND(J72-SUM(AB72:AD72),2))</f>
        <v/>
      </c>
      <c r="AF72" s="15">
        <f>IF(COUNT(AE72)=0,"",IF(Z72=0,"n.a.",AE72/Z72))</f>
        <v/>
      </c>
      <c r="AG72" s="12" t="n"/>
      <c r="AH72" s="14">
        <f>IF(OR(A72="",COUNT(Z72)=0,COUNT(AG72)=0),"",ROUND(Z72-AG72,2))</f>
        <v/>
      </c>
      <c r="AI72" s="21" t="n"/>
      <c r="AJ72" s="11">
        <f>IF(A72="","",IF(COUNT(I72)=0,"Enter approved NTE",IF(COUNT(Z72)&gt;0,IF(Z72&gt;I72,"Invoice exceeds NTE","Invoice within NTE"),IF(COUNT(L72)=0,"Enter quote inputs",IF(L72&gt;I72,"Quote exceeds NTE","Quote within NTE")))))</f>
        <v/>
      </c>
      <c r="AK72" s="11">
        <f>IF(A72="","",IF(COUNT(H72)=0,"Enter direct cost",IF(COUNT(Z72)=0,"Enter invoice revenue",IF(COUNT(AB72:AD72)&lt;3,"Enter expenses (0 if none)","Complete"))))</f>
        <v/>
      </c>
      <c r="AL72" s="11">
        <f>IF(A72="","",IF(NOT(AND(COUNT(AH72)=1,N(AH72)&gt;0.004,V72&lt;&gt;"Void",V72&lt;&gt;"Not invoiced",V72&lt;&gt;"Draft")),"",IF(COUNT(X72)=0,"No due date",IF(TODAY()-X72&lt;=0,"Not yet due",IF(TODAY()-X72&lt;=30,"1-30 days",IF(TODAY()-X72&lt;=60,"31-60 days",IF(TODAY()-X72&lt;=90,"61-90 days","Over 90 days")))))))</f>
        <v/>
      </c>
      <c r="AM72" s="49">
        <f>IF(OR(AL72="",AL72="No due date"),"",MAX(TODAY()-X72,0))</f>
        <v/>
      </c>
      <c r="AN72" s="49">
        <f>IF(AL72="","",IF(COUNT(X72)=0,-100000,TODAY()-X72))</f>
        <v/>
      </c>
      <c r="AO72" s="49">
        <f>IF(AN72="","",COUNTIF(AN$11:AN$1010,"&gt;"&amp;AN72)+COUNTIF(AN$11:AN72,AN72))</f>
        <v/>
      </c>
      <c r="AP72" s="49">
        <f>IF(OR(A72="",B72=""),"",IF(COUNTIF(B$11:B72,B72)=1,MAX(AP$10:AP71)+1,""))</f>
        <v/>
      </c>
    </row>
    <row r="73" ht="24" customHeight="1">
      <c r="A73" s="20" t="n"/>
      <c r="B73" s="10" t="n"/>
      <c r="C73" s="10" t="n"/>
      <c r="D73" s="10" t="n"/>
      <c r="E73" s="10" t="n"/>
      <c r="F73" s="18" t="n"/>
      <c r="G73" s="10" t="n"/>
      <c r="H73" s="12" t="n"/>
      <c r="I73" s="12" t="n"/>
      <c r="J73" s="13">
        <f>IF(OR(A73="",COUNT(H73)=0,COUNT(Z73)=0),"",ROUND(Z73-H73,2))</f>
        <v/>
      </c>
      <c r="K73" s="15">
        <f>IF(COUNT(J73)=0,"",IF(Z73=0,"n.a.",J73/Z73))</f>
        <v/>
      </c>
      <c r="L73" s="14">
        <f>IF(OR(A73="",COUNT(H73)=0,COUNT(Y73)=0),"",ROUND(H73*(1+Y73),2))</f>
        <v/>
      </c>
      <c r="M73" s="10" t="n"/>
      <c r="N73" s="10" t="n"/>
      <c r="O73" s="10" t="n"/>
      <c r="P73" s="10" t="n"/>
      <c r="Q73" s="20" t="n"/>
      <c r="R73" s="10" t="n"/>
      <c r="S73" s="10" t="n"/>
      <c r="T73" s="18" t="n"/>
      <c r="U73" s="18" t="n"/>
      <c r="V73" s="10" t="n"/>
      <c r="W73" s="10" t="n"/>
      <c r="X73" s="19">
        <f>IF(OR(A73="",COUNT(U73)=0,COUNT(AI73)=0),"",U73+AI73)</f>
        <v/>
      </c>
      <c r="Y73" s="16" t="n"/>
      <c r="Z73" s="12" t="n"/>
      <c r="AA73" s="17">
        <f>IF(COUNT(J73)=0,"",IF(H73=0,"n.a.",J73/H73))</f>
        <v/>
      </c>
      <c r="AB73" s="12" t="n"/>
      <c r="AC73" s="12" t="n"/>
      <c r="AD73" s="12" t="n"/>
      <c r="AE73" s="13">
        <f>IF(OR(COUNT(J73)=0,COUNT(AB73:AD73)&lt;3),"",ROUND(J73-SUM(AB73:AD73),2))</f>
        <v/>
      </c>
      <c r="AF73" s="15">
        <f>IF(COUNT(AE73)=0,"",IF(Z73=0,"n.a.",AE73/Z73))</f>
        <v/>
      </c>
      <c r="AG73" s="12" t="n"/>
      <c r="AH73" s="14">
        <f>IF(OR(A73="",COUNT(Z73)=0,COUNT(AG73)=0),"",ROUND(Z73-AG73,2))</f>
        <v/>
      </c>
      <c r="AI73" s="21" t="n"/>
      <c r="AJ73" s="11">
        <f>IF(A73="","",IF(COUNT(I73)=0,"Enter approved NTE",IF(COUNT(Z73)&gt;0,IF(Z73&gt;I73,"Invoice exceeds NTE","Invoice within NTE"),IF(COUNT(L73)=0,"Enter quote inputs",IF(L73&gt;I73,"Quote exceeds NTE","Quote within NTE")))))</f>
        <v/>
      </c>
      <c r="AK73" s="11">
        <f>IF(A73="","",IF(COUNT(H73)=0,"Enter direct cost",IF(COUNT(Z73)=0,"Enter invoice revenue",IF(COUNT(AB73:AD73)&lt;3,"Enter expenses (0 if none)","Complete"))))</f>
        <v/>
      </c>
      <c r="AL73" s="11">
        <f>IF(A73="","",IF(NOT(AND(COUNT(AH73)=1,N(AH73)&gt;0.004,V73&lt;&gt;"Void",V73&lt;&gt;"Not invoiced",V73&lt;&gt;"Draft")),"",IF(COUNT(X73)=0,"No due date",IF(TODAY()-X73&lt;=0,"Not yet due",IF(TODAY()-X73&lt;=30,"1-30 days",IF(TODAY()-X73&lt;=60,"31-60 days",IF(TODAY()-X73&lt;=90,"61-90 days","Over 90 days")))))))</f>
        <v/>
      </c>
      <c r="AM73" s="49">
        <f>IF(OR(AL73="",AL73="No due date"),"",MAX(TODAY()-X73,0))</f>
        <v/>
      </c>
      <c r="AN73" s="49">
        <f>IF(AL73="","",IF(COUNT(X73)=0,-100000,TODAY()-X73))</f>
        <v/>
      </c>
      <c r="AO73" s="49">
        <f>IF(AN73="","",COUNTIF(AN$11:AN$1010,"&gt;"&amp;AN73)+COUNTIF(AN$11:AN73,AN73))</f>
        <v/>
      </c>
      <c r="AP73" s="49">
        <f>IF(OR(A73="",B73=""),"",IF(COUNTIF(B$11:B73,B73)=1,MAX(AP$10:AP72)+1,""))</f>
        <v/>
      </c>
    </row>
    <row r="74" ht="24" customHeight="1">
      <c r="A74" s="20" t="n"/>
      <c r="B74" s="10" t="n"/>
      <c r="C74" s="10" t="n"/>
      <c r="D74" s="10" t="n"/>
      <c r="E74" s="10" t="n"/>
      <c r="F74" s="18" t="n"/>
      <c r="G74" s="10" t="n"/>
      <c r="H74" s="12" t="n"/>
      <c r="I74" s="12" t="n"/>
      <c r="J74" s="13">
        <f>IF(OR(A74="",COUNT(H74)=0,COUNT(Z74)=0),"",ROUND(Z74-H74,2))</f>
        <v/>
      </c>
      <c r="K74" s="15">
        <f>IF(COUNT(J74)=0,"",IF(Z74=0,"n.a.",J74/Z74))</f>
        <v/>
      </c>
      <c r="L74" s="14">
        <f>IF(OR(A74="",COUNT(H74)=0,COUNT(Y74)=0),"",ROUND(H74*(1+Y74),2))</f>
        <v/>
      </c>
      <c r="M74" s="10" t="n"/>
      <c r="N74" s="10" t="n"/>
      <c r="O74" s="10" t="n"/>
      <c r="P74" s="10" t="n"/>
      <c r="Q74" s="20" t="n"/>
      <c r="R74" s="10" t="n"/>
      <c r="S74" s="10" t="n"/>
      <c r="T74" s="18" t="n"/>
      <c r="U74" s="18" t="n"/>
      <c r="V74" s="10" t="n"/>
      <c r="W74" s="10" t="n"/>
      <c r="X74" s="19">
        <f>IF(OR(A74="",COUNT(U74)=0,COUNT(AI74)=0),"",U74+AI74)</f>
        <v/>
      </c>
      <c r="Y74" s="16" t="n"/>
      <c r="Z74" s="12" t="n"/>
      <c r="AA74" s="17">
        <f>IF(COUNT(J74)=0,"",IF(H74=0,"n.a.",J74/H74))</f>
        <v/>
      </c>
      <c r="AB74" s="12" t="n"/>
      <c r="AC74" s="12" t="n"/>
      <c r="AD74" s="12" t="n"/>
      <c r="AE74" s="13">
        <f>IF(OR(COUNT(J74)=0,COUNT(AB74:AD74)&lt;3),"",ROUND(J74-SUM(AB74:AD74),2))</f>
        <v/>
      </c>
      <c r="AF74" s="15">
        <f>IF(COUNT(AE74)=0,"",IF(Z74=0,"n.a.",AE74/Z74))</f>
        <v/>
      </c>
      <c r="AG74" s="12" t="n"/>
      <c r="AH74" s="14">
        <f>IF(OR(A74="",COUNT(Z74)=0,COUNT(AG74)=0),"",ROUND(Z74-AG74,2))</f>
        <v/>
      </c>
      <c r="AI74" s="21" t="n"/>
      <c r="AJ74" s="11">
        <f>IF(A74="","",IF(COUNT(I74)=0,"Enter approved NTE",IF(COUNT(Z74)&gt;0,IF(Z74&gt;I74,"Invoice exceeds NTE","Invoice within NTE"),IF(COUNT(L74)=0,"Enter quote inputs",IF(L74&gt;I74,"Quote exceeds NTE","Quote within NTE")))))</f>
        <v/>
      </c>
      <c r="AK74" s="11">
        <f>IF(A74="","",IF(COUNT(H74)=0,"Enter direct cost",IF(COUNT(Z74)=0,"Enter invoice revenue",IF(COUNT(AB74:AD74)&lt;3,"Enter expenses (0 if none)","Complete"))))</f>
        <v/>
      </c>
      <c r="AL74" s="11">
        <f>IF(A74="","",IF(NOT(AND(COUNT(AH74)=1,N(AH74)&gt;0.004,V74&lt;&gt;"Void",V74&lt;&gt;"Not invoiced",V74&lt;&gt;"Draft")),"",IF(COUNT(X74)=0,"No due date",IF(TODAY()-X74&lt;=0,"Not yet due",IF(TODAY()-X74&lt;=30,"1-30 days",IF(TODAY()-X74&lt;=60,"31-60 days",IF(TODAY()-X74&lt;=90,"61-90 days","Over 90 days")))))))</f>
        <v/>
      </c>
      <c r="AM74" s="49">
        <f>IF(OR(AL74="",AL74="No due date"),"",MAX(TODAY()-X74,0))</f>
        <v/>
      </c>
      <c r="AN74" s="49">
        <f>IF(AL74="","",IF(COUNT(X74)=0,-100000,TODAY()-X74))</f>
        <v/>
      </c>
      <c r="AO74" s="49">
        <f>IF(AN74="","",COUNTIF(AN$11:AN$1010,"&gt;"&amp;AN74)+COUNTIF(AN$11:AN74,AN74))</f>
        <v/>
      </c>
      <c r="AP74" s="49">
        <f>IF(OR(A74="",B74=""),"",IF(COUNTIF(B$11:B74,B74)=1,MAX(AP$10:AP73)+1,""))</f>
        <v/>
      </c>
    </row>
    <row r="75" ht="24" customHeight="1">
      <c r="A75" s="20" t="n"/>
      <c r="B75" s="10" t="n"/>
      <c r="C75" s="10" t="n"/>
      <c r="D75" s="10" t="n"/>
      <c r="E75" s="10" t="n"/>
      <c r="F75" s="18" t="n"/>
      <c r="G75" s="10" t="n"/>
      <c r="H75" s="12" t="n"/>
      <c r="I75" s="12" t="n"/>
      <c r="J75" s="13">
        <f>IF(OR(A75="",COUNT(H75)=0,COUNT(Z75)=0),"",ROUND(Z75-H75,2))</f>
        <v/>
      </c>
      <c r="K75" s="15">
        <f>IF(COUNT(J75)=0,"",IF(Z75=0,"n.a.",J75/Z75))</f>
        <v/>
      </c>
      <c r="L75" s="14">
        <f>IF(OR(A75="",COUNT(H75)=0,COUNT(Y75)=0),"",ROUND(H75*(1+Y75),2))</f>
        <v/>
      </c>
      <c r="M75" s="10" t="n"/>
      <c r="N75" s="10" t="n"/>
      <c r="O75" s="10" t="n"/>
      <c r="P75" s="10" t="n"/>
      <c r="Q75" s="20" t="n"/>
      <c r="R75" s="10" t="n"/>
      <c r="S75" s="10" t="n"/>
      <c r="T75" s="18" t="n"/>
      <c r="U75" s="18" t="n"/>
      <c r="V75" s="10" t="n"/>
      <c r="W75" s="10" t="n"/>
      <c r="X75" s="19">
        <f>IF(OR(A75="",COUNT(U75)=0,COUNT(AI75)=0),"",U75+AI75)</f>
        <v/>
      </c>
      <c r="Y75" s="16" t="n"/>
      <c r="Z75" s="12" t="n"/>
      <c r="AA75" s="17">
        <f>IF(COUNT(J75)=0,"",IF(H75=0,"n.a.",J75/H75))</f>
        <v/>
      </c>
      <c r="AB75" s="12" t="n"/>
      <c r="AC75" s="12" t="n"/>
      <c r="AD75" s="12" t="n"/>
      <c r="AE75" s="13">
        <f>IF(OR(COUNT(J75)=0,COUNT(AB75:AD75)&lt;3),"",ROUND(J75-SUM(AB75:AD75),2))</f>
        <v/>
      </c>
      <c r="AF75" s="15">
        <f>IF(COUNT(AE75)=0,"",IF(Z75=0,"n.a.",AE75/Z75))</f>
        <v/>
      </c>
      <c r="AG75" s="12" t="n"/>
      <c r="AH75" s="14">
        <f>IF(OR(A75="",COUNT(Z75)=0,COUNT(AG75)=0),"",ROUND(Z75-AG75,2))</f>
        <v/>
      </c>
      <c r="AI75" s="21" t="n"/>
      <c r="AJ75" s="11">
        <f>IF(A75="","",IF(COUNT(I75)=0,"Enter approved NTE",IF(COUNT(Z75)&gt;0,IF(Z75&gt;I75,"Invoice exceeds NTE","Invoice within NTE"),IF(COUNT(L75)=0,"Enter quote inputs",IF(L75&gt;I75,"Quote exceeds NTE","Quote within NTE")))))</f>
        <v/>
      </c>
      <c r="AK75" s="11">
        <f>IF(A75="","",IF(COUNT(H75)=0,"Enter direct cost",IF(COUNT(Z75)=0,"Enter invoice revenue",IF(COUNT(AB75:AD75)&lt;3,"Enter expenses (0 if none)","Complete"))))</f>
        <v/>
      </c>
      <c r="AL75" s="11">
        <f>IF(A75="","",IF(NOT(AND(COUNT(AH75)=1,N(AH75)&gt;0.004,V75&lt;&gt;"Void",V75&lt;&gt;"Not invoiced",V75&lt;&gt;"Draft")),"",IF(COUNT(X75)=0,"No due date",IF(TODAY()-X75&lt;=0,"Not yet due",IF(TODAY()-X75&lt;=30,"1-30 days",IF(TODAY()-X75&lt;=60,"31-60 days",IF(TODAY()-X75&lt;=90,"61-90 days","Over 90 days")))))))</f>
        <v/>
      </c>
      <c r="AM75" s="49">
        <f>IF(OR(AL75="",AL75="No due date"),"",MAX(TODAY()-X75,0))</f>
        <v/>
      </c>
      <c r="AN75" s="49">
        <f>IF(AL75="","",IF(COUNT(X75)=0,-100000,TODAY()-X75))</f>
        <v/>
      </c>
      <c r="AO75" s="49">
        <f>IF(AN75="","",COUNTIF(AN$11:AN$1010,"&gt;"&amp;AN75)+COUNTIF(AN$11:AN75,AN75))</f>
        <v/>
      </c>
      <c r="AP75" s="49">
        <f>IF(OR(A75="",B75=""),"",IF(COUNTIF(B$11:B75,B75)=1,MAX(AP$10:AP74)+1,""))</f>
        <v/>
      </c>
    </row>
    <row r="76" ht="24" customHeight="1">
      <c r="A76" s="20" t="n"/>
      <c r="B76" s="10" t="n"/>
      <c r="C76" s="10" t="n"/>
      <c r="D76" s="10" t="n"/>
      <c r="E76" s="10" t="n"/>
      <c r="F76" s="18" t="n"/>
      <c r="G76" s="10" t="n"/>
      <c r="H76" s="12" t="n"/>
      <c r="I76" s="12" t="n"/>
      <c r="J76" s="13">
        <f>IF(OR(A76="",COUNT(H76)=0,COUNT(Z76)=0),"",ROUND(Z76-H76,2))</f>
        <v/>
      </c>
      <c r="K76" s="15">
        <f>IF(COUNT(J76)=0,"",IF(Z76=0,"n.a.",J76/Z76))</f>
        <v/>
      </c>
      <c r="L76" s="14">
        <f>IF(OR(A76="",COUNT(H76)=0,COUNT(Y76)=0),"",ROUND(H76*(1+Y76),2))</f>
        <v/>
      </c>
      <c r="M76" s="10" t="n"/>
      <c r="N76" s="10" t="n"/>
      <c r="O76" s="10" t="n"/>
      <c r="P76" s="10" t="n"/>
      <c r="Q76" s="20" t="n"/>
      <c r="R76" s="10" t="n"/>
      <c r="S76" s="10" t="n"/>
      <c r="T76" s="18" t="n"/>
      <c r="U76" s="18" t="n"/>
      <c r="V76" s="10" t="n"/>
      <c r="W76" s="10" t="n"/>
      <c r="X76" s="19">
        <f>IF(OR(A76="",COUNT(U76)=0,COUNT(AI76)=0),"",U76+AI76)</f>
        <v/>
      </c>
      <c r="Y76" s="16" t="n"/>
      <c r="Z76" s="12" t="n"/>
      <c r="AA76" s="17">
        <f>IF(COUNT(J76)=0,"",IF(H76=0,"n.a.",J76/H76))</f>
        <v/>
      </c>
      <c r="AB76" s="12" t="n"/>
      <c r="AC76" s="12" t="n"/>
      <c r="AD76" s="12" t="n"/>
      <c r="AE76" s="13">
        <f>IF(OR(COUNT(J76)=0,COUNT(AB76:AD76)&lt;3),"",ROUND(J76-SUM(AB76:AD76),2))</f>
        <v/>
      </c>
      <c r="AF76" s="15">
        <f>IF(COUNT(AE76)=0,"",IF(Z76=0,"n.a.",AE76/Z76))</f>
        <v/>
      </c>
      <c r="AG76" s="12" t="n"/>
      <c r="AH76" s="14">
        <f>IF(OR(A76="",COUNT(Z76)=0,COUNT(AG76)=0),"",ROUND(Z76-AG76,2))</f>
        <v/>
      </c>
      <c r="AI76" s="21" t="n"/>
      <c r="AJ76" s="11">
        <f>IF(A76="","",IF(COUNT(I76)=0,"Enter approved NTE",IF(COUNT(Z76)&gt;0,IF(Z76&gt;I76,"Invoice exceeds NTE","Invoice within NTE"),IF(COUNT(L76)=0,"Enter quote inputs",IF(L76&gt;I76,"Quote exceeds NTE","Quote within NTE")))))</f>
        <v/>
      </c>
      <c r="AK76" s="11">
        <f>IF(A76="","",IF(COUNT(H76)=0,"Enter direct cost",IF(COUNT(Z76)=0,"Enter invoice revenue",IF(COUNT(AB76:AD76)&lt;3,"Enter expenses (0 if none)","Complete"))))</f>
        <v/>
      </c>
      <c r="AL76" s="11">
        <f>IF(A76="","",IF(NOT(AND(COUNT(AH76)=1,N(AH76)&gt;0.004,V76&lt;&gt;"Void",V76&lt;&gt;"Not invoiced",V76&lt;&gt;"Draft")),"",IF(COUNT(X76)=0,"No due date",IF(TODAY()-X76&lt;=0,"Not yet due",IF(TODAY()-X76&lt;=30,"1-30 days",IF(TODAY()-X76&lt;=60,"31-60 days",IF(TODAY()-X76&lt;=90,"61-90 days","Over 90 days")))))))</f>
        <v/>
      </c>
      <c r="AM76" s="49">
        <f>IF(OR(AL76="",AL76="No due date"),"",MAX(TODAY()-X76,0))</f>
        <v/>
      </c>
      <c r="AN76" s="49">
        <f>IF(AL76="","",IF(COUNT(X76)=0,-100000,TODAY()-X76))</f>
        <v/>
      </c>
      <c r="AO76" s="49">
        <f>IF(AN76="","",COUNTIF(AN$11:AN$1010,"&gt;"&amp;AN76)+COUNTIF(AN$11:AN76,AN76))</f>
        <v/>
      </c>
      <c r="AP76" s="49">
        <f>IF(OR(A76="",B76=""),"",IF(COUNTIF(B$11:B76,B76)=1,MAX(AP$10:AP75)+1,""))</f>
        <v/>
      </c>
    </row>
    <row r="77" ht="24" customHeight="1">
      <c r="A77" s="20" t="n"/>
      <c r="B77" s="10" t="n"/>
      <c r="C77" s="10" t="n"/>
      <c r="D77" s="10" t="n"/>
      <c r="E77" s="10" t="n"/>
      <c r="F77" s="18" t="n"/>
      <c r="G77" s="10" t="n"/>
      <c r="H77" s="12" t="n"/>
      <c r="I77" s="12" t="n"/>
      <c r="J77" s="13">
        <f>IF(OR(A77="",COUNT(H77)=0,COUNT(Z77)=0),"",ROUND(Z77-H77,2))</f>
        <v/>
      </c>
      <c r="K77" s="15">
        <f>IF(COUNT(J77)=0,"",IF(Z77=0,"n.a.",J77/Z77))</f>
        <v/>
      </c>
      <c r="L77" s="14">
        <f>IF(OR(A77="",COUNT(H77)=0,COUNT(Y77)=0),"",ROUND(H77*(1+Y77),2))</f>
        <v/>
      </c>
      <c r="M77" s="10" t="n"/>
      <c r="N77" s="10" t="n"/>
      <c r="O77" s="10" t="n"/>
      <c r="P77" s="10" t="n"/>
      <c r="Q77" s="20" t="n"/>
      <c r="R77" s="10" t="n"/>
      <c r="S77" s="10" t="n"/>
      <c r="T77" s="18" t="n"/>
      <c r="U77" s="18" t="n"/>
      <c r="V77" s="10" t="n"/>
      <c r="W77" s="10" t="n"/>
      <c r="X77" s="19">
        <f>IF(OR(A77="",COUNT(U77)=0,COUNT(AI77)=0),"",U77+AI77)</f>
        <v/>
      </c>
      <c r="Y77" s="16" t="n"/>
      <c r="Z77" s="12" t="n"/>
      <c r="AA77" s="17">
        <f>IF(COUNT(J77)=0,"",IF(H77=0,"n.a.",J77/H77))</f>
        <v/>
      </c>
      <c r="AB77" s="12" t="n"/>
      <c r="AC77" s="12" t="n"/>
      <c r="AD77" s="12" t="n"/>
      <c r="AE77" s="13">
        <f>IF(OR(COUNT(J77)=0,COUNT(AB77:AD77)&lt;3),"",ROUND(J77-SUM(AB77:AD77),2))</f>
        <v/>
      </c>
      <c r="AF77" s="15">
        <f>IF(COUNT(AE77)=0,"",IF(Z77=0,"n.a.",AE77/Z77))</f>
        <v/>
      </c>
      <c r="AG77" s="12" t="n"/>
      <c r="AH77" s="14">
        <f>IF(OR(A77="",COUNT(Z77)=0,COUNT(AG77)=0),"",ROUND(Z77-AG77,2))</f>
        <v/>
      </c>
      <c r="AI77" s="21" t="n"/>
      <c r="AJ77" s="11">
        <f>IF(A77="","",IF(COUNT(I77)=0,"Enter approved NTE",IF(COUNT(Z77)&gt;0,IF(Z77&gt;I77,"Invoice exceeds NTE","Invoice within NTE"),IF(COUNT(L77)=0,"Enter quote inputs",IF(L77&gt;I77,"Quote exceeds NTE","Quote within NTE")))))</f>
        <v/>
      </c>
      <c r="AK77" s="11">
        <f>IF(A77="","",IF(COUNT(H77)=0,"Enter direct cost",IF(COUNT(Z77)=0,"Enter invoice revenue",IF(COUNT(AB77:AD77)&lt;3,"Enter expenses (0 if none)","Complete"))))</f>
        <v/>
      </c>
      <c r="AL77" s="11">
        <f>IF(A77="","",IF(NOT(AND(COUNT(AH77)=1,N(AH77)&gt;0.004,V77&lt;&gt;"Void",V77&lt;&gt;"Not invoiced",V77&lt;&gt;"Draft")),"",IF(COUNT(X77)=0,"No due date",IF(TODAY()-X77&lt;=0,"Not yet due",IF(TODAY()-X77&lt;=30,"1-30 days",IF(TODAY()-X77&lt;=60,"31-60 days",IF(TODAY()-X77&lt;=90,"61-90 days","Over 90 days")))))))</f>
        <v/>
      </c>
      <c r="AM77" s="49">
        <f>IF(OR(AL77="",AL77="No due date"),"",MAX(TODAY()-X77,0))</f>
        <v/>
      </c>
      <c r="AN77" s="49">
        <f>IF(AL77="","",IF(COUNT(X77)=0,-100000,TODAY()-X77))</f>
        <v/>
      </c>
      <c r="AO77" s="49">
        <f>IF(AN77="","",COUNTIF(AN$11:AN$1010,"&gt;"&amp;AN77)+COUNTIF(AN$11:AN77,AN77))</f>
        <v/>
      </c>
      <c r="AP77" s="49">
        <f>IF(OR(A77="",B77=""),"",IF(COUNTIF(B$11:B77,B77)=1,MAX(AP$10:AP76)+1,""))</f>
        <v/>
      </c>
    </row>
    <row r="78" ht="24" customHeight="1">
      <c r="A78" s="20" t="n"/>
      <c r="B78" s="10" t="n"/>
      <c r="C78" s="10" t="n"/>
      <c r="D78" s="10" t="n"/>
      <c r="E78" s="10" t="n"/>
      <c r="F78" s="18" t="n"/>
      <c r="G78" s="10" t="n"/>
      <c r="H78" s="12" t="n"/>
      <c r="I78" s="12" t="n"/>
      <c r="J78" s="13">
        <f>IF(OR(A78="",COUNT(H78)=0,COUNT(Z78)=0),"",ROUND(Z78-H78,2))</f>
        <v/>
      </c>
      <c r="K78" s="15">
        <f>IF(COUNT(J78)=0,"",IF(Z78=0,"n.a.",J78/Z78))</f>
        <v/>
      </c>
      <c r="L78" s="14">
        <f>IF(OR(A78="",COUNT(H78)=0,COUNT(Y78)=0),"",ROUND(H78*(1+Y78),2))</f>
        <v/>
      </c>
      <c r="M78" s="10" t="n"/>
      <c r="N78" s="10" t="n"/>
      <c r="O78" s="10" t="n"/>
      <c r="P78" s="10" t="n"/>
      <c r="Q78" s="20" t="n"/>
      <c r="R78" s="10" t="n"/>
      <c r="S78" s="10" t="n"/>
      <c r="T78" s="18" t="n"/>
      <c r="U78" s="18" t="n"/>
      <c r="V78" s="10" t="n"/>
      <c r="W78" s="10" t="n"/>
      <c r="X78" s="19">
        <f>IF(OR(A78="",COUNT(U78)=0,COUNT(AI78)=0),"",U78+AI78)</f>
        <v/>
      </c>
      <c r="Y78" s="16" t="n"/>
      <c r="Z78" s="12" t="n"/>
      <c r="AA78" s="17">
        <f>IF(COUNT(J78)=0,"",IF(H78=0,"n.a.",J78/H78))</f>
        <v/>
      </c>
      <c r="AB78" s="12" t="n"/>
      <c r="AC78" s="12" t="n"/>
      <c r="AD78" s="12" t="n"/>
      <c r="AE78" s="13">
        <f>IF(OR(COUNT(J78)=0,COUNT(AB78:AD78)&lt;3),"",ROUND(J78-SUM(AB78:AD78),2))</f>
        <v/>
      </c>
      <c r="AF78" s="15">
        <f>IF(COUNT(AE78)=0,"",IF(Z78=0,"n.a.",AE78/Z78))</f>
        <v/>
      </c>
      <c r="AG78" s="12" t="n"/>
      <c r="AH78" s="14">
        <f>IF(OR(A78="",COUNT(Z78)=0,COUNT(AG78)=0),"",ROUND(Z78-AG78,2))</f>
        <v/>
      </c>
      <c r="AI78" s="21" t="n"/>
      <c r="AJ78" s="11">
        <f>IF(A78="","",IF(COUNT(I78)=0,"Enter approved NTE",IF(COUNT(Z78)&gt;0,IF(Z78&gt;I78,"Invoice exceeds NTE","Invoice within NTE"),IF(COUNT(L78)=0,"Enter quote inputs",IF(L78&gt;I78,"Quote exceeds NTE","Quote within NTE")))))</f>
        <v/>
      </c>
      <c r="AK78" s="11">
        <f>IF(A78="","",IF(COUNT(H78)=0,"Enter direct cost",IF(COUNT(Z78)=0,"Enter invoice revenue",IF(COUNT(AB78:AD78)&lt;3,"Enter expenses (0 if none)","Complete"))))</f>
        <v/>
      </c>
      <c r="AL78" s="11">
        <f>IF(A78="","",IF(NOT(AND(COUNT(AH78)=1,N(AH78)&gt;0.004,V78&lt;&gt;"Void",V78&lt;&gt;"Not invoiced",V78&lt;&gt;"Draft")),"",IF(COUNT(X78)=0,"No due date",IF(TODAY()-X78&lt;=0,"Not yet due",IF(TODAY()-X78&lt;=30,"1-30 days",IF(TODAY()-X78&lt;=60,"31-60 days",IF(TODAY()-X78&lt;=90,"61-90 days","Over 90 days")))))))</f>
        <v/>
      </c>
      <c r="AM78" s="49">
        <f>IF(OR(AL78="",AL78="No due date"),"",MAX(TODAY()-X78,0))</f>
        <v/>
      </c>
      <c r="AN78" s="49">
        <f>IF(AL78="","",IF(COUNT(X78)=0,-100000,TODAY()-X78))</f>
        <v/>
      </c>
      <c r="AO78" s="49">
        <f>IF(AN78="","",COUNTIF(AN$11:AN$1010,"&gt;"&amp;AN78)+COUNTIF(AN$11:AN78,AN78))</f>
        <v/>
      </c>
      <c r="AP78" s="49">
        <f>IF(OR(A78="",B78=""),"",IF(COUNTIF(B$11:B78,B78)=1,MAX(AP$10:AP77)+1,""))</f>
        <v/>
      </c>
    </row>
    <row r="79" ht="24" customHeight="1">
      <c r="A79" s="20" t="n"/>
      <c r="B79" s="10" t="n"/>
      <c r="C79" s="10" t="n"/>
      <c r="D79" s="10" t="n"/>
      <c r="E79" s="10" t="n"/>
      <c r="F79" s="18" t="n"/>
      <c r="G79" s="10" t="n"/>
      <c r="H79" s="12" t="n"/>
      <c r="I79" s="12" t="n"/>
      <c r="J79" s="13">
        <f>IF(OR(A79="",COUNT(H79)=0,COUNT(Z79)=0),"",ROUND(Z79-H79,2))</f>
        <v/>
      </c>
      <c r="K79" s="15">
        <f>IF(COUNT(J79)=0,"",IF(Z79=0,"n.a.",J79/Z79))</f>
        <v/>
      </c>
      <c r="L79" s="14">
        <f>IF(OR(A79="",COUNT(H79)=0,COUNT(Y79)=0),"",ROUND(H79*(1+Y79),2))</f>
        <v/>
      </c>
      <c r="M79" s="10" t="n"/>
      <c r="N79" s="10" t="n"/>
      <c r="O79" s="10" t="n"/>
      <c r="P79" s="10" t="n"/>
      <c r="Q79" s="20" t="n"/>
      <c r="R79" s="10" t="n"/>
      <c r="S79" s="10" t="n"/>
      <c r="T79" s="18" t="n"/>
      <c r="U79" s="18" t="n"/>
      <c r="V79" s="10" t="n"/>
      <c r="W79" s="10" t="n"/>
      <c r="X79" s="19">
        <f>IF(OR(A79="",COUNT(U79)=0,COUNT(AI79)=0),"",U79+AI79)</f>
        <v/>
      </c>
      <c r="Y79" s="16" t="n"/>
      <c r="Z79" s="12" t="n"/>
      <c r="AA79" s="17">
        <f>IF(COUNT(J79)=0,"",IF(H79=0,"n.a.",J79/H79))</f>
        <v/>
      </c>
      <c r="AB79" s="12" t="n"/>
      <c r="AC79" s="12" t="n"/>
      <c r="AD79" s="12" t="n"/>
      <c r="AE79" s="13">
        <f>IF(OR(COUNT(J79)=0,COUNT(AB79:AD79)&lt;3),"",ROUND(J79-SUM(AB79:AD79),2))</f>
        <v/>
      </c>
      <c r="AF79" s="15">
        <f>IF(COUNT(AE79)=0,"",IF(Z79=0,"n.a.",AE79/Z79))</f>
        <v/>
      </c>
      <c r="AG79" s="12" t="n"/>
      <c r="AH79" s="14">
        <f>IF(OR(A79="",COUNT(Z79)=0,COUNT(AG79)=0),"",ROUND(Z79-AG79,2))</f>
        <v/>
      </c>
      <c r="AI79" s="21" t="n"/>
      <c r="AJ79" s="11">
        <f>IF(A79="","",IF(COUNT(I79)=0,"Enter approved NTE",IF(COUNT(Z79)&gt;0,IF(Z79&gt;I79,"Invoice exceeds NTE","Invoice within NTE"),IF(COUNT(L79)=0,"Enter quote inputs",IF(L79&gt;I79,"Quote exceeds NTE","Quote within NTE")))))</f>
        <v/>
      </c>
      <c r="AK79" s="11">
        <f>IF(A79="","",IF(COUNT(H79)=0,"Enter direct cost",IF(COUNT(Z79)=0,"Enter invoice revenue",IF(COUNT(AB79:AD79)&lt;3,"Enter expenses (0 if none)","Complete"))))</f>
        <v/>
      </c>
      <c r="AL79" s="11">
        <f>IF(A79="","",IF(NOT(AND(COUNT(AH79)=1,N(AH79)&gt;0.004,V79&lt;&gt;"Void",V79&lt;&gt;"Not invoiced",V79&lt;&gt;"Draft")),"",IF(COUNT(X79)=0,"No due date",IF(TODAY()-X79&lt;=0,"Not yet due",IF(TODAY()-X79&lt;=30,"1-30 days",IF(TODAY()-X79&lt;=60,"31-60 days",IF(TODAY()-X79&lt;=90,"61-90 days","Over 90 days")))))))</f>
        <v/>
      </c>
      <c r="AM79" s="49">
        <f>IF(OR(AL79="",AL79="No due date"),"",MAX(TODAY()-X79,0))</f>
        <v/>
      </c>
      <c r="AN79" s="49">
        <f>IF(AL79="","",IF(COUNT(X79)=0,-100000,TODAY()-X79))</f>
        <v/>
      </c>
      <c r="AO79" s="49">
        <f>IF(AN79="","",COUNTIF(AN$11:AN$1010,"&gt;"&amp;AN79)+COUNTIF(AN$11:AN79,AN79))</f>
        <v/>
      </c>
      <c r="AP79" s="49">
        <f>IF(OR(A79="",B79=""),"",IF(COUNTIF(B$11:B79,B79)=1,MAX(AP$10:AP78)+1,""))</f>
        <v/>
      </c>
    </row>
    <row r="80" ht="24" customHeight="1">
      <c r="A80" s="20" t="n"/>
      <c r="B80" s="10" t="n"/>
      <c r="C80" s="10" t="n"/>
      <c r="D80" s="10" t="n"/>
      <c r="E80" s="10" t="n"/>
      <c r="F80" s="18" t="n"/>
      <c r="G80" s="10" t="n"/>
      <c r="H80" s="12" t="n"/>
      <c r="I80" s="12" t="n"/>
      <c r="J80" s="13">
        <f>IF(OR(A80="",COUNT(H80)=0,COUNT(Z80)=0),"",ROUND(Z80-H80,2))</f>
        <v/>
      </c>
      <c r="K80" s="15">
        <f>IF(COUNT(J80)=0,"",IF(Z80=0,"n.a.",J80/Z80))</f>
        <v/>
      </c>
      <c r="L80" s="14">
        <f>IF(OR(A80="",COUNT(H80)=0,COUNT(Y80)=0),"",ROUND(H80*(1+Y80),2))</f>
        <v/>
      </c>
      <c r="M80" s="10" t="n"/>
      <c r="N80" s="10" t="n"/>
      <c r="O80" s="10" t="n"/>
      <c r="P80" s="10" t="n"/>
      <c r="Q80" s="20" t="n"/>
      <c r="R80" s="10" t="n"/>
      <c r="S80" s="10" t="n"/>
      <c r="T80" s="18" t="n"/>
      <c r="U80" s="18" t="n"/>
      <c r="V80" s="10" t="n"/>
      <c r="W80" s="10" t="n"/>
      <c r="X80" s="19">
        <f>IF(OR(A80="",COUNT(U80)=0,COUNT(AI80)=0),"",U80+AI80)</f>
        <v/>
      </c>
      <c r="Y80" s="16" t="n"/>
      <c r="Z80" s="12" t="n"/>
      <c r="AA80" s="17">
        <f>IF(COUNT(J80)=0,"",IF(H80=0,"n.a.",J80/H80))</f>
        <v/>
      </c>
      <c r="AB80" s="12" t="n"/>
      <c r="AC80" s="12" t="n"/>
      <c r="AD80" s="12" t="n"/>
      <c r="AE80" s="13">
        <f>IF(OR(COUNT(J80)=0,COUNT(AB80:AD80)&lt;3),"",ROUND(J80-SUM(AB80:AD80),2))</f>
        <v/>
      </c>
      <c r="AF80" s="15">
        <f>IF(COUNT(AE80)=0,"",IF(Z80=0,"n.a.",AE80/Z80))</f>
        <v/>
      </c>
      <c r="AG80" s="12" t="n"/>
      <c r="AH80" s="14">
        <f>IF(OR(A80="",COUNT(Z80)=0,COUNT(AG80)=0),"",ROUND(Z80-AG80,2))</f>
        <v/>
      </c>
      <c r="AI80" s="21" t="n"/>
      <c r="AJ80" s="11">
        <f>IF(A80="","",IF(COUNT(I80)=0,"Enter approved NTE",IF(COUNT(Z80)&gt;0,IF(Z80&gt;I80,"Invoice exceeds NTE","Invoice within NTE"),IF(COUNT(L80)=0,"Enter quote inputs",IF(L80&gt;I80,"Quote exceeds NTE","Quote within NTE")))))</f>
        <v/>
      </c>
      <c r="AK80" s="11">
        <f>IF(A80="","",IF(COUNT(H80)=0,"Enter direct cost",IF(COUNT(Z80)=0,"Enter invoice revenue",IF(COUNT(AB80:AD80)&lt;3,"Enter expenses (0 if none)","Complete"))))</f>
        <v/>
      </c>
      <c r="AL80" s="11">
        <f>IF(A80="","",IF(NOT(AND(COUNT(AH80)=1,N(AH80)&gt;0.004,V80&lt;&gt;"Void",V80&lt;&gt;"Not invoiced",V80&lt;&gt;"Draft")),"",IF(COUNT(X80)=0,"No due date",IF(TODAY()-X80&lt;=0,"Not yet due",IF(TODAY()-X80&lt;=30,"1-30 days",IF(TODAY()-X80&lt;=60,"31-60 days",IF(TODAY()-X80&lt;=90,"61-90 days","Over 90 days")))))))</f>
        <v/>
      </c>
      <c r="AM80" s="49">
        <f>IF(OR(AL80="",AL80="No due date"),"",MAX(TODAY()-X80,0))</f>
        <v/>
      </c>
      <c r="AN80" s="49">
        <f>IF(AL80="","",IF(COUNT(X80)=0,-100000,TODAY()-X80))</f>
        <v/>
      </c>
      <c r="AO80" s="49">
        <f>IF(AN80="","",COUNTIF(AN$11:AN$1010,"&gt;"&amp;AN80)+COUNTIF(AN$11:AN80,AN80))</f>
        <v/>
      </c>
      <c r="AP80" s="49">
        <f>IF(OR(A80="",B80=""),"",IF(COUNTIF(B$11:B80,B80)=1,MAX(AP$10:AP79)+1,""))</f>
        <v/>
      </c>
    </row>
    <row r="81" ht="24" customHeight="1">
      <c r="A81" s="20" t="n"/>
      <c r="B81" s="10" t="n"/>
      <c r="C81" s="10" t="n"/>
      <c r="D81" s="10" t="n"/>
      <c r="E81" s="10" t="n"/>
      <c r="F81" s="18" t="n"/>
      <c r="G81" s="10" t="n"/>
      <c r="H81" s="12" t="n"/>
      <c r="I81" s="12" t="n"/>
      <c r="J81" s="13">
        <f>IF(OR(A81="",COUNT(H81)=0,COUNT(Z81)=0),"",ROUND(Z81-H81,2))</f>
        <v/>
      </c>
      <c r="K81" s="15">
        <f>IF(COUNT(J81)=0,"",IF(Z81=0,"n.a.",J81/Z81))</f>
        <v/>
      </c>
      <c r="L81" s="14">
        <f>IF(OR(A81="",COUNT(H81)=0,COUNT(Y81)=0),"",ROUND(H81*(1+Y81),2))</f>
        <v/>
      </c>
      <c r="M81" s="10" t="n"/>
      <c r="N81" s="10" t="n"/>
      <c r="O81" s="10" t="n"/>
      <c r="P81" s="10" t="n"/>
      <c r="Q81" s="20" t="n"/>
      <c r="R81" s="10" t="n"/>
      <c r="S81" s="10" t="n"/>
      <c r="T81" s="18" t="n"/>
      <c r="U81" s="18" t="n"/>
      <c r="V81" s="10" t="n"/>
      <c r="W81" s="10" t="n"/>
      <c r="X81" s="19">
        <f>IF(OR(A81="",COUNT(U81)=0,COUNT(AI81)=0),"",U81+AI81)</f>
        <v/>
      </c>
      <c r="Y81" s="16" t="n"/>
      <c r="Z81" s="12" t="n"/>
      <c r="AA81" s="17">
        <f>IF(COUNT(J81)=0,"",IF(H81=0,"n.a.",J81/H81))</f>
        <v/>
      </c>
      <c r="AB81" s="12" t="n"/>
      <c r="AC81" s="12" t="n"/>
      <c r="AD81" s="12" t="n"/>
      <c r="AE81" s="13">
        <f>IF(OR(COUNT(J81)=0,COUNT(AB81:AD81)&lt;3),"",ROUND(J81-SUM(AB81:AD81),2))</f>
        <v/>
      </c>
      <c r="AF81" s="15">
        <f>IF(COUNT(AE81)=0,"",IF(Z81=0,"n.a.",AE81/Z81))</f>
        <v/>
      </c>
      <c r="AG81" s="12" t="n"/>
      <c r="AH81" s="14">
        <f>IF(OR(A81="",COUNT(Z81)=0,COUNT(AG81)=0),"",ROUND(Z81-AG81,2))</f>
        <v/>
      </c>
      <c r="AI81" s="21" t="n"/>
      <c r="AJ81" s="11">
        <f>IF(A81="","",IF(COUNT(I81)=0,"Enter approved NTE",IF(COUNT(Z81)&gt;0,IF(Z81&gt;I81,"Invoice exceeds NTE","Invoice within NTE"),IF(COUNT(L81)=0,"Enter quote inputs",IF(L81&gt;I81,"Quote exceeds NTE","Quote within NTE")))))</f>
        <v/>
      </c>
      <c r="AK81" s="11">
        <f>IF(A81="","",IF(COUNT(H81)=0,"Enter direct cost",IF(COUNT(Z81)=0,"Enter invoice revenue",IF(COUNT(AB81:AD81)&lt;3,"Enter expenses (0 if none)","Complete"))))</f>
        <v/>
      </c>
      <c r="AL81" s="11">
        <f>IF(A81="","",IF(NOT(AND(COUNT(AH81)=1,N(AH81)&gt;0.004,V81&lt;&gt;"Void",V81&lt;&gt;"Not invoiced",V81&lt;&gt;"Draft")),"",IF(COUNT(X81)=0,"No due date",IF(TODAY()-X81&lt;=0,"Not yet due",IF(TODAY()-X81&lt;=30,"1-30 days",IF(TODAY()-X81&lt;=60,"31-60 days",IF(TODAY()-X81&lt;=90,"61-90 days","Over 90 days")))))))</f>
        <v/>
      </c>
      <c r="AM81" s="49">
        <f>IF(OR(AL81="",AL81="No due date"),"",MAX(TODAY()-X81,0))</f>
        <v/>
      </c>
      <c r="AN81" s="49">
        <f>IF(AL81="","",IF(COUNT(X81)=0,-100000,TODAY()-X81))</f>
        <v/>
      </c>
      <c r="AO81" s="49">
        <f>IF(AN81="","",COUNTIF(AN$11:AN$1010,"&gt;"&amp;AN81)+COUNTIF(AN$11:AN81,AN81))</f>
        <v/>
      </c>
      <c r="AP81" s="49">
        <f>IF(OR(A81="",B81=""),"",IF(COUNTIF(B$11:B81,B81)=1,MAX(AP$10:AP80)+1,""))</f>
        <v/>
      </c>
    </row>
    <row r="82" ht="24" customHeight="1">
      <c r="A82" s="20" t="n"/>
      <c r="B82" s="10" t="n"/>
      <c r="C82" s="10" t="n"/>
      <c r="D82" s="10" t="n"/>
      <c r="E82" s="10" t="n"/>
      <c r="F82" s="18" t="n"/>
      <c r="G82" s="10" t="n"/>
      <c r="H82" s="12" t="n"/>
      <c r="I82" s="12" t="n"/>
      <c r="J82" s="13">
        <f>IF(OR(A82="",COUNT(H82)=0,COUNT(Z82)=0),"",ROUND(Z82-H82,2))</f>
        <v/>
      </c>
      <c r="K82" s="15">
        <f>IF(COUNT(J82)=0,"",IF(Z82=0,"n.a.",J82/Z82))</f>
        <v/>
      </c>
      <c r="L82" s="14">
        <f>IF(OR(A82="",COUNT(H82)=0,COUNT(Y82)=0),"",ROUND(H82*(1+Y82),2))</f>
        <v/>
      </c>
      <c r="M82" s="10" t="n"/>
      <c r="N82" s="10" t="n"/>
      <c r="O82" s="10" t="n"/>
      <c r="P82" s="10" t="n"/>
      <c r="Q82" s="20" t="n"/>
      <c r="R82" s="10" t="n"/>
      <c r="S82" s="10" t="n"/>
      <c r="T82" s="18" t="n"/>
      <c r="U82" s="18" t="n"/>
      <c r="V82" s="10" t="n"/>
      <c r="W82" s="10" t="n"/>
      <c r="X82" s="19">
        <f>IF(OR(A82="",COUNT(U82)=0,COUNT(AI82)=0),"",U82+AI82)</f>
        <v/>
      </c>
      <c r="Y82" s="16" t="n"/>
      <c r="Z82" s="12" t="n"/>
      <c r="AA82" s="17">
        <f>IF(COUNT(J82)=0,"",IF(H82=0,"n.a.",J82/H82))</f>
        <v/>
      </c>
      <c r="AB82" s="12" t="n"/>
      <c r="AC82" s="12" t="n"/>
      <c r="AD82" s="12" t="n"/>
      <c r="AE82" s="13">
        <f>IF(OR(COUNT(J82)=0,COUNT(AB82:AD82)&lt;3),"",ROUND(J82-SUM(AB82:AD82),2))</f>
        <v/>
      </c>
      <c r="AF82" s="15">
        <f>IF(COUNT(AE82)=0,"",IF(Z82=0,"n.a.",AE82/Z82))</f>
        <v/>
      </c>
      <c r="AG82" s="12" t="n"/>
      <c r="AH82" s="14">
        <f>IF(OR(A82="",COUNT(Z82)=0,COUNT(AG82)=0),"",ROUND(Z82-AG82,2))</f>
        <v/>
      </c>
      <c r="AI82" s="21" t="n"/>
      <c r="AJ82" s="11">
        <f>IF(A82="","",IF(COUNT(I82)=0,"Enter approved NTE",IF(COUNT(Z82)&gt;0,IF(Z82&gt;I82,"Invoice exceeds NTE","Invoice within NTE"),IF(COUNT(L82)=0,"Enter quote inputs",IF(L82&gt;I82,"Quote exceeds NTE","Quote within NTE")))))</f>
        <v/>
      </c>
      <c r="AK82" s="11">
        <f>IF(A82="","",IF(COUNT(H82)=0,"Enter direct cost",IF(COUNT(Z82)=0,"Enter invoice revenue",IF(COUNT(AB82:AD82)&lt;3,"Enter expenses (0 if none)","Complete"))))</f>
        <v/>
      </c>
      <c r="AL82" s="11">
        <f>IF(A82="","",IF(NOT(AND(COUNT(AH82)=1,N(AH82)&gt;0.004,V82&lt;&gt;"Void",V82&lt;&gt;"Not invoiced",V82&lt;&gt;"Draft")),"",IF(COUNT(X82)=0,"No due date",IF(TODAY()-X82&lt;=0,"Not yet due",IF(TODAY()-X82&lt;=30,"1-30 days",IF(TODAY()-X82&lt;=60,"31-60 days",IF(TODAY()-X82&lt;=90,"61-90 days","Over 90 days")))))))</f>
        <v/>
      </c>
      <c r="AM82" s="49">
        <f>IF(OR(AL82="",AL82="No due date"),"",MAX(TODAY()-X82,0))</f>
        <v/>
      </c>
      <c r="AN82" s="49">
        <f>IF(AL82="","",IF(COUNT(X82)=0,-100000,TODAY()-X82))</f>
        <v/>
      </c>
      <c r="AO82" s="49">
        <f>IF(AN82="","",COUNTIF(AN$11:AN$1010,"&gt;"&amp;AN82)+COUNTIF(AN$11:AN82,AN82))</f>
        <v/>
      </c>
      <c r="AP82" s="49">
        <f>IF(OR(A82="",B82=""),"",IF(COUNTIF(B$11:B82,B82)=1,MAX(AP$10:AP81)+1,""))</f>
        <v/>
      </c>
    </row>
    <row r="83" ht="24" customHeight="1">
      <c r="A83" s="20" t="n"/>
      <c r="B83" s="10" t="n"/>
      <c r="C83" s="10" t="n"/>
      <c r="D83" s="10" t="n"/>
      <c r="E83" s="10" t="n"/>
      <c r="F83" s="18" t="n"/>
      <c r="G83" s="10" t="n"/>
      <c r="H83" s="12" t="n"/>
      <c r="I83" s="12" t="n"/>
      <c r="J83" s="13">
        <f>IF(OR(A83="",COUNT(H83)=0,COUNT(Z83)=0),"",ROUND(Z83-H83,2))</f>
        <v/>
      </c>
      <c r="K83" s="15">
        <f>IF(COUNT(J83)=0,"",IF(Z83=0,"n.a.",J83/Z83))</f>
        <v/>
      </c>
      <c r="L83" s="14">
        <f>IF(OR(A83="",COUNT(H83)=0,COUNT(Y83)=0),"",ROUND(H83*(1+Y83),2))</f>
        <v/>
      </c>
      <c r="M83" s="10" t="n"/>
      <c r="N83" s="10" t="n"/>
      <c r="O83" s="10" t="n"/>
      <c r="P83" s="10" t="n"/>
      <c r="Q83" s="20" t="n"/>
      <c r="R83" s="10" t="n"/>
      <c r="S83" s="10" t="n"/>
      <c r="T83" s="18" t="n"/>
      <c r="U83" s="18" t="n"/>
      <c r="V83" s="10" t="n"/>
      <c r="W83" s="10" t="n"/>
      <c r="X83" s="19">
        <f>IF(OR(A83="",COUNT(U83)=0,COUNT(AI83)=0),"",U83+AI83)</f>
        <v/>
      </c>
      <c r="Y83" s="16" t="n"/>
      <c r="Z83" s="12" t="n"/>
      <c r="AA83" s="17">
        <f>IF(COUNT(J83)=0,"",IF(H83=0,"n.a.",J83/H83))</f>
        <v/>
      </c>
      <c r="AB83" s="12" t="n"/>
      <c r="AC83" s="12" t="n"/>
      <c r="AD83" s="12" t="n"/>
      <c r="AE83" s="13">
        <f>IF(OR(COUNT(J83)=0,COUNT(AB83:AD83)&lt;3),"",ROUND(J83-SUM(AB83:AD83),2))</f>
        <v/>
      </c>
      <c r="AF83" s="15">
        <f>IF(COUNT(AE83)=0,"",IF(Z83=0,"n.a.",AE83/Z83))</f>
        <v/>
      </c>
      <c r="AG83" s="12" t="n"/>
      <c r="AH83" s="14">
        <f>IF(OR(A83="",COUNT(Z83)=0,COUNT(AG83)=0),"",ROUND(Z83-AG83,2))</f>
        <v/>
      </c>
      <c r="AI83" s="21" t="n"/>
      <c r="AJ83" s="11">
        <f>IF(A83="","",IF(COUNT(I83)=0,"Enter approved NTE",IF(COUNT(Z83)&gt;0,IF(Z83&gt;I83,"Invoice exceeds NTE","Invoice within NTE"),IF(COUNT(L83)=0,"Enter quote inputs",IF(L83&gt;I83,"Quote exceeds NTE","Quote within NTE")))))</f>
        <v/>
      </c>
      <c r="AK83" s="11">
        <f>IF(A83="","",IF(COUNT(H83)=0,"Enter direct cost",IF(COUNT(Z83)=0,"Enter invoice revenue",IF(COUNT(AB83:AD83)&lt;3,"Enter expenses (0 if none)","Complete"))))</f>
        <v/>
      </c>
      <c r="AL83" s="11">
        <f>IF(A83="","",IF(NOT(AND(COUNT(AH83)=1,N(AH83)&gt;0.004,V83&lt;&gt;"Void",V83&lt;&gt;"Not invoiced",V83&lt;&gt;"Draft")),"",IF(COUNT(X83)=0,"No due date",IF(TODAY()-X83&lt;=0,"Not yet due",IF(TODAY()-X83&lt;=30,"1-30 days",IF(TODAY()-X83&lt;=60,"31-60 days",IF(TODAY()-X83&lt;=90,"61-90 days","Over 90 days")))))))</f>
        <v/>
      </c>
      <c r="AM83" s="49">
        <f>IF(OR(AL83="",AL83="No due date"),"",MAX(TODAY()-X83,0))</f>
        <v/>
      </c>
      <c r="AN83" s="49">
        <f>IF(AL83="","",IF(COUNT(X83)=0,-100000,TODAY()-X83))</f>
        <v/>
      </c>
      <c r="AO83" s="49">
        <f>IF(AN83="","",COUNTIF(AN$11:AN$1010,"&gt;"&amp;AN83)+COUNTIF(AN$11:AN83,AN83))</f>
        <v/>
      </c>
      <c r="AP83" s="49">
        <f>IF(OR(A83="",B83=""),"",IF(COUNTIF(B$11:B83,B83)=1,MAX(AP$10:AP82)+1,""))</f>
        <v/>
      </c>
    </row>
    <row r="84" ht="24" customHeight="1">
      <c r="A84" s="20" t="n"/>
      <c r="B84" s="10" t="n"/>
      <c r="C84" s="10" t="n"/>
      <c r="D84" s="10" t="n"/>
      <c r="E84" s="10" t="n"/>
      <c r="F84" s="18" t="n"/>
      <c r="G84" s="10" t="n"/>
      <c r="H84" s="12" t="n"/>
      <c r="I84" s="12" t="n"/>
      <c r="J84" s="13">
        <f>IF(OR(A84="",COUNT(H84)=0,COUNT(Z84)=0),"",ROUND(Z84-H84,2))</f>
        <v/>
      </c>
      <c r="K84" s="15">
        <f>IF(COUNT(J84)=0,"",IF(Z84=0,"n.a.",J84/Z84))</f>
        <v/>
      </c>
      <c r="L84" s="14">
        <f>IF(OR(A84="",COUNT(H84)=0,COUNT(Y84)=0),"",ROUND(H84*(1+Y84),2))</f>
        <v/>
      </c>
      <c r="M84" s="10" t="n"/>
      <c r="N84" s="10" t="n"/>
      <c r="O84" s="10" t="n"/>
      <c r="P84" s="10" t="n"/>
      <c r="Q84" s="20" t="n"/>
      <c r="R84" s="10" t="n"/>
      <c r="S84" s="10" t="n"/>
      <c r="T84" s="18" t="n"/>
      <c r="U84" s="18" t="n"/>
      <c r="V84" s="10" t="n"/>
      <c r="W84" s="10" t="n"/>
      <c r="X84" s="19">
        <f>IF(OR(A84="",COUNT(U84)=0,COUNT(AI84)=0),"",U84+AI84)</f>
        <v/>
      </c>
      <c r="Y84" s="16" t="n"/>
      <c r="Z84" s="12" t="n"/>
      <c r="AA84" s="17">
        <f>IF(COUNT(J84)=0,"",IF(H84=0,"n.a.",J84/H84))</f>
        <v/>
      </c>
      <c r="AB84" s="12" t="n"/>
      <c r="AC84" s="12" t="n"/>
      <c r="AD84" s="12" t="n"/>
      <c r="AE84" s="13">
        <f>IF(OR(COUNT(J84)=0,COUNT(AB84:AD84)&lt;3),"",ROUND(J84-SUM(AB84:AD84),2))</f>
        <v/>
      </c>
      <c r="AF84" s="15">
        <f>IF(COUNT(AE84)=0,"",IF(Z84=0,"n.a.",AE84/Z84))</f>
        <v/>
      </c>
      <c r="AG84" s="12" t="n"/>
      <c r="AH84" s="14">
        <f>IF(OR(A84="",COUNT(Z84)=0,COUNT(AG84)=0),"",ROUND(Z84-AG84,2))</f>
        <v/>
      </c>
      <c r="AI84" s="21" t="n"/>
      <c r="AJ84" s="11">
        <f>IF(A84="","",IF(COUNT(I84)=0,"Enter approved NTE",IF(COUNT(Z84)&gt;0,IF(Z84&gt;I84,"Invoice exceeds NTE","Invoice within NTE"),IF(COUNT(L84)=0,"Enter quote inputs",IF(L84&gt;I84,"Quote exceeds NTE","Quote within NTE")))))</f>
        <v/>
      </c>
      <c r="AK84" s="11">
        <f>IF(A84="","",IF(COUNT(H84)=0,"Enter direct cost",IF(COUNT(Z84)=0,"Enter invoice revenue",IF(COUNT(AB84:AD84)&lt;3,"Enter expenses (0 if none)","Complete"))))</f>
        <v/>
      </c>
      <c r="AL84" s="11">
        <f>IF(A84="","",IF(NOT(AND(COUNT(AH84)=1,N(AH84)&gt;0.004,V84&lt;&gt;"Void",V84&lt;&gt;"Not invoiced",V84&lt;&gt;"Draft")),"",IF(COUNT(X84)=0,"No due date",IF(TODAY()-X84&lt;=0,"Not yet due",IF(TODAY()-X84&lt;=30,"1-30 days",IF(TODAY()-X84&lt;=60,"31-60 days",IF(TODAY()-X84&lt;=90,"61-90 days","Over 90 days")))))))</f>
        <v/>
      </c>
      <c r="AM84" s="49">
        <f>IF(OR(AL84="",AL84="No due date"),"",MAX(TODAY()-X84,0))</f>
        <v/>
      </c>
      <c r="AN84" s="49">
        <f>IF(AL84="","",IF(COUNT(X84)=0,-100000,TODAY()-X84))</f>
        <v/>
      </c>
      <c r="AO84" s="49">
        <f>IF(AN84="","",COUNTIF(AN$11:AN$1010,"&gt;"&amp;AN84)+COUNTIF(AN$11:AN84,AN84))</f>
        <v/>
      </c>
      <c r="AP84" s="49">
        <f>IF(OR(A84="",B84=""),"",IF(COUNTIF(B$11:B84,B84)=1,MAX(AP$10:AP83)+1,""))</f>
        <v/>
      </c>
    </row>
    <row r="85" ht="24" customHeight="1">
      <c r="A85" s="20" t="n"/>
      <c r="B85" s="10" t="n"/>
      <c r="C85" s="10" t="n"/>
      <c r="D85" s="10" t="n"/>
      <c r="E85" s="10" t="n"/>
      <c r="F85" s="18" t="n"/>
      <c r="G85" s="10" t="n"/>
      <c r="H85" s="12" t="n"/>
      <c r="I85" s="12" t="n"/>
      <c r="J85" s="13">
        <f>IF(OR(A85="",COUNT(H85)=0,COUNT(Z85)=0),"",ROUND(Z85-H85,2))</f>
        <v/>
      </c>
      <c r="K85" s="15">
        <f>IF(COUNT(J85)=0,"",IF(Z85=0,"n.a.",J85/Z85))</f>
        <v/>
      </c>
      <c r="L85" s="14">
        <f>IF(OR(A85="",COUNT(H85)=0,COUNT(Y85)=0),"",ROUND(H85*(1+Y85),2))</f>
        <v/>
      </c>
      <c r="M85" s="10" t="n"/>
      <c r="N85" s="10" t="n"/>
      <c r="O85" s="10" t="n"/>
      <c r="P85" s="10" t="n"/>
      <c r="Q85" s="20" t="n"/>
      <c r="R85" s="10" t="n"/>
      <c r="S85" s="10" t="n"/>
      <c r="T85" s="18" t="n"/>
      <c r="U85" s="18" t="n"/>
      <c r="V85" s="10" t="n"/>
      <c r="W85" s="10" t="n"/>
      <c r="X85" s="19">
        <f>IF(OR(A85="",COUNT(U85)=0,COUNT(AI85)=0),"",U85+AI85)</f>
        <v/>
      </c>
      <c r="Y85" s="16" t="n"/>
      <c r="Z85" s="12" t="n"/>
      <c r="AA85" s="17">
        <f>IF(COUNT(J85)=0,"",IF(H85=0,"n.a.",J85/H85))</f>
        <v/>
      </c>
      <c r="AB85" s="12" t="n"/>
      <c r="AC85" s="12" t="n"/>
      <c r="AD85" s="12" t="n"/>
      <c r="AE85" s="13">
        <f>IF(OR(COUNT(J85)=0,COUNT(AB85:AD85)&lt;3),"",ROUND(J85-SUM(AB85:AD85),2))</f>
        <v/>
      </c>
      <c r="AF85" s="15">
        <f>IF(COUNT(AE85)=0,"",IF(Z85=0,"n.a.",AE85/Z85))</f>
        <v/>
      </c>
      <c r="AG85" s="12" t="n"/>
      <c r="AH85" s="14">
        <f>IF(OR(A85="",COUNT(Z85)=0,COUNT(AG85)=0),"",ROUND(Z85-AG85,2))</f>
        <v/>
      </c>
      <c r="AI85" s="21" t="n"/>
      <c r="AJ85" s="11">
        <f>IF(A85="","",IF(COUNT(I85)=0,"Enter approved NTE",IF(COUNT(Z85)&gt;0,IF(Z85&gt;I85,"Invoice exceeds NTE","Invoice within NTE"),IF(COUNT(L85)=0,"Enter quote inputs",IF(L85&gt;I85,"Quote exceeds NTE","Quote within NTE")))))</f>
        <v/>
      </c>
      <c r="AK85" s="11">
        <f>IF(A85="","",IF(COUNT(H85)=0,"Enter direct cost",IF(COUNT(Z85)=0,"Enter invoice revenue",IF(COUNT(AB85:AD85)&lt;3,"Enter expenses (0 if none)","Complete"))))</f>
        <v/>
      </c>
      <c r="AL85" s="11">
        <f>IF(A85="","",IF(NOT(AND(COUNT(AH85)=1,N(AH85)&gt;0.004,V85&lt;&gt;"Void",V85&lt;&gt;"Not invoiced",V85&lt;&gt;"Draft")),"",IF(COUNT(X85)=0,"No due date",IF(TODAY()-X85&lt;=0,"Not yet due",IF(TODAY()-X85&lt;=30,"1-30 days",IF(TODAY()-X85&lt;=60,"31-60 days",IF(TODAY()-X85&lt;=90,"61-90 days","Over 90 days")))))))</f>
        <v/>
      </c>
      <c r="AM85" s="49">
        <f>IF(OR(AL85="",AL85="No due date"),"",MAX(TODAY()-X85,0))</f>
        <v/>
      </c>
      <c r="AN85" s="49">
        <f>IF(AL85="","",IF(COUNT(X85)=0,-100000,TODAY()-X85))</f>
        <v/>
      </c>
      <c r="AO85" s="49">
        <f>IF(AN85="","",COUNTIF(AN$11:AN$1010,"&gt;"&amp;AN85)+COUNTIF(AN$11:AN85,AN85))</f>
        <v/>
      </c>
      <c r="AP85" s="49">
        <f>IF(OR(A85="",B85=""),"",IF(COUNTIF(B$11:B85,B85)=1,MAX(AP$10:AP84)+1,""))</f>
        <v/>
      </c>
    </row>
    <row r="86" ht="24" customHeight="1">
      <c r="A86" s="20" t="n"/>
      <c r="B86" s="10" t="n"/>
      <c r="C86" s="10" t="n"/>
      <c r="D86" s="10" t="n"/>
      <c r="E86" s="10" t="n"/>
      <c r="F86" s="18" t="n"/>
      <c r="G86" s="10" t="n"/>
      <c r="H86" s="12" t="n"/>
      <c r="I86" s="12" t="n"/>
      <c r="J86" s="13">
        <f>IF(OR(A86="",COUNT(H86)=0,COUNT(Z86)=0),"",ROUND(Z86-H86,2))</f>
        <v/>
      </c>
      <c r="K86" s="15">
        <f>IF(COUNT(J86)=0,"",IF(Z86=0,"n.a.",J86/Z86))</f>
        <v/>
      </c>
      <c r="L86" s="14">
        <f>IF(OR(A86="",COUNT(H86)=0,COUNT(Y86)=0),"",ROUND(H86*(1+Y86),2))</f>
        <v/>
      </c>
      <c r="M86" s="10" t="n"/>
      <c r="N86" s="10" t="n"/>
      <c r="O86" s="10" t="n"/>
      <c r="P86" s="10" t="n"/>
      <c r="Q86" s="20" t="n"/>
      <c r="R86" s="10" t="n"/>
      <c r="S86" s="10" t="n"/>
      <c r="T86" s="18" t="n"/>
      <c r="U86" s="18" t="n"/>
      <c r="V86" s="10" t="n"/>
      <c r="W86" s="10" t="n"/>
      <c r="X86" s="19">
        <f>IF(OR(A86="",COUNT(U86)=0,COUNT(AI86)=0),"",U86+AI86)</f>
        <v/>
      </c>
      <c r="Y86" s="16" t="n"/>
      <c r="Z86" s="12" t="n"/>
      <c r="AA86" s="17">
        <f>IF(COUNT(J86)=0,"",IF(H86=0,"n.a.",J86/H86))</f>
        <v/>
      </c>
      <c r="AB86" s="12" t="n"/>
      <c r="AC86" s="12" t="n"/>
      <c r="AD86" s="12" t="n"/>
      <c r="AE86" s="13">
        <f>IF(OR(COUNT(J86)=0,COUNT(AB86:AD86)&lt;3),"",ROUND(J86-SUM(AB86:AD86),2))</f>
        <v/>
      </c>
      <c r="AF86" s="15">
        <f>IF(COUNT(AE86)=0,"",IF(Z86=0,"n.a.",AE86/Z86))</f>
        <v/>
      </c>
      <c r="AG86" s="12" t="n"/>
      <c r="AH86" s="14">
        <f>IF(OR(A86="",COUNT(Z86)=0,COUNT(AG86)=0),"",ROUND(Z86-AG86,2))</f>
        <v/>
      </c>
      <c r="AI86" s="21" t="n"/>
      <c r="AJ86" s="11">
        <f>IF(A86="","",IF(COUNT(I86)=0,"Enter approved NTE",IF(COUNT(Z86)&gt;0,IF(Z86&gt;I86,"Invoice exceeds NTE","Invoice within NTE"),IF(COUNT(L86)=0,"Enter quote inputs",IF(L86&gt;I86,"Quote exceeds NTE","Quote within NTE")))))</f>
        <v/>
      </c>
      <c r="AK86" s="11">
        <f>IF(A86="","",IF(COUNT(H86)=0,"Enter direct cost",IF(COUNT(Z86)=0,"Enter invoice revenue",IF(COUNT(AB86:AD86)&lt;3,"Enter expenses (0 if none)","Complete"))))</f>
        <v/>
      </c>
      <c r="AL86" s="11">
        <f>IF(A86="","",IF(NOT(AND(COUNT(AH86)=1,N(AH86)&gt;0.004,V86&lt;&gt;"Void",V86&lt;&gt;"Not invoiced",V86&lt;&gt;"Draft")),"",IF(COUNT(X86)=0,"No due date",IF(TODAY()-X86&lt;=0,"Not yet due",IF(TODAY()-X86&lt;=30,"1-30 days",IF(TODAY()-X86&lt;=60,"31-60 days",IF(TODAY()-X86&lt;=90,"61-90 days","Over 90 days")))))))</f>
        <v/>
      </c>
      <c r="AM86" s="49">
        <f>IF(OR(AL86="",AL86="No due date"),"",MAX(TODAY()-X86,0))</f>
        <v/>
      </c>
      <c r="AN86" s="49">
        <f>IF(AL86="","",IF(COUNT(X86)=0,-100000,TODAY()-X86))</f>
        <v/>
      </c>
      <c r="AO86" s="49">
        <f>IF(AN86="","",COUNTIF(AN$11:AN$1010,"&gt;"&amp;AN86)+COUNTIF(AN$11:AN86,AN86))</f>
        <v/>
      </c>
      <c r="AP86" s="49">
        <f>IF(OR(A86="",B86=""),"",IF(COUNTIF(B$11:B86,B86)=1,MAX(AP$10:AP85)+1,""))</f>
        <v/>
      </c>
    </row>
    <row r="87" ht="24" customHeight="1">
      <c r="A87" s="20" t="n"/>
      <c r="B87" s="10" t="n"/>
      <c r="C87" s="10" t="n"/>
      <c r="D87" s="10" t="n"/>
      <c r="E87" s="10" t="n"/>
      <c r="F87" s="18" t="n"/>
      <c r="G87" s="10" t="n"/>
      <c r="H87" s="12" t="n"/>
      <c r="I87" s="12" t="n"/>
      <c r="J87" s="13">
        <f>IF(OR(A87="",COUNT(H87)=0,COUNT(Z87)=0),"",ROUND(Z87-H87,2))</f>
        <v/>
      </c>
      <c r="K87" s="15">
        <f>IF(COUNT(J87)=0,"",IF(Z87=0,"n.a.",J87/Z87))</f>
        <v/>
      </c>
      <c r="L87" s="14">
        <f>IF(OR(A87="",COUNT(H87)=0,COUNT(Y87)=0),"",ROUND(H87*(1+Y87),2))</f>
        <v/>
      </c>
      <c r="M87" s="10" t="n"/>
      <c r="N87" s="10" t="n"/>
      <c r="O87" s="10" t="n"/>
      <c r="P87" s="10" t="n"/>
      <c r="Q87" s="20" t="n"/>
      <c r="R87" s="10" t="n"/>
      <c r="S87" s="10" t="n"/>
      <c r="T87" s="18" t="n"/>
      <c r="U87" s="18" t="n"/>
      <c r="V87" s="10" t="n"/>
      <c r="W87" s="10" t="n"/>
      <c r="X87" s="19">
        <f>IF(OR(A87="",COUNT(U87)=0,COUNT(AI87)=0),"",U87+AI87)</f>
        <v/>
      </c>
      <c r="Y87" s="16" t="n"/>
      <c r="Z87" s="12" t="n"/>
      <c r="AA87" s="17">
        <f>IF(COUNT(J87)=0,"",IF(H87=0,"n.a.",J87/H87))</f>
        <v/>
      </c>
      <c r="AB87" s="12" t="n"/>
      <c r="AC87" s="12" t="n"/>
      <c r="AD87" s="12" t="n"/>
      <c r="AE87" s="13">
        <f>IF(OR(COUNT(J87)=0,COUNT(AB87:AD87)&lt;3),"",ROUND(J87-SUM(AB87:AD87),2))</f>
        <v/>
      </c>
      <c r="AF87" s="15">
        <f>IF(COUNT(AE87)=0,"",IF(Z87=0,"n.a.",AE87/Z87))</f>
        <v/>
      </c>
      <c r="AG87" s="12" t="n"/>
      <c r="AH87" s="14">
        <f>IF(OR(A87="",COUNT(Z87)=0,COUNT(AG87)=0),"",ROUND(Z87-AG87,2))</f>
        <v/>
      </c>
      <c r="AI87" s="21" t="n"/>
      <c r="AJ87" s="11">
        <f>IF(A87="","",IF(COUNT(I87)=0,"Enter approved NTE",IF(COUNT(Z87)&gt;0,IF(Z87&gt;I87,"Invoice exceeds NTE","Invoice within NTE"),IF(COUNT(L87)=0,"Enter quote inputs",IF(L87&gt;I87,"Quote exceeds NTE","Quote within NTE")))))</f>
        <v/>
      </c>
      <c r="AK87" s="11">
        <f>IF(A87="","",IF(COUNT(H87)=0,"Enter direct cost",IF(COUNT(Z87)=0,"Enter invoice revenue",IF(COUNT(AB87:AD87)&lt;3,"Enter expenses (0 if none)","Complete"))))</f>
        <v/>
      </c>
      <c r="AL87" s="11">
        <f>IF(A87="","",IF(NOT(AND(COUNT(AH87)=1,N(AH87)&gt;0.004,V87&lt;&gt;"Void",V87&lt;&gt;"Not invoiced",V87&lt;&gt;"Draft")),"",IF(COUNT(X87)=0,"No due date",IF(TODAY()-X87&lt;=0,"Not yet due",IF(TODAY()-X87&lt;=30,"1-30 days",IF(TODAY()-X87&lt;=60,"31-60 days",IF(TODAY()-X87&lt;=90,"61-90 days","Over 90 days")))))))</f>
        <v/>
      </c>
      <c r="AM87" s="49">
        <f>IF(OR(AL87="",AL87="No due date"),"",MAX(TODAY()-X87,0))</f>
        <v/>
      </c>
      <c r="AN87" s="49">
        <f>IF(AL87="","",IF(COUNT(X87)=0,-100000,TODAY()-X87))</f>
        <v/>
      </c>
      <c r="AO87" s="49">
        <f>IF(AN87="","",COUNTIF(AN$11:AN$1010,"&gt;"&amp;AN87)+COUNTIF(AN$11:AN87,AN87))</f>
        <v/>
      </c>
      <c r="AP87" s="49">
        <f>IF(OR(A87="",B87=""),"",IF(COUNTIF(B$11:B87,B87)=1,MAX(AP$10:AP86)+1,""))</f>
        <v/>
      </c>
    </row>
    <row r="88" ht="24" customHeight="1">
      <c r="A88" s="20" t="n"/>
      <c r="B88" s="10" t="n"/>
      <c r="C88" s="10" t="n"/>
      <c r="D88" s="10" t="n"/>
      <c r="E88" s="10" t="n"/>
      <c r="F88" s="18" t="n"/>
      <c r="G88" s="10" t="n"/>
      <c r="H88" s="12" t="n"/>
      <c r="I88" s="12" t="n"/>
      <c r="J88" s="13">
        <f>IF(OR(A88="",COUNT(H88)=0,COUNT(Z88)=0),"",ROUND(Z88-H88,2))</f>
        <v/>
      </c>
      <c r="K88" s="15">
        <f>IF(COUNT(J88)=0,"",IF(Z88=0,"n.a.",J88/Z88))</f>
        <v/>
      </c>
      <c r="L88" s="14">
        <f>IF(OR(A88="",COUNT(H88)=0,COUNT(Y88)=0),"",ROUND(H88*(1+Y88),2))</f>
        <v/>
      </c>
      <c r="M88" s="10" t="n"/>
      <c r="N88" s="10" t="n"/>
      <c r="O88" s="10" t="n"/>
      <c r="P88" s="10" t="n"/>
      <c r="Q88" s="20" t="n"/>
      <c r="R88" s="10" t="n"/>
      <c r="S88" s="10" t="n"/>
      <c r="T88" s="18" t="n"/>
      <c r="U88" s="18" t="n"/>
      <c r="V88" s="10" t="n"/>
      <c r="W88" s="10" t="n"/>
      <c r="X88" s="19">
        <f>IF(OR(A88="",COUNT(U88)=0,COUNT(AI88)=0),"",U88+AI88)</f>
        <v/>
      </c>
      <c r="Y88" s="16" t="n"/>
      <c r="Z88" s="12" t="n"/>
      <c r="AA88" s="17">
        <f>IF(COUNT(J88)=0,"",IF(H88=0,"n.a.",J88/H88))</f>
        <v/>
      </c>
      <c r="AB88" s="12" t="n"/>
      <c r="AC88" s="12" t="n"/>
      <c r="AD88" s="12" t="n"/>
      <c r="AE88" s="13">
        <f>IF(OR(COUNT(J88)=0,COUNT(AB88:AD88)&lt;3),"",ROUND(J88-SUM(AB88:AD88),2))</f>
        <v/>
      </c>
      <c r="AF88" s="15">
        <f>IF(COUNT(AE88)=0,"",IF(Z88=0,"n.a.",AE88/Z88))</f>
        <v/>
      </c>
      <c r="AG88" s="12" t="n"/>
      <c r="AH88" s="14">
        <f>IF(OR(A88="",COUNT(Z88)=0,COUNT(AG88)=0),"",ROUND(Z88-AG88,2))</f>
        <v/>
      </c>
      <c r="AI88" s="21" t="n"/>
      <c r="AJ88" s="11">
        <f>IF(A88="","",IF(COUNT(I88)=0,"Enter approved NTE",IF(COUNT(Z88)&gt;0,IF(Z88&gt;I88,"Invoice exceeds NTE","Invoice within NTE"),IF(COUNT(L88)=0,"Enter quote inputs",IF(L88&gt;I88,"Quote exceeds NTE","Quote within NTE")))))</f>
        <v/>
      </c>
      <c r="AK88" s="11">
        <f>IF(A88="","",IF(COUNT(H88)=0,"Enter direct cost",IF(COUNT(Z88)=0,"Enter invoice revenue",IF(COUNT(AB88:AD88)&lt;3,"Enter expenses (0 if none)","Complete"))))</f>
        <v/>
      </c>
      <c r="AL88" s="11">
        <f>IF(A88="","",IF(NOT(AND(COUNT(AH88)=1,N(AH88)&gt;0.004,V88&lt;&gt;"Void",V88&lt;&gt;"Not invoiced",V88&lt;&gt;"Draft")),"",IF(COUNT(X88)=0,"No due date",IF(TODAY()-X88&lt;=0,"Not yet due",IF(TODAY()-X88&lt;=30,"1-30 days",IF(TODAY()-X88&lt;=60,"31-60 days",IF(TODAY()-X88&lt;=90,"61-90 days","Over 90 days")))))))</f>
        <v/>
      </c>
      <c r="AM88" s="49">
        <f>IF(OR(AL88="",AL88="No due date"),"",MAX(TODAY()-X88,0))</f>
        <v/>
      </c>
      <c r="AN88" s="49">
        <f>IF(AL88="","",IF(COUNT(X88)=0,-100000,TODAY()-X88))</f>
        <v/>
      </c>
      <c r="AO88" s="49">
        <f>IF(AN88="","",COUNTIF(AN$11:AN$1010,"&gt;"&amp;AN88)+COUNTIF(AN$11:AN88,AN88))</f>
        <v/>
      </c>
      <c r="AP88" s="49">
        <f>IF(OR(A88="",B88=""),"",IF(COUNTIF(B$11:B88,B88)=1,MAX(AP$10:AP87)+1,""))</f>
        <v/>
      </c>
    </row>
    <row r="89" ht="24" customHeight="1">
      <c r="A89" s="20" t="n"/>
      <c r="B89" s="10" t="n"/>
      <c r="C89" s="10" t="n"/>
      <c r="D89" s="10" t="n"/>
      <c r="E89" s="10" t="n"/>
      <c r="F89" s="18" t="n"/>
      <c r="G89" s="10" t="n"/>
      <c r="H89" s="12" t="n"/>
      <c r="I89" s="12" t="n"/>
      <c r="J89" s="13">
        <f>IF(OR(A89="",COUNT(H89)=0,COUNT(Z89)=0),"",ROUND(Z89-H89,2))</f>
        <v/>
      </c>
      <c r="K89" s="15">
        <f>IF(COUNT(J89)=0,"",IF(Z89=0,"n.a.",J89/Z89))</f>
        <v/>
      </c>
      <c r="L89" s="14">
        <f>IF(OR(A89="",COUNT(H89)=0,COUNT(Y89)=0),"",ROUND(H89*(1+Y89),2))</f>
        <v/>
      </c>
      <c r="M89" s="10" t="n"/>
      <c r="N89" s="10" t="n"/>
      <c r="O89" s="10" t="n"/>
      <c r="P89" s="10" t="n"/>
      <c r="Q89" s="20" t="n"/>
      <c r="R89" s="10" t="n"/>
      <c r="S89" s="10" t="n"/>
      <c r="T89" s="18" t="n"/>
      <c r="U89" s="18" t="n"/>
      <c r="V89" s="10" t="n"/>
      <c r="W89" s="10" t="n"/>
      <c r="X89" s="19">
        <f>IF(OR(A89="",COUNT(U89)=0,COUNT(AI89)=0),"",U89+AI89)</f>
        <v/>
      </c>
      <c r="Y89" s="16" t="n"/>
      <c r="Z89" s="12" t="n"/>
      <c r="AA89" s="17">
        <f>IF(COUNT(J89)=0,"",IF(H89=0,"n.a.",J89/H89))</f>
        <v/>
      </c>
      <c r="AB89" s="12" t="n"/>
      <c r="AC89" s="12" t="n"/>
      <c r="AD89" s="12" t="n"/>
      <c r="AE89" s="13">
        <f>IF(OR(COUNT(J89)=0,COUNT(AB89:AD89)&lt;3),"",ROUND(J89-SUM(AB89:AD89),2))</f>
        <v/>
      </c>
      <c r="AF89" s="15">
        <f>IF(COUNT(AE89)=0,"",IF(Z89=0,"n.a.",AE89/Z89))</f>
        <v/>
      </c>
      <c r="AG89" s="12" t="n"/>
      <c r="AH89" s="14">
        <f>IF(OR(A89="",COUNT(Z89)=0,COUNT(AG89)=0),"",ROUND(Z89-AG89,2))</f>
        <v/>
      </c>
      <c r="AI89" s="21" t="n"/>
      <c r="AJ89" s="11">
        <f>IF(A89="","",IF(COUNT(I89)=0,"Enter approved NTE",IF(COUNT(Z89)&gt;0,IF(Z89&gt;I89,"Invoice exceeds NTE","Invoice within NTE"),IF(COUNT(L89)=0,"Enter quote inputs",IF(L89&gt;I89,"Quote exceeds NTE","Quote within NTE")))))</f>
        <v/>
      </c>
      <c r="AK89" s="11">
        <f>IF(A89="","",IF(COUNT(H89)=0,"Enter direct cost",IF(COUNT(Z89)=0,"Enter invoice revenue",IF(COUNT(AB89:AD89)&lt;3,"Enter expenses (0 if none)","Complete"))))</f>
        <v/>
      </c>
      <c r="AL89" s="11">
        <f>IF(A89="","",IF(NOT(AND(COUNT(AH89)=1,N(AH89)&gt;0.004,V89&lt;&gt;"Void",V89&lt;&gt;"Not invoiced",V89&lt;&gt;"Draft")),"",IF(COUNT(X89)=0,"No due date",IF(TODAY()-X89&lt;=0,"Not yet due",IF(TODAY()-X89&lt;=30,"1-30 days",IF(TODAY()-X89&lt;=60,"31-60 days",IF(TODAY()-X89&lt;=90,"61-90 days","Over 90 days")))))))</f>
        <v/>
      </c>
      <c r="AM89" s="49">
        <f>IF(OR(AL89="",AL89="No due date"),"",MAX(TODAY()-X89,0))</f>
        <v/>
      </c>
      <c r="AN89" s="49">
        <f>IF(AL89="","",IF(COUNT(X89)=0,-100000,TODAY()-X89))</f>
        <v/>
      </c>
      <c r="AO89" s="49">
        <f>IF(AN89="","",COUNTIF(AN$11:AN$1010,"&gt;"&amp;AN89)+COUNTIF(AN$11:AN89,AN89))</f>
        <v/>
      </c>
      <c r="AP89" s="49">
        <f>IF(OR(A89="",B89=""),"",IF(COUNTIF(B$11:B89,B89)=1,MAX(AP$10:AP88)+1,""))</f>
        <v/>
      </c>
    </row>
    <row r="90" ht="24" customHeight="1">
      <c r="A90" s="20" t="n"/>
      <c r="B90" s="10" t="n"/>
      <c r="C90" s="10" t="n"/>
      <c r="D90" s="10" t="n"/>
      <c r="E90" s="10" t="n"/>
      <c r="F90" s="18" t="n"/>
      <c r="G90" s="10" t="n"/>
      <c r="H90" s="12" t="n"/>
      <c r="I90" s="12" t="n"/>
      <c r="J90" s="13">
        <f>IF(OR(A90="",COUNT(H90)=0,COUNT(Z90)=0),"",ROUND(Z90-H90,2))</f>
        <v/>
      </c>
      <c r="K90" s="15">
        <f>IF(COUNT(J90)=0,"",IF(Z90=0,"n.a.",J90/Z90))</f>
        <v/>
      </c>
      <c r="L90" s="14">
        <f>IF(OR(A90="",COUNT(H90)=0,COUNT(Y90)=0),"",ROUND(H90*(1+Y90),2))</f>
        <v/>
      </c>
      <c r="M90" s="10" t="n"/>
      <c r="N90" s="10" t="n"/>
      <c r="O90" s="10" t="n"/>
      <c r="P90" s="10" t="n"/>
      <c r="Q90" s="20" t="n"/>
      <c r="R90" s="10" t="n"/>
      <c r="S90" s="10" t="n"/>
      <c r="T90" s="18" t="n"/>
      <c r="U90" s="18" t="n"/>
      <c r="V90" s="10" t="n"/>
      <c r="W90" s="10" t="n"/>
      <c r="X90" s="19">
        <f>IF(OR(A90="",COUNT(U90)=0,COUNT(AI90)=0),"",U90+AI90)</f>
        <v/>
      </c>
      <c r="Y90" s="16" t="n"/>
      <c r="Z90" s="12" t="n"/>
      <c r="AA90" s="17">
        <f>IF(COUNT(J90)=0,"",IF(H90=0,"n.a.",J90/H90))</f>
        <v/>
      </c>
      <c r="AB90" s="12" t="n"/>
      <c r="AC90" s="12" t="n"/>
      <c r="AD90" s="12" t="n"/>
      <c r="AE90" s="13">
        <f>IF(OR(COUNT(J90)=0,COUNT(AB90:AD90)&lt;3),"",ROUND(J90-SUM(AB90:AD90),2))</f>
        <v/>
      </c>
      <c r="AF90" s="15">
        <f>IF(COUNT(AE90)=0,"",IF(Z90=0,"n.a.",AE90/Z90))</f>
        <v/>
      </c>
      <c r="AG90" s="12" t="n"/>
      <c r="AH90" s="14">
        <f>IF(OR(A90="",COUNT(Z90)=0,COUNT(AG90)=0),"",ROUND(Z90-AG90,2))</f>
        <v/>
      </c>
      <c r="AI90" s="21" t="n"/>
      <c r="AJ90" s="11">
        <f>IF(A90="","",IF(COUNT(I90)=0,"Enter approved NTE",IF(COUNT(Z90)&gt;0,IF(Z90&gt;I90,"Invoice exceeds NTE","Invoice within NTE"),IF(COUNT(L90)=0,"Enter quote inputs",IF(L90&gt;I90,"Quote exceeds NTE","Quote within NTE")))))</f>
        <v/>
      </c>
      <c r="AK90" s="11">
        <f>IF(A90="","",IF(COUNT(H90)=0,"Enter direct cost",IF(COUNT(Z90)=0,"Enter invoice revenue",IF(COUNT(AB90:AD90)&lt;3,"Enter expenses (0 if none)","Complete"))))</f>
        <v/>
      </c>
      <c r="AL90" s="11">
        <f>IF(A90="","",IF(NOT(AND(COUNT(AH90)=1,N(AH90)&gt;0.004,V90&lt;&gt;"Void",V90&lt;&gt;"Not invoiced",V90&lt;&gt;"Draft")),"",IF(COUNT(X90)=0,"No due date",IF(TODAY()-X90&lt;=0,"Not yet due",IF(TODAY()-X90&lt;=30,"1-30 days",IF(TODAY()-X90&lt;=60,"31-60 days",IF(TODAY()-X90&lt;=90,"61-90 days","Over 90 days")))))))</f>
        <v/>
      </c>
      <c r="AM90" s="49">
        <f>IF(OR(AL90="",AL90="No due date"),"",MAX(TODAY()-X90,0))</f>
        <v/>
      </c>
      <c r="AN90" s="49">
        <f>IF(AL90="","",IF(COUNT(X90)=0,-100000,TODAY()-X90))</f>
        <v/>
      </c>
      <c r="AO90" s="49">
        <f>IF(AN90="","",COUNTIF(AN$11:AN$1010,"&gt;"&amp;AN90)+COUNTIF(AN$11:AN90,AN90))</f>
        <v/>
      </c>
      <c r="AP90" s="49">
        <f>IF(OR(A90="",B90=""),"",IF(COUNTIF(B$11:B90,B90)=1,MAX(AP$10:AP89)+1,""))</f>
        <v/>
      </c>
    </row>
    <row r="91" ht="24" customHeight="1">
      <c r="A91" s="20" t="n"/>
      <c r="B91" s="10" t="n"/>
      <c r="C91" s="10" t="n"/>
      <c r="D91" s="10" t="n"/>
      <c r="E91" s="10" t="n"/>
      <c r="F91" s="18" t="n"/>
      <c r="G91" s="10" t="n"/>
      <c r="H91" s="12" t="n"/>
      <c r="I91" s="12" t="n"/>
      <c r="J91" s="13">
        <f>IF(OR(A91="",COUNT(H91)=0,COUNT(Z91)=0),"",ROUND(Z91-H91,2))</f>
        <v/>
      </c>
      <c r="K91" s="15">
        <f>IF(COUNT(J91)=0,"",IF(Z91=0,"n.a.",J91/Z91))</f>
        <v/>
      </c>
      <c r="L91" s="14">
        <f>IF(OR(A91="",COUNT(H91)=0,COUNT(Y91)=0),"",ROUND(H91*(1+Y91),2))</f>
        <v/>
      </c>
      <c r="M91" s="10" t="n"/>
      <c r="N91" s="10" t="n"/>
      <c r="O91" s="10" t="n"/>
      <c r="P91" s="10" t="n"/>
      <c r="Q91" s="20" t="n"/>
      <c r="R91" s="10" t="n"/>
      <c r="S91" s="10" t="n"/>
      <c r="T91" s="18" t="n"/>
      <c r="U91" s="18" t="n"/>
      <c r="V91" s="10" t="n"/>
      <c r="W91" s="10" t="n"/>
      <c r="X91" s="19">
        <f>IF(OR(A91="",COUNT(U91)=0,COUNT(AI91)=0),"",U91+AI91)</f>
        <v/>
      </c>
      <c r="Y91" s="16" t="n"/>
      <c r="Z91" s="12" t="n"/>
      <c r="AA91" s="17">
        <f>IF(COUNT(J91)=0,"",IF(H91=0,"n.a.",J91/H91))</f>
        <v/>
      </c>
      <c r="AB91" s="12" t="n"/>
      <c r="AC91" s="12" t="n"/>
      <c r="AD91" s="12" t="n"/>
      <c r="AE91" s="13">
        <f>IF(OR(COUNT(J91)=0,COUNT(AB91:AD91)&lt;3),"",ROUND(J91-SUM(AB91:AD91),2))</f>
        <v/>
      </c>
      <c r="AF91" s="15">
        <f>IF(COUNT(AE91)=0,"",IF(Z91=0,"n.a.",AE91/Z91))</f>
        <v/>
      </c>
      <c r="AG91" s="12" t="n"/>
      <c r="AH91" s="14">
        <f>IF(OR(A91="",COUNT(Z91)=0,COUNT(AG91)=0),"",ROUND(Z91-AG91,2))</f>
        <v/>
      </c>
      <c r="AI91" s="21" t="n"/>
      <c r="AJ91" s="11">
        <f>IF(A91="","",IF(COUNT(I91)=0,"Enter approved NTE",IF(COUNT(Z91)&gt;0,IF(Z91&gt;I91,"Invoice exceeds NTE","Invoice within NTE"),IF(COUNT(L91)=0,"Enter quote inputs",IF(L91&gt;I91,"Quote exceeds NTE","Quote within NTE")))))</f>
        <v/>
      </c>
      <c r="AK91" s="11">
        <f>IF(A91="","",IF(COUNT(H91)=0,"Enter direct cost",IF(COUNT(Z91)=0,"Enter invoice revenue",IF(COUNT(AB91:AD91)&lt;3,"Enter expenses (0 if none)","Complete"))))</f>
        <v/>
      </c>
      <c r="AL91" s="11">
        <f>IF(A91="","",IF(NOT(AND(COUNT(AH91)=1,N(AH91)&gt;0.004,V91&lt;&gt;"Void",V91&lt;&gt;"Not invoiced",V91&lt;&gt;"Draft")),"",IF(COUNT(X91)=0,"No due date",IF(TODAY()-X91&lt;=0,"Not yet due",IF(TODAY()-X91&lt;=30,"1-30 days",IF(TODAY()-X91&lt;=60,"31-60 days",IF(TODAY()-X91&lt;=90,"61-90 days","Over 90 days")))))))</f>
        <v/>
      </c>
      <c r="AM91" s="49">
        <f>IF(OR(AL91="",AL91="No due date"),"",MAX(TODAY()-X91,0))</f>
        <v/>
      </c>
      <c r="AN91" s="49">
        <f>IF(AL91="","",IF(COUNT(X91)=0,-100000,TODAY()-X91))</f>
        <v/>
      </c>
      <c r="AO91" s="49">
        <f>IF(AN91="","",COUNTIF(AN$11:AN$1010,"&gt;"&amp;AN91)+COUNTIF(AN$11:AN91,AN91))</f>
        <v/>
      </c>
      <c r="AP91" s="49">
        <f>IF(OR(A91="",B91=""),"",IF(COUNTIF(B$11:B91,B91)=1,MAX(AP$10:AP90)+1,""))</f>
        <v/>
      </c>
    </row>
    <row r="92" ht="24" customHeight="1">
      <c r="A92" s="20" t="n"/>
      <c r="B92" s="10" t="n"/>
      <c r="C92" s="10" t="n"/>
      <c r="D92" s="10" t="n"/>
      <c r="E92" s="10" t="n"/>
      <c r="F92" s="18" t="n"/>
      <c r="G92" s="10" t="n"/>
      <c r="H92" s="12" t="n"/>
      <c r="I92" s="12" t="n"/>
      <c r="J92" s="13">
        <f>IF(OR(A92="",COUNT(H92)=0,COUNT(Z92)=0),"",ROUND(Z92-H92,2))</f>
        <v/>
      </c>
      <c r="K92" s="15">
        <f>IF(COUNT(J92)=0,"",IF(Z92=0,"n.a.",J92/Z92))</f>
        <v/>
      </c>
      <c r="L92" s="14">
        <f>IF(OR(A92="",COUNT(H92)=0,COUNT(Y92)=0),"",ROUND(H92*(1+Y92),2))</f>
        <v/>
      </c>
      <c r="M92" s="10" t="n"/>
      <c r="N92" s="10" t="n"/>
      <c r="O92" s="10" t="n"/>
      <c r="P92" s="10" t="n"/>
      <c r="Q92" s="20" t="n"/>
      <c r="R92" s="10" t="n"/>
      <c r="S92" s="10" t="n"/>
      <c r="T92" s="18" t="n"/>
      <c r="U92" s="18" t="n"/>
      <c r="V92" s="10" t="n"/>
      <c r="W92" s="10" t="n"/>
      <c r="X92" s="19">
        <f>IF(OR(A92="",COUNT(U92)=0,COUNT(AI92)=0),"",U92+AI92)</f>
        <v/>
      </c>
      <c r="Y92" s="16" t="n"/>
      <c r="Z92" s="12" t="n"/>
      <c r="AA92" s="17">
        <f>IF(COUNT(J92)=0,"",IF(H92=0,"n.a.",J92/H92))</f>
        <v/>
      </c>
      <c r="AB92" s="12" t="n"/>
      <c r="AC92" s="12" t="n"/>
      <c r="AD92" s="12" t="n"/>
      <c r="AE92" s="13">
        <f>IF(OR(COUNT(J92)=0,COUNT(AB92:AD92)&lt;3),"",ROUND(J92-SUM(AB92:AD92),2))</f>
        <v/>
      </c>
      <c r="AF92" s="15">
        <f>IF(COUNT(AE92)=0,"",IF(Z92=0,"n.a.",AE92/Z92))</f>
        <v/>
      </c>
      <c r="AG92" s="12" t="n"/>
      <c r="AH92" s="14">
        <f>IF(OR(A92="",COUNT(Z92)=0,COUNT(AG92)=0),"",ROUND(Z92-AG92,2))</f>
        <v/>
      </c>
      <c r="AI92" s="21" t="n"/>
      <c r="AJ92" s="11">
        <f>IF(A92="","",IF(COUNT(I92)=0,"Enter approved NTE",IF(COUNT(Z92)&gt;0,IF(Z92&gt;I92,"Invoice exceeds NTE","Invoice within NTE"),IF(COUNT(L92)=0,"Enter quote inputs",IF(L92&gt;I92,"Quote exceeds NTE","Quote within NTE")))))</f>
        <v/>
      </c>
      <c r="AK92" s="11">
        <f>IF(A92="","",IF(COUNT(H92)=0,"Enter direct cost",IF(COUNT(Z92)=0,"Enter invoice revenue",IF(COUNT(AB92:AD92)&lt;3,"Enter expenses (0 if none)","Complete"))))</f>
        <v/>
      </c>
      <c r="AL92" s="11">
        <f>IF(A92="","",IF(NOT(AND(COUNT(AH92)=1,N(AH92)&gt;0.004,V92&lt;&gt;"Void",V92&lt;&gt;"Not invoiced",V92&lt;&gt;"Draft")),"",IF(COUNT(X92)=0,"No due date",IF(TODAY()-X92&lt;=0,"Not yet due",IF(TODAY()-X92&lt;=30,"1-30 days",IF(TODAY()-X92&lt;=60,"31-60 days",IF(TODAY()-X92&lt;=90,"61-90 days","Over 90 days")))))))</f>
        <v/>
      </c>
      <c r="AM92" s="49">
        <f>IF(OR(AL92="",AL92="No due date"),"",MAX(TODAY()-X92,0))</f>
        <v/>
      </c>
      <c r="AN92" s="49">
        <f>IF(AL92="","",IF(COUNT(X92)=0,-100000,TODAY()-X92))</f>
        <v/>
      </c>
      <c r="AO92" s="49">
        <f>IF(AN92="","",COUNTIF(AN$11:AN$1010,"&gt;"&amp;AN92)+COUNTIF(AN$11:AN92,AN92))</f>
        <v/>
      </c>
      <c r="AP92" s="49">
        <f>IF(OR(A92="",B92=""),"",IF(COUNTIF(B$11:B92,B92)=1,MAX(AP$10:AP91)+1,""))</f>
        <v/>
      </c>
    </row>
    <row r="93" ht="24" customHeight="1">
      <c r="A93" s="20" t="n"/>
      <c r="B93" s="10" t="n"/>
      <c r="C93" s="10" t="n"/>
      <c r="D93" s="10" t="n"/>
      <c r="E93" s="10" t="n"/>
      <c r="F93" s="18" t="n"/>
      <c r="G93" s="10" t="n"/>
      <c r="H93" s="12" t="n"/>
      <c r="I93" s="12" t="n"/>
      <c r="J93" s="13">
        <f>IF(OR(A93="",COUNT(H93)=0,COUNT(Z93)=0),"",ROUND(Z93-H93,2))</f>
        <v/>
      </c>
      <c r="K93" s="15">
        <f>IF(COUNT(J93)=0,"",IF(Z93=0,"n.a.",J93/Z93))</f>
        <v/>
      </c>
      <c r="L93" s="14">
        <f>IF(OR(A93="",COUNT(H93)=0,COUNT(Y93)=0),"",ROUND(H93*(1+Y93),2))</f>
        <v/>
      </c>
      <c r="M93" s="10" t="n"/>
      <c r="N93" s="10" t="n"/>
      <c r="O93" s="10" t="n"/>
      <c r="P93" s="10" t="n"/>
      <c r="Q93" s="20" t="n"/>
      <c r="R93" s="10" t="n"/>
      <c r="S93" s="10" t="n"/>
      <c r="T93" s="18" t="n"/>
      <c r="U93" s="18" t="n"/>
      <c r="V93" s="10" t="n"/>
      <c r="W93" s="10" t="n"/>
      <c r="X93" s="19">
        <f>IF(OR(A93="",COUNT(U93)=0,COUNT(AI93)=0),"",U93+AI93)</f>
        <v/>
      </c>
      <c r="Y93" s="16" t="n"/>
      <c r="Z93" s="12" t="n"/>
      <c r="AA93" s="17">
        <f>IF(COUNT(J93)=0,"",IF(H93=0,"n.a.",J93/H93))</f>
        <v/>
      </c>
      <c r="AB93" s="12" t="n"/>
      <c r="AC93" s="12" t="n"/>
      <c r="AD93" s="12" t="n"/>
      <c r="AE93" s="13">
        <f>IF(OR(COUNT(J93)=0,COUNT(AB93:AD93)&lt;3),"",ROUND(J93-SUM(AB93:AD93),2))</f>
        <v/>
      </c>
      <c r="AF93" s="15">
        <f>IF(COUNT(AE93)=0,"",IF(Z93=0,"n.a.",AE93/Z93))</f>
        <v/>
      </c>
      <c r="AG93" s="12" t="n"/>
      <c r="AH93" s="14">
        <f>IF(OR(A93="",COUNT(Z93)=0,COUNT(AG93)=0),"",ROUND(Z93-AG93,2))</f>
        <v/>
      </c>
      <c r="AI93" s="21" t="n"/>
      <c r="AJ93" s="11">
        <f>IF(A93="","",IF(COUNT(I93)=0,"Enter approved NTE",IF(COUNT(Z93)&gt;0,IF(Z93&gt;I93,"Invoice exceeds NTE","Invoice within NTE"),IF(COUNT(L93)=0,"Enter quote inputs",IF(L93&gt;I93,"Quote exceeds NTE","Quote within NTE")))))</f>
        <v/>
      </c>
      <c r="AK93" s="11">
        <f>IF(A93="","",IF(COUNT(H93)=0,"Enter direct cost",IF(COUNT(Z93)=0,"Enter invoice revenue",IF(COUNT(AB93:AD93)&lt;3,"Enter expenses (0 if none)","Complete"))))</f>
        <v/>
      </c>
      <c r="AL93" s="11">
        <f>IF(A93="","",IF(NOT(AND(COUNT(AH93)=1,N(AH93)&gt;0.004,V93&lt;&gt;"Void",V93&lt;&gt;"Not invoiced",V93&lt;&gt;"Draft")),"",IF(COUNT(X93)=0,"No due date",IF(TODAY()-X93&lt;=0,"Not yet due",IF(TODAY()-X93&lt;=30,"1-30 days",IF(TODAY()-X93&lt;=60,"31-60 days",IF(TODAY()-X93&lt;=90,"61-90 days","Over 90 days")))))))</f>
        <v/>
      </c>
      <c r="AM93" s="49">
        <f>IF(OR(AL93="",AL93="No due date"),"",MAX(TODAY()-X93,0))</f>
        <v/>
      </c>
      <c r="AN93" s="49">
        <f>IF(AL93="","",IF(COUNT(X93)=0,-100000,TODAY()-X93))</f>
        <v/>
      </c>
      <c r="AO93" s="49">
        <f>IF(AN93="","",COUNTIF(AN$11:AN$1010,"&gt;"&amp;AN93)+COUNTIF(AN$11:AN93,AN93))</f>
        <v/>
      </c>
      <c r="AP93" s="49">
        <f>IF(OR(A93="",B93=""),"",IF(COUNTIF(B$11:B93,B93)=1,MAX(AP$10:AP92)+1,""))</f>
        <v/>
      </c>
    </row>
    <row r="94" ht="24" customHeight="1">
      <c r="A94" s="20" t="n"/>
      <c r="B94" s="10" t="n"/>
      <c r="C94" s="10" t="n"/>
      <c r="D94" s="10" t="n"/>
      <c r="E94" s="10" t="n"/>
      <c r="F94" s="18" t="n"/>
      <c r="G94" s="10" t="n"/>
      <c r="H94" s="12" t="n"/>
      <c r="I94" s="12" t="n"/>
      <c r="J94" s="13">
        <f>IF(OR(A94="",COUNT(H94)=0,COUNT(Z94)=0),"",ROUND(Z94-H94,2))</f>
        <v/>
      </c>
      <c r="K94" s="15">
        <f>IF(COUNT(J94)=0,"",IF(Z94=0,"n.a.",J94/Z94))</f>
        <v/>
      </c>
      <c r="L94" s="14">
        <f>IF(OR(A94="",COUNT(H94)=0,COUNT(Y94)=0),"",ROUND(H94*(1+Y94),2))</f>
        <v/>
      </c>
      <c r="M94" s="10" t="n"/>
      <c r="N94" s="10" t="n"/>
      <c r="O94" s="10" t="n"/>
      <c r="P94" s="10" t="n"/>
      <c r="Q94" s="20" t="n"/>
      <c r="R94" s="10" t="n"/>
      <c r="S94" s="10" t="n"/>
      <c r="T94" s="18" t="n"/>
      <c r="U94" s="18" t="n"/>
      <c r="V94" s="10" t="n"/>
      <c r="W94" s="10" t="n"/>
      <c r="X94" s="19">
        <f>IF(OR(A94="",COUNT(U94)=0,COUNT(AI94)=0),"",U94+AI94)</f>
        <v/>
      </c>
      <c r="Y94" s="16" t="n"/>
      <c r="Z94" s="12" t="n"/>
      <c r="AA94" s="17">
        <f>IF(COUNT(J94)=0,"",IF(H94=0,"n.a.",J94/H94))</f>
        <v/>
      </c>
      <c r="AB94" s="12" t="n"/>
      <c r="AC94" s="12" t="n"/>
      <c r="AD94" s="12" t="n"/>
      <c r="AE94" s="13">
        <f>IF(OR(COUNT(J94)=0,COUNT(AB94:AD94)&lt;3),"",ROUND(J94-SUM(AB94:AD94),2))</f>
        <v/>
      </c>
      <c r="AF94" s="15">
        <f>IF(COUNT(AE94)=0,"",IF(Z94=0,"n.a.",AE94/Z94))</f>
        <v/>
      </c>
      <c r="AG94" s="12" t="n"/>
      <c r="AH94" s="14">
        <f>IF(OR(A94="",COUNT(Z94)=0,COUNT(AG94)=0),"",ROUND(Z94-AG94,2))</f>
        <v/>
      </c>
      <c r="AI94" s="21" t="n"/>
      <c r="AJ94" s="11">
        <f>IF(A94="","",IF(COUNT(I94)=0,"Enter approved NTE",IF(COUNT(Z94)&gt;0,IF(Z94&gt;I94,"Invoice exceeds NTE","Invoice within NTE"),IF(COUNT(L94)=0,"Enter quote inputs",IF(L94&gt;I94,"Quote exceeds NTE","Quote within NTE")))))</f>
        <v/>
      </c>
      <c r="AK94" s="11">
        <f>IF(A94="","",IF(COUNT(H94)=0,"Enter direct cost",IF(COUNT(Z94)=0,"Enter invoice revenue",IF(COUNT(AB94:AD94)&lt;3,"Enter expenses (0 if none)","Complete"))))</f>
        <v/>
      </c>
      <c r="AL94" s="11">
        <f>IF(A94="","",IF(NOT(AND(COUNT(AH94)=1,N(AH94)&gt;0.004,V94&lt;&gt;"Void",V94&lt;&gt;"Not invoiced",V94&lt;&gt;"Draft")),"",IF(COUNT(X94)=0,"No due date",IF(TODAY()-X94&lt;=0,"Not yet due",IF(TODAY()-X94&lt;=30,"1-30 days",IF(TODAY()-X94&lt;=60,"31-60 days",IF(TODAY()-X94&lt;=90,"61-90 days","Over 90 days")))))))</f>
        <v/>
      </c>
      <c r="AM94" s="49">
        <f>IF(OR(AL94="",AL94="No due date"),"",MAX(TODAY()-X94,0))</f>
        <v/>
      </c>
      <c r="AN94" s="49">
        <f>IF(AL94="","",IF(COUNT(X94)=0,-100000,TODAY()-X94))</f>
        <v/>
      </c>
      <c r="AO94" s="49">
        <f>IF(AN94="","",COUNTIF(AN$11:AN$1010,"&gt;"&amp;AN94)+COUNTIF(AN$11:AN94,AN94))</f>
        <v/>
      </c>
      <c r="AP94" s="49">
        <f>IF(OR(A94="",B94=""),"",IF(COUNTIF(B$11:B94,B94)=1,MAX(AP$10:AP93)+1,""))</f>
        <v/>
      </c>
    </row>
    <row r="95" ht="24" customHeight="1">
      <c r="A95" s="20" t="n"/>
      <c r="B95" s="10" t="n"/>
      <c r="C95" s="10" t="n"/>
      <c r="D95" s="10" t="n"/>
      <c r="E95" s="10" t="n"/>
      <c r="F95" s="18" t="n"/>
      <c r="G95" s="10" t="n"/>
      <c r="H95" s="12" t="n"/>
      <c r="I95" s="12" t="n"/>
      <c r="J95" s="13">
        <f>IF(OR(A95="",COUNT(H95)=0,COUNT(Z95)=0),"",ROUND(Z95-H95,2))</f>
        <v/>
      </c>
      <c r="K95" s="15">
        <f>IF(COUNT(J95)=0,"",IF(Z95=0,"n.a.",J95/Z95))</f>
        <v/>
      </c>
      <c r="L95" s="14">
        <f>IF(OR(A95="",COUNT(H95)=0,COUNT(Y95)=0),"",ROUND(H95*(1+Y95),2))</f>
        <v/>
      </c>
      <c r="M95" s="10" t="n"/>
      <c r="N95" s="10" t="n"/>
      <c r="O95" s="10" t="n"/>
      <c r="P95" s="10" t="n"/>
      <c r="Q95" s="20" t="n"/>
      <c r="R95" s="10" t="n"/>
      <c r="S95" s="10" t="n"/>
      <c r="T95" s="18" t="n"/>
      <c r="U95" s="18" t="n"/>
      <c r="V95" s="10" t="n"/>
      <c r="W95" s="10" t="n"/>
      <c r="X95" s="19">
        <f>IF(OR(A95="",COUNT(U95)=0,COUNT(AI95)=0),"",U95+AI95)</f>
        <v/>
      </c>
      <c r="Y95" s="16" t="n"/>
      <c r="Z95" s="12" t="n"/>
      <c r="AA95" s="17">
        <f>IF(COUNT(J95)=0,"",IF(H95=0,"n.a.",J95/H95))</f>
        <v/>
      </c>
      <c r="AB95" s="12" t="n"/>
      <c r="AC95" s="12" t="n"/>
      <c r="AD95" s="12" t="n"/>
      <c r="AE95" s="13">
        <f>IF(OR(COUNT(J95)=0,COUNT(AB95:AD95)&lt;3),"",ROUND(J95-SUM(AB95:AD95),2))</f>
        <v/>
      </c>
      <c r="AF95" s="15">
        <f>IF(COUNT(AE95)=0,"",IF(Z95=0,"n.a.",AE95/Z95))</f>
        <v/>
      </c>
      <c r="AG95" s="12" t="n"/>
      <c r="AH95" s="14">
        <f>IF(OR(A95="",COUNT(Z95)=0,COUNT(AG95)=0),"",ROUND(Z95-AG95,2))</f>
        <v/>
      </c>
      <c r="AI95" s="21" t="n"/>
      <c r="AJ95" s="11">
        <f>IF(A95="","",IF(COUNT(I95)=0,"Enter approved NTE",IF(COUNT(Z95)&gt;0,IF(Z95&gt;I95,"Invoice exceeds NTE","Invoice within NTE"),IF(COUNT(L95)=0,"Enter quote inputs",IF(L95&gt;I95,"Quote exceeds NTE","Quote within NTE")))))</f>
        <v/>
      </c>
      <c r="AK95" s="11">
        <f>IF(A95="","",IF(COUNT(H95)=0,"Enter direct cost",IF(COUNT(Z95)=0,"Enter invoice revenue",IF(COUNT(AB95:AD95)&lt;3,"Enter expenses (0 if none)","Complete"))))</f>
        <v/>
      </c>
      <c r="AL95" s="11">
        <f>IF(A95="","",IF(NOT(AND(COUNT(AH95)=1,N(AH95)&gt;0.004,V95&lt;&gt;"Void",V95&lt;&gt;"Not invoiced",V95&lt;&gt;"Draft")),"",IF(COUNT(X95)=0,"No due date",IF(TODAY()-X95&lt;=0,"Not yet due",IF(TODAY()-X95&lt;=30,"1-30 days",IF(TODAY()-X95&lt;=60,"31-60 days",IF(TODAY()-X95&lt;=90,"61-90 days","Over 90 days")))))))</f>
        <v/>
      </c>
      <c r="AM95" s="49">
        <f>IF(OR(AL95="",AL95="No due date"),"",MAX(TODAY()-X95,0))</f>
        <v/>
      </c>
      <c r="AN95" s="49">
        <f>IF(AL95="","",IF(COUNT(X95)=0,-100000,TODAY()-X95))</f>
        <v/>
      </c>
      <c r="AO95" s="49">
        <f>IF(AN95="","",COUNTIF(AN$11:AN$1010,"&gt;"&amp;AN95)+COUNTIF(AN$11:AN95,AN95))</f>
        <v/>
      </c>
      <c r="AP95" s="49">
        <f>IF(OR(A95="",B95=""),"",IF(COUNTIF(B$11:B95,B95)=1,MAX(AP$10:AP94)+1,""))</f>
        <v/>
      </c>
    </row>
    <row r="96" ht="24" customHeight="1">
      <c r="A96" s="20" t="n"/>
      <c r="B96" s="10" t="n"/>
      <c r="C96" s="10" t="n"/>
      <c r="D96" s="10" t="n"/>
      <c r="E96" s="10" t="n"/>
      <c r="F96" s="18" t="n"/>
      <c r="G96" s="10" t="n"/>
      <c r="H96" s="12" t="n"/>
      <c r="I96" s="12" t="n"/>
      <c r="J96" s="13">
        <f>IF(OR(A96="",COUNT(H96)=0,COUNT(Z96)=0),"",ROUND(Z96-H96,2))</f>
        <v/>
      </c>
      <c r="K96" s="15">
        <f>IF(COUNT(J96)=0,"",IF(Z96=0,"n.a.",J96/Z96))</f>
        <v/>
      </c>
      <c r="L96" s="14">
        <f>IF(OR(A96="",COUNT(H96)=0,COUNT(Y96)=0),"",ROUND(H96*(1+Y96),2))</f>
        <v/>
      </c>
      <c r="M96" s="10" t="n"/>
      <c r="N96" s="10" t="n"/>
      <c r="O96" s="10" t="n"/>
      <c r="P96" s="10" t="n"/>
      <c r="Q96" s="20" t="n"/>
      <c r="R96" s="10" t="n"/>
      <c r="S96" s="10" t="n"/>
      <c r="T96" s="18" t="n"/>
      <c r="U96" s="18" t="n"/>
      <c r="V96" s="10" t="n"/>
      <c r="W96" s="10" t="n"/>
      <c r="X96" s="19">
        <f>IF(OR(A96="",COUNT(U96)=0,COUNT(AI96)=0),"",U96+AI96)</f>
        <v/>
      </c>
      <c r="Y96" s="16" t="n"/>
      <c r="Z96" s="12" t="n"/>
      <c r="AA96" s="17">
        <f>IF(COUNT(J96)=0,"",IF(H96=0,"n.a.",J96/H96))</f>
        <v/>
      </c>
      <c r="AB96" s="12" t="n"/>
      <c r="AC96" s="12" t="n"/>
      <c r="AD96" s="12" t="n"/>
      <c r="AE96" s="13">
        <f>IF(OR(COUNT(J96)=0,COUNT(AB96:AD96)&lt;3),"",ROUND(J96-SUM(AB96:AD96),2))</f>
        <v/>
      </c>
      <c r="AF96" s="15">
        <f>IF(COUNT(AE96)=0,"",IF(Z96=0,"n.a.",AE96/Z96))</f>
        <v/>
      </c>
      <c r="AG96" s="12" t="n"/>
      <c r="AH96" s="14">
        <f>IF(OR(A96="",COUNT(Z96)=0,COUNT(AG96)=0),"",ROUND(Z96-AG96,2))</f>
        <v/>
      </c>
      <c r="AI96" s="21" t="n"/>
      <c r="AJ96" s="11">
        <f>IF(A96="","",IF(COUNT(I96)=0,"Enter approved NTE",IF(COUNT(Z96)&gt;0,IF(Z96&gt;I96,"Invoice exceeds NTE","Invoice within NTE"),IF(COUNT(L96)=0,"Enter quote inputs",IF(L96&gt;I96,"Quote exceeds NTE","Quote within NTE")))))</f>
        <v/>
      </c>
      <c r="AK96" s="11">
        <f>IF(A96="","",IF(COUNT(H96)=0,"Enter direct cost",IF(COUNT(Z96)=0,"Enter invoice revenue",IF(COUNT(AB96:AD96)&lt;3,"Enter expenses (0 if none)","Complete"))))</f>
        <v/>
      </c>
      <c r="AL96" s="11">
        <f>IF(A96="","",IF(NOT(AND(COUNT(AH96)=1,N(AH96)&gt;0.004,V96&lt;&gt;"Void",V96&lt;&gt;"Not invoiced",V96&lt;&gt;"Draft")),"",IF(COUNT(X96)=0,"No due date",IF(TODAY()-X96&lt;=0,"Not yet due",IF(TODAY()-X96&lt;=30,"1-30 days",IF(TODAY()-X96&lt;=60,"31-60 days",IF(TODAY()-X96&lt;=90,"61-90 days","Over 90 days")))))))</f>
        <v/>
      </c>
      <c r="AM96" s="49">
        <f>IF(OR(AL96="",AL96="No due date"),"",MAX(TODAY()-X96,0))</f>
        <v/>
      </c>
      <c r="AN96" s="49">
        <f>IF(AL96="","",IF(COUNT(X96)=0,-100000,TODAY()-X96))</f>
        <v/>
      </c>
      <c r="AO96" s="49">
        <f>IF(AN96="","",COUNTIF(AN$11:AN$1010,"&gt;"&amp;AN96)+COUNTIF(AN$11:AN96,AN96))</f>
        <v/>
      </c>
      <c r="AP96" s="49">
        <f>IF(OR(A96="",B96=""),"",IF(COUNTIF(B$11:B96,B96)=1,MAX(AP$10:AP95)+1,""))</f>
        <v/>
      </c>
    </row>
    <row r="97" ht="24" customHeight="1">
      <c r="A97" s="20" t="n"/>
      <c r="B97" s="10" t="n"/>
      <c r="C97" s="10" t="n"/>
      <c r="D97" s="10" t="n"/>
      <c r="E97" s="10" t="n"/>
      <c r="F97" s="18" t="n"/>
      <c r="G97" s="10" t="n"/>
      <c r="H97" s="12" t="n"/>
      <c r="I97" s="12" t="n"/>
      <c r="J97" s="13">
        <f>IF(OR(A97="",COUNT(H97)=0,COUNT(Z97)=0),"",ROUND(Z97-H97,2))</f>
        <v/>
      </c>
      <c r="K97" s="15">
        <f>IF(COUNT(J97)=0,"",IF(Z97=0,"n.a.",J97/Z97))</f>
        <v/>
      </c>
      <c r="L97" s="14">
        <f>IF(OR(A97="",COUNT(H97)=0,COUNT(Y97)=0),"",ROUND(H97*(1+Y97),2))</f>
        <v/>
      </c>
      <c r="M97" s="10" t="n"/>
      <c r="N97" s="10" t="n"/>
      <c r="O97" s="10" t="n"/>
      <c r="P97" s="10" t="n"/>
      <c r="Q97" s="20" t="n"/>
      <c r="R97" s="10" t="n"/>
      <c r="S97" s="10" t="n"/>
      <c r="T97" s="18" t="n"/>
      <c r="U97" s="18" t="n"/>
      <c r="V97" s="10" t="n"/>
      <c r="W97" s="10" t="n"/>
      <c r="X97" s="19">
        <f>IF(OR(A97="",COUNT(U97)=0,COUNT(AI97)=0),"",U97+AI97)</f>
        <v/>
      </c>
      <c r="Y97" s="16" t="n"/>
      <c r="Z97" s="12" t="n"/>
      <c r="AA97" s="17">
        <f>IF(COUNT(J97)=0,"",IF(H97=0,"n.a.",J97/H97))</f>
        <v/>
      </c>
      <c r="AB97" s="12" t="n"/>
      <c r="AC97" s="12" t="n"/>
      <c r="AD97" s="12" t="n"/>
      <c r="AE97" s="13">
        <f>IF(OR(COUNT(J97)=0,COUNT(AB97:AD97)&lt;3),"",ROUND(J97-SUM(AB97:AD97),2))</f>
        <v/>
      </c>
      <c r="AF97" s="15">
        <f>IF(COUNT(AE97)=0,"",IF(Z97=0,"n.a.",AE97/Z97))</f>
        <v/>
      </c>
      <c r="AG97" s="12" t="n"/>
      <c r="AH97" s="14">
        <f>IF(OR(A97="",COUNT(Z97)=0,COUNT(AG97)=0),"",ROUND(Z97-AG97,2))</f>
        <v/>
      </c>
      <c r="AI97" s="21" t="n"/>
      <c r="AJ97" s="11">
        <f>IF(A97="","",IF(COUNT(I97)=0,"Enter approved NTE",IF(COUNT(Z97)&gt;0,IF(Z97&gt;I97,"Invoice exceeds NTE","Invoice within NTE"),IF(COUNT(L97)=0,"Enter quote inputs",IF(L97&gt;I97,"Quote exceeds NTE","Quote within NTE")))))</f>
        <v/>
      </c>
      <c r="AK97" s="11">
        <f>IF(A97="","",IF(COUNT(H97)=0,"Enter direct cost",IF(COUNT(Z97)=0,"Enter invoice revenue",IF(COUNT(AB97:AD97)&lt;3,"Enter expenses (0 if none)","Complete"))))</f>
        <v/>
      </c>
      <c r="AL97" s="11">
        <f>IF(A97="","",IF(NOT(AND(COUNT(AH97)=1,N(AH97)&gt;0.004,V97&lt;&gt;"Void",V97&lt;&gt;"Not invoiced",V97&lt;&gt;"Draft")),"",IF(COUNT(X97)=0,"No due date",IF(TODAY()-X97&lt;=0,"Not yet due",IF(TODAY()-X97&lt;=30,"1-30 days",IF(TODAY()-X97&lt;=60,"31-60 days",IF(TODAY()-X97&lt;=90,"61-90 days","Over 90 days")))))))</f>
        <v/>
      </c>
      <c r="AM97" s="49">
        <f>IF(OR(AL97="",AL97="No due date"),"",MAX(TODAY()-X97,0))</f>
        <v/>
      </c>
      <c r="AN97" s="49">
        <f>IF(AL97="","",IF(COUNT(X97)=0,-100000,TODAY()-X97))</f>
        <v/>
      </c>
      <c r="AO97" s="49">
        <f>IF(AN97="","",COUNTIF(AN$11:AN$1010,"&gt;"&amp;AN97)+COUNTIF(AN$11:AN97,AN97))</f>
        <v/>
      </c>
      <c r="AP97" s="49">
        <f>IF(OR(A97="",B97=""),"",IF(COUNTIF(B$11:B97,B97)=1,MAX(AP$10:AP96)+1,""))</f>
        <v/>
      </c>
    </row>
    <row r="98" ht="24" customHeight="1">
      <c r="A98" s="20" t="n"/>
      <c r="B98" s="10" t="n"/>
      <c r="C98" s="10" t="n"/>
      <c r="D98" s="10" t="n"/>
      <c r="E98" s="10" t="n"/>
      <c r="F98" s="18" t="n"/>
      <c r="G98" s="10" t="n"/>
      <c r="H98" s="12" t="n"/>
      <c r="I98" s="12" t="n"/>
      <c r="J98" s="13">
        <f>IF(OR(A98="",COUNT(H98)=0,COUNT(Z98)=0),"",ROUND(Z98-H98,2))</f>
        <v/>
      </c>
      <c r="K98" s="15">
        <f>IF(COUNT(J98)=0,"",IF(Z98=0,"n.a.",J98/Z98))</f>
        <v/>
      </c>
      <c r="L98" s="14">
        <f>IF(OR(A98="",COUNT(H98)=0,COUNT(Y98)=0),"",ROUND(H98*(1+Y98),2))</f>
        <v/>
      </c>
      <c r="M98" s="10" t="n"/>
      <c r="N98" s="10" t="n"/>
      <c r="O98" s="10" t="n"/>
      <c r="P98" s="10" t="n"/>
      <c r="Q98" s="20" t="n"/>
      <c r="R98" s="10" t="n"/>
      <c r="S98" s="10" t="n"/>
      <c r="T98" s="18" t="n"/>
      <c r="U98" s="18" t="n"/>
      <c r="V98" s="10" t="n"/>
      <c r="W98" s="10" t="n"/>
      <c r="X98" s="19">
        <f>IF(OR(A98="",COUNT(U98)=0,COUNT(AI98)=0),"",U98+AI98)</f>
        <v/>
      </c>
      <c r="Y98" s="16" t="n"/>
      <c r="Z98" s="12" t="n"/>
      <c r="AA98" s="17">
        <f>IF(COUNT(J98)=0,"",IF(H98=0,"n.a.",J98/H98))</f>
        <v/>
      </c>
      <c r="AB98" s="12" t="n"/>
      <c r="AC98" s="12" t="n"/>
      <c r="AD98" s="12" t="n"/>
      <c r="AE98" s="13">
        <f>IF(OR(COUNT(J98)=0,COUNT(AB98:AD98)&lt;3),"",ROUND(J98-SUM(AB98:AD98),2))</f>
        <v/>
      </c>
      <c r="AF98" s="15">
        <f>IF(COUNT(AE98)=0,"",IF(Z98=0,"n.a.",AE98/Z98))</f>
        <v/>
      </c>
      <c r="AG98" s="12" t="n"/>
      <c r="AH98" s="14">
        <f>IF(OR(A98="",COUNT(Z98)=0,COUNT(AG98)=0),"",ROUND(Z98-AG98,2))</f>
        <v/>
      </c>
      <c r="AI98" s="21" t="n"/>
      <c r="AJ98" s="11">
        <f>IF(A98="","",IF(COUNT(I98)=0,"Enter approved NTE",IF(COUNT(Z98)&gt;0,IF(Z98&gt;I98,"Invoice exceeds NTE","Invoice within NTE"),IF(COUNT(L98)=0,"Enter quote inputs",IF(L98&gt;I98,"Quote exceeds NTE","Quote within NTE")))))</f>
        <v/>
      </c>
      <c r="AK98" s="11">
        <f>IF(A98="","",IF(COUNT(H98)=0,"Enter direct cost",IF(COUNT(Z98)=0,"Enter invoice revenue",IF(COUNT(AB98:AD98)&lt;3,"Enter expenses (0 if none)","Complete"))))</f>
        <v/>
      </c>
      <c r="AL98" s="11">
        <f>IF(A98="","",IF(NOT(AND(COUNT(AH98)=1,N(AH98)&gt;0.004,V98&lt;&gt;"Void",V98&lt;&gt;"Not invoiced",V98&lt;&gt;"Draft")),"",IF(COUNT(X98)=0,"No due date",IF(TODAY()-X98&lt;=0,"Not yet due",IF(TODAY()-X98&lt;=30,"1-30 days",IF(TODAY()-X98&lt;=60,"31-60 days",IF(TODAY()-X98&lt;=90,"61-90 days","Over 90 days")))))))</f>
        <v/>
      </c>
      <c r="AM98" s="49">
        <f>IF(OR(AL98="",AL98="No due date"),"",MAX(TODAY()-X98,0))</f>
        <v/>
      </c>
      <c r="AN98" s="49">
        <f>IF(AL98="","",IF(COUNT(X98)=0,-100000,TODAY()-X98))</f>
        <v/>
      </c>
      <c r="AO98" s="49">
        <f>IF(AN98="","",COUNTIF(AN$11:AN$1010,"&gt;"&amp;AN98)+COUNTIF(AN$11:AN98,AN98))</f>
        <v/>
      </c>
      <c r="AP98" s="49">
        <f>IF(OR(A98="",B98=""),"",IF(COUNTIF(B$11:B98,B98)=1,MAX(AP$10:AP97)+1,""))</f>
        <v/>
      </c>
    </row>
    <row r="99" ht="24" customHeight="1">
      <c r="A99" s="20" t="n"/>
      <c r="B99" s="10" t="n"/>
      <c r="C99" s="10" t="n"/>
      <c r="D99" s="10" t="n"/>
      <c r="E99" s="10" t="n"/>
      <c r="F99" s="18" t="n"/>
      <c r="G99" s="10" t="n"/>
      <c r="H99" s="12" t="n"/>
      <c r="I99" s="12" t="n"/>
      <c r="J99" s="13">
        <f>IF(OR(A99="",COUNT(H99)=0,COUNT(Z99)=0),"",ROUND(Z99-H99,2))</f>
        <v/>
      </c>
      <c r="K99" s="15">
        <f>IF(COUNT(J99)=0,"",IF(Z99=0,"n.a.",J99/Z99))</f>
        <v/>
      </c>
      <c r="L99" s="14">
        <f>IF(OR(A99="",COUNT(H99)=0,COUNT(Y99)=0),"",ROUND(H99*(1+Y99),2))</f>
        <v/>
      </c>
      <c r="M99" s="10" t="n"/>
      <c r="N99" s="10" t="n"/>
      <c r="O99" s="10" t="n"/>
      <c r="P99" s="10" t="n"/>
      <c r="Q99" s="20" t="n"/>
      <c r="R99" s="10" t="n"/>
      <c r="S99" s="10" t="n"/>
      <c r="T99" s="18" t="n"/>
      <c r="U99" s="18" t="n"/>
      <c r="V99" s="10" t="n"/>
      <c r="W99" s="10" t="n"/>
      <c r="X99" s="19">
        <f>IF(OR(A99="",COUNT(U99)=0,COUNT(AI99)=0),"",U99+AI99)</f>
        <v/>
      </c>
      <c r="Y99" s="16" t="n"/>
      <c r="Z99" s="12" t="n"/>
      <c r="AA99" s="17">
        <f>IF(COUNT(J99)=0,"",IF(H99=0,"n.a.",J99/H99))</f>
        <v/>
      </c>
      <c r="AB99" s="12" t="n"/>
      <c r="AC99" s="12" t="n"/>
      <c r="AD99" s="12" t="n"/>
      <c r="AE99" s="13">
        <f>IF(OR(COUNT(J99)=0,COUNT(AB99:AD99)&lt;3),"",ROUND(J99-SUM(AB99:AD99),2))</f>
        <v/>
      </c>
      <c r="AF99" s="15">
        <f>IF(COUNT(AE99)=0,"",IF(Z99=0,"n.a.",AE99/Z99))</f>
        <v/>
      </c>
      <c r="AG99" s="12" t="n"/>
      <c r="AH99" s="14">
        <f>IF(OR(A99="",COUNT(Z99)=0,COUNT(AG99)=0),"",ROUND(Z99-AG99,2))</f>
        <v/>
      </c>
      <c r="AI99" s="21" t="n"/>
      <c r="AJ99" s="11">
        <f>IF(A99="","",IF(COUNT(I99)=0,"Enter approved NTE",IF(COUNT(Z99)&gt;0,IF(Z99&gt;I99,"Invoice exceeds NTE","Invoice within NTE"),IF(COUNT(L99)=0,"Enter quote inputs",IF(L99&gt;I99,"Quote exceeds NTE","Quote within NTE")))))</f>
        <v/>
      </c>
      <c r="AK99" s="11">
        <f>IF(A99="","",IF(COUNT(H99)=0,"Enter direct cost",IF(COUNT(Z99)=0,"Enter invoice revenue",IF(COUNT(AB99:AD99)&lt;3,"Enter expenses (0 if none)","Complete"))))</f>
        <v/>
      </c>
      <c r="AL99" s="11">
        <f>IF(A99="","",IF(NOT(AND(COUNT(AH99)=1,N(AH99)&gt;0.004,V99&lt;&gt;"Void",V99&lt;&gt;"Not invoiced",V99&lt;&gt;"Draft")),"",IF(COUNT(X99)=0,"No due date",IF(TODAY()-X99&lt;=0,"Not yet due",IF(TODAY()-X99&lt;=30,"1-30 days",IF(TODAY()-X99&lt;=60,"31-60 days",IF(TODAY()-X99&lt;=90,"61-90 days","Over 90 days")))))))</f>
        <v/>
      </c>
      <c r="AM99" s="49">
        <f>IF(OR(AL99="",AL99="No due date"),"",MAX(TODAY()-X99,0))</f>
        <v/>
      </c>
      <c r="AN99" s="49">
        <f>IF(AL99="","",IF(COUNT(X99)=0,-100000,TODAY()-X99))</f>
        <v/>
      </c>
      <c r="AO99" s="49">
        <f>IF(AN99="","",COUNTIF(AN$11:AN$1010,"&gt;"&amp;AN99)+COUNTIF(AN$11:AN99,AN99))</f>
        <v/>
      </c>
      <c r="AP99" s="49">
        <f>IF(OR(A99="",B99=""),"",IF(COUNTIF(B$11:B99,B99)=1,MAX(AP$10:AP98)+1,""))</f>
        <v/>
      </c>
    </row>
    <row r="100" ht="24" customHeight="1">
      <c r="A100" s="20" t="n"/>
      <c r="B100" s="10" t="n"/>
      <c r="C100" s="10" t="n"/>
      <c r="D100" s="10" t="n"/>
      <c r="E100" s="10" t="n"/>
      <c r="F100" s="18" t="n"/>
      <c r="G100" s="10" t="n"/>
      <c r="H100" s="12" t="n"/>
      <c r="I100" s="12" t="n"/>
      <c r="J100" s="13">
        <f>IF(OR(A100="",COUNT(H100)=0,COUNT(Z100)=0),"",ROUND(Z100-H100,2))</f>
        <v/>
      </c>
      <c r="K100" s="15">
        <f>IF(COUNT(J100)=0,"",IF(Z100=0,"n.a.",J100/Z100))</f>
        <v/>
      </c>
      <c r="L100" s="14">
        <f>IF(OR(A100="",COUNT(H100)=0,COUNT(Y100)=0),"",ROUND(H100*(1+Y100),2))</f>
        <v/>
      </c>
      <c r="M100" s="10" t="n"/>
      <c r="N100" s="10" t="n"/>
      <c r="O100" s="10" t="n"/>
      <c r="P100" s="10" t="n"/>
      <c r="Q100" s="20" t="n"/>
      <c r="R100" s="10" t="n"/>
      <c r="S100" s="10" t="n"/>
      <c r="T100" s="18" t="n"/>
      <c r="U100" s="18" t="n"/>
      <c r="V100" s="10" t="n"/>
      <c r="W100" s="10" t="n"/>
      <c r="X100" s="19">
        <f>IF(OR(A100="",COUNT(U100)=0,COUNT(AI100)=0),"",U100+AI100)</f>
        <v/>
      </c>
      <c r="Y100" s="16" t="n"/>
      <c r="Z100" s="12" t="n"/>
      <c r="AA100" s="17">
        <f>IF(COUNT(J100)=0,"",IF(H100=0,"n.a.",J100/H100))</f>
        <v/>
      </c>
      <c r="AB100" s="12" t="n"/>
      <c r="AC100" s="12" t="n"/>
      <c r="AD100" s="12" t="n"/>
      <c r="AE100" s="13">
        <f>IF(OR(COUNT(J100)=0,COUNT(AB100:AD100)&lt;3),"",ROUND(J100-SUM(AB100:AD100),2))</f>
        <v/>
      </c>
      <c r="AF100" s="15">
        <f>IF(COUNT(AE100)=0,"",IF(Z100=0,"n.a.",AE100/Z100))</f>
        <v/>
      </c>
      <c r="AG100" s="12" t="n"/>
      <c r="AH100" s="14">
        <f>IF(OR(A100="",COUNT(Z100)=0,COUNT(AG100)=0),"",ROUND(Z100-AG100,2))</f>
        <v/>
      </c>
      <c r="AI100" s="21" t="n"/>
      <c r="AJ100" s="11">
        <f>IF(A100="","",IF(COUNT(I100)=0,"Enter approved NTE",IF(COUNT(Z100)&gt;0,IF(Z100&gt;I100,"Invoice exceeds NTE","Invoice within NTE"),IF(COUNT(L100)=0,"Enter quote inputs",IF(L100&gt;I100,"Quote exceeds NTE","Quote within NTE")))))</f>
        <v/>
      </c>
      <c r="AK100" s="11">
        <f>IF(A100="","",IF(COUNT(H100)=0,"Enter direct cost",IF(COUNT(Z100)=0,"Enter invoice revenue",IF(COUNT(AB100:AD100)&lt;3,"Enter expenses (0 if none)","Complete"))))</f>
        <v/>
      </c>
      <c r="AL100" s="11">
        <f>IF(A100="","",IF(NOT(AND(COUNT(AH100)=1,N(AH100)&gt;0.004,V100&lt;&gt;"Void",V100&lt;&gt;"Not invoiced",V100&lt;&gt;"Draft")),"",IF(COUNT(X100)=0,"No due date",IF(TODAY()-X100&lt;=0,"Not yet due",IF(TODAY()-X100&lt;=30,"1-30 days",IF(TODAY()-X100&lt;=60,"31-60 days",IF(TODAY()-X100&lt;=90,"61-90 days","Over 90 days")))))))</f>
        <v/>
      </c>
      <c r="AM100" s="49">
        <f>IF(OR(AL100="",AL100="No due date"),"",MAX(TODAY()-X100,0))</f>
        <v/>
      </c>
      <c r="AN100" s="49">
        <f>IF(AL100="","",IF(COUNT(X100)=0,-100000,TODAY()-X100))</f>
        <v/>
      </c>
      <c r="AO100" s="49">
        <f>IF(AN100="","",COUNTIF(AN$11:AN$1010,"&gt;"&amp;AN100)+COUNTIF(AN$11:AN100,AN100))</f>
        <v/>
      </c>
      <c r="AP100" s="49">
        <f>IF(OR(A100="",B100=""),"",IF(COUNTIF(B$11:B100,B100)=1,MAX(AP$10:AP99)+1,""))</f>
        <v/>
      </c>
    </row>
    <row r="101" ht="24" customHeight="1">
      <c r="A101" s="20" t="n"/>
      <c r="B101" s="10" t="n"/>
      <c r="C101" s="10" t="n"/>
      <c r="D101" s="10" t="n"/>
      <c r="E101" s="10" t="n"/>
      <c r="F101" s="18" t="n"/>
      <c r="G101" s="10" t="n"/>
      <c r="H101" s="12" t="n"/>
      <c r="I101" s="12" t="n"/>
      <c r="J101" s="13">
        <f>IF(OR(A101="",COUNT(H101)=0,COUNT(Z101)=0),"",ROUND(Z101-H101,2))</f>
        <v/>
      </c>
      <c r="K101" s="15">
        <f>IF(COUNT(J101)=0,"",IF(Z101=0,"n.a.",J101/Z101))</f>
        <v/>
      </c>
      <c r="L101" s="14">
        <f>IF(OR(A101="",COUNT(H101)=0,COUNT(Y101)=0),"",ROUND(H101*(1+Y101),2))</f>
        <v/>
      </c>
      <c r="M101" s="10" t="n"/>
      <c r="N101" s="10" t="n"/>
      <c r="O101" s="10" t="n"/>
      <c r="P101" s="10" t="n"/>
      <c r="Q101" s="20" t="n"/>
      <c r="R101" s="10" t="n"/>
      <c r="S101" s="10" t="n"/>
      <c r="T101" s="18" t="n"/>
      <c r="U101" s="18" t="n"/>
      <c r="V101" s="10" t="n"/>
      <c r="W101" s="10" t="n"/>
      <c r="X101" s="19">
        <f>IF(OR(A101="",COUNT(U101)=0,COUNT(AI101)=0),"",U101+AI101)</f>
        <v/>
      </c>
      <c r="Y101" s="16" t="n"/>
      <c r="Z101" s="12" t="n"/>
      <c r="AA101" s="17">
        <f>IF(COUNT(J101)=0,"",IF(H101=0,"n.a.",J101/H101))</f>
        <v/>
      </c>
      <c r="AB101" s="12" t="n"/>
      <c r="AC101" s="12" t="n"/>
      <c r="AD101" s="12" t="n"/>
      <c r="AE101" s="13">
        <f>IF(OR(COUNT(J101)=0,COUNT(AB101:AD101)&lt;3),"",ROUND(J101-SUM(AB101:AD101),2))</f>
        <v/>
      </c>
      <c r="AF101" s="15">
        <f>IF(COUNT(AE101)=0,"",IF(Z101=0,"n.a.",AE101/Z101))</f>
        <v/>
      </c>
      <c r="AG101" s="12" t="n"/>
      <c r="AH101" s="14">
        <f>IF(OR(A101="",COUNT(Z101)=0,COUNT(AG101)=0),"",ROUND(Z101-AG101,2))</f>
        <v/>
      </c>
      <c r="AI101" s="21" t="n"/>
      <c r="AJ101" s="11">
        <f>IF(A101="","",IF(COUNT(I101)=0,"Enter approved NTE",IF(COUNT(Z101)&gt;0,IF(Z101&gt;I101,"Invoice exceeds NTE","Invoice within NTE"),IF(COUNT(L101)=0,"Enter quote inputs",IF(L101&gt;I101,"Quote exceeds NTE","Quote within NTE")))))</f>
        <v/>
      </c>
      <c r="AK101" s="11">
        <f>IF(A101="","",IF(COUNT(H101)=0,"Enter direct cost",IF(COUNT(Z101)=0,"Enter invoice revenue",IF(COUNT(AB101:AD101)&lt;3,"Enter expenses (0 if none)","Complete"))))</f>
        <v/>
      </c>
      <c r="AL101" s="11">
        <f>IF(A101="","",IF(NOT(AND(COUNT(AH101)=1,N(AH101)&gt;0.004,V101&lt;&gt;"Void",V101&lt;&gt;"Not invoiced",V101&lt;&gt;"Draft")),"",IF(COUNT(X101)=0,"No due date",IF(TODAY()-X101&lt;=0,"Not yet due",IF(TODAY()-X101&lt;=30,"1-30 days",IF(TODAY()-X101&lt;=60,"31-60 days",IF(TODAY()-X101&lt;=90,"61-90 days","Over 90 days")))))))</f>
        <v/>
      </c>
      <c r="AM101" s="49">
        <f>IF(OR(AL101="",AL101="No due date"),"",MAX(TODAY()-X101,0))</f>
        <v/>
      </c>
      <c r="AN101" s="49">
        <f>IF(AL101="","",IF(COUNT(X101)=0,-100000,TODAY()-X101))</f>
        <v/>
      </c>
      <c r="AO101" s="49">
        <f>IF(AN101="","",COUNTIF(AN$11:AN$1010,"&gt;"&amp;AN101)+COUNTIF(AN$11:AN101,AN101))</f>
        <v/>
      </c>
      <c r="AP101" s="49">
        <f>IF(OR(A101="",B101=""),"",IF(COUNTIF(B$11:B101,B101)=1,MAX(AP$10:AP100)+1,""))</f>
        <v/>
      </c>
    </row>
    <row r="102" ht="24" customHeight="1">
      <c r="A102" s="20" t="n"/>
      <c r="B102" s="10" t="n"/>
      <c r="C102" s="10" t="n"/>
      <c r="D102" s="10" t="n"/>
      <c r="E102" s="10" t="n"/>
      <c r="F102" s="18" t="n"/>
      <c r="G102" s="10" t="n"/>
      <c r="H102" s="12" t="n"/>
      <c r="I102" s="12" t="n"/>
      <c r="J102" s="13">
        <f>IF(OR(A102="",COUNT(H102)=0,COUNT(Z102)=0),"",ROUND(Z102-H102,2))</f>
        <v/>
      </c>
      <c r="K102" s="15">
        <f>IF(COUNT(J102)=0,"",IF(Z102=0,"n.a.",J102/Z102))</f>
        <v/>
      </c>
      <c r="L102" s="14">
        <f>IF(OR(A102="",COUNT(H102)=0,COUNT(Y102)=0),"",ROUND(H102*(1+Y102),2))</f>
        <v/>
      </c>
      <c r="M102" s="10" t="n"/>
      <c r="N102" s="10" t="n"/>
      <c r="O102" s="10" t="n"/>
      <c r="P102" s="10" t="n"/>
      <c r="Q102" s="20" t="n"/>
      <c r="R102" s="10" t="n"/>
      <c r="S102" s="10" t="n"/>
      <c r="T102" s="18" t="n"/>
      <c r="U102" s="18" t="n"/>
      <c r="V102" s="10" t="n"/>
      <c r="W102" s="10" t="n"/>
      <c r="X102" s="19">
        <f>IF(OR(A102="",COUNT(U102)=0,COUNT(AI102)=0),"",U102+AI102)</f>
        <v/>
      </c>
      <c r="Y102" s="16" t="n"/>
      <c r="Z102" s="12" t="n"/>
      <c r="AA102" s="17">
        <f>IF(COUNT(J102)=0,"",IF(H102=0,"n.a.",J102/H102))</f>
        <v/>
      </c>
      <c r="AB102" s="12" t="n"/>
      <c r="AC102" s="12" t="n"/>
      <c r="AD102" s="12" t="n"/>
      <c r="AE102" s="13">
        <f>IF(OR(COUNT(J102)=0,COUNT(AB102:AD102)&lt;3),"",ROUND(J102-SUM(AB102:AD102),2))</f>
        <v/>
      </c>
      <c r="AF102" s="15">
        <f>IF(COUNT(AE102)=0,"",IF(Z102=0,"n.a.",AE102/Z102))</f>
        <v/>
      </c>
      <c r="AG102" s="12" t="n"/>
      <c r="AH102" s="14">
        <f>IF(OR(A102="",COUNT(Z102)=0,COUNT(AG102)=0),"",ROUND(Z102-AG102,2))</f>
        <v/>
      </c>
      <c r="AI102" s="21" t="n"/>
      <c r="AJ102" s="11">
        <f>IF(A102="","",IF(COUNT(I102)=0,"Enter approved NTE",IF(COUNT(Z102)&gt;0,IF(Z102&gt;I102,"Invoice exceeds NTE","Invoice within NTE"),IF(COUNT(L102)=0,"Enter quote inputs",IF(L102&gt;I102,"Quote exceeds NTE","Quote within NTE")))))</f>
        <v/>
      </c>
      <c r="AK102" s="11">
        <f>IF(A102="","",IF(COUNT(H102)=0,"Enter direct cost",IF(COUNT(Z102)=0,"Enter invoice revenue",IF(COUNT(AB102:AD102)&lt;3,"Enter expenses (0 if none)","Complete"))))</f>
        <v/>
      </c>
      <c r="AL102" s="11">
        <f>IF(A102="","",IF(NOT(AND(COUNT(AH102)=1,N(AH102)&gt;0.004,V102&lt;&gt;"Void",V102&lt;&gt;"Not invoiced",V102&lt;&gt;"Draft")),"",IF(COUNT(X102)=0,"No due date",IF(TODAY()-X102&lt;=0,"Not yet due",IF(TODAY()-X102&lt;=30,"1-30 days",IF(TODAY()-X102&lt;=60,"31-60 days",IF(TODAY()-X102&lt;=90,"61-90 days","Over 90 days")))))))</f>
        <v/>
      </c>
      <c r="AM102" s="49">
        <f>IF(OR(AL102="",AL102="No due date"),"",MAX(TODAY()-X102,0))</f>
        <v/>
      </c>
      <c r="AN102" s="49">
        <f>IF(AL102="","",IF(COUNT(X102)=0,-100000,TODAY()-X102))</f>
        <v/>
      </c>
      <c r="AO102" s="49">
        <f>IF(AN102="","",COUNTIF(AN$11:AN$1010,"&gt;"&amp;AN102)+COUNTIF(AN$11:AN102,AN102))</f>
        <v/>
      </c>
      <c r="AP102" s="49">
        <f>IF(OR(A102="",B102=""),"",IF(COUNTIF(B$11:B102,B102)=1,MAX(AP$10:AP101)+1,""))</f>
        <v/>
      </c>
    </row>
    <row r="103" ht="24" customHeight="1">
      <c r="A103" s="20" t="n"/>
      <c r="B103" s="10" t="n"/>
      <c r="C103" s="10" t="n"/>
      <c r="D103" s="10" t="n"/>
      <c r="E103" s="10" t="n"/>
      <c r="F103" s="18" t="n"/>
      <c r="G103" s="10" t="n"/>
      <c r="H103" s="12" t="n"/>
      <c r="I103" s="12" t="n"/>
      <c r="J103" s="13">
        <f>IF(OR(A103="",COUNT(H103)=0,COUNT(Z103)=0),"",ROUND(Z103-H103,2))</f>
        <v/>
      </c>
      <c r="K103" s="15">
        <f>IF(COUNT(J103)=0,"",IF(Z103=0,"n.a.",J103/Z103))</f>
        <v/>
      </c>
      <c r="L103" s="14">
        <f>IF(OR(A103="",COUNT(H103)=0,COUNT(Y103)=0),"",ROUND(H103*(1+Y103),2))</f>
        <v/>
      </c>
      <c r="M103" s="10" t="n"/>
      <c r="N103" s="10" t="n"/>
      <c r="O103" s="10" t="n"/>
      <c r="P103" s="10" t="n"/>
      <c r="Q103" s="20" t="n"/>
      <c r="R103" s="10" t="n"/>
      <c r="S103" s="10" t="n"/>
      <c r="T103" s="18" t="n"/>
      <c r="U103" s="18" t="n"/>
      <c r="V103" s="10" t="n"/>
      <c r="W103" s="10" t="n"/>
      <c r="X103" s="19">
        <f>IF(OR(A103="",COUNT(U103)=0,COUNT(AI103)=0),"",U103+AI103)</f>
        <v/>
      </c>
      <c r="Y103" s="16" t="n"/>
      <c r="Z103" s="12" t="n"/>
      <c r="AA103" s="17">
        <f>IF(COUNT(J103)=0,"",IF(H103=0,"n.a.",J103/H103))</f>
        <v/>
      </c>
      <c r="AB103" s="12" t="n"/>
      <c r="AC103" s="12" t="n"/>
      <c r="AD103" s="12" t="n"/>
      <c r="AE103" s="13">
        <f>IF(OR(COUNT(J103)=0,COUNT(AB103:AD103)&lt;3),"",ROUND(J103-SUM(AB103:AD103),2))</f>
        <v/>
      </c>
      <c r="AF103" s="15">
        <f>IF(COUNT(AE103)=0,"",IF(Z103=0,"n.a.",AE103/Z103))</f>
        <v/>
      </c>
      <c r="AG103" s="12" t="n"/>
      <c r="AH103" s="14">
        <f>IF(OR(A103="",COUNT(Z103)=0,COUNT(AG103)=0),"",ROUND(Z103-AG103,2))</f>
        <v/>
      </c>
      <c r="AI103" s="21" t="n"/>
      <c r="AJ103" s="11">
        <f>IF(A103="","",IF(COUNT(I103)=0,"Enter approved NTE",IF(COUNT(Z103)&gt;0,IF(Z103&gt;I103,"Invoice exceeds NTE","Invoice within NTE"),IF(COUNT(L103)=0,"Enter quote inputs",IF(L103&gt;I103,"Quote exceeds NTE","Quote within NTE")))))</f>
        <v/>
      </c>
      <c r="AK103" s="11">
        <f>IF(A103="","",IF(COUNT(H103)=0,"Enter direct cost",IF(COUNT(Z103)=0,"Enter invoice revenue",IF(COUNT(AB103:AD103)&lt;3,"Enter expenses (0 if none)","Complete"))))</f>
        <v/>
      </c>
      <c r="AL103" s="11">
        <f>IF(A103="","",IF(NOT(AND(COUNT(AH103)=1,N(AH103)&gt;0.004,V103&lt;&gt;"Void",V103&lt;&gt;"Not invoiced",V103&lt;&gt;"Draft")),"",IF(COUNT(X103)=0,"No due date",IF(TODAY()-X103&lt;=0,"Not yet due",IF(TODAY()-X103&lt;=30,"1-30 days",IF(TODAY()-X103&lt;=60,"31-60 days",IF(TODAY()-X103&lt;=90,"61-90 days","Over 90 days")))))))</f>
        <v/>
      </c>
      <c r="AM103" s="49">
        <f>IF(OR(AL103="",AL103="No due date"),"",MAX(TODAY()-X103,0))</f>
        <v/>
      </c>
      <c r="AN103" s="49">
        <f>IF(AL103="","",IF(COUNT(X103)=0,-100000,TODAY()-X103))</f>
        <v/>
      </c>
      <c r="AO103" s="49">
        <f>IF(AN103="","",COUNTIF(AN$11:AN$1010,"&gt;"&amp;AN103)+COUNTIF(AN$11:AN103,AN103))</f>
        <v/>
      </c>
      <c r="AP103" s="49">
        <f>IF(OR(A103="",B103=""),"",IF(COUNTIF(B$11:B103,B103)=1,MAX(AP$10:AP102)+1,""))</f>
        <v/>
      </c>
    </row>
    <row r="104" ht="24" customHeight="1">
      <c r="A104" s="20" t="n"/>
      <c r="B104" s="10" t="n"/>
      <c r="C104" s="10" t="n"/>
      <c r="D104" s="10" t="n"/>
      <c r="E104" s="10" t="n"/>
      <c r="F104" s="18" t="n"/>
      <c r="G104" s="10" t="n"/>
      <c r="H104" s="12" t="n"/>
      <c r="I104" s="12" t="n"/>
      <c r="J104" s="13">
        <f>IF(OR(A104="",COUNT(H104)=0,COUNT(Z104)=0),"",ROUND(Z104-H104,2))</f>
        <v/>
      </c>
      <c r="K104" s="15">
        <f>IF(COUNT(J104)=0,"",IF(Z104=0,"n.a.",J104/Z104))</f>
        <v/>
      </c>
      <c r="L104" s="14">
        <f>IF(OR(A104="",COUNT(H104)=0,COUNT(Y104)=0),"",ROUND(H104*(1+Y104),2))</f>
        <v/>
      </c>
      <c r="M104" s="10" t="n"/>
      <c r="N104" s="10" t="n"/>
      <c r="O104" s="10" t="n"/>
      <c r="P104" s="10" t="n"/>
      <c r="Q104" s="20" t="n"/>
      <c r="R104" s="10" t="n"/>
      <c r="S104" s="10" t="n"/>
      <c r="T104" s="18" t="n"/>
      <c r="U104" s="18" t="n"/>
      <c r="V104" s="10" t="n"/>
      <c r="W104" s="10" t="n"/>
      <c r="X104" s="19">
        <f>IF(OR(A104="",COUNT(U104)=0,COUNT(AI104)=0),"",U104+AI104)</f>
        <v/>
      </c>
      <c r="Y104" s="16" t="n"/>
      <c r="Z104" s="12" t="n"/>
      <c r="AA104" s="17">
        <f>IF(COUNT(J104)=0,"",IF(H104=0,"n.a.",J104/H104))</f>
        <v/>
      </c>
      <c r="AB104" s="12" t="n"/>
      <c r="AC104" s="12" t="n"/>
      <c r="AD104" s="12" t="n"/>
      <c r="AE104" s="13">
        <f>IF(OR(COUNT(J104)=0,COUNT(AB104:AD104)&lt;3),"",ROUND(J104-SUM(AB104:AD104),2))</f>
        <v/>
      </c>
      <c r="AF104" s="15">
        <f>IF(COUNT(AE104)=0,"",IF(Z104=0,"n.a.",AE104/Z104))</f>
        <v/>
      </c>
      <c r="AG104" s="12" t="n"/>
      <c r="AH104" s="14">
        <f>IF(OR(A104="",COUNT(Z104)=0,COUNT(AG104)=0),"",ROUND(Z104-AG104,2))</f>
        <v/>
      </c>
      <c r="AI104" s="21" t="n"/>
      <c r="AJ104" s="11">
        <f>IF(A104="","",IF(COUNT(I104)=0,"Enter approved NTE",IF(COUNT(Z104)&gt;0,IF(Z104&gt;I104,"Invoice exceeds NTE","Invoice within NTE"),IF(COUNT(L104)=0,"Enter quote inputs",IF(L104&gt;I104,"Quote exceeds NTE","Quote within NTE")))))</f>
        <v/>
      </c>
      <c r="AK104" s="11">
        <f>IF(A104="","",IF(COUNT(H104)=0,"Enter direct cost",IF(COUNT(Z104)=0,"Enter invoice revenue",IF(COUNT(AB104:AD104)&lt;3,"Enter expenses (0 if none)","Complete"))))</f>
        <v/>
      </c>
      <c r="AL104" s="11">
        <f>IF(A104="","",IF(NOT(AND(COUNT(AH104)=1,N(AH104)&gt;0.004,V104&lt;&gt;"Void",V104&lt;&gt;"Not invoiced",V104&lt;&gt;"Draft")),"",IF(COUNT(X104)=0,"No due date",IF(TODAY()-X104&lt;=0,"Not yet due",IF(TODAY()-X104&lt;=30,"1-30 days",IF(TODAY()-X104&lt;=60,"31-60 days",IF(TODAY()-X104&lt;=90,"61-90 days","Over 90 days")))))))</f>
        <v/>
      </c>
      <c r="AM104" s="49">
        <f>IF(OR(AL104="",AL104="No due date"),"",MAX(TODAY()-X104,0))</f>
        <v/>
      </c>
      <c r="AN104" s="49">
        <f>IF(AL104="","",IF(COUNT(X104)=0,-100000,TODAY()-X104))</f>
        <v/>
      </c>
      <c r="AO104" s="49">
        <f>IF(AN104="","",COUNTIF(AN$11:AN$1010,"&gt;"&amp;AN104)+COUNTIF(AN$11:AN104,AN104))</f>
        <v/>
      </c>
      <c r="AP104" s="49">
        <f>IF(OR(A104="",B104=""),"",IF(COUNTIF(B$11:B104,B104)=1,MAX(AP$10:AP103)+1,""))</f>
        <v/>
      </c>
    </row>
    <row r="105" ht="24" customHeight="1">
      <c r="A105" s="20" t="n"/>
      <c r="B105" s="10" t="n"/>
      <c r="C105" s="10" t="n"/>
      <c r="D105" s="10" t="n"/>
      <c r="E105" s="10" t="n"/>
      <c r="F105" s="18" t="n"/>
      <c r="G105" s="10" t="n"/>
      <c r="H105" s="12" t="n"/>
      <c r="I105" s="12" t="n"/>
      <c r="J105" s="13">
        <f>IF(OR(A105="",COUNT(H105)=0,COUNT(Z105)=0),"",ROUND(Z105-H105,2))</f>
        <v/>
      </c>
      <c r="K105" s="15">
        <f>IF(COUNT(J105)=0,"",IF(Z105=0,"n.a.",J105/Z105))</f>
        <v/>
      </c>
      <c r="L105" s="14">
        <f>IF(OR(A105="",COUNT(H105)=0,COUNT(Y105)=0),"",ROUND(H105*(1+Y105),2))</f>
        <v/>
      </c>
      <c r="M105" s="10" t="n"/>
      <c r="N105" s="10" t="n"/>
      <c r="O105" s="10" t="n"/>
      <c r="P105" s="10" t="n"/>
      <c r="Q105" s="20" t="n"/>
      <c r="R105" s="10" t="n"/>
      <c r="S105" s="10" t="n"/>
      <c r="T105" s="18" t="n"/>
      <c r="U105" s="18" t="n"/>
      <c r="V105" s="10" t="n"/>
      <c r="W105" s="10" t="n"/>
      <c r="X105" s="19">
        <f>IF(OR(A105="",COUNT(U105)=0,COUNT(AI105)=0),"",U105+AI105)</f>
        <v/>
      </c>
      <c r="Y105" s="16" t="n"/>
      <c r="Z105" s="12" t="n"/>
      <c r="AA105" s="17">
        <f>IF(COUNT(J105)=0,"",IF(H105=0,"n.a.",J105/H105))</f>
        <v/>
      </c>
      <c r="AB105" s="12" t="n"/>
      <c r="AC105" s="12" t="n"/>
      <c r="AD105" s="12" t="n"/>
      <c r="AE105" s="13">
        <f>IF(OR(COUNT(J105)=0,COUNT(AB105:AD105)&lt;3),"",ROUND(J105-SUM(AB105:AD105),2))</f>
        <v/>
      </c>
      <c r="AF105" s="15">
        <f>IF(COUNT(AE105)=0,"",IF(Z105=0,"n.a.",AE105/Z105))</f>
        <v/>
      </c>
      <c r="AG105" s="12" t="n"/>
      <c r="AH105" s="14">
        <f>IF(OR(A105="",COUNT(Z105)=0,COUNT(AG105)=0),"",ROUND(Z105-AG105,2))</f>
        <v/>
      </c>
      <c r="AI105" s="21" t="n"/>
      <c r="AJ105" s="11">
        <f>IF(A105="","",IF(COUNT(I105)=0,"Enter approved NTE",IF(COUNT(Z105)&gt;0,IF(Z105&gt;I105,"Invoice exceeds NTE","Invoice within NTE"),IF(COUNT(L105)=0,"Enter quote inputs",IF(L105&gt;I105,"Quote exceeds NTE","Quote within NTE")))))</f>
        <v/>
      </c>
      <c r="AK105" s="11">
        <f>IF(A105="","",IF(COUNT(H105)=0,"Enter direct cost",IF(COUNT(Z105)=0,"Enter invoice revenue",IF(COUNT(AB105:AD105)&lt;3,"Enter expenses (0 if none)","Complete"))))</f>
        <v/>
      </c>
      <c r="AL105" s="11">
        <f>IF(A105="","",IF(NOT(AND(COUNT(AH105)=1,N(AH105)&gt;0.004,V105&lt;&gt;"Void",V105&lt;&gt;"Not invoiced",V105&lt;&gt;"Draft")),"",IF(COUNT(X105)=0,"No due date",IF(TODAY()-X105&lt;=0,"Not yet due",IF(TODAY()-X105&lt;=30,"1-30 days",IF(TODAY()-X105&lt;=60,"31-60 days",IF(TODAY()-X105&lt;=90,"61-90 days","Over 90 days")))))))</f>
        <v/>
      </c>
      <c r="AM105" s="49">
        <f>IF(OR(AL105="",AL105="No due date"),"",MAX(TODAY()-X105,0))</f>
        <v/>
      </c>
      <c r="AN105" s="49">
        <f>IF(AL105="","",IF(COUNT(X105)=0,-100000,TODAY()-X105))</f>
        <v/>
      </c>
      <c r="AO105" s="49">
        <f>IF(AN105="","",COUNTIF(AN$11:AN$1010,"&gt;"&amp;AN105)+COUNTIF(AN$11:AN105,AN105))</f>
        <v/>
      </c>
      <c r="AP105" s="49">
        <f>IF(OR(A105="",B105=""),"",IF(COUNTIF(B$11:B105,B105)=1,MAX(AP$10:AP104)+1,""))</f>
        <v/>
      </c>
    </row>
    <row r="106" ht="24" customHeight="1">
      <c r="A106" s="20" t="n"/>
      <c r="B106" s="10" t="n"/>
      <c r="C106" s="10" t="n"/>
      <c r="D106" s="10" t="n"/>
      <c r="E106" s="10" t="n"/>
      <c r="F106" s="18" t="n"/>
      <c r="G106" s="10" t="n"/>
      <c r="H106" s="12" t="n"/>
      <c r="I106" s="12" t="n"/>
      <c r="J106" s="13">
        <f>IF(OR(A106="",COUNT(H106)=0,COUNT(Z106)=0),"",ROUND(Z106-H106,2))</f>
        <v/>
      </c>
      <c r="K106" s="15">
        <f>IF(COUNT(J106)=0,"",IF(Z106=0,"n.a.",J106/Z106))</f>
        <v/>
      </c>
      <c r="L106" s="14">
        <f>IF(OR(A106="",COUNT(H106)=0,COUNT(Y106)=0),"",ROUND(H106*(1+Y106),2))</f>
        <v/>
      </c>
      <c r="M106" s="10" t="n"/>
      <c r="N106" s="10" t="n"/>
      <c r="O106" s="10" t="n"/>
      <c r="P106" s="10" t="n"/>
      <c r="Q106" s="20" t="n"/>
      <c r="R106" s="10" t="n"/>
      <c r="S106" s="10" t="n"/>
      <c r="T106" s="18" t="n"/>
      <c r="U106" s="18" t="n"/>
      <c r="V106" s="10" t="n"/>
      <c r="W106" s="10" t="n"/>
      <c r="X106" s="19">
        <f>IF(OR(A106="",COUNT(U106)=0,COUNT(AI106)=0),"",U106+AI106)</f>
        <v/>
      </c>
      <c r="Y106" s="16" t="n"/>
      <c r="Z106" s="12" t="n"/>
      <c r="AA106" s="17">
        <f>IF(COUNT(J106)=0,"",IF(H106=0,"n.a.",J106/H106))</f>
        <v/>
      </c>
      <c r="AB106" s="12" t="n"/>
      <c r="AC106" s="12" t="n"/>
      <c r="AD106" s="12" t="n"/>
      <c r="AE106" s="13">
        <f>IF(OR(COUNT(J106)=0,COUNT(AB106:AD106)&lt;3),"",ROUND(J106-SUM(AB106:AD106),2))</f>
        <v/>
      </c>
      <c r="AF106" s="15">
        <f>IF(COUNT(AE106)=0,"",IF(Z106=0,"n.a.",AE106/Z106))</f>
        <v/>
      </c>
      <c r="AG106" s="12" t="n"/>
      <c r="AH106" s="14">
        <f>IF(OR(A106="",COUNT(Z106)=0,COUNT(AG106)=0),"",ROUND(Z106-AG106,2))</f>
        <v/>
      </c>
      <c r="AI106" s="21" t="n"/>
      <c r="AJ106" s="11">
        <f>IF(A106="","",IF(COUNT(I106)=0,"Enter approved NTE",IF(COUNT(Z106)&gt;0,IF(Z106&gt;I106,"Invoice exceeds NTE","Invoice within NTE"),IF(COUNT(L106)=0,"Enter quote inputs",IF(L106&gt;I106,"Quote exceeds NTE","Quote within NTE")))))</f>
        <v/>
      </c>
      <c r="AK106" s="11">
        <f>IF(A106="","",IF(COUNT(H106)=0,"Enter direct cost",IF(COUNT(Z106)=0,"Enter invoice revenue",IF(COUNT(AB106:AD106)&lt;3,"Enter expenses (0 if none)","Complete"))))</f>
        <v/>
      </c>
      <c r="AL106" s="11">
        <f>IF(A106="","",IF(NOT(AND(COUNT(AH106)=1,N(AH106)&gt;0.004,V106&lt;&gt;"Void",V106&lt;&gt;"Not invoiced",V106&lt;&gt;"Draft")),"",IF(COUNT(X106)=0,"No due date",IF(TODAY()-X106&lt;=0,"Not yet due",IF(TODAY()-X106&lt;=30,"1-30 days",IF(TODAY()-X106&lt;=60,"31-60 days",IF(TODAY()-X106&lt;=90,"61-90 days","Over 90 days")))))))</f>
        <v/>
      </c>
      <c r="AM106" s="49">
        <f>IF(OR(AL106="",AL106="No due date"),"",MAX(TODAY()-X106,0))</f>
        <v/>
      </c>
      <c r="AN106" s="49">
        <f>IF(AL106="","",IF(COUNT(X106)=0,-100000,TODAY()-X106))</f>
        <v/>
      </c>
      <c r="AO106" s="49">
        <f>IF(AN106="","",COUNTIF(AN$11:AN$1010,"&gt;"&amp;AN106)+COUNTIF(AN$11:AN106,AN106))</f>
        <v/>
      </c>
      <c r="AP106" s="49">
        <f>IF(OR(A106="",B106=""),"",IF(COUNTIF(B$11:B106,B106)=1,MAX(AP$10:AP105)+1,""))</f>
        <v/>
      </c>
    </row>
    <row r="107" ht="24" customHeight="1">
      <c r="A107" s="20" t="n"/>
      <c r="B107" s="10" t="n"/>
      <c r="C107" s="10" t="n"/>
      <c r="D107" s="10" t="n"/>
      <c r="E107" s="10" t="n"/>
      <c r="F107" s="18" t="n"/>
      <c r="G107" s="10" t="n"/>
      <c r="H107" s="12" t="n"/>
      <c r="I107" s="12" t="n"/>
      <c r="J107" s="13">
        <f>IF(OR(A107="",COUNT(H107)=0,COUNT(Z107)=0),"",ROUND(Z107-H107,2))</f>
        <v/>
      </c>
      <c r="K107" s="15">
        <f>IF(COUNT(J107)=0,"",IF(Z107=0,"n.a.",J107/Z107))</f>
        <v/>
      </c>
      <c r="L107" s="14">
        <f>IF(OR(A107="",COUNT(H107)=0,COUNT(Y107)=0),"",ROUND(H107*(1+Y107),2))</f>
        <v/>
      </c>
      <c r="M107" s="10" t="n"/>
      <c r="N107" s="10" t="n"/>
      <c r="O107" s="10" t="n"/>
      <c r="P107" s="10" t="n"/>
      <c r="Q107" s="20" t="n"/>
      <c r="R107" s="10" t="n"/>
      <c r="S107" s="10" t="n"/>
      <c r="T107" s="18" t="n"/>
      <c r="U107" s="18" t="n"/>
      <c r="V107" s="10" t="n"/>
      <c r="W107" s="10" t="n"/>
      <c r="X107" s="19">
        <f>IF(OR(A107="",COUNT(U107)=0,COUNT(AI107)=0),"",U107+AI107)</f>
        <v/>
      </c>
      <c r="Y107" s="16" t="n"/>
      <c r="Z107" s="12" t="n"/>
      <c r="AA107" s="17">
        <f>IF(COUNT(J107)=0,"",IF(H107=0,"n.a.",J107/H107))</f>
        <v/>
      </c>
      <c r="AB107" s="12" t="n"/>
      <c r="AC107" s="12" t="n"/>
      <c r="AD107" s="12" t="n"/>
      <c r="AE107" s="13">
        <f>IF(OR(COUNT(J107)=0,COUNT(AB107:AD107)&lt;3),"",ROUND(J107-SUM(AB107:AD107),2))</f>
        <v/>
      </c>
      <c r="AF107" s="15">
        <f>IF(COUNT(AE107)=0,"",IF(Z107=0,"n.a.",AE107/Z107))</f>
        <v/>
      </c>
      <c r="AG107" s="12" t="n"/>
      <c r="AH107" s="14">
        <f>IF(OR(A107="",COUNT(Z107)=0,COUNT(AG107)=0),"",ROUND(Z107-AG107,2))</f>
        <v/>
      </c>
      <c r="AI107" s="21" t="n"/>
      <c r="AJ107" s="11">
        <f>IF(A107="","",IF(COUNT(I107)=0,"Enter approved NTE",IF(COUNT(Z107)&gt;0,IF(Z107&gt;I107,"Invoice exceeds NTE","Invoice within NTE"),IF(COUNT(L107)=0,"Enter quote inputs",IF(L107&gt;I107,"Quote exceeds NTE","Quote within NTE")))))</f>
        <v/>
      </c>
      <c r="AK107" s="11">
        <f>IF(A107="","",IF(COUNT(H107)=0,"Enter direct cost",IF(COUNT(Z107)=0,"Enter invoice revenue",IF(COUNT(AB107:AD107)&lt;3,"Enter expenses (0 if none)","Complete"))))</f>
        <v/>
      </c>
      <c r="AL107" s="11">
        <f>IF(A107="","",IF(NOT(AND(COUNT(AH107)=1,N(AH107)&gt;0.004,V107&lt;&gt;"Void",V107&lt;&gt;"Not invoiced",V107&lt;&gt;"Draft")),"",IF(COUNT(X107)=0,"No due date",IF(TODAY()-X107&lt;=0,"Not yet due",IF(TODAY()-X107&lt;=30,"1-30 days",IF(TODAY()-X107&lt;=60,"31-60 days",IF(TODAY()-X107&lt;=90,"61-90 days","Over 90 days")))))))</f>
        <v/>
      </c>
      <c r="AM107" s="49">
        <f>IF(OR(AL107="",AL107="No due date"),"",MAX(TODAY()-X107,0))</f>
        <v/>
      </c>
      <c r="AN107" s="49">
        <f>IF(AL107="","",IF(COUNT(X107)=0,-100000,TODAY()-X107))</f>
        <v/>
      </c>
      <c r="AO107" s="49">
        <f>IF(AN107="","",COUNTIF(AN$11:AN$1010,"&gt;"&amp;AN107)+COUNTIF(AN$11:AN107,AN107))</f>
        <v/>
      </c>
      <c r="AP107" s="49">
        <f>IF(OR(A107="",B107=""),"",IF(COUNTIF(B$11:B107,B107)=1,MAX(AP$10:AP106)+1,""))</f>
        <v/>
      </c>
    </row>
    <row r="108" ht="24" customHeight="1">
      <c r="A108" s="20" t="n"/>
      <c r="B108" s="10" t="n"/>
      <c r="C108" s="10" t="n"/>
      <c r="D108" s="10" t="n"/>
      <c r="E108" s="10" t="n"/>
      <c r="F108" s="18" t="n"/>
      <c r="G108" s="10" t="n"/>
      <c r="H108" s="12" t="n"/>
      <c r="I108" s="12" t="n"/>
      <c r="J108" s="13">
        <f>IF(OR(A108="",COUNT(H108)=0,COUNT(Z108)=0),"",ROUND(Z108-H108,2))</f>
        <v/>
      </c>
      <c r="K108" s="15">
        <f>IF(COUNT(J108)=0,"",IF(Z108=0,"n.a.",J108/Z108))</f>
        <v/>
      </c>
      <c r="L108" s="14">
        <f>IF(OR(A108="",COUNT(H108)=0,COUNT(Y108)=0),"",ROUND(H108*(1+Y108),2))</f>
        <v/>
      </c>
      <c r="M108" s="10" t="n"/>
      <c r="N108" s="10" t="n"/>
      <c r="O108" s="10" t="n"/>
      <c r="P108" s="10" t="n"/>
      <c r="Q108" s="20" t="n"/>
      <c r="R108" s="10" t="n"/>
      <c r="S108" s="10" t="n"/>
      <c r="T108" s="18" t="n"/>
      <c r="U108" s="18" t="n"/>
      <c r="V108" s="10" t="n"/>
      <c r="W108" s="10" t="n"/>
      <c r="X108" s="19">
        <f>IF(OR(A108="",COUNT(U108)=0,COUNT(AI108)=0),"",U108+AI108)</f>
        <v/>
      </c>
      <c r="Y108" s="16" t="n"/>
      <c r="Z108" s="12" t="n"/>
      <c r="AA108" s="17">
        <f>IF(COUNT(J108)=0,"",IF(H108=0,"n.a.",J108/H108))</f>
        <v/>
      </c>
      <c r="AB108" s="12" t="n"/>
      <c r="AC108" s="12" t="n"/>
      <c r="AD108" s="12" t="n"/>
      <c r="AE108" s="13">
        <f>IF(OR(COUNT(J108)=0,COUNT(AB108:AD108)&lt;3),"",ROUND(J108-SUM(AB108:AD108),2))</f>
        <v/>
      </c>
      <c r="AF108" s="15">
        <f>IF(COUNT(AE108)=0,"",IF(Z108=0,"n.a.",AE108/Z108))</f>
        <v/>
      </c>
      <c r="AG108" s="12" t="n"/>
      <c r="AH108" s="14">
        <f>IF(OR(A108="",COUNT(Z108)=0,COUNT(AG108)=0),"",ROUND(Z108-AG108,2))</f>
        <v/>
      </c>
      <c r="AI108" s="21" t="n"/>
      <c r="AJ108" s="11">
        <f>IF(A108="","",IF(COUNT(I108)=0,"Enter approved NTE",IF(COUNT(Z108)&gt;0,IF(Z108&gt;I108,"Invoice exceeds NTE","Invoice within NTE"),IF(COUNT(L108)=0,"Enter quote inputs",IF(L108&gt;I108,"Quote exceeds NTE","Quote within NTE")))))</f>
        <v/>
      </c>
      <c r="AK108" s="11">
        <f>IF(A108="","",IF(COUNT(H108)=0,"Enter direct cost",IF(COUNT(Z108)=0,"Enter invoice revenue",IF(COUNT(AB108:AD108)&lt;3,"Enter expenses (0 if none)","Complete"))))</f>
        <v/>
      </c>
      <c r="AL108" s="11">
        <f>IF(A108="","",IF(NOT(AND(COUNT(AH108)=1,N(AH108)&gt;0.004,V108&lt;&gt;"Void",V108&lt;&gt;"Not invoiced",V108&lt;&gt;"Draft")),"",IF(COUNT(X108)=0,"No due date",IF(TODAY()-X108&lt;=0,"Not yet due",IF(TODAY()-X108&lt;=30,"1-30 days",IF(TODAY()-X108&lt;=60,"31-60 days",IF(TODAY()-X108&lt;=90,"61-90 days","Over 90 days")))))))</f>
        <v/>
      </c>
      <c r="AM108" s="49">
        <f>IF(OR(AL108="",AL108="No due date"),"",MAX(TODAY()-X108,0))</f>
        <v/>
      </c>
      <c r="AN108" s="49">
        <f>IF(AL108="","",IF(COUNT(X108)=0,-100000,TODAY()-X108))</f>
        <v/>
      </c>
      <c r="AO108" s="49">
        <f>IF(AN108="","",COUNTIF(AN$11:AN$1010,"&gt;"&amp;AN108)+COUNTIF(AN$11:AN108,AN108))</f>
        <v/>
      </c>
      <c r="AP108" s="49">
        <f>IF(OR(A108="",B108=""),"",IF(COUNTIF(B$11:B108,B108)=1,MAX(AP$10:AP107)+1,""))</f>
        <v/>
      </c>
    </row>
    <row r="109" ht="24" customHeight="1">
      <c r="A109" s="20" t="n"/>
      <c r="B109" s="10" t="n"/>
      <c r="C109" s="10" t="n"/>
      <c r="D109" s="10" t="n"/>
      <c r="E109" s="10" t="n"/>
      <c r="F109" s="18" t="n"/>
      <c r="G109" s="10" t="n"/>
      <c r="H109" s="12" t="n"/>
      <c r="I109" s="12" t="n"/>
      <c r="J109" s="13">
        <f>IF(OR(A109="",COUNT(H109)=0,COUNT(Z109)=0),"",ROUND(Z109-H109,2))</f>
        <v/>
      </c>
      <c r="K109" s="15">
        <f>IF(COUNT(J109)=0,"",IF(Z109=0,"n.a.",J109/Z109))</f>
        <v/>
      </c>
      <c r="L109" s="14">
        <f>IF(OR(A109="",COUNT(H109)=0,COUNT(Y109)=0),"",ROUND(H109*(1+Y109),2))</f>
        <v/>
      </c>
      <c r="M109" s="10" t="n"/>
      <c r="N109" s="10" t="n"/>
      <c r="O109" s="10" t="n"/>
      <c r="P109" s="10" t="n"/>
      <c r="Q109" s="20" t="n"/>
      <c r="R109" s="10" t="n"/>
      <c r="S109" s="10" t="n"/>
      <c r="T109" s="18" t="n"/>
      <c r="U109" s="18" t="n"/>
      <c r="V109" s="10" t="n"/>
      <c r="W109" s="10" t="n"/>
      <c r="X109" s="19">
        <f>IF(OR(A109="",COUNT(U109)=0,COUNT(AI109)=0),"",U109+AI109)</f>
        <v/>
      </c>
      <c r="Y109" s="16" t="n"/>
      <c r="Z109" s="12" t="n"/>
      <c r="AA109" s="17">
        <f>IF(COUNT(J109)=0,"",IF(H109=0,"n.a.",J109/H109))</f>
        <v/>
      </c>
      <c r="AB109" s="12" t="n"/>
      <c r="AC109" s="12" t="n"/>
      <c r="AD109" s="12" t="n"/>
      <c r="AE109" s="13">
        <f>IF(OR(COUNT(J109)=0,COUNT(AB109:AD109)&lt;3),"",ROUND(J109-SUM(AB109:AD109),2))</f>
        <v/>
      </c>
      <c r="AF109" s="15">
        <f>IF(COUNT(AE109)=0,"",IF(Z109=0,"n.a.",AE109/Z109))</f>
        <v/>
      </c>
      <c r="AG109" s="12" t="n"/>
      <c r="AH109" s="14">
        <f>IF(OR(A109="",COUNT(Z109)=0,COUNT(AG109)=0),"",ROUND(Z109-AG109,2))</f>
        <v/>
      </c>
      <c r="AI109" s="21" t="n"/>
      <c r="AJ109" s="11">
        <f>IF(A109="","",IF(COUNT(I109)=0,"Enter approved NTE",IF(COUNT(Z109)&gt;0,IF(Z109&gt;I109,"Invoice exceeds NTE","Invoice within NTE"),IF(COUNT(L109)=0,"Enter quote inputs",IF(L109&gt;I109,"Quote exceeds NTE","Quote within NTE")))))</f>
        <v/>
      </c>
      <c r="AK109" s="11">
        <f>IF(A109="","",IF(COUNT(H109)=0,"Enter direct cost",IF(COUNT(Z109)=0,"Enter invoice revenue",IF(COUNT(AB109:AD109)&lt;3,"Enter expenses (0 if none)","Complete"))))</f>
        <v/>
      </c>
      <c r="AL109" s="11">
        <f>IF(A109="","",IF(NOT(AND(COUNT(AH109)=1,N(AH109)&gt;0.004,V109&lt;&gt;"Void",V109&lt;&gt;"Not invoiced",V109&lt;&gt;"Draft")),"",IF(COUNT(X109)=0,"No due date",IF(TODAY()-X109&lt;=0,"Not yet due",IF(TODAY()-X109&lt;=30,"1-30 days",IF(TODAY()-X109&lt;=60,"31-60 days",IF(TODAY()-X109&lt;=90,"61-90 days","Over 90 days")))))))</f>
        <v/>
      </c>
      <c r="AM109" s="49">
        <f>IF(OR(AL109="",AL109="No due date"),"",MAX(TODAY()-X109,0))</f>
        <v/>
      </c>
      <c r="AN109" s="49">
        <f>IF(AL109="","",IF(COUNT(X109)=0,-100000,TODAY()-X109))</f>
        <v/>
      </c>
      <c r="AO109" s="49">
        <f>IF(AN109="","",COUNTIF(AN$11:AN$1010,"&gt;"&amp;AN109)+COUNTIF(AN$11:AN109,AN109))</f>
        <v/>
      </c>
      <c r="AP109" s="49">
        <f>IF(OR(A109="",B109=""),"",IF(COUNTIF(B$11:B109,B109)=1,MAX(AP$10:AP108)+1,""))</f>
        <v/>
      </c>
    </row>
    <row r="110" ht="24" customHeight="1">
      <c r="A110" s="20" t="n"/>
      <c r="B110" s="10" t="n"/>
      <c r="C110" s="10" t="n"/>
      <c r="D110" s="10" t="n"/>
      <c r="E110" s="10" t="n"/>
      <c r="F110" s="18" t="n"/>
      <c r="G110" s="10" t="n"/>
      <c r="H110" s="12" t="n"/>
      <c r="I110" s="12" t="n"/>
      <c r="J110" s="13">
        <f>IF(OR(A110="",COUNT(H110)=0,COUNT(Z110)=0),"",ROUND(Z110-H110,2))</f>
        <v/>
      </c>
      <c r="K110" s="15">
        <f>IF(COUNT(J110)=0,"",IF(Z110=0,"n.a.",J110/Z110))</f>
        <v/>
      </c>
      <c r="L110" s="14">
        <f>IF(OR(A110="",COUNT(H110)=0,COUNT(Y110)=0),"",ROUND(H110*(1+Y110),2))</f>
        <v/>
      </c>
      <c r="M110" s="10" t="n"/>
      <c r="N110" s="10" t="n"/>
      <c r="O110" s="10" t="n"/>
      <c r="P110" s="10" t="n"/>
      <c r="Q110" s="20" t="n"/>
      <c r="R110" s="10" t="n"/>
      <c r="S110" s="10" t="n"/>
      <c r="T110" s="18" t="n"/>
      <c r="U110" s="18" t="n"/>
      <c r="V110" s="10" t="n"/>
      <c r="W110" s="10" t="n"/>
      <c r="X110" s="19">
        <f>IF(OR(A110="",COUNT(U110)=0,COUNT(AI110)=0),"",U110+AI110)</f>
        <v/>
      </c>
      <c r="Y110" s="16" t="n"/>
      <c r="Z110" s="12" t="n"/>
      <c r="AA110" s="17">
        <f>IF(COUNT(J110)=0,"",IF(H110=0,"n.a.",J110/H110))</f>
        <v/>
      </c>
      <c r="AB110" s="12" t="n"/>
      <c r="AC110" s="12" t="n"/>
      <c r="AD110" s="12" t="n"/>
      <c r="AE110" s="13">
        <f>IF(OR(COUNT(J110)=0,COUNT(AB110:AD110)&lt;3),"",ROUND(J110-SUM(AB110:AD110),2))</f>
        <v/>
      </c>
      <c r="AF110" s="15">
        <f>IF(COUNT(AE110)=0,"",IF(Z110=0,"n.a.",AE110/Z110))</f>
        <v/>
      </c>
      <c r="AG110" s="12" t="n"/>
      <c r="AH110" s="14">
        <f>IF(OR(A110="",COUNT(Z110)=0,COUNT(AG110)=0),"",ROUND(Z110-AG110,2))</f>
        <v/>
      </c>
      <c r="AI110" s="21" t="n"/>
      <c r="AJ110" s="11">
        <f>IF(A110="","",IF(COUNT(I110)=0,"Enter approved NTE",IF(COUNT(Z110)&gt;0,IF(Z110&gt;I110,"Invoice exceeds NTE","Invoice within NTE"),IF(COUNT(L110)=0,"Enter quote inputs",IF(L110&gt;I110,"Quote exceeds NTE","Quote within NTE")))))</f>
        <v/>
      </c>
      <c r="AK110" s="11">
        <f>IF(A110="","",IF(COUNT(H110)=0,"Enter direct cost",IF(COUNT(Z110)=0,"Enter invoice revenue",IF(COUNT(AB110:AD110)&lt;3,"Enter expenses (0 if none)","Complete"))))</f>
        <v/>
      </c>
      <c r="AL110" s="11">
        <f>IF(A110="","",IF(NOT(AND(COUNT(AH110)=1,N(AH110)&gt;0.004,V110&lt;&gt;"Void",V110&lt;&gt;"Not invoiced",V110&lt;&gt;"Draft")),"",IF(COUNT(X110)=0,"No due date",IF(TODAY()-X110&lt;=0,"Not yet due",IF(TODAY()-X110&lt;=30,"1-30 days",IF(TODAY()-X110&lt;=60,"31-60 days",IF(TODAY()-X110&lt;=90,"61-90 days","Over 90 days")))))))</f>
        <v/>
      </c>
      <c r="AM110" s="49">
        <f>IF(OR(AL110="",AL110="No due date"),"",MAX(TODAY()-X110,0))</f>
        <v/>
      </c>
      <c r="AN110" s="49">
        <f>IF(AL110="","",IF(COUNT(X110)=0,-100000,TODAY()-X110))</f>
        <v/>
      </c>
      <c r="AO110" s="49">
        <f>IF(AN110="","",COUNTIF(AN$11:AN$1010,"&gt;"&amp;AN110)+COUNTIF(AN$11:AN110,AN110))</f>
        <v/>
      </c>
      <c r="AP110" s="49">
        <f>IF(OR(A110="",B110=""),"",IF(COUNTIF(B$11:B110,B110)=1,MAX(AP$10:AP109)+1,""))</f>
        <v/>
      </c>
    </row>
    <row r="111" ht="24" customHeight="1">
      <c r="A111" s="20" t="n"/>
      <c r="B111" s="10" t="n"/>
      <c r="C111" s="10" t="n"/>
      <c r="D111" s="10" t="n"/>
      <c r="E111" s="10" t="n"/>
      <c r="F111" s="18" t="n"/>
      <c r="G111" s="10" t="n"/>
      <c r="H111" s="12" t="n"/>
      <c r="I111" s="12" t="n"/>
      <c r="J111" s="13">
        <f>IF(OR(A111="",COUNT(H111)=0,COUNT(Z111)=0),"",ROUND(Z111-H111,2))</f>
        <v/>
      </c>
      <c r="K111" s="15">
        <f>IF(COUNT(J111)=0,"",IF(Z111=0,"n.a.",J111/Z111))</f>
        <v/>
      </c>
      <c r="L111" s="14">
        <f>IF(OR(A111="",COUNT(H111)=0,COUNT(Y111)=0),"",ROUND(H111*(1+Y111),2))</f>
        <v/>
      </c>
      <c r="M111" s="10" t="n"/>
      <c r="N111" s="10" t="n"/>
      <c r="O111" s="10" t="n"/>
      <c r="P111" s="10" t="n"/>
      <c r="Q111" s="20" t="n"/>
      <c r="R111" s="10" t="n"/>
      <c r="S111" s="10" t="n"/>
      <c r="T111" s="18" t="n"/>
      <c r="U111" s="18" t="n"/>
      <c r="V111" s="10" t="n"/>
      <c r="W111" s="10" t="n"/>
      <c r="X111" s="19">
        <f>IF(OR(A111="",COUNT(U111)=0,COUNT(AI111)=0),"",U111+AI111)</f>
        <v/>
      </c>
      <c r="Y111" s="16" t="n"/>
      <c r="Z111" s="12" t="n"/>
      <c r="AA111" s="17">
        <f>IF(COUNT(J111)=0,"",IF(H111=0,"n.a.",J111/H111))</f>
        <v/>
      </c>
      <c r="AB111" s="12" t="n"/>
      <c r="AC111" s="12" t="n"/>
      <c r="AD111" s="12" t="n"/>
      <c r="AE111" s="13">
        <f>IF(OR(COUNT(J111)=0,COUNT(AB111:AD111)&lt;3),"",ROUND(J111-SUM(AB111:AD111),2))</f>
        <v/>
      </c>
      <c r="AF111" s="15">
        <f>IF(COUNT(AE111)=0,"",IF(Z111=0,"n.a.",AE111/Z111))</f>
        <v/>
      </c>
      <c r="AG111" s="12" t="n"/>
      <c r="AH111" s="14">
        <f>IF(OR(A111="",COUNT(Z111)=0,COUNT(AG111)=0),"",ROUND(Z111-AG111,2))</f>
        <v/>
      </c>
      <c r="AI111" s="21" t="n"/>
      <c r="AJ111" s="11">
        <f>IF(A111="","",IF(COUNT(I111)=0,"Enter approved NTE",IF(COUNT(Z111)&gt;0,IF(Z111&gt;I111,"Invoice exceeds NTE","Invoice within NTE"),IF(COUNT(L111)=0,"Enter quote inputs",IF(L111&gt;I111,"Quote exceeds NTE","Quote within NTE")))))</f>
        <v/>
      </c>
      <c r="AK111" s="11">
        <f>IF(A111="","",IF(COUNT(H111)=0,"Enter direct cost",IF(COUNT(Z111)=0,"Enter invoice revenue",IF(COUNT(AB111:AD111)&lt;3,"Enter expenses (0 if none)","Complete"))))</f>
        <v/>
      </c>
      <c r="AL111" s="11">
        <f>IF(A111="","",IF(NOT(AND(COUNT(AH111)=1,N(AH111)&gt;0.004,V111&lt;&gt;"Void",V111&lt;&gt;"Not invoiced",V111&lt;&gt;"Draft")),"",IF(COUNT(X111)=0,"No due date",IF(TODAY()-X111&lt;=0,"Not yet due",IF(TODAY()-X111&lt;=30,"1-30 days",IF(TODAY()-X111&lt;=60,"31-60 days",IF(TODAY()-X111&lt;=90,"61-90 days","Over 90 days")))))))</f>
        <v/>
      </c>
      <c r="AM111" s="49">
        <f>IF(OR(AL111="",AL111="No due date"),"",MAX(TODAY()-X111,0))</f>
        <v/>
      </c>
      <c r="AN111" s="49">
        <f>IF(AL111="","",IF(COUNT(X111)=0,-100000,TODAY()-X111))</f>
        <v/>
      </c>
      <c r="AO111" s="49">
        <f>IF(AN111="","",COUNTIF(AN$11:AN$1010,"&gt;"&amp;AN111)+COUNTIF(AN$11:AN111,AN111))</f>
        <v/>
      </c>
      <c r="AP111" s="49">
        <f>IF(OR(A111="",B111=""),"",IF(COUNTIF(B$11:B111,B111)=1,MAX(AP$10:AP110)+1,""))</f>
        <v/>
      </c>
    </row>
    <row r="112" ht="24" customHeight="1">
      <c r="A112" s="20" t="n"/>
      <c r="B112" s="10" t="n"/>
      <c r="C112" s="10" t="n"/>
      <c r="D112" s="10" t="n"/>
      <c r="E112" s="10" t="n"/>
      <c r="F112" s="18" t="n"/>
      <c r="G112" s="10" t="n"/>
      <c r="H112" s="12" t="n"/>
      <c r="I112" s="12" t="n"/>
      <c r="J112" s="13">
        <f>IF(OR(A112="",COUNT(H112)=0,COUNT(Z112)=0),"",ROUND(Z112-H112,2))</f>
        <v/>
      </c>
      <c r="K112" s="15">
        <f>IF(COUNT(J112)=0,"",IF(Z112=0,"n.a.",J112/Z112))</f>
        <v/>
      </c>
      <c r="L112" s="14">
        <f>IF(OR(A112="",COUNT(H112)=0,COUNT(Y112)=0),"",ROUND(H112*(1+Y112),2))</f>
        <v/>
      </c>
      <c r="M112" s="10" t="n"/>
      <c r="N112" s="10" t="n"/>
      <c r="O112" s="10" t="n"/>
      <c r="P112" s="10" t="n"/>
      <c r="Q112" s="20" t="n"/>
      <c r="R112" s="10" t="n"/>
      <c r="S112" s="10" t="n"/>
      <c r="T112" s="18" t="n"/>
      <c r="U112" s="18" t="n"/>
      <c r="V112" s="10" t="n"/>
      <c r="W112" s="10" t="n"/>
      <c r="X112" s="19">
        <f>IF(OR(A112="",COUNT(U112)=0,COUNT(AI112)=0),"",U112+AI112)</f>
        <v/>
      </c>
      <c r="Y112" s="16" t="n"/>
      <c r="Z112" s="12" t="n"/>
      <c r="AA112" s="17">
        <f>IF(COUNT(J112)=0,"",IF(H112=0,"n.a.",J112/H112))</f>
        <v/>
      </c>
      <c r="AB112" s="12" t="n"/>
      <c r="AC112" s="12" t="n"/>
      <c r="AD112" s="12" t="n"/>
      <c r="AE112" s="13">
        <f>IF(OR(COUNT(J112)=0,COUNT(AB112:AD112)&lt;3),"",ROUND(J112-SUM(AB112:AD112),2))</f>
        <v/>
      </c>
      <c r="AF112" s="15">
        <f>IF(COUNT(AE112)=0,"",IF(Z112=0,"n.a.",AE112/Z112))</f>
        <v/>
      </c>
      <c r="AG112" s="12" t="n"/>
      <c r="AH112" s="14">
        <f>IF(OR(A112="",COUNT(Z112)=0,COUNT(AG112)=0),"",ROUND(Z112-AG112,2))</f>
        <v/>
      </c>
      <c r="AI112" s="21" t="n"/>
      <c r="AJ112" s="11">
        <f>IF(A112="","",IF(COUNT(I112)=0,"Enter approved NTE",IF(COUNT(Z112)&gt;0,IF(Z112&gt;I112,"Invoice exceeds NTE","Invoice within NTE"),IF(COUNT(L112)=0,"Enter quote inputs",IF(L112&gt;I112,"Quote exceeds NTE","Quote within NTE")))))</f>
        <v/>
      </c>
      <c r="AK112" s="11">
        <f>IF(A112="","",IF(COUNT(H112)=0,"Enter direct cost",IF(COUNT(Z112)=0,"Enter invoice revenue",IF(COUNT(AB112:AD112)&lt;3,"Enter expenses (0 if none)","Complete"))))</f>
        <v/>
      </c>
      <c r="AL112" s="11">
        <f>IF(A112="","",IF(NOT(AND(COUNT(AH112)=1,N(AH112)&gt;0.004,V112&lt;&gt;"Void",V112&lt;&gt;"Not invoiced",V112&lt;&gt;"Draft")),"",IF(COUNT(X112)=0,"No due date",IF(TODAY()-X112&lt;=0,"Not yet due",IF(TODAY()-X112&lt;=30,"1-30 days",IF(TODAY()-X112&lt;=60,"31-60 days",IF(TODAY()-X112&lt;=90,"61-90 days","Over 90 days")))))))</f>
        <v/>
      </c>
      <c r="AM112" s="49">
        <f>IF(OR(AL112="",AL112="No due date"),"",MAX(TODAY()-X112,0))</f>
        <v/>
      </c>
      <c r="AN112" s="49">
        <f>IF(AL112="","",IF(COUNT(X112)=0,-100000,TODAY()-X112))</f>
        <v/>
      </c>
      <c r="AO112" s="49">
        <f>IF(AN112="","",COUNTIF(AN$11:AN$1010,"&gt;"&amp;AN112)+COUNTIF(AN$11:AN112,AN112))</f>
        <v/>
      </c>
      <c r="AP112" s="49">
        <f>IF(OR(A112="",B112=""),"",IF(COUNTIF(B$11:B112,B112)=1,MAX(AP$10:AP111)+1,""))</f>
        <v/>
      </c>
    </row>
    <row r="113" ht="24" customHeight="1">
      <c r="A113" s="20" t="n"/>
      <c r="B113" s="10" t="n"/>
      <c r="C113" s="10" t="n"/>
      <c r="D113" s="10" t="n"/>
      <c r="E113" s="10" t="n"/>
      <c r="F113" s="18" t="n"/>
      <c r="G113" s="10" t="n"/>
      <c r="H113" s="12" t="n"/>
      <c r="I113" s="12" t="n"/>
      <c r="J113" s="13">
        <f>IF(OR(A113="",COUNT(H113)=0,COUNT(Z113)=0),"",ROUND(Z113-H113,2))</f>
        <v/>
      </c>
      <c r="K113" s="15">
        <f>IF(COUNT(J113)=0,"",IF(Z113=0,"n.a.",J113/Z113))</f>
        <v/>
      </c>
      <c r="L113" s="14">
        <f>IF(OR(A113="",COUNT(H113)=0,COUNT(Y113)=0),"",ROUND(H113*(1+Y113),2))</f>
        <v/>
      </c>
      <c r="M113" s="10" t="n"/>
      <c r="N113" s="10" t="n"/>
      <c r="O113" s="10" t="n"/>
      <c r="P113" s="10" t="n"/>
      <c r="Q113" s="20" t="n"/>
      <c r="R113" s="10" t="n"/>
      <c r="S113" s="10" t="n"/>
      <c r="T113" s="18" t="n"/>
      <c r="U113" s="18" t="n"/>
      <c r="V113" s="10" t="n"/>
      <c r="W113" s="10" t="n"/>
      <c r="X113" s="19">
        <f>IF(OR(A113="",COUNT(U113)=0,COUNT(AI113)=0),"",U113+AI113)</f>
        <v/>
      </c>
      <c r="Y113" s="16" t="n"/>
      <c r="Z113" s="12" t="n"/>
      <c r="AA113" s="17">
        <f>IF(COUNT(J113)=0,"",IF(H113=0,"n.a.",J113/H113))</f>
        <v/>
      </c>
      <c r="AB113" s="12" t="n"/>
      <c r="AC113" s="12" t="n"/>
      <c r="AD113" s="12" t="n"/>
      <c r="AE113" s="13">
        <f>IF(OR(COUNT(J113)=0,COUNT(AB113:AD113)&lt;3),"",ROUND(J113-SUM(AB113:AD113),2))</f>
        <v/>
      </c>
      <c r="AF113" s="15">
        <f>IF(COUNT(AE113)=0,"",IF(Z113=0,"n.a.",AE113/Z113))</f>
        <v/>
      </c>
      <c r="AG113" s="12" t="n"/>
      <c r="AH113" s="14">
        <f>IF(OR(A113="",COUNT(Z113)=0,COUNT(AG113)=0),"",ROUND(Z113-AG113,2))</f>
        <v/>
      </c>
      <c r="AI113" s="21" t="n"/>
      <c r="AJ113" s="11">
        <f>IF(A113="","",IF(COUNT(I113)=0,"Enter approved NTE",IF(COUNT(Z113)&gt;0,IF(Z113&gt;I113,"Invoice exceeds NTE","Invoice within NTE"),IF(COUNT(L113)=0,"Enter quote inputs",IF(L113&gt;I113,"Quote exceeds NTE","Quote within NTE")))))</f>
        <v/>
      </c>
      <c r="AK113" s="11">
        <f>IF(A113="","",IF(COUNT(H113)=0,"Enter direct cost",IF(COUNT(Z113)=0,"Enter invoice revenue",IF(COUNT(AB113:AD113)&lt;3,"Enter expenses (0 if none)","Complete"))))</f>
        <v/>
      </c>
      <c r="AL113" s="11">
        <f>IF(A113="","",IF(NOT(AND(COUNT(AH113)=1,N(AH113)&gt;0.004,V113&lt;&gt;"Void",V113&lt;&gt;"Not invoiced",V113&lt;&gt;"Draft")),"",IF(COUNT(X113)=0,"No due date",IF(TODAY()-X113&lt;=0,"Not yet due",IF(TODAY()-X113&lt;=30,"1-30 days",IF(TODAY()-X113&lt;=60,"31-60 days",IF(TODAY()-X113&lt;=90,"61-90 days","Over 90 days")))))))</f>
        <v/>
      </c>
      <c r="AM113" s="49">
        <f>IF(OR(AL113="",AL113="No due date"),"",MAX(TODAY()-X113,0))</f>
        <v/>
      </c>
      <c r="AN113" s="49">
        <f>IF(AL113="","",IF(COUNT(X113)=0,-100000,TODAY()-X113))</f>
        <v/>
      </c>
      <c r="AO113" s="49">
        <f>IF(AN113="","",COUNTIF(AN$11:AN$1010,"&gt;"&amp;AN113)+COUNTIF(AN$11:AN113,AN113))</f>
        <v/>
      </c>
      <c r="AP113" s="49">
        <f>IF(OR(A113="",B113=""),"",IF(COUNTIF(B$11:B113,B113)=1,MAX(AP$10:AP112)+1,""))</f>
        <v/>
      </c>
    </row>
    <row r="114" ht="24" customHeight="1">
      <c r="A114" s="20" t="n"/>
      <c r="B114" s="10" t="n"/>
      <c r="C114" s="10" t="n"/>
      <c r="D114" s="10" t="n"/>
      <c r="E114" s="10" t="n"/>
      <c r="F114" s="18" t="n"/>
      <c r="G114" s="10" t="n"/>
      <c r="H114" s="12" t="n"/>
      <c r="I114" s="12" t="n"/>
      <c r="J114" s="13">
        <f>IF(OR(A114="",COUNT(H114)=0,COUNT(Z114)=0),"",ROUND(Z114-H114,2))</f>
        <v/>
      </c>
      <c r="K114" s="15">
        <f>IF(COUNT(J114)=0,"",IF(Z114=0,"n.a.",J114/Z114))</f>
        <v/>
      </c>
      <c r="L114" s="14">
        <f>IF(OR(A114="",COUNT(H114)=0,COUNT(Y114)=0),"",ROUND(H114*(1+Y114),2))</f>
        <v/>
      </c>
      <c r="M114" s="10" t="n"/>
      <c r="N114" s="10" t="n"/>
      <c r="O114" s="10" t="n"/>
      <c r="P114" s="10" t="n"/>
      <c r="Q114" s="20" t="n"/>
      <c r="R114" s="10" t="n"/>
      <c r="S114" s="10" t="n"/>
      <c r="T114" s="18" t="n"/>
      <c r="U114" s="18" t="n"/>
      <c r="V114" s="10" t="n"/>
      <c r="W114" s="10" t="n"/>
      <c r="X114" s="19">
        <f>IF(OR(A114="",COUNT(U114)=0,COUNT(AI114)=0),"",U114+AI114)</f>
        <v/>
      </c>
      <c r="Y114" s="16" t="n"/>
      <c r="Z114" s="12" t="n"/>
      <c r="AA114" s="17">
        <f>IF(COUNT(J114)=0,"",IF(H114=0,"n.a.",J114/H114))</f>
        <v/>
      </c>
      <c r="AB114" s="12" t="n"/>
      <c r="AC114" s="12" t="n"/>
      <c r="AD114" s="12" t="n"/>
      <c r="AE114" s="13">
        <f>IF(OR(COUNT(J114)=0,COUNT(AB114:AD114)&lt;3),"",ROUND(J114-SUM(AB114:AD114),2))</f>
        <v/>
      </c>
      <c r="AF114" s="15">
        <f>IF(COUNT(AE114)=0,"",IF(Z114=0,"n.a.",AE114/Z114))</f>
        <v/>
      </c>
      <c r="AG114" s="12" t="n"/>
      <c r="AH114" s="14">
        <f>IF(OR(A114="",COUNT(Z114)=0,COUNT(AG114)=0),"",ROUND(Z114-AG114,2))</f>
        <v/>
      </c>
      <c r="AI114" s="21" t="n"/>
      <c r="AJ114" s="11">
        <f>IF(A114="","",IF(COUNT(I114)=0,"Enter approved NTE",IF(COUNT(Z114)&gt;0,IF(Z114&gt;I114,"Invoice exceeds NTE","Invoice within NTE"),IF(COUNT(L114)=0,"Enter quote inputs",IF(L114&gt;I114,"Quote exceeds NTE","Quote within NTE")))))</f>
        <v/>
      </c>
      <c r="AK114" s="11">
        <f>IF(A114="","",IF(COUNT(H114)=0,"Enter direct cost",IF(COUNT(Z114)=0,"Enter invoice revenue",IF(COUNT(AB114:AD114)&lt;3,"Enter expenses (0 if none)","Complete"))))</f>
        <v/>
      </c>
      <c r="AL114" s="11">
        <f>IF(A114="","",IF(NOT(AND(COUNT(AH114)=1,N(AH114)&gt;0.004,V114&lt;&gt;"Void",V114&lt;&gt;"Not invoiced",V114&lt;&gt;"Draft")),"",IF(COUNT(X114)=0,"No due date",IF(TODAY()-X114&lt;=0,"Not yet due",IF(TODAY()-X114&lt;=30,"1-30 days",IF(TODAY()-X114&lt;=60,"31-60 days",IF(TODAY()-X114&lt;=90,"61-90 days","Over 90 days")))))))</f>
        <v/>
      </c>
      <c r="AM114" s="49">
        <f>IF(OR(AL114="",AL114="No due date"),"",MAX(TODAY()-X114,0))</f>
        <v/>
      </c>
      <c r="AN114" s="49">
        <f>IF(AL114="","",IF(COUNT(X114)=0,-100000,TODAY()-X114))</f>
        <v/>
      </c>
      <c r="AO114" s="49">
        <f>IF(AN114="","",COUNTIF(AN$11:AN$1010,"&gt;"&amp;AN114)+COUNTIF(AN$11:AN114,AN114))</f>
        <v/>
      </c>
      <c r="AP114" s="49">
        <f>IF(OR(A114="",B114=""),"",IF(COUNTIF(B$11:B114,B114)=1,MAX(AP$10:AP113)+1,""))</f>
        <v/>
      </c>
    </row>
    <row r="115" ht="24" customHeight="1">
      <c r="A115" s="20" t="n"/>
      <c r="B115" s="10" t="n"/>
      <c r="C115" s="10" t="n"/>
      <c r="D115" s="10" t="n"/>
      <c r="E115" s="10" t="n"/>
      <c r="F115" s="18" t="n"/>
      <c r="G115" s="10" t="n"/>
      <c r="H115" s="12" t="n"/>
      <c r="I115" s="12" t="n"/>
      <c r="J115" s="13">
        <f>IF(OR(A115="",COUNT(H115)=0,COUNT(Z115)=0),"",ROUND(Z115-H115,2))</f>
        <v/>
      </c>
      <c r="K115" s="15">
        <f>IF(COUNT(J115)=0,"",IF(Z115=0,"n.a.",J115/Z115))</f>
        <v/>
      </c>
      <c r="L115" s="14">
        <f>IF(OR(A115="",COUNT(H115)=0,COUNT(Y115)=0),"",ROUND(H115*(1+Y115),2))</f>
        <v/>
      </c>
      <c r="M115" s="10" t="n"/>
      <c r="N115" s="10" t="n"/>
      <c r="O115" s="10" t="n"/>
      <c r="P115" s="10" t="n"/>
      <c r="Q115" s="20" t="n"/>
      <c r="R115" s="10" t="n"/>
      <c r="S115" s="10" t="n"/>
      <c r="T115" s="18" t="n"/>
      <c r="U115" s="18" t="n"/>
      <c r="V115" s="10" t="n"/>
      <c r="W115" s="10" t="n"/>
      <c r="X115" s="19">
        <f>IF(OR(A115="",COUNT(U115)=0,COUNT(AI115)=0),"",U115+AI115)</f>
        <v/>
      </c>
      <c r="Y115" s="16" t="n"/>
      <c r="Z115" s="12" t="n"/>
      <c r="AA115" s="17">
        <f>IF(COUNT(J115)=0,"",IF(H115=0,"n.a.",J115/H115))</f>
        <v/>
      </c>
      <c r="AB115" s="12" t="n"/>
      <c r="AC115" s="12" t="n"/>
      <c r="AD115" s="12" t="n"/>
      <c r="AE115" s="13">
        <f>IF(OR(COUNT(J115)=0,COUNT(AB115:AD115)&lt;3),"",ROUND(J115-SUM(AB115:AD115),2))</f>
        <v/>
      </c>
      <c r="AF115" s="15">
        <f>IF(COUNT(AE115)=0,"",IF(Z115=0,"n.a.",AE115/Z115))</f>
        <v/>
      </c>
      <c r="AG115" s="12" t="n"/>
      <c r="AH115" s="14">
        <f>IF(OR(A115="",COUNT(Z115)=0,COUNT(AG115)=0),"",ROUND(Z115-AG115,2))</f>
        <v/>
      </c>
      <c r="AI115" s="21" t="n"/>
      <c r="AJ115" s="11">
        <f>IF(A115="","",IF(COUNT(I115)=0,"Enter approved NTE",IF(COUNT(Z115)&gt;0,IF(Z115&gt;I115,"Invoice exceeds NTE","Invoice within NTE"),IF(COUNT(L115)=0,"Enter quote inputs",IF(L115&gt;I115,"Quote exceeds NTE","Quote within NTE")))))</f>
        <v/>
      </c>
      <c r="AK115" s="11">
        <f>IF(A115="","",IF(COUNT(H115)=0,"Enter direct cost",IF(COUNT(Z115)=0,"Enter invoice revenue",IF(COUNT(AB115:AD115)&lt;3,"Enter expenses (0 if none)","Complete"))))</f>
        <v/>
      </c>
      <c r="AL115" s="11">
        <f>IF(A115="","",IF(NOT(AND(COUNT(AH115)=1,N(AH115)&gt;0.004,V115&lt;&gt;"Void",V115&lt;&gt;"Not invoiced",V115&lt;&gt;"Draft")),"",IF(COUNT(X115)=0,"No due date",IF(TODAY()-X115&lt;=0,"Not yet due",IF(TODAY()-X115&lt;=30,"1-30 days",IF(TODAY()-X115&lt;=60,"31-60 days",IF(TODAY()-X115&lt;=90,"61-90 days","Over 90 days")))))))</f>
        <v/>
      </c>
      <c r="AM115" s="49">
        <f>IF(OR(AL115="",AL115="No due date"),"",MAX(TODAY()-X115,0))</f>
        <v/>
      </c>
      <c r="AN115" s="49">
        <f>IF(AL115="","",IF(COUNT(X115)=0,-100000,TODAY()-X115))</f>
        <v/>
      </c>
      <c r="AO115" s="49">
        <f>IF(AN115="","",COUNTIF(AN$11:AN$1010,"&gt;"&amp;AN115)+COUNTIF(AN$11:AN115,AN115))</f>
        <v/>
      </c>
      <c r="AP115" s="49">
        <f>IF(OR(A115="",B115=""),"",IF(COUNTIF(B$11:B115,B115)=1,MAX(AP$10:AP114)+1,""))</f>
        <v/>
      </c>
    </row>
    <row r="116" ht="24" customHeight="1">
      <c r="A116" s="20" t="n"/>
      <c r="B116" s="10" t="n"/>
      <c r="C116" s="10" t="n"/>
      <c r="D116" s="10" t="n"/>
      <c r="E116" s="10" t="n"/>
      <c r="F116" s="18" t="n"/>
      <c r="G116" s="10" t="n"/>
      <c r="H116" s="12" t="n"/>
      <c r="I116" s="12" t="n"/>
      <c r="J116" s="13">
        <f>IF(OR(A116="",COUNT(H116)=0,COUNT(Z116)=0),"",ROUND(Z116-H116,2))</f>
        <v/>
      </c>
      <c r="K116" s="15">
        <f>IF(COUNT(J116)=0,"",IF(Z116=0,"n.a.",J116/Z116))</f>
        <v/>
      </c>
      <c r="L116" s="14">
        <f>IF(OR(A116="",COUNT(H116)=0,COUNT(Y116)=0),"",ROUND(H116*(1+Y116),2))</f>
        <v/>
      </c>
      <c r="M116" s="10" t="n"/>
      <c r="N116" s="10" t="n"/>
      <c r="O116" s="10" t="n"/>
      <c r="P116" s="10" t="n"/>
      <c r="Q116" s="20" t="n"/>
      <c r="R116" s="10" t="n"/>
      <c r="S116" s="10" t="n"/>
      <c r="T116" s="18" t="n"/>
      <c r="U116" s="18" t="n"/>
      <c r="V116" s="10" t="n"/>
      <c r="W116" s="10" t="n"/>
      <c r="X116" s="19">
        <f>IF(OR(A116="",COUNT(U116)=0,COUNT(AI116)=0),"",U116+AI116)</f>
        <v/>
      </c>
      <c r="Y116" s="16" t="n"/>
      <c r="Z116" s="12" t="n"/>
      <c r="AA116" s="17">
        <f>IF(COUNT(J116)=0,"",IF(H116=0,"n.a.",J116/H116))</f>
        <v/>
      </c>
      <c r="AB116" s="12" t="n"/>
      <c r="AC116" s="12" t="n"/>
      <c r="AD116" s="12" t="n"/>
      <c r="AE116" s="13">
        <f>IF(OR(COUNT(J116)=0,COUNT(AB116:AD116)&lt;3),"",ROUND(J116-SUM(AB116:AD116),2))</f>
        <v/>
      </c>
      <c r="AF116" s="15">
        <f>IF(COUNT(AE116)=0,"",IF(Z116=0,"n.a.",AE116/Z116))</f>
        <v/>
      </c>
      <c r="AG116" s="12" t="n"/>
      <c r="AH116" s="14">
        <f>IF(OR(A116="",COUNT(Z116)=0,COUNT(AG116)=0),"",ROUND(Z116-AG116,2))</f>
        <v/>
      </c>
      <c r="AI116" s="21" t="n"/>
      <c r="AJ116" s="11">
        <f>IF(A116="","",IF(COUNT(I116)=0,"Enter approved NTE",IF(COUNT(Z116)&gt;0,IF(Z116&gt;I116,"Invoice exceeds NTE","Invoice within NTE"),IF(COUNT(L116)=0,"Enter quote inputs",IF(L116&gt;I116,"Quote exceeds NTE","Quote within NTE")))))</f>
        <v/>
      </c>
      <c r="AK116" s="11">
        <f>IF(A116="","",IF(COUNT(H116)=0,"Enter direct cost",IF(COUNT(Z116)=0,"Enter invoice revenue",IF(COUNT(AB116:AD116)&lt;3,"Enter expenses (0 if none)","Complete"))))</f>
        <v/>
      </c>
      <c r="AL116" s="11">
        <f>IF(A116="","",IF(NOT(AND(COUNT(AH116)=1,N(AH116)&gt;0.004,V116&lt;&gt;"Void",V116&lt;&gt;"Not invoiced",V116&lt;&gt;"Draft")),"",IF(COUNT(X116)=0,"No due date",IF(TODAY()-X116&lt;=0,"Not yet due",IF(TODAY()-X116&lt;=30,"1-30 days",IF(TODAY()-X116&lt;=60,"31-60 days",IF(TODAY()-X116&lt;=90,"61-90 days","Over 90 days")))))))</f>
        <v/>
      </c>
      <c r="AM116" s="49">
        <f>IF(OR(AL116="",AL116="No due date"),"",MAX(TODAY()-X116,0))</f>
        <v/>
      </c>
      <c r="AN116" s="49">
        <f>IF(AL116="","",IF(COUNT(X116)=0,-100000,TODAY()-X116))</f>
        <v/>
      </c>
      <c r="AO116" s="49">
        <f>IF(AN116="","",COUNTIF(AN$11:AN$1010,"&gt;"&amp;AN116)+COUNTIF(AN$11:AN116,AN116))</f>
        <v/>
      </c>
      <c r="AP116" s="49">
        <f>IF(OR(A116="",B116=""),"",IF(COUNTIF(B$11:B116,B116)=1,MAX(AP$10:AP115)+1,""))</f>
        <v/>
      </c>
    </row>
    <row r="117" ht="24" customHeight="1">
      <c r="A117" s="20" t="n"/>
      <c r="B117" s="10" t="n"/>
      <c r="C117" s="10" t="n"/>
      <c r="D117" s="10" t="n"/>
      <c r="E117" s="10" t="n"/>
      <c r="F117" s="18" t="n"/>
      <c r="G117" s="10" t="n"/>
      <c r="H117" s="12" t="n"/>
      <c r="I117" s="12" t="n"/>
      <c r="J117" s="13">
        <f>IF(OR(A117="",COUNT(H117)=0,COUNT(Z117)=0),"",ROUND(Z117-H117,2))</f>
        <v/>
      </c>
      <c r="K117" s="15">
        <f>IF(COUNT(J117)=0,"",IF(Z117=0,"n.a.",J117/Z117))</f>
        <v/>
      </c>
      <c r="L117" s="14">
        <f>IF(OR(A117="",COUNT(H117)=0,COUNT(Y117)=0),"",ROUND(H117*(1+Y117),2))</f>
        <v/>
      </c>
      <c r="M117" s="10" t="n"/>
      <c r="N117" s="10" t="n"/>
      <c r="O117" s="10" t="n"/>
      <c r="P117" s="10" t="n"/>
      <c r="Q117" s="20" t="n"/>
      <c r="R117" s="10" t="n"/>
      <c r="S117" s="10" t="n"/>
      <c r="T117" s="18" t="n"/>
      <c r="U117" s="18" t="n"/>
      <c r="V117" s="10" t="n"/>
      <c r="W117" s="10" t="n"/>
      <c r="X117" s="19">
        <f>IF(OR(A117="",COUNT(U117)=0,COUNT(AI117)=0),"",U117+AI117)</f>
        <v/>
      </c>
      <c r="Y117" s="16" t="n"/>
      <c r="Z117" s="12" t="n"/>
      <c r="AA117" s="17">
        <f>IF(COUNT(J117)=0,"",IF(H117=0,"n.a.",J117/H117))</f>
        <v/>
      </c>
      <c r="AB117" s="12" t="n"/>
      <c r="AC117" s="12" t="n"/>
      <c r="AD117" s="12" t="n"/>
      <c r="AE117" s="13">
        <f>IF(OR(COUNT(J117)=0,COUNT(AB117:AD117)&lt;3),"",ROUND(J117-SUM(AB117:AD117),2))</f>
        <v/>
      </c>
      <c r="AF117" s="15">
        <f>IF(COUNT(AE117)=0,"",IF(Z117=0,"n.a.",AE117/Z117))</f>
        <v/>
      </c>
      <c r="AG117" s="12" t="n"/>
      <c r="AH117" s="14">
        <f>IF(OR(A117="",COUNT(Z117)=0,COUNT(AG117)=0),"",ROUND(Z117-AG117,2))</f>
        <v/>
      </c>
      <c r="AI117" s="21" t="n"/>
      <c r="AJ117" s="11">
        <f>IF(A117="","",IF(COUNT(I117)=0,"Enter approved NTE",IF(COUNT(Z117)&gt;0,IF(Z117&gt;I117,"Invoice exceeds NTE","Invoice within NTE"),IF(COUNT(L117)=0,"Enter quote inputs",IF(L117&gt;I117,"Quote exceeds NTE","Quote within NTE")))))</f>
        <v/>
      </c>
      <c r="AK117" s="11">
        <f>IF(A117="","",IF(COUNT(H117)=0,"Enter direct cost",IF(COUNT(Z117)=0,"Enter invoice revenue",IF(COUNT(AB117:AD117)&lt;3,"Enter expenses (0 if none)","Complete"))))</f>
        <v/>
      </c>
      <c r="AL117" s="11">
        <f>IF(A117="","",IF(NOT(AND(COUNT(AH117)=1,N(AH117)&gt;0.004,V117&lt;&gt;"Void",V117&lt;&gt;"Not invoiced",V117&lt;&gt;"Draft")),"",IF(COUNT(X117)=0,"No due date",IF(TODAY()-X117&lt;=0,"Not yet due",IF(TODAY()-X117&lt;=30,"1-30 days",IF(TODAY()-X117&lt;=60,"31-60 days",IF(TODAY()-X117&lt;=90,"61-90 days","Over 90 days")))))))</f>
        <v/>
      </c>
      <c r="AM117" s="49">
        <f>IF(OR(AL117="",AL117="No due date"),"",MAX(TODAY()-X117,0))</f>
        <v/>
      </c>
      <c r="AN117" s="49">
        <f>IF(AL117="","",IF(COUNT(X117)=0,-100000,TODAY()-X117))</f>
        <v/>
      </c>
      <c r="AO117" s="49">
        <f>IF(AN117="","",COUNTIF(AN$11:AN$1010,"&gt;"&amp;AN117)+COUNTIF(AN$11:AN117,AN117))</f>
        <v/>
      </c>
      <c r="AP117" s="49">
        <f>IF(OR(A117="",B117=""),"",IF(COUNTIF(B$11:B117,B117)=1,MAX(AP$10:AP116)+1,""))</f>
        <v/>
      </c>
    </row>
    <row r="118" ht="24" customHeight="1">
      <c r="A118" s="20" t="n"/>
      <c r="B118" s="10" t="n"/>
      <c r="C118" s="10" t="n"/>
      <c r="D118" s="10" t="n"/>
      <c r="E118" s="10" t="n"/>
      <c r="F118" s="18" t="n"/>
      <c r="G118" s="10" t="n"/>
      <c r="H118" s="12" t="n"/>
      <c r="I118" s="12" t="n"/>
      <c r="J118" s="13">
        <f>IF(OR(A118="",COUNT(H118)=0,COUNT(Z118)=0),"",ROUND(Z118-H118,2))</f>
        <v/>
      </c>
      <c r="K118" s="15">
        <f>IF(COUNT(J118)=0,"",IF(Z118=0,"n.a.",J118/Z118))</f>
        <v/>
      </c>
      <c r="L118" s="14">
        <f>IF(OR(A118="",COUNT(H118)=0,COUNT(Y118)=0),"",ROUND(H118*(1+Y118),2))</f>
        <v/>
      </c>
      <c r="M118" s="10" t="n"/>
      <c r="N118" s="10" t="n"/>
      <c r="O118" s="10" t="n"/>
      <c r="P118" s="10" t="n"/>
      <c r="Q118" s="20" t="n"/>
      <c r="R118" s="10" t="n"/>
      <c r="S118" s="10" t="n"/>
      <c r="T118" s="18" t="n"/>
      <c r="U118" s="18" t="n"/>
      <c r="V118" s="10" t="n"/>
      <c r="W118" s="10" t="n"/>
      <c r="X118" s="19">
        <f>IF(OR(A118="",COUNT(U118)=0,COUNT(AI118)=0),"",U118+AI118)</f>
        <v/>
      </c>
      <c r="Y118" s="16" t="n"/>
      <c r="Z118" s="12" t="n"/>
      <c r="AA118" s="17">
        <f>IF(COUNT(J118)=0,"",IF(H118=0,"n.a.",J118/H118))</f>
        <v/>
      </c>
      <c r="AB118" s="12" t="n"/>
      <c r="AC118" s="12" t="n"/>
      <c r="AD118" s="12" t="n"/>
      <c r="AE118" s="13">
        <f>IF(OR(COUNT(J118)=0,COUNT(AB118:AD118)&lt;3),"",ROUND(J118-SUM(AB118:AD118),2))</f>
        <v/>
      </c>
      <c r="AF118" s="15">
        <f>IF(COUNT(AE118)=0,"",IF(Z118=0,"n.a.",AE118/Z118))</f>
        <v/>
      </c>
      <c r="AG118" s="12" t="n"/>
      <c r="AH118" s="14">
        <f>IF(OR(A118="",COUNT(Z118)=0,COUNT(AG118)=0),"",ROUND(Z118-AG118,2))</f>
        <v/>
      </c>
      <c r="AI118" s="21" t="n"/>
      <c r="AJ118" s="11">
        <f>IF(A118="","",IF(COUNT(I118)=0,"Enter approved NTE",IF(COUNT(Z118)&gt;0,IF(Z118&gt;I118,"Invoice exceeds NTE","Invoice within NTE"),IF(COUNT(L118)=0,"Enter quote inputs",IF(L118&gt;I118,"Quote exceeds NTE","Quote within NTE")))))</f>
        <v/>
      </c>
      <c r="AK118" s="11">
        <f>IF(A118="","",IF(COUNT(H118)=0,"Enter direct cost",IF(COUNT(Z118)=0,"Enter invoice revenue",IF(COUNT(AB118:AD118)&lt;3,"Enter expenses (0 if none)","Complete"))))</f>
        <v/>
      </c>
      <c r="AL118" s="11">
        <f>IF(A118="","",IF(NOT(AND(COUNT(AH118)=1,N(AH118)&gt;0.004,V118&lt;&gt;"Void",V118&lt;&gt;"Not invoiced",V118&lt;&gt;"Draft")),"",IF(COUNT(X118)=0,"No due date",IF(TODAY()-X118&lt;=0,"Not yet due",IF(TODAY()-X118&lt;=30,"1-30 days",IF(TODAY()-X118&lt;=60,"31-60 days",IF(TODAY()-X118&lt;=90,"61-90 days","Over 90 days")))))))</f>
        <v/>
      </c>
      <c r="AM118" s="49">
        <f>IF(OR(AL118="",AL118="No due date"),"",MAX(TODAY()-X118,0))</f>
        <v/>
      </c>
      <c r="AN118" s="49">
        <f>IF(AL118="","",IF(COUNT(X118)=0,-100000,TODAY()-X118))</f>
        <v/>
      </c>
      <c r="AO118" s="49">
        <f>IF(AN118="","",COUNTIF(AN$11:AN$1010,"&gt;"&amp;AN118)+COUNTIF(AN$11:AN118,AN118))</f>
        <v/>
      </c>
      <c r="AP118" s="49">
        <f>IF(OR(A118="",B118=""),"",IF(COUNTIF(B$11:B118,B118)=1,MAX(AP$10:AP117)+1,""))</f>
        <v/>
      </c>
    </row>
    <row r="119" ht="24" customHeight="1">
      <c r="A119" s="20" t="n"/>
      <c r="B119" s="10" t="n"/>
      <c r="C119" s="10" t="n"/>
      <c r="D119" s="10" t="n"/>
      <c r="E119" s="10" t="n"/>
      <c r="F119" s="18" t="n"/>
      <c r="G119" s="10" t="n"/>
      <c r="H119" s="12" t="n"/>
      <c r="I119" s="12" t="n"/>
      <c r="J119" s="13">
        <f>IF(OR(A119="",COUNT(H119)=0,COUNT(Z119)=0),"",ROUND(Z119-H119,2))</f>
        <v/>
      </c>
      <c r="K119" s="15">
        <f>IF(COUNT(J119)=0,"",IF(Z119=0,"n.a.",J119/Z119))</f>
        <v/>
      </c>
      <c r="L119" s="14">
        <f>IF(OR(A119="",COUNT(H119)=0,COUNT(Y119)=0),"",ROUND(H119*(1+Y119),2))</f>
        <v/>
      </c>
      <c r="M119" s="10" t="n"/>
      <c r="N119" s="10" t="n"/>
      <c r="O119" s="10" t="n"/>
      <c r="P119" s="10" t="n"/>
      <c r="Q119" s="20" t="n"/>
      <c r="R119" s="10" t="n"/>
      <c r="S119" s="10" t="n"/>
      <c r="T119" s="18" t="n"/>
      <c r="U119" s="18" t="n"/>
      <c r="V119" s="10" t="n"/>
      <c r="W119" s="10" t="n"/>
      <c r="X119" s="19">
        <f>IF(OR(A119="",COUNT(U119)=0,COUNT(AI119)=0),"",U119+AI119)</f>
        <v/>
      </c>
      <c r="Y119" s="16" t="n"/>
      <c r="Z119" s="12" t="n"/>
      <c r="AA119" s="17">
        <f>IF(COUNT(J119)=0,"",IF(H119=0,"n.a.",J119/H119))</f>
        <v/>
      </c>
      <c r="AB119" s="12" t="n"/>
      <c r="AC119" s="12" t="n"/>
      <c r="AD119" s="12" t="n"/>
      <c r="AE119" s="13">
        <f>IF(OR(COUNT(J119)=0,COUNT(AB119:AD119)&lt;3),"",ROUND(J119-SUM(AB119:AD119),2))</f>
        <v/>
      </c>
      <c r="AF119" s="15">
        <f>IF(COUNT(AE119)=0,"",IF(Z119=0,"n.a.",AE119/Z119))</f>
        <v/>
      </c>
      <c r="AG119" s="12" t="n"/>
      <c r="AH119" s="14">
        <f>IF(OR(A119="",COUNT(Z119)=0,COUNT(AG119)=0),"",ROUND(Z119-AG119,2))</f>
        <v/>
      </c>
      <c r="AI119" s="21" t="n"/>
      <c r="AJ119" s="11">
        <f>IF(A119="","",IF(COUNT(I119)=0,"Enter approved NTE",IF(COUNT(Z119)&gt;0,IF(Z119&gt;I119,"Invoice exceeds NTE","Invoice within NTE"),IF(COUNT(L119)=0,"Enter quote inputs",IF(L119&gt;I119,"Quote exceeds NTE","Quote within NTE")))))</f>
        <v/>
      </c>
      <c r="AK119" s="11">
        <f>IF(A119="","",IF(COUNT(H119)=0,"Enter direct cost",IF(COUNT(Z119)=0,"Enter invoice revenue",IF(COUNT(AB119:AD119)&lt;3,"Enter expenses (0 if none)","Complete"))))</f>
        <v/>
      </c>
      <c r="AL119" s="11">
        <f>IF(A119="","",IF(NOT(AND(COUNT(AH119)=1,N(AH119)&gt;0.004,V119&lt;&gt;"Void",V119&lt;&gt;"Not invoiced",V119&lt;&gt;"Draft")),"",IF(COUNT(X119)=0,"No due date",IF(TODAY()-X119&lt;=0,"Not yet due",IF(TODAY()-X119&lt;=30,"1-30 days",IF(TODAY()-X119&lt;=60,"31-60 days",IF(TODAY()-X119&lt;=90,"61-90 days","Over 90 days")))))))</f>
        <v/>
      </c>
      <c r="AM119" s="49">
        <f>IF(OR(AL119="",AL119="No due date"),"",MAX(TODAY()-X119,0))</f>
        <v/>
      </c>
      <c r="AN119" s="49">
        <f>IF(AL119="","",IF(COUNT(X119)=0,-100000,TODAY()-X119))</f>
        <v/>
      </c>
      <c r="AO119" s="49">
        <f>IF(AN119="","",COUNTIF(AN$11:AN$1010,"&gt;"&amp;AN119)+COUNTIF(AN$11:AN119,AN119))</f>
        <v/>
      </c>
      <c r="AP119" s="49">
        <f>IF(OR(A119="",B119=""),"",IF(COUNTIF(B$11:B119,B119)=1,MAX(AP$10:AP118)+1,""))</f>
        <v/>
      </c>
    </row>
    <row r="120" ht="24" customHeight="1">
      <c r="A120" s="20" t="n"/>
      <c r="B120" s="10" t="n"/>
      <c r="C120" s="10" t="n"/>
      <c r="D120" s="10" t="n"/>
      <c r="E120" s="10" t="n"/>
      <c r="F120" s="18" t="n"/>
      <c r="G120" s="10" t="n"/>
      <c r="H120" s="12" t="n"/>
      <c r="I120" s="12" t="n"/>
      <c r="J120" s="13">
        <f>IF(OR(A120="",COUNT(H120)=0,COUNT(Z120)=0),"",ROUND(Z120-H120,2))</f>
        <v/>
      </c>
      <c r="K120" s="15">
        <f>IF(COUNT(J120)=0,"",IF(Z120=0,"n.a.",J120/Z120))</f>
        <v/>
      </c>
      <c r="L120" s="14">
        <f>IF(OR(A120="",COUNT(H120)=0,COUNT(Y120)=0),"",ROUND(H120*(1+Y120),2))</f>
        <v/>
      </c>
      <c r="M120" s="10" t="n"/>
      <c r="N120" s="10" t="n"/>
      <c r="O120" s="10" t="n"/>
      <c r="P120" s="10" t="n"/>
      <c r="Q120" s="20" t="n"/>
      <c r="R120" s="10" t="n"/>
      <c r="S120" s="10" t="n"/>
      <c r="T120" s="18" t="n"/>
      <c r="U120" s="18" t="n"/>
      <c r="V120" s="10" t="n"/>
      <c r="W120" s="10" t="n"/>
      <c r="X120" s="19">
        <f>IF(OR(A120="",COUNT(U120)=0,COUNT(AI120)=0),"",U120+AI120)</f>
        <v/>
      </c>
      <c r="Y120" s="16" t="n"/>
      <c r="Z120" s="12" t="n"/>
      <c r="AA120" s="17">
        <f>IF(COUNT(J120)=0,"",IF(H120=0,"n.a.",J120/H120))</f>
        <v/>
      </c>
      <c r="AB120" s="12" t="n"/>
      <c r="AC120" s="12" t="n"/>
      <c r="AD120" s="12" t="n"/>
      <c r="AE120" s="13">
        <f>IF(OR(COUNT(J120)=0,COUNT(AB120:AD120)&lt;3),"",ROUND(J120-SUM(AB120:AD120),2))</f>
        <v/>
      </c>
      <c r="AF120" s="15">
        <f>IF(COUNT(AE120)=0,"",IF(Z120=0,"n.a.",AE120/Z120))</f>
        <v/>
      </c>
      <c r="AG120" s="12" t="n"/>
      <c r="AH120" s="14">
        <f>IF(OR(A120="",COUNT(Z120)=0,COUNT(AG120)=0),"",ROUND(Z120-AG120,2))</f>
        <v/>
      </c>
      <c r="AI120" s="21" t="n"/>
      <c r="AJ120" s="11">
        <f>IF(A120="","",IF(COUNT(I120)=0,"Enter approved NTE",IF(COUNT(Z120)&gt;0,IF(Z120&gt;I120,"Invoice exceeds NTE","Invoice within NTE"),IF(COUNT(L120)=0,"Enter quote inputs",IF(L120&gt;I120,"Quote exceeds NTE","Quote within NTE")))))</f>
        <v/>
      </c>
      <c r="AK120" s="11">
        <f>IF(A120="","",IF(COUNT(H120)=0,"Enter direct cost",IF(COUNT(Z120)=0,"Enter invoice revenue",IF(COUNT(AB120:AD120)&lt;3,"Enter expenses (0 if none)","Complete"))))</f>
        <v/>
      </c>
      <c r="AL120" s="11">
        <f>IF(A120="","",IF(NOT(AND(COUNT(AH120)=1,N(AH120)&gt;0.004,V120&lt;&gt;"Void",V120&lt;&gt;"Not invoiced",V120&lt;&gt;"Draft")),"",IF(COUNT(X120)=0,"No due date",IF(TODAY()-X120&lt;=0,"Not yet due",IF(TODAY()-X120&lt;=30,"1-30 days",IF(TODAY()-X120&lt;=60,"31-60 days",IF(TODAY()-X120&lt;=90,"61-90 days","Over 90 days")))))))</f>
        <v/>
      </c>
      <c r="AM120" s="49">
        <f>IF(OR(AL120="",AL120="No due date"),"",MAX(TODAY()-X120,0))</f>
        <v/>
      </c>
      <c r="AN120" s="49">
        <f>IF(AL120="","",IF(COUNT(X120)=0,-100000,TODAY()-X120))</f>
        <v/>
      </c>
      <c r="AO120" s="49">
        <f>IF(AN120="","",COUNTIF(AN$11:AN$1010,"&gt;"&amp;AN120)+COUNTIF(AN$11:AN120,AN120))</f>
        <v/>
      </c>
      <c r="AP120" s="49">
        <f>IF(OR(A120="",B120=""),"",IF(COUNTIF(B$11:B120,B120)=1,MAX(AP$10:AP119)+1,""))</f>
        <v/>
      </c>
    </row>
    <row r="121" ht="24" customHeight="1">
      <c r="A121" s="20" t="n"/>
      <c r="B121" s="10" t="n"/>
      <c r="C121" s="10" t="n"/>
      <c r="D121" s="10" t="n"/>
      <c r="E121" s="10" t="n"/>
      <c r="F121" s="18" t="n"/>
      <c r="G121" s="10" t="n"/>
      <c r="H121" s="12" t="n"/>
      <c r="I121" s="12" t="n"/>
      <c r="J121" s="13">
        <f>IF(OR(A121="",COUNT(H121)=0,COUNT(Z121)=0),"",ROUND(Z121-H121,2))</f>
        <v/>
      </c>
      <c r="K121" s="15">
        <f>IF(COUNT(J121)=0,"",IF(Z121=0,"n.a.",J121/Z121))</f>
        <v/>
      </c>
      <c r="L121" s="14">
        <f>IF(OR(A121="",COUNT(H121)=0,COUNT(Y121)=0),"",ROUND(H121*(1+Y121),2))</f>
        <v/>
      </c>
      <c r="M121" s="10" t="n"/>
      <c r="N121" s="10" t="n"/>
      <c r="O121" s="10" t="n"/>
      <c r="P121" s="10" t="n"/>
      <c r="Q121" s="20" t="n"/>
      <c r="R121" s="10" t="n"/>
      <c r="S121" s="10" t="n"/>
      <c r="T121" s="18" t="n"/>
      <c r="U121" s="18" t="n"/>
      <c r="V121" s="10" t="n"/>
      <c r="W121" s="10" t="n"/>
      <c r="X121" s="19">
        <f>IF(OR(A121="",COUNT(U121)=0,COUNT(AI121)=0),"",U121+AI121)</f>
        <v/>
      </c>
      <c r="Y121" s="16" t="n"/>
      <c r="Z121" s="12" t="n"/>
      <c r="AA121" s="17">
        <f>IF(COUNT(J121)=0,"",IF(H121=0,"n.a.",J121/H121))</f>
        <v/>
      </c>
      <c r="AB121" s="12" t="n"/>
      <c r="AC121" s="12" t="n"/>
      <c r="AD121" s="12" t="n"/>
      <c r="AE121" s="13">
        <f>IF(OR(COUNT(J121)=0,COUNT(AB121:AD121)&lt;3),"",ROUND(J121-SUM(AB121:AD121),2))</f>
        <v/>
      </c>
      <c r="AF121" s="15">
        <f>IF(COUNT(AE121)=0,"",IF(Z121=0,"n.a.",AE121/Z121))</f>
        <v/>
      </c>
      <c r="AG121" s="12" t="n"/>
      <c r="AH121" s="14">
        <f>IF(OR(A121="",COUNT(Z121)=0,COUNT(AG121)=0),"",ROUND(Z121-AG121,2))</f>
        <v/>
      </c>
      <c r="AI121" s="21" t="n"/>
      <c r="AJ121" s="11">
        <f>IF(A121="","",IF(COUNT(I121)=0,"Enter approved NTE",IF(COUNT(Z121)&gt;0,IF(Z121&gt;I121,"Invoice exceeds NTE","Invoice within NTE"),IF(COUNT(L121)=0,"Enter quote inputs",IF(L121&gt;I121,"Quote exceeds NTE","Quote within NTE")))))</f>
        <v/>
      </c>
      <c r="AK121" s="11">
        <f>IF(A121="","",IF(COUNT(H121)=0,"Enter direct cost",IF(COUNT(Z121)=0,"Enter invoice revenue",IF(COUNT(AB121:AD121)&lt;3,"Enter expenses (0 if none)","Complete"))))</f>
        <v/>
      </c>
      <c r="AL121" s="11">
        <f>IF(A121="","",IF(NOT(AND(COUNT(AH121)=1,N(AH121)&gt;0.004,V121&lt;&gt;"Void",V121&lt;&gt;"Not invoiced",V121&lt;&gt;"Draft")),"",IF(COUNT(X121)=0,"No due date",IF(TODAY()-X121&lt;=0,"Not yet due",IF(TODAY()-X121&lt;=30,"1-30 days",IF(TODAY()-X121&lt;=60,"31-60 days",IF(TODAY()-X121&lt;=90,"61-90 days","Over 90 days")))))))</f>
        <v/>
      </c>
      <c r="AM121" s="49">
        <f>IF(OR(AL121="",AL121="No due date"),"",MAX(TODAY()-X121,0))</f>
        <v/>
      </c>
      <c r="AN121" s="49">
        <f>IF(AL121="","",IF(COUNT(X121)=0,-100000,TODAY()-X121))</f>
        <v/>
      </c>
      <c r="AO121" s="49">
        <f>IF(AN121="","",COUNTIF(AN$11:AN$1010,"&gt;"&amp;AN121)+COUNTIF(AN$11:AN121,AN121))</f>
        <v/>
      </c>
      <c r="AP121" s="49">
        <f>IF(OR(A121="",B121=""),"",IF(COUNTIF(B$11:B121,B121)=1,MAX(AP$10:AP120)+1,""))</f>
        <v/>
      </c>
    </row>
    <row r="122" ht="24" customHeight="1">
      <c r="A122" s="20" t="n"/>
      <c r="B122" s="10" t="n"/>
      <c r="C122" s="10" t="n"/>
      <c r="D122" s="10" t="n"/>
      <c r="E122" s="10" t="n"/>
      <c r="F122" s="18" t="n"/>
      <c r="G122" s="10" t="n"/>
      <c r="H122" s="12" t="n"/>
      <c r="I122" s="12" t="n"/>
      <c r="J122" s="13">
        <f>IF(OR(A122="",COUNT(H122)=0,COUNT(Z122)=0),"",ROUND(Z122-H122,2))</f>
        <v/>
      </c>
      <c r="K122" s="15">
        <f>IF(COUNT(J122)=0,"",IF(Z122=0,"n.a.",J122/Z122))</f>
        <v/>
      </c>
      <c r="L122" s="14">
        <f>IF(OR(A122="",COUNT(H122)=0,COUNT(Y122)=0),"",ROUND(H122*(1+Y122),2))</f>
        <v/>
      </c>
      <c r="M122" s="10" t="n"/>
      <c r="N122" s="10" t="n"/>
      <c r="O122" s="10" t="n"/>
      <c r="P122" s="10" t="n"/>
      <c r="Q122" s="20" t="n"/>
      <c r="R122" s="10" t="n"/>
      <c r="S122" s="10" t="n"/>
      <c r="T122" s="18" t="n"/>
      <c r="U122" s="18" t="n"/>
      <c r="V122" s="10" t="n"/>
      <c r="W122" s="10" t="n"/>
      <c r="X122" s="19">
        <f>IF(OR(A122="",COUNT(U122)=0,COUNT(AI122)=0),"",U122+AI122)</f>
        <v/>
      </c>
      <c r="Y122" s="16" t="n"/>
      <c r="Z122" s="12" t="n"/>
      <c r="AA122" s="17">
        <f>IF(COUNT(J122)=0,"",IF(H122=0,"n.a.",J122/H122))</f>
        <v/>
      </c>
      <c r="AB122" s="12" t="n"/>
      <c r="AC122" s="12" t="n"/>
      <c r="AD122" s="12" t="n"/>
      <c r="AE122" s="13">
        <f>IF(OR(COUNT(J122)=0,COUNT(AB122:AD122)&lt;3),"",ROUND(J122-SUM(AB122:AD122),2))</f>
        <v/>
      </c>
      <c r="AF122" s="15">
        <f>IF(COUNT(AE122)=0,"",IF(Z122=0,"n.a.",AE122/Z122))</f>
        <v/>
      </c>
      <c r="AG122" s="12" t="n"/>
      <c r="AH122" s="14">
        <f>IF(OR(A122="",COUNT(Z122)=0,COUNT(AG122)=0),"",ROUND(Z122-AG122,2))</f>
        <v/>
      </c>
      <c r="AI122" s="21" t="n"/>
      <c r="AJ122" s="11">
        <f>IF(A122="","",IF(COUNT(I122)=0,"Enter approved NTE",IF(COUNT(Z122)&gt;0,IF(Z122&gt;I122,"Invoice exceeds NTE","Invoice within NTE"),IF(COUNT(L122)=0,"Enter quote inputs",IF(L122&gt;I122,"Quote exceeds NTE","Quote within NTE")))))</f>
        <v/>
      </c>
      <c r="AK122" s="11">
        <f>IF(A122="","",IF(COUNT(H122)=0,"Enter direct cost",IF(COUNT(Z122)=0,"Enter invoice revenue",IF(COUNT(AB122:AD122)&lt;3,"Enter expenses (0 if none)","Complete"))))</f>
        <v/>
      </c>
      <c r="AL122" s="11">
        <f>IF(A122="","",IF(NOT(AND(COUNT(AH122)=1,N(AH122)&gt;0.004,V122&lt;&gt;"Void",V122&lt;&gt;"Not invoiced",V122&lt;&gt;"Draft")),"",IF(COUNT(X122)=0,"No due date",IF(TODAY()-X122&lt;=0,"Not yet due",IF(TODAY()-X122&lt;=30,"1-30 days",IF(TODAY()-X122&lt;=60,"31-60 days",IF(TODAY()-X122&lt;=90,"61-90 days","Over 90 days")))))))</f>
        <v/>
      </c>
      <c r="AM122" s="49">
        <f>IF(OR(AL122="",AL122="No due date"),"",MAX(TODAY()-X122,0))</f>
        <v/>
      </c>
      <c r="AN122" s="49">
        <f>IF(AL122="","",IF(COUNT(X122)=0,-100000,TODAY()-X122))</f>
        <v/>
      </c>
      <c r="AO122" s="49">
        <f>IF(AN122="","",COUNTIF(AN$11:AN$1010,"&gt;"&amp;AN122)+COUNTIF(AN$11:AN122,AN122))</f>
        <v/>
      </c>
      <c r="AP122" s="49">
        <f>IF(OR(A122="",B122=""),"",IF(COUNTIF(B$11:B122,B122)=1,MAX(AP$10:AP121)+1,""))</f>
        <v/>
      </c>
    </row>
    <row r="123" ht="24" customHeight="1">
      <c r="A123" s="20" t="n"/>
      <c r="B123" s="10" t="n"/>
      <c r="C123" s="10" t="n"/>
      <c r="D123" s="10" t="n"/>
      <c r="E123" s="10" t="n"/>
      <c r="F123" s="18" t="n"/>
      <c r="G123" s="10" t="n"/>
      <c r="H123" s="12" t="n"/>
      <c r="I123" s="12" t="n"/>
      <c r="J123" s="13">
        <f>IF(OR(A123="",COUNT(H123)=0,COUNT(Z123)=0),"",ROUND(Z123-H123,2))</f>
        <v/>
      </c>
      <c r="K123" s="15">
        <f>IF(COUNT(J123)=0,"",IF(Z123=0,"n.a.",J123/Z123))</f>
        <v/>
      </c>
      <c r="L123" s="14">
        <f>IF(OR(A123="",COUNT(H123)=0,COUNT(Y123)=0),"",ROUND(H123*(1+Y123),2))</f>
        <v/>
      </c>
      <c r="M123" s="10" t="n"/>
      <c r="N123" s="10" t="n"/>
      <c r="O123" s="10" t="n"/>
      <c r="P123" s="10" t="n"/>
      <c r="Q123" s="20" t="n"/>
      <c r="R123" s="10" t="n"/>
      <c r="S123" s="10" t="n"/>
      <c r="T123" s="18" t="n"/>
      <c r="U123" s="18" t="n"/>
      <c r="V123" s="10" t="n"/>
      <c r="W123" s="10" t="n"/>
      <c r="X123" s="19">
        <f>IF(OR(A123="",COUNT(U123)=0,COUNT(AI123)=0),"",U123+AI123)</f>
        <v/>
      </c>
      <c r="Y123" s="16" t="n"/>
      <c r="Z123" s="12" t="n"/>
      <c r="AA123" s="17">
        <f>IF(COUNT(J123)=0,"",IF(H123=0,"n.a.",J123/H123))</f>
        <v/>
      </c>
      <c r="AB123" s="12" t="n"/>
      <c r="AC123" s="12" t="n"/>
      <c r="AD123" s="12" t="n"/>
      <c r="AE123" s="13">
        <f>IF(OR(COUNT(J123)=0,COUNT(AB123:AD123)&lt;3),"",ROUND(J123-SUM(AB123:AD123),2))</f>
        <v/>
      </c>
      <c r="AF123" s="15">
        <f>IF(COUNT(AE123)=0,"",IF(Z123=0,"n.a.",AE123/Z123))</f>
        <v/>
      </c>
      <c r="AG123" s="12" t="n"/>
      <c r="AH123" s="14">
        <f>IF(OR(A123="",COUNT(Z123)=0,COUNT(AG123)=0),"",ROUND(Z123-AG123,2))</f>
        <v/>
      </c>
      <c r="AI123" s="21" t="n"/>
      <c r="AJ123" s="11">
        <f>IF(A123="","",IF(COUNT(I123)=0,"Enter approved NTE",IF(COUNT(Z123)&gt;0,IF(Z123&gt;I123,"Invoice exceeds NTE","Invoice within NTE"),IF(COUNT(L123)=0,"Enter quote inputs",IF(L123&gt;I123,"Quote exceeds NTE","Quote within NTE")))))</f>
        <v/>
      </c>
      <c r="AK123" s="11">
        <f>IF(A123="","",IF(COUNT(H123)=0,"Enter direct cost",IF(COUNT(Z123)=0,"Enter invoice revenue",IF(COUNT(AB123:AD123)&lt;3,"Enter expenses (0 if none)","Complete"))))</f>
        <v/>
      </c>
      <c r="AL123" s="11">
        <f>IF(A123="","",IF(NOT(AND(COUNT(AH123)=1,N(AH123)&gt;0.004,V123&lt;&gt;"Void",V123&lt;&gt;"Not invoiced",V123&lt;&gt;"Draft")),"",IF(COUNT(X123)=0,"No due date",IF(TODAY()-X123&lt;=0,"Not yet due",IF(TODAY()-X123&lt;=30,"1-30 days",IF(TODAY()-X123&lt;=60,"31-60 days",IF(TODAY()-X123&lt;=90,"61-90 days","Over 90 days")))))))</f>
        <v/>
      </c>
      <c r="AM123" s="49">
        <f>IF(OR(AL123="",AL123="No due date"),"",MAX(TODAY()-X123,0))</f>
        <v/>
      </c>
      <c r="AN123" s="49">
        <f>IF(AL123="","",IF(COUNT(X123)=0,-100000,TODAY()-X123))</f>
        <v/>
      </c>
      <c r="AO123" s="49">
        <f>IF(AN123="","",COUNTIF(AN$11:AN$1010,"&gt;"&amp;AN123)+COUNTIF(AN$11:AN123,AN123))</f>
        <v/>
      </c>
      <c r="AP123" s="49">
        <f>IF(OR(A123="",B123=""),"",IF(COUNTIF(B$11:B123,B123)=1,MAX(AP$10:AP122)+1,""))</f>
        <v/>
      </c>
    </row>
    <row r="124" ht="24" customHeight="1">
      <c r="A124" s="20" t="n"/>
      <c r="B124" s="10" t="n"/>
      <c r="C124" s="10" t="n"/>
      <c r="D124" s="10" t="n"/>
      <c r="E124" s="10" t="n"/>
      <c r="F124" s="18" t="n"/>
      <c r="G124" s="10" t="n"/>
      <c r="H124" s="12" t="n"/>
      <c r="I124" s="12" t="n"/>
      <c r="J124" s="13">
        <f>IF(OR(A124="",COUNT(H124)=0,COUNT(Z124)=0),"",ROUND(Z124-H124,2))</f>
        <v/>
      </c>
      <c r="K124" s="15">
        <f>IF(COUNT(J124)=0,"",IF(Z124=0,"n.a.",J124/Z124))</f>
        <v/>
      </c>
      <c r="L124" s="14">
        <f>IF(OR(A124="",COUNT(H124)=0,COUNT(Y124)=0),"",ROUND(H124*(1+Y124),2))</f>
        <v/>
      </c>
      <c r="M124" s="10" t="n"/>
      <c r="N124" s="10" t="n"/>
      <c r="O124" s="10" t="n"/>
      <c r="P124" s="10" t="n"/>
      <c r="Q124" s="20" t="n"/>
      <c r="R124" s="10" t="n"/>
      <c r="S124" s="10" t="n"/>
      <c r="T124" s="18" t="n"/>
      <c r="U124" s="18" t="n"/>
      <c r="V124" s="10" t="n"/>
      <c r="W124" s="10" t="n"/>
      <c r="X124" s="19">
        <f>IF(OR(A124="",COUNT(U124)=0,COUNT(AI124)=0),"",U124+AI124)</f>
        <v/>
      </c>
      <c r="Y124" s="16" t="n"/>
      <c r="Z124" s="12" t="n"/>
      <c r="AA124" s="17">
        <f>IF(COUNT(J124)=0,"",IF(H124=0,"n.a.",J124/H124))</f>
        <v/>
      </c>
      <c r="AB124" s="12" t="n"/>
      <c r="AC124" s="12" t="n"/>
      <c r="AD124" s="12" t="n"/>
      <c r="AE124" s="13">
        <f>IF(OR(COUNT(J124)=0,COUNT(AB124:AD124)&lt;3),"",ROUND(J124-SUM(AB124:AD124),2))</f>
        <v/>
      </c>
      <c r="AF124" s="15">
        <f>IF(COUNT(AE124)=0,"",IF(Z124=0,"n.a.",AE124/Z124))</f>
        <v/>
      </c>
      <c r="AG124" s="12" t="n"/>
      <c r="AH124" s="14">
        <f>IF(OR(A124="",COUNT(Z124)=0,COUNT(AG124)=0),"",ROUND(Z124-AG124,2))</f>
        <v/>
      </c>
      <c r="AI124" s="21" t="n"/>
      <c r="AJ124" s="11">
        <f>IF(A124="","",IF(COUNT(I124)=0,"Enter approved NTE",IF(COUNT(Z124)&gt;0,IF(Z124&gt;I124,"Invoice exceeds NTE","Invoice within NTE"),IF(COUNT(L124)=0,"Enter quote inputs",IF(L124&gt;I124,"Quote exceeds NTE","Quote within NTE")))))</f>
        <v/>
      </c>
      <c r="AK124" s="11">
        <f>IF(A124="","",IF(COUNT(H124)=0,"Enter direct cost",IF(COUNT(Z124)=0,"Enter invoice revenue",IF(COUNT(AB124:AD124)&lt;3,"Enter expenses (0 if none)","Complete"))))</f>
        <v/>
      </c>
      <c r="AL124" s="11">
        <f>IF(A124="","",IF(NOT(AND(COUNT(AH124)=1,N(AH124)&gt;0.004,V124&lt;&gt;"Void",V124&lt;&gt;"Not invoiced",V124&lt;&gt;"Draft")),"",IF(COUNT(X124)=0,"No due date",IF(TODAY()-X124&lt;=0,"Not yet due",IF(TODAY()-X124&lt;=30,"1-30 days",IF(TODAY()-X124&lt;=60,"31-60 days",IF(TODAY()-X124&lt;=90,"61-90 days","Over 90 days")))))))</f>
        <v/>
      </c>
      <c r="AM124" s="49">
        <f>IF(OR(AL124="",AL124="No due date"),"",MAX(TODAY()-X124,0))</f>
        <v/>
      </c>
      <c r="AN124" s="49">
        <f>IF(AL124="","",IF(COUNT(X124)=0,-100000,TODAY()-X124))</f>
        <v/>
      </c>
      <c r="AO124" s="49">
        <f>IF(AN124="","",COUNTIF(AN$11:AN$1010,"&gt;"&amp;AN124)+COUNTIF(AN$11:AN124,AN124))</f>
        <v/>
      </c>
      <c r="AP124" s="49">
        <f>IF(OR(A124="",B124=""),"",IF(COUNTIF(B$11:B124,B124)=1,MAX(AP$10:AP123)+1,""))</f>
        <v/>
      </c>
    </row>
    <row r="125" ht="24" customHeight="1">
      <c r="A125" s="20" t="n"/>
      <c r="B125" s="10" t="n"/>
      <c r="C125" s="10" t="n"/>
      <c r="D125" s="10" t="n"/>
      <c r="E125" s="10" t="n"/>
      <c r="F125" s="18" t="n"/>
      <c r="G125" s="10" t="n"/>
      <c r="H125" s="12" t="n"/>
      <c r="I125" s="12" t="n"/>
      <c r="J125" s="13">
        <f>IF(OR(A125="",COUNT(H125)=0,COUNT(Z125)=0),"",ROUND(Z125-H125,2))</f>
        <v/>
      </c>
      <c r="K125" s="15">
        <f>IF(COUNT(J125)=0,"",IF(Z125=0,"n.a.",J125/Z125))</f>
        <v/>
      </c>
      <c r="L125" s="14">
        <f>IF(OR(A125="",COUNT(H125)=0,COUNT(Y125)=0),"",ROUND(H125*(1+Y125),2))</f>
        <v/>
      </c>
      <c r="M125" s="10" t="n"/>
      <c r="N125" s="10" t="n"/>
      <c r="O125" s="10" t="n"/>
      <c r="P125" s="10" t="n"/>
      <c r="Q125" s="20" t="n"/>
      <c r="R125" s="10" t="n"/>
      <c r="S125" s="10" t="n"/>
      <c r="T125" s="18" t="n"/>
      <c r="U125" s="18" t="n"/>
      <c r="V125" s="10" t="n"/>
      <c r="W125" s="10" t="n"/>
      <c r="X125" s="19">
        <f>IF(OR(A125="",COUNT(U125)=0,COUNT(AI125)=0),"",U125+AI125)</f>
        <v/>
      </c>
      <c r="Y125" s="16" t="n"/>
      <c r="Z125" s="12" t="n"/>
      <c r="AA125" s="17">
        <f>IF(COUNT(J125)=0,"",IF(H125=0,"n.a.",J125/H125))</f>
        <v/>
      </c>
      <c r="AB125" s="12" t="n"/>
      <c r="AC125" s="12" t="n"/>
      <c r="AD125" s="12" t="n"/>
      <c r="AE125" s="13">
        <f>IF(OR(COUNT(J125)=0,COUNT(AB125:AD125)&lt;3),"",ROUND(J125-SUM(AB125:AD125),2))</f>
        <v/>
      </c>
      <c r="AF125" s="15">
        <f>IF(COUNT(AE125)=0,"",IF(Z125=0,"n.a.",AE125/Z125))</f>
        <v/>
      </c>
      <c r="AG125" s="12" t="n"/>
      <c r="AH125" s="14">
        <f>IF(OR(A125="",COUNT(Z125)=0,COUNT(AG125)=0),"",ROUND(Z125-AG125,2))</f>
        <v/>
      </c>
      <c r="AI125" s="21" t="n"/>
      <c r="AJ125" s="11">
        <f>IF(A125="","",IF(COUNT(I125)=0,"Enter approved NTE",IF(COUNT(Z125)&gt;0,IF(Z125&gt;I125,"Invoice exceeds NTE","Invoice within NTE"),IF(COUNT(L125)=0,"Enter quote inputs",IF(L125&gt;I125,"Quote exceeds NTE","Quote within NTE")))))</f>
        <v/>
      </c>
      <c r="AK125" s="11">
        <f>IF(A125="","",IF(COUNT(H125)=0,"Enter direct cost",IF(COUNT(Z125)=0,"Enter invoice revenue",IF(COUNT(AB125:AD125)&lt;3,"Enter expenses (0 if none)","Complete"))))</f>
        <v/>
      </c>
      <c r="AL125" s="11">
        <f>IF(A125="","",IF(NOT(AND(COUNT(AH125)=1,N(AH125)&gt;0.004,V125&lt;&gt;"Void",V125&lt;&gt;"Not invoiced",V125&lt;&gt;"Draft")),"",IF(COUNT(X125)=0,"No due date",IF(TODAY()-X125&lt;=0,"Not yet due",IF(TODAY()-X125&lt;=30,"1-30 days",IF(TODAY()-X125&lt;=60,"31-60 days",IF(TODAY()-X125&lt;=90,"61-90 days","Over 90 days")))))))</f>
        <v/>
      </c>
      <c r="AM125" s="49">
        <f>IF(OR(AL125="",AL125="No due date"),"",MAX(TODAY()-X125,0))</f>
        <v/>
      </c>
      <c r="AN125" s="49">
        <f>IF(AL125="","",IF(COUNT(X125)=0,-100000,TODAY()-X125))</f>
        <v/>
      </c>
      <c r="AO125" s="49">
        <f>IF(AN125="","",COUNTIF(AN$11:AN$1010,"&gt;"&amp;AN125)+COUNTIF(AN$11:AN125,AN125))</f>
        <v/>
      </c>
      <c r="AP125" s="49">
        <f>IF(OR(A125="",B125=""),"",IF(COUNTIF(B$11:B125,B125)=1,MAX(AP$10:AP124)+1,""))</f>
        <v/>
      </c>
    </row>
    <row r="126" ht="24" customHeight="1">
      <c r="A126" s="20" t="n"/>
      <c r="B126" s="10" t="n"/>
      <c r="C126" s="10" t="n"/>
      <c r="D126" s="10" t="n"/>
      <c r="E126" s="10" t="n"/>
      <c r="F126" s="18" t="n"/>
      <c r="G126" s="10" t="n"/>
      <c r="H126" s="12" t="n"/>
      <c r="I126" s="12" t="n"/>
      <c r="J126" s="13">
        <f>IF(OR(A126="",COUNT(H126)=0,COUNT(Z126)=0),"",ROUND(Z126-H126,2))</f>
        <v/>
      </c>
      <c r="K126" s="15">
        <f>IF(COUNT(J126)=0,"",IF(Z126=0,"n.a.",J126/Z126))</f>
        <v/>
      </c>
      <c r="L126" s="14">
        <f>IF(OR(A126="",COUNT(H126)=0,COUNT(Y126)=0),"",ROUND(H126*(1+Y126),2))</f>
        <v/>
      </c>
      <c r="M126" s="10" t="n"/>
      <c r="N126" s="10" t="n"/>
      <c r="O126" s="10" t="n"/>
      <c r="P126" s="10" t="n"/>
      <c r="Q126" s="20" t="n"/>
      <c r="R126" s="10" t="n"/>
      <c r="S126" s="10" t="n"/>
      <c r="T126" s="18" t="n"/>
      <c r="U126" s="18" t="n"/>
      <c r="V126" s="10" t="n"/>
      <c r="W126" s="10" t="n"/>
      <c r="X126" s="19">
        <f>IF(OR(A126="",COUNT(U126)=0,COUNT(AI126)=0),"",U126+AI126)</f>
        <v/>
      </c>
      <c r="Y126" s="16" t="n"/>
      <c r="Z126" s="12" t="n"/>
      <c r="AA126" s="17">
        <f>IF(COUNT(J126)=0,"",IF(H126=0,"n.a.",J126/H126))</f>
        <v/>
      </c>
      <c r="AB126" s="12" t="n"/>
      <c r="AC126" s="12" t="n"/>
      <c r="AD126" s="12" t="n"/>
      <c r="AE126" s="13">
        <f>IF(OR(COUNT(J126)=0,COUNT(AB126:AD126)&lt;3),"",ROUND(J126-SUM(AB126:AD126),2))</f>
        <v/>
      </c>
      <c r="AF126" s="15">
        <f>IF(COUNT(AE126)=0,"",IF(Z126=0,"n.a.",AE126/Z126))</f>
        <v/>
      </c>
      <c r="AG126" s="12" t="n"/>
      <c r="AH126" s="14">
        <f>IF(OR(A126="",COUNT(Z126)=0,COUNT(AG126)=0),"",ROUND(Z126-AG126,2))</f>
        <v/>
      </c>
      <c r="AI126" s="21" t="n"/>
      <c r="AJ126" s="11">
        <f>IF(A126="","",IF(COUNT(I126)=0,"Enter approved NTE",IF(COUNT(Z126)&gt;0,IF(Z126&gt;I126,"Invoice exceeds NTE","Invoice within NTE"),IF(COUNT(L126)=0,"Enter quote inputs",IF(L126&gt;I126,"Quote exceeds NTE","Quote within NTE")))))</f>
        <v/>
      </c>
      <c r="AK126" s="11">
        <f>IF(A126="","",IF(COUNT(H126)=0,"Enter direct cost",IF(COUNT(Z126)=0,"Enter invoice revenue",IF(COUNT(AB126:AD126)&lt;3,"Enter expenses (0 if none)","Complete"))))</f>
        <v/>
      </c>
      <c r="AL126" s="11">
        <f>IF(A126="","",IF(NOT(AND(COUNT(AH126)=1,N(AH126)&gt;0.004,V126&lt;&gt;"Void",V126&lt;&gt;"Not invoiced",V126&lt;&gt;"Draft")),"",IF(COUNT(X126)=0,"No due date",IF(TODAY()-X126&lt;=0,"Not yet due",IF(TODAY()-X126&lt;=30,"1-30 days",IF(TODAY()-X126&lt;=60,"31-60 days",IF(TODAY()-X126&lt;=90,"61-90 days","Over 90 days")))))))</f>
        <v/>
      </c>
      <c r="AM126" s="49">
        <f>IF(OR(AL126="",AL126="No due date"),"",MAX(TODAY()-X126,0))</f>
        <v/>
      </c>
      <c r="AN126" s="49">
        <f>IF(AL126="","",IF(COUNT(X126)=0,-100000,TODAY()-X126))</f>
        <v/>
      </c>
      <c r="AO126" s="49">
        <f>IF(AN126="","",COUNTIF(AN$11:AN$1010,"&gt;"&amp;AN126)+COUNTIF(AN$11:AN126,AN126))</f>
        <v/>
      </c>
      <c r="AP126" s="49">
        <f>IF(OR(A126="",B126=""),"",IF(COUNTIF(B$11:B126,B126)=1,MAX(AP$10:AP125)+1,""))</f>
        <v/>
      </c>
    </row>
    <row r="127" ht="24" customHeight="1">
      <c r="A127" s="20" t="n"/>
      <c r="B127" s="10" t="n"/>
      <c r="C127" s="10" t="n"/>
      <c r="D127" s="10" t="n"/>
      <c r="E127" s="10" t="n"/>
      <c r="F127" s="18" t="n"/>
      <c r="G127" s="10" t="n"/>
      <c r="H127" s="12" t="n"/>
      <c r="I127" s="12" t="n"/>
      <c r="J127" s="13">
        <f>IF(OR(A127="",COUNT(H127)=0,COUNT(Z127)=0),"",ROUND(Z127-H127,2))</f>
        <v/>
      </c>
      <c r="K127" s="15">
        <f>IF(COUNT(J127)=0,"",IF(Z127=0,"n.a.",J127/Z127))</f>
        <v/>
      </c>
      <c r="L127" s="14">
        <f>IF(OR(A127="",COUNT(H127)=0,COUNT(Y127)=0),"",ROUND(H127*(1+Y127),2))</f>
        <v/>
      </c>
      <c r="M127" s="10" t="n"/>
      <c r="N127" s="10" t="n"/>
      <c r="O127" s="10" t="n"/>
      <c r="P127" s="10" t="n"/>
      <c r="Q127" s="20" t="n"/>
      <c r="R127" s="10" t="n"/>
      <c r="S127" s="10" t="n"/>
      <c r="T127" s="18" t="n"/>
      <c r="U127" s="18" t="n"/>
      <c r="V127" s="10" t="n"/>
      <c r="W127" s="10" t="n"/>
      <c r="X127" s="19">
        <f>IF(OR(A127="",COUNT(U127)=0,COUNT(AI127)=0),"",U127+AI127)</f>
        <v/>
      </c>
      <c r="Y127" s="16" t="n"/>
      <c r="Z127" s="12" t="n"/>
      <c r="AA127" s="17">
        <f>IF(COUNT(J127)=0,"",IF(H127=0,"n.a.",J127/H127))</f>
        <v/>
      </c>
      <c r="AB127" s="12" t="n"/>
      <c r="AC127" s="12" t="n"/>
      <c r="AD127" s="12" t="n"/>
      <c r="AE127" s="13">
        <f>IF(OR(COUNT(J127)=0,COUNT(AB127:AD127)&lt;3),"",ROUND(J127-SUM(AB127:AD127),2))</f>
        <v/>
      </c>
      <c r="AF127" s="15">
        <f>IF(COUNT(AE127)=0,"",IF(Z127=0,"n.a.",AE127/Z127))</f>
        <v/>
      </c>
      <c r="AG127" s="12" t="n"/>
      <c r="AH127" s="14">
        <f>IF(OR(A127="",COUNT(Z127)=0,COUNT(AG127)=0),"",ROUND(Z127-AG127,2))</f>
        <v/>
      </c>
      <c r="AI127" s="21" t="n"/>
      <c r="AJ127" s="11">
        <f>IF(A127="","",IF(COUNT(I127)=0,"Enter approved NTE",IF(COUNT(Z127)&gt;0,IF(Z127&gt;I127,"Invoice exceeds NTE","Invoice within NTE"),IF(COUNT(L127)=0,"Enter quote inputs",IF(L127&gt;I127,"Quote exceeds NTE","Quote within NTE")))))</f>
        <v/>
      </c>
      <c r="AK127" s="11">
        <f>IF(A127="","",IF(COUNT(H127)=0,"Enter direct cost",IF(COUNT(Z127)=0,"Enter invoice revenue",IF(COUNT(AB127:AD127)&lt;3,"Enter expenses (0 if none)","Complete"))))</f>
        <v/>
      </c>
      <c r="AL127" s="11">
        <f>IF(A127="","",IF(NOT(AND(COUNT(AH127)=1,N(AH127)&gt;0.004,V127&lt;&gt;"Void",V127&lt;&gt;"Not invoiced",V127&lt;&gt;"Draft")),"",IF(COUNT(X127)=0,"No due date",IF(TODAY()-X127&lt;=0,"Not yet due",IF(TODAY()-X127&lt;=30,"1-30 days",IF(TODAY()-X127&lt;=60,"31-60 days",IF(TODAY()-X127&lt;=90,"61-90 days","Over 90 days")))))))</f>
        <v/>
      </c>
      <c r="AM127" s="49">
        <f>IF(OR(AL127="",AL127="No due date"),"",MAX(TODAY()-X127,0))</f>
        <v/>
      </c>
      <c r="AN127" s="49">
        <f>IF(AL127="","",IF(COUNT(X127)=0,-100000,TODAY()-X127))</f>
        <v/>
      </c>
      <c r="AO127" s="49">
        <f>IF(AN127="","",COUNTIF(AN$11:AN$1010,"&gt;"&amp;AN127)+COUNTIF(AN$11:AN127,AN127))</f>
        <v/>
      </c>
      <c r="AP127" s="49">
        <f>IF(OR(A127="",B127=""),"",IF(COUNTIF(B$11:B127,B127)=1,MAX(AP$10:AP126)+1,""))</f>
        <v/>
      </c>
    </row>
    <row r="128" ht="24" customHeight="1">
      <c r="A128" s="20" t="n"/>
      <c r="B128" s="10" t="n"/>
      <c r="C128" s="10" t="n"/>
      <c r="D128" s="10" t="n"/>
      <c r="E128" s="10" t="n"/>
      <c r="F128" s="18" t="n"/>
      <c r="G128" s="10" t="n"/>
      <c r="H128" s="12" t="n"/>
      <c r="I128" s="12" t="n"/>
      <c r="J128" s="13">
        <f>IF(OR(A128="",COUNT(H128)=0,COUNT(Z128)=0),"",ROUND(Z128-H128,2))</f>
        <v/>
      </c>
      <c r="K128" s="15">
        <f>IF(COUNT(J128)=0,"",IF(Z128=0,"n.a.",J128/Z128))</f>
        <v/>
      </c>
      <c r="L128" s="14">
        <f>IF(OR(A128="",COUNT(H128)=0,COUNT(Y128)=0),"",ROUND(H128*(1+Y128),2))</f>
        <v/>
      </c>
      <c r="M128" s="10" t="n"/>
      <c r="N128" s="10" t="n"/>
      <c r="O128" s="10" t="n"/>
      <c r="P128" s="10" t="n"/>
      <c r="Q128" s="20" t="n"/>
      <c r="R128" s="10" t="n"/>
      <c r="S128" s="10" t="n"/>
      <c r="T128" s="18" t="n"/>
      <c r="U128" s="18" t="n"/>
      <c r="V128" s="10" t="n"/>
      <c r="W128" s="10" t="n"/>
      <c r="X128" s="19">
        <f>IF(OR(A128="",COUNT(U128)=0,COUNT(AI128)=0),"",U128+AI128)</f>
        <v/>
      </c>
      <c r="Y128" s="16" t="n"/>
      <c r="Z128" s="12" t="n"/>
      <c r="AA128" s="17">
        <f>IF(COUNT(J128)=0,"",IF(H128=0,"n.a.",J128/H128))</f>
        <v/>
      </c>
      <c r="AB128" s="12" t="n"/>
      <c r="AC128" s="12" t="n"/>
      <c r="AD128" s="12" t="n"/>
      <c r="AE128" s="13">
        <f>IF(OR(COUNT(J128)=0,COUNT(AB128:AD128)&lt;3),"",ROUND(J128-SUM(AB128:AD128),2))</f>
        <v/>
      </c>
      <c r="AF128" s="15">
        <f>IF(COUNT(AE128)=0,"",IF(Z128=0,"n.a.",AE128/Z128))</f>
        <v/>
      </c>
      <c r="AG128" s="12" t="n"/>
      <c r="AH128" s="14">
        <f>IF(OR(A128="",COUNT(Z128)=0,COUNT(AG128)=0),"",ROUND(Z128-AG128,2))</f>
        <v/>
      </c>
      <c r="AI128" s="21" t="n"/>
      <c r="AJ128" s="11">
        <f>IF(A128="","",IF(COUNT(I128)=0,"Enter approved NTE",IF(COUNT(Z128)&gt;0,IF(Z128&gt;I128,"Invoice exceeds NTE","Invoice within NTE"),IF(COUNT(L128)=0,"Enter quote inputs",IF(L128&gt;I128,"Quote exceeds NTE","Quote within NTE")))))</f>
        <v/>
      </c>
      <c r="AK128" s="11">
        <f>IF(A128="","",IF(COUNT(H128)=0,"Enter direct cost",IF(COUNT(Z128)=0,"Enter invoice revenue",IF(COUNT(AB128:AD128)&lt;3,"Enter expenses (0 if none)","Complete"))))</f>
        <v/>
      </c>
      <c r="AL128" s="11">
        <f>IF(A128="","",IF(NOT(AND(COUNT(AH128)=1,N(AH128)&gt;0.004,V128&lt;&gt;"Void",V128&lt;&gt;"Not invoiced",V128&lt;&gt;"Draft")),"",IF(COUNT(X128)=0,"No due date",IF(TODAY()-X128&lt;=0,"Not yet due",IF(TODAY()-X128&lt;=30,"1-30 days",IF(TODAY()-X128&lt;=60,"31-60 days",IF(TODAY()-X128&lt;=90,"61-90 days","Over 90 days")))))))</f>
        <v/>
      </c>
      <c r="AM128" s="49">
        <f>IF(OR(AL128="",AL128="No due date"),"",MAX(TODAY()-X128,0))</f>
        <v/>
      </c>
      <c r="AN128" s="49">
        <f>IF(AL128="","",IF(COUNT(X128)=0,-100000,TODAY()-X128))</f>
        <v/>
      </c>
      <c r="AO128" s="49">
        <f>IF(AN128="","",COUNTIF(AN$11:AN$1010,"&gt;"&amp;AN128)+COUNTIF(AN$11:AN128,AN128))</f>
        <v/>
      </c>
      <c r="AP128" s="49">
        <f>IF(OR(A128="",B128=""),"",IF(COUNTIF(B$11:B128,B128)=1,MAX(AP$10:AP127)+1,""))</f>
        <v/>
      </c>
    </row>
    <row r="129" ht="24" customHeight="1">
      <c r="A129" s="20" t="n"/>
      <c r="B129" s="10" t="n"/>
      <c r="C129" s="10" t="n"/>
      <c r="D129" s="10" t="n"/>
      <c r="E129" s="10" t="n"/>
      <c r="F129" s="18" t="n"/>
      <c r="G129" s="10" t="n"/>
      <c r="H129" s="12" t="n"/>
      <c r="I129" s="12" t="n"/>
      <c r="J129" s="13">
        <f>IF(OR(A129="",COUNT(H129)=0,COUNT(Z129)=0),"",ROUND(Z129-H129,2))</f>
        <v/>
      </c>
      <c r="K129" s="15">
        <f>IF(COUNT(J129)=0,"",IF(Z129=0,"n.a.",J129/Z129))</f>
        <v/>
      </c>
      <c r="L129" s="14">
        <f>IF(OR(A129="",COUNT(H129)=0,COUNT(Y129)=0),"",ROUND(H129*(1+Y129),2))</f>
        <v/>
      </c>
      <c r="M129" s="10" t="n"/>
      <c r="N129" s="10" t="n"/>
      <c r="O129" s="10" t="n"/>
      <c r="P129" s="10" t="n"/>
      <c r="Q129" s="20" t="n"/>
      <c r="R129" s="10" t="n"/>
      <c r="S129" s="10" t="n"/>
      <c r="T129" s="18" t="n"/>
      <c r="U129" s="18" t="n"/>
      <c r="V129" s="10" t="n"/>
      <c r="W129" s="10" t="n"/>
      <c r="X129" s="19">
        <f>IF(OR(A129="",COUNT(U129)=0,COUNT(AI129)=0),"",U129+AI129)</f>
        <v/>
      </c>
      <c r="Y129" s="16" t="n"/>
      <c r="Z129" s="12" t="n"/>
      <c r="AA129" s="17">
        <f>IF(COUNT(J129)=0,"",IF(H129=0,"n.a.",J129/H129))</f>
        <v/>
      </c>
      <c r="AB129" s="12" t="n"/>
      <c r="AC129" s="12" t="n"/>
      <c r="AD129" s="12" t="n"/>
      <c r="AE129" s="13">
        <f>IF(OR(COUNT(J129)=0,COUNT(AB129:AD129)&lt;3),"",ROUND(J129-SUM(AB129:AD129),2))</f>
        <v/>
      </c>
      <c r="AF129" s="15">
        <f>IF(COUNT(AE129)=0,"",IF(Z129=0,"n.a.",AE129/Z129))</f>
        <v/>
      </c>
      <c r="AG129" s="12" t="n"/>
      <c r="AH129" s="14">
        <f>IF(OR(A129="",COUNT(Z129)=0,COUNT(AG129)=0),"",ROUND(Z129-AG129,2))</f>
        <v/>
      </c>
      <c r="AI129" s="21" t="n"/>
      <c r="AJ129" s="11">
        <f>IF(A129="","",IF(COUNT(I129)=0,"Enter approved NTE",IF(COUNT(Z129)&gt;0,IF(Z129&gt;I129,"Invoice exceeds NTE","Invoice within NTE"),IF(COUNT(L129)=0,"Enter quote inputs",IF(L129&gt;I129,"Quote exceeds NTE","Quote within NTE")))))</f>
        <v/>
      </c>
      <c r="AK129" s="11">
        <f>IF(A129="","",IF(COUNT(H129)=0,"Enter direct cost",IF(COUNT(Z129)=0,"Enter invoice revenue",IF(COUNT(AB129:AD129)&lt;3,"Enter expenses (0 if none)","Complete"))))</f>
        <v/>
      </c>
      <c r="AL129" s="11">
        <f>IF(A129="","",IF(NOT(AND(COUNT(AH129)=1,N(AH129)&gt;0.004,V129&lt;&gt;"Void",V129&lt;&gt;"Not invoiced",V129&lt;&gt;"Draft")),"",IF(COUNT(X129)=0,"No due date",IF(TODAY()-X129&lt;=0,"Not yet due",IF(TODAY()-X129&lt;=30,"1-30 days",IF(TODAY()-X129&lt;=60,"31-60 days",IF(TODAY()-X129&lt;=90,"61-90 days","Over 90 days")))))))</f>
        <v/>
      </c>
      <c r="AM129" s="49">
        <f>IF(OR(AL129="",AL129="No due date"),"",MAX(TODAY()-X129,0))</f>
        <v/>
      </c>
      <c r="AN129" s="49">
        <f>IF(AL129="","",IF(COUNT(X129)=0,-100000,TODAY()-X129))</f>
        <v/>
      </c>
      <c r="AO129" s="49">
        <f>IF(AN129="","",COUNTIF(AN$11:AN$1010,"&gt;"&amp;AN129)+COUNTIF(AN$11:AN129,AN129))</f>
        <v/>
      </c>
      <c r="AP129" s="49">
        <f>IF(OR(A129="",B129=""),"",IF(COUNTIF(B$11:B129,B129)=1,MAX(AP$10:AP128)+1,""))</f>
        <v/>
      </c>
    </row>
    <row r="130" ht="24" customHeight="1">
      <c r="A130" s="20" t="n"/>
      <c r="B130" s="10" t="n"/>
      <c r="C130" s="10" t="n"/>
      <c r="D130" s="10" t="n"/>
      <c r="E130" s="10" t="n"/>
      <c r="F130" s="18" t="n"/>
      <c r="G130" s="10" t="n"/>
      <c r="H130" s="12" t="n"/>
      <c r="I130" s="12" t="n"/>
      <c r="J130" s="13">
        <f>IF(OR(A130="",COUNT(H130)=0,COUNT(Z130)=0),"",ROUND(Z130-H130,2))</f>
        <v/>
      </c>
      <c r="K130" s="15">
        <f>IF(COUNT(J130)=0,"",IF(Z130=0,"n.a.",J130/Z130))</f>
        <v/>
      </c>
      <c r="L130" s="14">
        <f>IF(OR(A130="",COUNT(H130)=0,COUNT(Y130)=0),"",ROUND(H130*(1+Y130),2))</f>
        <v/>
      </c>
      <c r="M130" s="10" t="n"/>
      <c r="N130" s="10" t="n"/>
      <c r="O130" s="10" t="n"/>
      <c r="P130" s="10" t="n"/>
      <c r="Q130" s="20" t="n"/>
      <c r="R130" s="10" t="n"/>
      <c r="S130" s="10" t="n"/>
      <c r="T130" s="18" t="n"/>
      <c r="U130" s="18" t="n"/>
      <c r="V130" s="10" t="n"/>
      <c r="W130" s="10" t="n"/>
      <c r="X130" s="19">
        <f>IF(OR(A130="",COUNT(U130)=0,COUNT(AI130)=0),"",U130+AI130)</f>
        <v/>
      </c>
      <c r="Y130" s="16" t="n"/>
      <c r="Z130" s="12" t="n"/>
      <c r="AA130" s="17">
        <f>IF(COUNT(J130)=0,"",IF(H130=0,"n.a.",J130/H130))</f>
        <v/>
      </c>
      <c r="AB130" s="12" t="n"/>
      <c r="AC130" s="12" t="n"/>
      <c r="AD130" s="12" t="n"/>
      <c r="AE130" s="13">
        <f>IF(OR(COUNT(J130)=0,COUNT(AB130:AD130)&lt;3),"",ROUND(J130-SUM(AB130:AD130),2))</f>
        <v/>
      </c>
      <c r="AF130" s="15">
        <f>IF(COUNT(AE130)=0,"",IF(Z130=0,"n.a.",AE130/Z130))</f>
        <v/>
      </c>
      <c r="AG130" s="12" t="n"/>
      <c r="AH130" s="14">
        <f>IF(OR(A130="",COUNT(Z130)=0,COUNT(AG130)=0),"",ROUND(Z130-AG130,2))</f>
        <v/>
      </c>
      <c r="AI130" s="21" t="n"/>
      <c r="AJ130" s="11">
        <f>IF(A130="","",IF(COUNT(I130)=0,"Enter approved NTE",IF(COUNT(Z130)&gt;0,IF(Z130&gt;I130,"Invoice exceeds NTE","Invoice within NTE"),IF(COUNT(L130)=0,"Enter quote inputs",IF(L130&gt;I130,"Quote exceeds NTE","Quote within NTE")))))</f>
        <v/>
      </c>
      <c r="AK130" s="11">
        <f>IF(A130="","",IF(COUNT(H130)=0,"Enter direct cost",IF(COUNT(Z130)=0,"Enter invoice revenue",IF(COUNT(AB130:AD130)&lt;3,"Enter expenses (0 if none)","Complete"))))</f>
        <v/>
      </c>
      <c r="AL130" s="11">
        <f>IF(A130="","",IF(NOT(AND(COUNT(AH130)=1,N(AH130)&gt;0.004,V130&lt;&gt;"Void",V130&lt;&gt;"Not invoiced",V130&lt;&gt;"Draft")),"",IF(COUNT(X130)=0,"No due date",IF(TODAY()-X130&lt;=0,"Not yet due",IF(TODAY()-X130&lt;=30,"1-30 days",IF(TODAY()-X130&lt;=60,"31-60 days",IF(TODAY()-X130&lt;=90,"61-90 days","Over 90 days")))))))</f>
        <v/>
      </c>
      <c r="AM130" s="49">
        <f>IF(OR(AL130="",AL130="No due date"),"",MAX(TODAY()-X130,0))</f>
        <v/>
      </c>
      <c r="AN130" s="49">
        <f>IF(AL130="","",IF(COUNT(X130)=0,-100000,TODAY()-X130))</f>
        <v/>
      </c>
      <c r="AO130" s="49">
        <f>IF(AN130="","",COUNTIF(AN$11:AN$1010,"&gt;"&amp;AN130)+COUNTIF(AN$11:AN130,AN130))</f>
        <v/>
      </c>
      <c r="AP130" s="49">
        <f>IF(OR(A130="",B130=""),"",IF(COUNTIF(B$11:B130,B130)=1,MAX(AP$10:AP129)+1,""))</f>
        <v/>
      </c>
    </row>
    <row r="131" ht="24" customHeight="1">
      <c r="A131" s="20" t="n"/>
      <c r="B131" s="10" t="n"/>
      <c r="C131" s="10" t="n"/>
      <c r="D131" s="10" t="n"/>
      <c r="E131" s="10" t="n"/>
      <c r="F131" s="18" t="n"/>
      <c r="G131" s="10" t="n"/>
      <c r="H131" s="12" t="n"/>
      <c r="I131" s="12" t="n"/>
      <c r="J131" s="13">
        <f>IF(OR(A131="",COUNT(H131)=0,COUNT(Z131)=0),"",ROUND(Z131-H131,2))</f>
        <v/>
      </c>
      <c r="K131" s="15">
        <f>IF(COUNT(J131)=0,"",IF(Z131=0,"n.a.",J131/Z131))</f>
        <v/>
      </c>
      <c r="L131" s="14">
        <f>IF(OR(A131="",COUNT(H131)=0,COUNT(Y131)=0),"",ROUND(H131*(1+Y131),2))</f>
        <v/>
      </c>
      <c r="M131" s="10" t="n"/>
      <c r="N131" s="10" t="n"/>
      <c r="O131" s="10" t="n"/>
      <c r="P131" s="10" t="n"/>
      <c r="Q131" s="20" t="n"/>
      <c r="R131" s="10" t="n"/>
      <c r="S131" s="10" t="n"/>
      <c r="T131" s="18" t="n"/>
      <c r="U131" s="18" t="n"/>
      <c r="V131" s="10" t="n"/>
      <c r="W131" s="10" t="n"/>
      <c r="X131" s="19">
        <f>IF(OR(A131="",COUNT(U131)=0,COUNT(AI131)=0),"",U131+AI131)</f>
        <v/>
      </c>
      <c r="Y131" s="16" t="n"/>
      <c r="Z131" s="12" t="n"/>
      <c r="AA131" s="17">
        <f>IF(COUNT(J131)=0,"",IF(H131=0,"n.a.",J131/H131))</f>
        <v/>
      </c>
      <c r="AB131" s="12" t="n"/>
      <c r="AC131" s="12" t="n"/>
      <c r="AD131" s="12" t="n"/>
      <c r="AE131" s="13">
        <f>IF(OR(COUNT(J131)=0,COUNT(AB131:AD131)&lt;3),"",ROUND(J131-SUM(AB131:AD131),2))</f>
        <v/>
      </c>
      <c r="AF131" s="15">
        <f>IF(COUNT(AE131)=0,"",IF(Z131=0,"n.a.",AE131/Z131))</f>
        <v/>
      </c>
      <c r="AG131" s="12" t="n"/>
      <c r="AH131" s="14">
        <f>IF(OR(A131="",COUNT(Z131)=0,COUNT(AG131)=0),"",ROUND(Z131-AG131,2))</f>
        <v/>
      </c>
      <c r="AI131" s="21" t="n"/>
      <c r="AJ131" s="11">
        <f>IF(A131="","",IF(COUNT(I131)=0,"Enter approved NTE",IF(COUNT(Z131)&gt;0,IF(Z131&gt;I131,"Invoice exceeds NTE","Invoice within NTE"),IF(COUNT(L131)=0,"Enter quote inputs",IF(L131&gt;I131,"Quote exceeds NTE","Quote within NTE")))))</f>
        <v/>
      </c>
      <c r="AK131" s="11">
        <f>IF(A131="","",IF(COUNT(H131)=0,"Enter direct cost",IF(COUNT(Z131)=0,"Enter invoice revenue",IF(COUNT(AB131:AD131)&lt;3,"Enter expenses (0 if none)","Complete"))))</f>
        <v/>
      </c>
      <c r="AL131" s="11">
        <f>IF(A131="","",IF(NOT(AND(COUNT(AH131)=1,N(AH131)&gt;0.004,V131&lt;&gt;"Void",V131&lt;&gt;"Not invoiced",V131&lt;&gt;"Draft")),"",IF(COUNT(X131)=0,"No due date",IF(TODAY()-X131&lt;=0,"Not yet due",IF(TODAY()-X131&lt;=30,"1-30 days",IF(TODAY()-X131&lt;=60,"31-60 days",IF(TODAY()-X131&lt;=90,"61-90 days","Over 90 days")))))))</f>
        <v/>
      </c>
      <c r="AM131" s="49">
        <f>IF(OR(AL131="",AL131="No due date"),"",MAX(TODAY()-X131,0))</f>
        <v/>
      </c>
      <c r="AN131" s="49">
        <f>IF(AL131="","",IF(COUNT(X131)=0,-100000,TODAY()-X131))</f>
        <v/>
      </c>
      <c r="AO131" s="49">
        <f>IF(AN131="","",COUNTIF(AN$11:AN$1010,"&gt;"&amp;AN131)+COUNTIF(AN$11:AN131,AN131))</f>
        <v/>
      </c>
      <c r="AP131" s="49">
        <f>IF(OR(A131="",B131=""),"",IF(COUNTIF(B$11:B131,B131)=1,MAX(AP$10:AP130)+1,""))</f>
        <v/>
      </c>
    </row>
    <row r="132" ht="24" customHeight="1">
      <c r="A132" s="20" t="n"/>
      <c r="B132" s="10" t="n"/>
      <c r="C132" s="10" t="n"/>
      <c r="D132" s="10" t="n"/>
      <c r="E132" s="10" t="n"/>
      <c r="F132" s="18" t="n"/>
      <c r="G132" s="10" t="n"/>
      <c r="H132" s="12" t="n"/>
      <c r="I132" s="12" t="n"/>
      <c r="J132" s="13">
        <f>IF(OR(A132="",COUNT(H132)=0,COUNT(Z132)=0),"",ROUND(Z132-H132,2))</f>
        <v/>
      </c>
      <c r="K132" s="15">
        <f>IF(COUNT(J132)=0,"",IF(Z132=0,"n.a.",J132/Z132))</f>
        <v/>
      </c>
      <c r="L132" s="14">
        <f>IF(OR(A132="",COUNT(H132)=0,COUNT(Y132)=0),"",ROUND(H132*(1+Y132),2))</f>
        <v/>
      </c>
      <c r="M132" s="10" t="n"/>
      <c r="N132" s="10" t="n"/>
      <c r="O132" s="10" t="n"/>
      <c r="P132" s="10" t="n"/>
      <c r="Q132" s="20" t="n"/>
      <c r="R132" s="10" t="n"/>
      <c r="S132" s="10" t="n"/>
      <c r="T132" s="18" t="n"/>
      <c r="U132" s="18" t="n"/>
      <c r="V132" s="10" t="n"/>
      <c r="W132" s="10" t="n"/>
      <c r="X132" s="19">
        <f>IF(OR(A132="",COUNT(U132)=0,COUNT(AI132)=0),"",U132+AI132)</f>
        <v/>
      </c>
      <c r="Y132" s="16" t="n"/>
      <c r="Z132" s="12" t="n"/>
      <c r="AA132" s="17">
        <f>IF(COUNT(J132)=0,"",IF(H132=0,"n.a.",J132/H132))</f>
        <v/>
      </c>
      <c r="AB132" s="12" t="n"/>
      <c r="AC132" s="12" t="n"/>
      <c r="AD132" s="12" t="n"/>
      <c r="AE132" s="13">
        <f>IF(OR(COUNT(J132)=0,COUNT(AB132:AD132)&lt;3),"",ROUND(J132-SUM(AB132:AD132),2))</f>
        <v/>
      </c>
      <c r="AF132" s="15">
        <f>IF(COUNT(AE132)=0,"",IF(Z132=0,"n.a.",AE132/Z132))</f>
        <v/>
      </c>
      <c r="AG132" s="12" t="n"/>
      <c r="AH132" s="14">
        <f>IF(OR(A132="",COUNT(Z132)=0,COUNT(AG132)=0),"",ROUND(Z132-AG132,2))</f>
        <v/>
      </c>
      <c r="AI132" s="21" t="n"/>
      <c r="AJ132" s="11">
        <f>IF(A132="","",IF(COUNT(I132)=0,"Enter approved NTE",IF(COUNT(Z132)&gt;0,IF(Z132&gt;I132,"Invoice exceeds NTE","Invoice within NTE"),IF(COUNT(L132)=0,"Enter quote inputs",IF(L132&gt;I132,"Quote exceeds NTE","Quote within NTE")))))</f>
        <v/>
      </c>
      <c r="AK132" s="11">
        <f>IF(A132="","",IF(COUNT(H132)=0,"Enter direct cost",IF(COUNT(Z132)=0,"Enter invoice revenue",IF(COUNT(AB132:AD132)&lt;3,"Enter expenses (0 if none)","Complete"))))</f>
        <v/>
      </c>
      <c r="AL132" s="11">
        <f>IF(A132="","",IF(NOT(AND(COUNT(AH132)=1,N(AH132)&gt;0.004,V132&lt;&gt;"Void",V132&lt;&gt;"Not invoiced",V132&lt;&gt;"Draft")),"",IF(COUNT(X132)=0,"No due date",IF(TODAY()-X132&lt;=0,"Not yet due",IF(TODAY()-X132&lt;=30,"1-30 days",IF(TODAY()-X132&lt;=60,"31-60 days",IF(TODAY()-X132&lt;=90,"61-90 days","Over 90 days")))))))</f>
        <v/>
      </c>
      <c r="AM132" s="49">
        <f>IF(OR(AL132="",AL132="No due date"),"",MAX(TODAY()-X132,0))</f>
        <v/>
      </c>
      <c r="AN132" s="49">
        <f>IF(AL132="","",IF(COUNT(X132)=0,-100000,TODAY()-X132))</f>
        <v/>
      </c>
      <c r="AO132" s="49">
        <f>IF(AN132="","",COUNTIF(AN$11:AN$1010,"&gt;"&amp;AN132)+COUNTIF(AN$11:AN132,AN132))</f>
        <v/>
      </c>
      <c r="AP132" s="49">
        <f>IF(OR(A132="",B132=""),"",IF(COUNTIF(B$11:B132,B132)=1,MAX(AP$10:AP131)+1,""))</f>
        <v/>
      </c>
    </row>
    <row r="133" ht="24" customHeight="1">
      <c r="A133" s="20" t="n"/>
      <c r="B133" s="10" t="n"/>
      <c r="C133" s="10" t="n"/>
      <c r="D133" s="10" t="n"/>
      <c r="E133" s="10" t="n"/>
      <c r="F133" s="18" t="n"/>
      <c r="G133" s="10" t="n"/>
      <c r="H133" s="12" t="n"/>
      <c r="I133" s="12" t="n"/>
      <c r="J133" s="13">
        <f>IF(OR(A133="",COUNT(H133)=0,COUNT(Z133)=0),"",ROUND(Z133-H133,2))</f>
        <v/>
      </c>
      <c r="K133" s="15">
        <f>IF(COUNT(J133)=0,"",IF(Z133=0,"n.a.",J133/Z133))</f>
        <v/>
      </c>
      <c r="L133" s="14">
        <f>IF(OR(A133="",COUNT(H133)=0,COUNT(Y133)=0),"",ROUND(H133*(1+Y133),2))</f>
        <v/>
      </c>
      <c r="M133" s="10" t="n"/>
      <c r="N133" s="10" t="n"/>
      <c r="O133" s="10" t="n"/>
      <c r="P133" s="10" t="n"/>
      <c r="Q133" s="20" t="n"/>
      <c r="R133" s="10" t="n"/>
      <c r="S133" s="10" t="n"/>
      <c r="T133" s="18" t="n"/>
      <c r="U133" s="18" t="n"/>
      <c r="V133" s="10" t="n"/>
      <c r="W133" s="10" t="n"/>
      <c r="X133" s="19">
        <f>IF(OR(A133="",COUNT(U133)=0,COUNT(AI133)=0),"",U133+AI133)</f>
        <v/>
      </c>
      <c r="Y133" s="16" t="n"/>
      <c r="Z133" s="12" t="n"/>
      <c r="AA133" s="17">
        <f>IF(COUNT(J133)=0,"",IF(H133=0,"n.a.",J133/H133))</f>
        <v/>
      </c>
      <c r="AB133" s="12" t="n"/>
      <c r="AC133" s="12" t="n"/>
      <c r="AD133" s="12" t="n"/>
      <c r="AE133" s="13">
        <f>IF(OR(COUNT(J133)=0,COUNT(AB133:AD133)&lt;3),"",ROUND(J133-SUM(AB133:AD133),2))</f>
        <v/>
      </c>
      <c r="AF133" s="15">
        <f>IF(COUNT(AE133)=0,"",IF(Z133=0,"n.a.",AE133/Z133))</f>
        <v/>
      </c>
      <c r="AG133" s="12" t="n"/>
      <c r="AH133" s="14">
        <f>IF(OR(A133="",COUNT(Z133)=0,COUNT(AG133)=0),"",ROUND(Z133-AG133,2))</f>
        <v/>
      </c>
      <c r="AI133" s="21" t="n"/>
      <c r="AJ133" s="11">
        <f>IF(A133="","",IF(COUNT(I133)=0,"Enter approved NTE",IF(COUNT(Z133)&gt;0,IF(Z133&gt;I133,"Invoice exceeds NTE","Invoice within NTE"),IF(COUNT(L133)=0,"Enter quote inputs",IF(L133&gt;I133,"Quote exceeds NTE","Quote within NTE")))))</f>
        <v/>
      </c>
      <c r="AK133" s="11">
        <f>IF(A133="","",IF(COUNT(H133)=0,"Enter direct cost",IF(COUNT(Z133)=0,"Enter invoice revenue",IF(COUNT(AB133:AD133)&lt;3,"Enter expenses (0 if none)","Complete"))))</f>
        <v/>
      </c>
      <c r="AL133" s="11">
        <f>IF(A133="","",IF(NOT(AND(COUNT(AH133)=1,N(AH133)&gt;0.004,V133&lt;&gt;"Void",V133&lt;&gt;"Not invoiced",V133&lt;&gt;"Draft")),"",IF(COUNT(X133)=0,"No due date",IF(TODAY()-X133&lt;=0,"Not yet due",IF(TODAY()-X133&lt;=30,"1-30 days",IF(TODAY()-X133&lt;=60,"31-60 days",IF(TODAY()-X133&lt;=90,"61-90 days","Over 90 days")))))))</f>
        <v/>
      </c>
      <c r="AM133" s="49">
        <f>IF(OR(AL133="",AL133="No due date"),"",MAX(TODAY()-X133,0))</f>
        <v/>
      </c>
      <c r="AN133" s="49">
        <f>IF(AL133="","",IF(COUNT(X133)=0,-100000,TODAY()-X133))</f>
        <v/>
      </c>
      <c r="AO133" s="49">
        <f>IF(AN133="","",COUNTIF(AN$11:AN$1010,"&gt;"&amp;AN133)+COUNTIF(AN$11:AN133,AN133))</f>
        <v/>
      </c>
      <c r="AP133" s="49">
        <f>IF(OR(A133="",B133=""),"",IF(COUNTIF(B$11:B133,B133)=1,MAX(AP$10:AP132)+1,""))</f>
        <v/>
      </c>
    </row>
    <row r="134" ht="24" customHeight="1">
      <c r="A134" s="20" t="n"/>
      <c r="B134" s="10" t="n"/>
      <c r="C134" s="10" t="n"/>
      <c r="D134" s="10" t="n"/>
      <c r="E134" s="10" t="n"/>
      <c r="F134" s="18" t="n"/>
      <c r="G134" s="10" t="n"/>
      <c r="H134" s="12" t="n"/>
      <c r="I134" s="12" t="n"/>
      <c r="J134" s="13">
        <f>IF(OR(A134="",COUNT(H134)=0,COUNT(Z134)=0),"",ROUND(Z134-H134,2))</f>
        <v/>
      </c>
      <c r="K134" s="15">
        <f>IF(COUNT(J134)=0,"",IF(Z134=0,"n.a.",J134/Z134))</f>
        <v/>
      </c>
      <c r="L134" s="14">
        <f>IF(OR(A134="",COUNT(H134)=0,COUNT(Y134)=0),"",ROUND(H134*(1+Y134),2))</f>
        <v/>
      </c>
      <c r="M134" s="10" t="n"/>
      <c r="N134" s="10" t="n"/>
      <c r="O134" s="10" t="n"/>
      <c r="P134" s="10" t="n"/>
      <c r="Q134" s="20" t="n"/>
      <c r="R134" s="10" t="n"/>
      <c r="S134" s="10" t="n"/>
      <c r="T134" s="18" t="n"/>
      <c r="U134" s="18" t="n"/>
      <c r="V134" s="10" t="n"/>
      <c r="W134" s="10" t="n"/>
      <c r="X134" s="19">
        <f>IF(OR(A134="",COUNT(U134)=0,COUNT(AI134)=0),"",U134+AI134)</f>
        <v/>
      </c>
      <c r="Y134" s="16" t="n"/>
      <c r="Z134" s="12" t="n"/>
      <c r="AA134" s="17">
        <f>IF(COUNT(J134)=0,"",IF(H134=0,"n.a.",J134/H134))</f>
        <v/>
      </c>
      <c r="AB134" s="12" t="n"/>
      <c r="AC134" s="12" t="n"/>
      <c r="AD134" s="12" t="n"/>
      <c r="AE134" s="13">
        <f>IF(OR(COUNT(J134)=0,COUNT(AB134:AD134)&lt;3),"",ROUND(J134-SUM(AB134:AD134),2))</f>
        <v/>
      </c>
      <c r="AF134" s="15">
        <f>IF(COUNT(AE134)=0,"",IF(Z134=0,"n.a.",AE134/Z134))</f>
        <v/>
      </c>
      <c r="AG134" s="12" t="n"/>
      <c r="AH134" s="14">
        <f>IF(OR(A134="",COUNT(Z134)=0,COUNT(AG134)=0),"",ROUND(Z134-AG134,2))</f>
        <v/>
      </c>
      <c r="AI134" s="21" t="n"/>
      <c r="AJ134" s="11">
        <f>IF(A134="","",IF(COUNT(I134)=0,"Enter approved NTE",IF(COUNT(Z134)&gt;0,IF(Z134&gt;I134,"Invoice exceeds NTE","Invoice within NTE"),IF(COUNT(L134)=0,"Enter quote inputs",IF(L134&gt;I134,"Quote exceeds NTE","Quote within NTE")))))</f>
        <v/>
      </c>
      <c r="AK134" s="11">
        <f>IF(A134="","",IF(COUNT(H134)=0,"Enter direct cost",IF(COUNT(Z134)=0,"Enter invoice revenue",IF(COUNT(AB134:AD134)&lt;3,"Enter expenses (0 if none)","Complete"))))</f>
        <v/>
      </c>
      <c r="AL134" s="11">
        <f>IF(A134="","",IF(NOT(AND(COUNT(AH134)=1,N(AH134)&gt;0.004,V134&lt;&gt;"Void",V134&lt;&gt;"Not invoiced",V134&lt;&gt;"Draft")),"",IF(COUNT(X134)=0,"No due date",IF(TODAY()-X134&lt;=0,"Not yet due",IF(TODAY()-X134&lt;=30,"1-30 days",IF(TODAY()-X134&lt;=60,"31-60 days",IF(TODAY()-X134&lt;=90,"61-90 days","Over 90 days")))))))</f>
        <v/>
      </c>
      <c r="AM134" s="49">
        <f>IF(OR(AL134="",AL134="No due date"),"",MAX(TODAY()-X134,0))</f>
        <v/>
      </c>
      <c r="AN134" s="49">
        <f>IF(AL134="","",IF(COUNT(X134)=0,-100000,TODAY()-X134))</f>
        <v/>
      </c>
      <c r="AO134" s="49">
        <f>IF(AN134="","",COUNTIF(AN$11:AN$1010,"&gt;"&amp;AN134)+COUNTIF(AN$11:AN134,AN134))</f>
        <v/>
      </c>
      <c r="AP134" s="49">
        <f>IF(OR(A134="",B134=""),"",IF(COUNTIF(B$11:B134,B134)=1,MAX(AP$10:AP133)+1,""))</f>
        <v/>
      </c>
    </row>
    <row r="135" ht="24" customHeight="1">
      <c r="A135" s="20" t="n"/>
      <c r="B135" s="10" t="n"/>
      <c r="C135" s="10" t="n"/>
      <c r="D135" s="10" t="n"/>
      <c r="E135" s="10" t="n"/>
      <c r="F135" s="18" t="n"/>
      <c r="G135" s="10" t="n"/>
      <c r="H135" s="12" t="n"/>
      <c r="I135" s="12" t="n"/>
      <c r="J135" s="13">
        <f>IF(OR(A135="",COUNT(H135)=0,COUNT(Z135)=0),"",ROUND(Z135-H135,2))</f>
        <v/>
      </c>
      <c r="K135" s="15">
        <f>IF(COUNT(J135)=0,"",IF(Z135=0,"n.a.",J135/Z135))</f>
        <v/>
      </c>
      <c r="L135" s="14">
        <f>IF(OR(A135="",COUNT(H135)=0,COUNT(Y135)=0),"",ROUND(H135*(1+Y135),2))</f>
        <v/>
      </c>
      <c r="M135" s="10" t="n"/>
      <c r="N135" s="10" t="n"/>
      <c r="O135" s="10" t="n"/>
      <c r="P135" s="10" t="n"/>
      <c r="Q135" s="20" t="n"/>
      <c r="R135" s="10" t="n"/>
      <c r="S135" s="10" t="n"/>
      <c r="T135" s="18" t="n"/>
      <c r="U135" s="18" t="n"/>
      <c r="V135" s="10" t="n"/>
      <c r="W135" s="10" t="n"/>
      <c r="X135" s="19">
        <f>IF(OR(A135="",COUNT(U135)=0,COUNT(AI135)=0),"",U135+AI135)</f>
        <v/>
      </c>
      <c r="Y135" s="16" t="n"/>
      <c r="Z135" s="12" t="n"/>
      <c r="AA135" s="17">
        <f>IF(COUNT(J135)=0,"",IF(H135=0,"n.a.",J135/H135))</f>
        <v/>
      </c>
      <c r="AB135" s="12" t="n"/>
      <c r="AC135" s="12" t="n"/>
      <c r="AD135" s="12" t="n"/>
      <c r="AE135" s="13">
        <f>IF(OR(COUNT(J135)=0,COUNT(AB135:AD135)&lt;3),"",ROUND(J135-SUM(AB135:AD135),2))</f>
        <v/>
      </c>
      <c r="AF135" s="15">
        <f>IF(COUNT(AE135)=0,"",IF(Z135=0,"n.a.",AE135/Z135))</f>
        <v/>
      </c>
      <c r="AG135" s="12" t="n"/>
      <c r="AH135" s="14">
        <f>IF(OR(A135="",COUNT(Z135)=0,COUNT(AG135)=0),"",ROUND(Z135-AG135,2))</f>
        <v/>
      </c>
      <c r="AI135" s="21" t="n"/>
      <c r="AJ135" s="11">
        <f>IF(A135="","",IF(COUNT(I135)=0,"Enter approved NTE",IF(COUNT(Z135)&gt;0,IF(Z135&gt;I135,"Invoice exceeds NTE","Invoice within NTE"),IF(COUNT(L135)=0,"Enter quote inputs",IF(L135&gt;I135,"Quote exceeds NTE","Quote within NTE")))))</f>
        <v/>
      </c>
      <c r="AK135" s="11">
        <f>IF(A135="","",IF(COUNT(H135)=0,"Enter direct cost",IF(COUNT(Z135)=0,"Enter invoice revenue",IF(COUNT(AB135:AD135)&lt;3,"Enter expenses (0 if none)","Complete"))))</f>
        <v/>
      </c>
      <c r="AL135" s="11">
        <f>IF(A135="","",IF(NOT(AND(COUNT(AH135)=1,N(AH135)&gt;0.004,V135&lt;&gt;"Void",V135&lt;&gt;"Not invoiced",V135&lt;&gt;"Draft")),"",IF(COUNT(X135)=0,"No due date",IF(TODAY()-X135&lt;=0,"Not yet due",IF(TODAY()-X135&lt;=30,"1-30 days",IF(TODAY()-X135&lt;=60,"31-60 days",IF(TODAY()-X135&lt;=90,"61-90 days","Over 90 days")))))))</f>
        <v/>
      </c>
      <c r="AM135" s="49">
        <f>IF(OR(AL135="",AL135="No due date"),"",MAX(TODAY()-X135,0))</f>
        <v/>
      </c>
      <c r="AN135" s="49">
        <f>IF(AL135="","",IF(COUNT(X135)=0,-100000,TODAY()-X135))</f>
        <v/>
      </c>
      <c r="AO135" s="49">
        <f>IF(AN135="","",COUNTIF(AN$11:AN$1010,"&gt;"&amp;AN135)+COUNTIF(AN$11:AN135,AN135))</f>
        <v/>
      </c>
      <c r="AP135" s="49">
        <f>IF(OR(A135="",B135=""),"",IF(COUNTIF(B$11:B135,B135)=1,MAX(AP$10:AP134)+1,""))</f>
        <v/>
      </c>
    </row>
    <row r="136" ht="24" customHeight="1">
      <c r="A136" s="20" t="n"/>
      <c r="B136" s="10" t="n"/>
      <c r="C136" s="10" t="n"/>
      <c r="D136" s="10" t="n"/>
      <c r="E136" s="10" t="n"/>
      <c r="F136" s="18" t="n"/>
      <c r="G136" s="10" t="n"/>
      <c r="H136" s="12" t="n"/>
      <c r="I136" s="12" t="n"/>
      <c r="J136" s="13">
        <f>IF(OR(A136="",COUNT(H136)=0,COUNT(Z136)=0),"",ROUND(Z136-H136,2))</f>
        <v/>
      </c>
      <c r="K136" s="15">
        <f>IF(COUNT(J136)=0,"",IF(Z136=0,"n.a.",J136/Z136))</f>
        <v/>
      </c>
      <c r="L136" s="14">
        <f>IF(OR(A136="",COUNT(H136)=0,COUNT(Y136)=0),"",ROUND(H136*(1+Y136),2))</f>
        <v/>
      </c>
      <c r="M136" s="10" t="n"/>
      <c r="N136" s="10" t="n"/>
      <c r="O136" s="10" t="n"/>
      <c r="P136" s="10" t="n"/>
      <c r="Q136" s="20" t="n"/>
      <c r="R136" s="10" t="n"/>
      <c r="S136" s="10" t="n"/>
      <c r="T136" s="18" t="n"/>
      <c r="U136" s="18" t="n"/>
      <c r="V136" s="10" t="n"/>
      <c r="W136" s="10" t="n"/>
      <c r="X136" s="19">
        <f>IF(OR(A136="",COUNT(U136)=0,COUNT(AI136)=0),"",U136+AI136)</f>
        <v/>
      </c>
      <c r="Y136" s="16" t="n"/>
      <c r="Z136" s="12" t="n"/>
      <c r="AA136" s="17">
        <f>IF(COUNT(J136)=0,"",IF(H136=0,"n.a.",J136/H136))</f>
        <v/>
      </c>
      <c r="AB136" s="12" t="n"/>
      <c r="AC136" s="12" t="n"/>
      <c r="AD136" s="12" t="n"/>
      <c r="AE136" s="13">
        <f>IF(OR(COUNT(J136)=0,COUNT(AB136:AD136)&lt;3),"",ROUND(J136-SUM(AB136:AD136),2))</f>
        <v/>
      </c>
      <c r="AF136" s="15">
        <f>IF(COUNT(AE136)=0,"",IF(Z136=0,"n.a.",AE136/Z136))</f>
        <v/>
      </c>
      <c r="AG136" s="12" t="n"/>
      <c r="AH136" s="14">
        <f>IF(OR(A136="",COUNT(Z136)=0,COUNT(AG136)=0),"",ROUND(Z136-AG136,2))</f>
        <v/>
      </c>
      <c r="AI136" s="21" t="n"/>
      <c r="AJ136" s="11">
        <f>IF(A136="","",IF(COUNT(I136)=0,"Enter approved NTE",IF(COUNT(Z136)&gt;0,IF(Z136&gt;I136,"Invoice exceeds NTE","Invoice within NTE"),IF(COUNT(L136)=0,"Enter quote inputs",IF(L136&gt;I136,"Quote exceeds NTE","Quote within NTE")))))</f>
        <v/>
      </c>
      <c r="AK136" s="11">
        <f>IF(A136="","",IF(COUNT(H136)=0,"Enter direct cost",IF(COUNT(Z136)=0,"Enter invoice revenue",IF(COUNT(AB136:AD136)&lt;3,"Enter expenses (0 if none)","Complete"))))</f>
        <v/>
      </c>
      <c r="AL136" s="11">
        <f>IF(A136="","",IF(NOT(AND(COUNT(AH136)=1,N(AH136)&gt;0.004,V136&lt;&gt;"Void",V136&lt;&gt;"Not invoiced",V136&lt;&gt;"Draft")),"",IF(COUNT(X136)=0,"No due date",IF(TODAY()-X136&lt;=0,"Not yet due",IF(TODAY()-X136&lt;=30,"1-30 days",IF(TODAY()-X136&lt;=60,"31-60 days",IF(TODAY()-X136&lt;=90,"61-90 days","Over 90 days")))))))</f>
        <v/>
      </c>
      <c r="AM136" s="49">
        <f>IF(OR(AL136="",AL136="No due date"),"",MAX(TODAY()-X136,0))</f>
        <v/>
      </c>
      <c r="AN136" s="49">
        <f>IF(AL136="","",IF(COUNT(X136)=0,-100000,TODAY()-X136))</f>
        <v/>
      </c>
      <c r="AO136" s="49">
        <f>IF(AN136="","",COUNTIF(AN$11:AN$1010,"&gt;"&amp;AN136)+COUNTIF(AN$11:AN136,AN136))</f>
        <v/>
      </c>
      <c r="AP136" s="49">
        <f>IF(OR(A136="",B136=""),"",IF(COUNTIF(B$11:B136,B136)=1,MAX(AP$10:AP135)+1,""))</f>
        <v/>
      </c>
    </row>
    <row r="137" ht="24" customHeight="1">
      <c r="A137" s="20" t="n"/>
      <c r="B137" s="10" t="n"/>
      <c r="C137" s="10" t="n"/>
      <c r="D137" s="10" t="n"/>
      <c r="E137" s="10" t="n"/>
      <c r="F137" s="18" t="n"/>
      <c r="G137" s="10" t="n"/>
      <c r="H137" s="12" t="n"/>
      <c r="I137" s="12" t="n"/>
      <c r="J137" s="13">
        <f>IF(OR(A137="",COUNT(H137)=0,COUNT(Z137)=0),"",ROUND(Z137-H137,2))</f>
        <v/>
      </c>
      <c r="K137" s="15">
        <f>IF(COUNT(J137)=0,"",IF(Z137=0,"n.a.",J137/Z137))</f>
        <v/>
      </c>
      <c r="L137" s="14">
        <f>IF(OR(A137="",COUNT(H137)=0,COUNT(Y137)=0),"",ROUND(H137*(1+Y137),2))</f>
        <v/>
      </c>
      <c r="M137" s="10" t="n"/>
      <c r="N137" s="10" t="n"/>
      <c r="O137" s="10" t="n"/>
      <c r="P137" s="10" t="n"/>
      <c r="Q137" s="20" t="n"/>
      <c r="R137" s="10" t="n"/>
      <c r="S137" s="10" t="n"/>
      <c r="T137" s="18" t="n"/>
      <c r="U137" s="18" t="n"/>
      <c r="V137" s="10" t="n"/>
      <c r="W137" s="10" t="n"/>
      <c r="X137" s="19">
        <f>IF(OR(A137="",COUNT(U137)=0,COUNT(AI137)=0),"",U137+AI137)</f>
        <v/>
      </c>
      <c r="Y137" s="16" t="n"/>
      <c r="Z137" s="12" t="n"/>
      <c r="AA137" s="17">
        <f>IF(COUNT(J137)=0,"",IF(H137=0,"n.a.",J137/H137))</f>
        <v/>
      </c>
      <c r="AB137" s="12" t="n"/>
      <c r="AC137" s="12" t="n"/>
      <c r="AD137" s="12" t="n"/>
      <c r="AE137" s="13">
        <f>IF(OR(COUNT(J137)=0,COUNT(AB137:AD137)&lt;3),"",ROUND(J137-SUM(AB137:AD137),2))</f>
        <v/>
      </c>
      <c r="AF137" s="15">
        <f>IF(COUNT(AE137)=0,"",IF(Z137=0,"n.a.",AE137/Z137))</f>
        <v/>
      </c>
      <c r="AG137" s="12" t="n"/>
      <c r="AH137" s="14">
        <f>IF(OR(A137="",COUNT(Z137)=0,COUNT(AG137)=0),"",ROUND(Z137-AG137,2))</f>
        <v/>
      </c>
      <c r="AI137" s="21" t="n"/>
      <c r="AJ137" s="11">
        <f>IF(A137="","",IF(COUNT(I137)=0,"Enter approved NTE",IF(COUNT(Z137)&gt;0,IF(Z137&gt;I137,"Invoice exceeds NTE","Invoice within NTE"),IF(COUNT(L137)=0,"Enter quote inputs",IF(L137&gt;I137,"Quote exceeds NTE","Quote within NTE")))))</f>
        <v/>
      </c>
      <c r="AK137" s="11">
        <f>IF(A137="","",IF(COUNT(H137)=0,"Enter direct cost",IF(COUNT(Z137)=0,"Enter invoice revenue",IF(COUNT(AB137:AD137)&lt;3,"Enter expenses (0 if none)","Complete"))))</f>
        <v/>
      </c>
      <c r="AL137" s="11">
        <f>IF(A137="","",IF(NOT(AND(COUNT(AH137)=1,N(AH137)&gt;0.004,V137&lt;&gt;"Void",V137&lt;&gt;"Not invoiced",V137&lt;&gt;"Draft")),"",IF(COUNT(X137)=0,"No due date",IF(TODAY()-X137&lt;=0,"Not yet due",IF(TODAY()-X137&lt;=30,"1-30 days",IF(TODAY()-X137&lt;=60,"31-60 days",IF(TODAY()-X137&lt;=90,"61-90 days","Over 90 days")))))))</f>
        <v/>
      </c>
      <c r="AM137" s="49">
        <f>IF(OR(AL137="",AL137="No due date"),"",MAX(TODAY()-X137,0))</f>
        <v/>
      </c>
      <c r="AN137" s="49">
        <f>IF(AL137="","",IF(COUNT(X137)=0,-100000,TODAY()-X137))</f>
        <v/>
      </c>
      <c r="AO137" s="49">
        <f>IF(AN137="","",COUNTIF(AN$11:AN$1010,"&gt;"&amp;AN137)+COUNTIF(AN$11:AN137,AN137))</f>
        <v/>
      </c>
      <c r="AP137" s="49">
        <f>IF(OR(A137="",B137=""),"",IF(COUNTIF(B$11:B137,B137)=1,MAX(AP$10:AP136)+1,""))</f>
        <v/>
      </c>
    </row>
    <row r="138" ht="24" customHeight="1">
      <c r="A138" s="20" t="n"/>
      <c r="B138" s="10" t="n"/>
      <c r="C138" s="10" t="n"/>
      <c r="D138" s="10" t="n"/>
      <c r="E138" s="10" t="n"/>
      <c r="F138" s="18" t="n"/>
      <c r="G138" s="10" t="n"/>
      <c r="H138" s="12" t="n"/>
      <c r="I138" s="12" t="n"/>
      <c r="J138" s="13">
        <f>IF(OR(A138="",COUNT(H138)=0,COUNT(Z138)=0),"",ROUND(Z138-H138,2))</f>
        <v/>
      </c>
      <c r="K138" s="15">
        <f>IF(COUNT(J138)=0,"",IF(Z138=0,"n.a.",J138/Z138))</f>
        <v/>
      </c>
      <c r="L138" s="14">
        <f>IF(OR(A138="",COUNT(H138)=0,COUNT(Y138)=0),"",ROUND(H138*(1+Y138),2))</f>
        <v/>
      </c>
      <c r="M138" s="10" t="n"/>
      <c r="N138" s="10" t="n"/>
      <c r="O138" s="10" t="n"/>
      <c r="P138" s="10" t="n"/>
      <c r="Q138" s="20" t="n"/>
      <c r="R138" s="10" t="n"/>
      <c r="S138" s="10" t="n"/>
      <c r="T138" s="18" t="n"/>
      <c r="U138" s="18" t="n"/>
      <c r="V138" s="10" t="n"/>
      <c r="W138" s="10" t="n"/>
      <c r="X138" s="19">
        <f>IF(OR(A138="",COUNT(U138)=0,COUNT(AI138)=0),"",U138+AI138)</f>
        <v/>
      </c>
      <c r="Y138" s="16" t="n"/>
      <c r="Z138" s="12" t="n"/>
      <c r="AA138" s="17">
        <f>IF(COUNT(J138)=0,"",IF(H138=0,"n.a.",J138/H138))</f>
        <v/>
      </c>
      <c r="AB138" s="12" t="n"/>
      <c r="AC138" s="12" t="n"/>
      <c r="AD138" s="12" t="n"/>
      <c r="AE138" s="13">
        <f>IF(OR(COUNT(J138)=0,COUNT(AB138:AD138)&lt;3),"",ROUND(J138-SUM(AB138:AD138),2))</f>
        <v/>
      </c>
      <c r="AF138" s="15">
        <f>IF(COUNT(AE138)=0,"",IF(Z138=0,"n.a.",AE138/Z138))</f>
        <v/>
      </c>
      <c r="AG138" s="12" t="n"/>
      <c r="AH138" s="14">
        <f>IF(OR(A138="",COUNT(Z138)=0,COUNT(AG138)=0),"",ROUND(Z138-AG138,2))</f>
        <v/>
      </c>
      <c r="AI138" s="21" t="n"/>
      <c r="AJ138" s="11">
        <f>IF(A138="","",IF(COUNT(I138)=0,"Enter approved NTE",IF(COUNT(Z138)&gt;0,IF(Z138&gt;I138,"Invoice exceeds NTE","Invoice within NTE"),IF(COUNT(L138)=0,"Enter quote inputs",IF(L138&gt;I138,"Quote exceeds NTE","Quote within NTE")))))</f>
        <v/>
      </c>
      <c r="AK138" s="11">
        <f>IF(A138="","",IF(COUNT(H138)=0,"Enter direct cost",IF(COUNT(Z138)=0,"Enter invoice revenue",IF(COUNT(AB138:AD138)&lt;3,"Enter expenses (0 if none)","Complete"))))</f>
        <v/>
      </c>
      <c r="AL138" s="11">
        <f>IF(A138="","",IF(NOT(AND(COUNT(AH138)=1,N(AH138)&gt;0.004,V138&lt;&gt;"Void",V138&lt;&gt;"Not invoiced",V138&lt;&gt;"Draft")),"",IF(COUNT(X138)=0,"No due date",IF(TODAY()-X138&lt;=0,"Not yet due",IF(TODAY()-X138&lt;=30,"1-30 days",IF(TODAY()-X138&lt;=60,"31-60 days",IF(TODAY()-X138&lt;=90,"61-90 days","Over 90 days")))))))</f>
        <v/>
      </c>
      <c r="AM138" s="49">
        <f>IF(OR(AL138="",AL138="No due date"),"",MAX(TODAY()-X138,0))</f>
        <v/>
      </c>
      <c r="AN138" s="49">
        <f>IF(AL138="","",IF(COUNT(X138)=0,-100000,TODAY()-X138))</f>
        <v/>
      </c>
      <c r="AO138" s="49">
        <f>IF(AN138="","",COUNTIF(AN$11:AN$1010,"&gt;"&amp;AN138)+COUNTIF(AN$11:AN138,AN138))</f>
        <v/>
      </c>
      <c r="AP138" s="49">
        <f>IF(OR(A138="",B138=""),"",IF(COUNTIF(B$11:B138,B138)=1,MAX(AP$10:AP137)+1,""))</f>
        <v/>
      </c>
    </row>
    <row r="139" ht="24" customHeight="1">
      <c r="A139" s="20" t="n"/>
      <c r="B139" s="10" t="n"/>
      <c r="C139" s="10" t="n"/>
      <c r="D139" s="10" t="n"/>
      <c r="E139" s="10" t="n"/>
      <c r="F139" s="18" t="n"/>
      <c r="G139" s="10" t="n"/>
      <c r="H139" s="12" t="n"/>
      <c r="I139" s="12" t="n"/>
      <c r="J139" s="13">
        <f>IF(OR(A139="",COUNT(H139)=0,COUNT(Z139)=0),"",ROUND(Z139-H139,2))</f>
        <v/>
      </c>
      <c r="K139" s="15">
        <f>IF(COUNT(J139)=0,"",IF(Z139=0,"n.a.",J139/Z139))</f>
        <v/>
      </c>
      <c r="L139" s="14">
        <f>IF(OR(A139="",COUNT(H139)=0,COUNT(Y139)=0),"",ROUND(H139*(1+Y139),2))</f>
        <v/>
      </c>
      <c r="M139" s="10" t="n"/>
      <c r="N139" s="10" t="n"/>
      <c r="O139" s="10" t="n"/>
      <c r="P139" s="10" t="n"/>
      <c r="Q139" s="20" t="n"/>
      <c r="R139" s="10" t="n"/>
      <c r="S139" s="10" t="n"/>
      <c r="T139" s="18" t="n"/>
      <c r="U139" s="18" t="n"/>
      <c r="V139" s="10" t="n"/>
      <c r="W139" s="10" t="n"/>
      <c r="X139" s="19">
        <f>IF(OR(A139="",COUNT(U139)=0,COUNT(AI139)=0),"",U139+AI139)</f>
        <v/>
      </c>
      <c r="Y139" s="16" t="n"/>
      <c r="Z139" s="12" t="n"/>
      <c r="AA139" s="17">
        <f>IF(COUNT(J139)=0,"",IF(H139=0,"n.a.",J139/H139))</f>
        <v/>
      </c>
      <c r="AB139" s="12" t="n"/>
      <c r="AC139" s="12" t="n"/>
      <c r="AD139" s="12" t="n"/>
      <c r="AE139" s="13">
        <f>IF(OR(COUNT(J139)=0,COUNT(AB139:AD139)&lt;3),"",ROUND(J139-SUM(AB139:AD139),2))</f>
        <v/>
      </c>
      <c r="AF139" s="15">
        <f>IF(COUNT(AE139)=0,"",IF(Z139=0,"n.a.",AE139/Z139))</f>
        <v/>
      </c>
      <c r="AG139" s="12" t="n"/>
      <c r="AH139" s="14">
        <f>IF(OR(A139="",COUNT(Z139)=0,COUNT(AG139)=0),"",ROUND(Z139-AG139,2))</f>
        <v/>
      </c>
      <c r="AI139" s="21" t="n"/>
      <c r="AJ139" s="11">
        <f>IF(A139="","",IF(COUNT(I139)=0,"Enter approved NTE",IF(COUNT(Z139)&gt;0,IF(Z139&gt;I139,"Invoice exceeds NTE","Invoice within NTE"),IF(COUNT(L139)=0,"Enter quote inputs",IF(L139&gt;I139,"Quote exceeds NTE","Quote within NTE")))))</f>
        <v/>
      </c>
      <c r="AK139" s="11">
        <f>IF(A139="","",IF(COUNT(H139)=0,"Enter direct cost",IF(COUNT(Z139)=0,"Enter invoice revenue",IF(COUNT(AB139:AD139)&lt;3,"Enter expenses (0 if none)","Complete"))))</f>
        <v/>
      </c>
      <c r="AL139" s="11">
        <f>IF(A139="","",IF(NOT(AND(COUNT(AH139)=1,N(AH139)&gt;0.004,V139&lt;&gt;"Void",V139&lt;&gt;"Not invoiced",V139&lt;&gt;"Draft")),"",IF(COUNT(X139)=0,"No due date",IF(TODAY()-X139&lt;=0,"Not yet due",IF(TODAY()-X139&lt;=30,"1-30 days",IF(TODAY()-X139&lt;=60,"31-60 days",IF(TODAY()-X139&lt;=90,"61-90 days","Over 90 days")))))))</f>
        <v/>
      </c>
      <c r="AM139" s="49">
        <f>IF(OR(AL139="",AL139="No due date"),"",MAX(TODAY()-X139,0))</f>
        <v/>
      </c>
      <c r="AN139" s="49">
        <f>IF(AL139="","",IF(COUNT(X139)=0,-100000,TODAY()-X139))</f>
        <v/>
      </c>
      <c r="AO139" s="49">
        <f>IF(AN139="","",COUNTIF(AN$11:AN$1010,"&gt;"&amp;AN139)+COUNTIF(AN$11:AN139,AN139))</f>
        <v/>
      </c>
      <c r="AP139" s="49">
        <f>IF(OR(A139="",B139=""),"",IF(COUNTIF(B$11:B139,B139)=1,MAX(AP$10:AP138)+1,""))</f>
        <v/>
      </c>
    </row>
    <row r="140" ht="24" customHeight="1">
      <c r="A140" s="20" t="n"/>
      <c r="B140" s="10" t="n"/>
      <c r="C140" s="10" t="n"/>
      <c r="D140" s="10" t="n"/>
      <c r="E140" s="10" t="n"/>
      <c r="F140" s="18" t="n"/>
      <c r="G140" s="10" t="n"/>
      <c r="H140" s="12" t="n"/>
      <c r="I140" s="12" t="n"/>
      <c r="J140" s="13">
        <f>IF(OR(A140="",COUNT(H140)=0,COUNT(Z140)=0),"",ROUND(Z140-H140,2))</f>
        <v/>
      </c>
      <c r="K140" s="15">
        <f>IF(COUNT(J140)=0,"",IF(Z140=0,"n.a.",J140/Z140))</f>
        <v/>
      </c>
      <c r="L140" s="14">
        <f>IF(OR(A140="",COUNT(H140)=0,COUNT(Y140)=0),"",ROUND(H140*(1+Y140),2))</f>
        <v/>
      </c>
      <c r="M140" s="10" t="n"/>
      <c r="N140" s="10" t="n"/>
      <c r="O140" s="10" t="n"/>
      <c r="P140" s="10" t="n"/>
      <c r="Q140" s="20" t="n"/>
      <c r="R140" s="10" t="n"/>
      <c r="S140" s="10" t="n"/>
      <c r="T140" s="18" t="n"/>
      <c r="U140" s="18" t="n"/>
      <c r="V140" s="10" t="n"/>
      <c r="W140" s="10" t="n"/>
      <c r="X140" s="19">
        <f>IF(OR(A140="",COUNT(U140)=0,COUNT(AI140)=0),"",U140+AI140)</f>
        <v/>
      </c>
      <c r="Y140" s="16" t="n"/>
      <c r="Z140" s="12" t="n"/>
      <c r="AA140" s="17">
        <f>IF(COUNT(J140)=0,"",IF(H140=0,"n.a.",J140/H140))</f>
        <v/>
      </c>
      <c r="AB140" s="12" t="n"/>
      <c r="AC140" s="12" t="n"/>
      <c r="AD140" s="12" t="n"/>
      <c r="AE140" s="13">
        <f>IF(OR(COUNT(J140)=0,COUNT(AB140:AD140)&lt;3),"",ROUND(J140-SUM(AB140:AD140),2))</f>
        <v/>
      </c>
      <c r="AF140" s="15">
        <f>IF(COUNT(AE140)=0,"",IF(Z140=0,"n.a.",AE140/Z140))</f>
        <v/>
      </c>
      <c r="AG140" s="12" t="n"/>
      <c r="AH140" s="14">
        <f>IF(OR(A140="",COUNT(Z140)=0,COUNT(AG140)=0),"",ROUND(Z140-AG140,2))</f>
        <v/>
      </c>
      <c r="AI140" s="21" t="n"/>
      <c r="AJ140" s="11">
        <f>IF(A140="","",IF(COUNT(I140)=0,"Enter approved NTE",IF(COUNT(Z140)&gt;0,IF(Z140&gt;I140,"Invoice exceeds NTE","Invoice within NTE"),IF(COUNT(L140)=0,"Enter quote inputs",IF(L140&gt;I140,"Quote exceeds NTE","Quote within NTE")))))</f>
        <v/>
      </c>
      <c r="AK140" s="11">
        <f>IF(A140="","",IF(COUNT(H140)=0,"Enter direct cost",IF(COUNT(Z140)=0,"Enter invoice revenue",IF(COUNT(AB140:AD140)&lt;3,"Enter expenses (0 if none)","Complete"))))</f>
        <v/>
      </c>
      <c r="AL140" s="11">
        <f>IF(A140="","",IF(NOT(AND(COUNT(AH140)=1,N(AH140)&gt;0.004,V140&lt;&gt;"Void",V140&lt;&gt;"Not invoiced",V140&lt;&gt;"Draft")),"",IF(COUNT(X140)=0,"No due date",IF(TODAY()-X140&lt;=0,"Not yet due",IF(TODAY()-X140&lt;=30,"1-30 days",IF(TODAY()-X140&lt;=60,"31-60 days",IF(TODAY()-X140&lt;=90,"61-90 days","Over 90 days")))))))</f>
        <v/>
      </c>
      <c r="AM140" s="49">
        <f>IF(OR(AL140="",AL140="No due date"),"",MAX(TODAY()-X140,0))</f>
        <v/>
      </c>
      <c r="AN140" s="49">
        <f>IF(AL140="","",IF(COUNT(X140)=0,-100000,TODAY()-X140))</f>
        <v/>
      </c>
      <c r="AO140" s="49">
        <f>IF(AN140="","",COUNTIF(AN$11:AN$1010,"&gt;"&amp;AN140)+COUNTIF(AN$11:AN140,AN140))</f>
        <v/>
      </c>
      <c r="AP140" s="49">
        <f>IF(OR(A140="",B140=""),"",IF(COUNTIF(B$11:B140,B140)=1,MAX(AP$10:AP139)+1,""))</f>
        <v/>
      </c>
    </row>
    <row r="141" ht="24" customHeight="1">
      <c r="A141" s="20" t="n"/>
      <c r="B141" s="10" t="n"/>
      <c r="C141" s="10" t="n"/>
      <c r="D141" s="10" t="n"/>
      <c r="E141" s="10" t="n"/>
      <c r="F141" s="18" t="n"/>
      <c r="G141" s="10" t="n"/>
      <c r="H141" s="12" t="n"/>
      <c r="I141" s="12" t="n"/>
      <c r="J141" s="13">
        <f>IF(OR(A141="",COUNT(H141)=0,COUNT(Z141)=0),"",ROUND(Z141-H141,2))</f>
        <v/>
      </c>
      <c r="K141" s="15">
        <f>IF(COUNT(J141)=0,"",IF(Z141=0,"n.a.",J141/Z141))</f>
        <v/>
      </c>
      <c r="L141" s="14">
        <f>IF(OR(A141="",COUNT(H141)=0,COUNT(Y141)=0),"",ROUND(H141*(1+Y141),2))</f>
        <v/>
      </c>
      <c r="M141" s="10" t="n"/>
      <c r="N141" s="10" t="n"/>
      <c r="O141" s="10" t="n"/>
      <c r="P141" s="10" t="n"/>
      <c r="Q141" s="20" t="n"/>
      <c r="R141" s="10" t="n"/>
      <c r="S141" s="10" t="n"/>
      <c r="T141" s="18" t="n"/>
      <c r="U141" s="18" t="n"/>
      <c r="V141" s="10" t="n"/>
      <c r="W141" s="10" t="n"/>
      <c r="X141" s="19">
        <f>IF(OR(A141="",COUNT(U141)=0,COUNT(AI141)=0),"",U141+AI141)</f>
        <v/>
      </c>
      <c r="Y141" s="16" t="n"/>
      <c r="Z141" s="12" t="n"/>
      <c r="AA141" s="17">
        <f>IF(COUNT(J141)=0,"",IF(H141=0,"n.a.",J141/H141))</f>
        <v/>
      </c>
      <c r="AB141" s="12" t="n"/>
      <c r="AC141" s="12" t="n"/>
      <c r="AD141" s="12" t="n"/>
      <c r="AE141" s="13">
        <f>IF(OR(COUNT(J141)=0,COUNT(AB141:AD141)&lt;3),"",ROUND(J141-SUM(AB141:AD141),2))</f>
        <v/>
      </c>
      <c r="AF141" s="15">
        <f>IF(COUNT(AE141)=0,"",IF(Z141=0,"n.a.",AE141/Z141))</f>
        <v/>
      </c>
      <c r="AG141" s="12" t="n"/>
      <c r="AH141" s="14">
        <f>IF(OR(A141="",COUNT(Z141)=0,COUNT(AG141)=0),"",ROUND(Z141-AG141,2))</f>
        <v/>
      </c>
      <c r="AI141" s="21" t="n"/>
      <c r="AJ141" s="11">
        <f>IF(A141="","",IF(COUNT(I141)=0,"Enter approved NTE",IF(COUNT(Z141)&gt;0,IF(Z141&gt;I141,"Invoice exceeds NTE","Invoice within NTE"),IF(COUNT(L141)=0,"Enter quote inputs",IF(L141&gt;I141,"Quote exceeds NTE","Quote within NTE")))))</f>
        <v/>
      </c>
      <c r="AK141" s="11">
        <f>IF(A141="","",IF(COUNT(H141)=0,"Enter direct cost",IF(COUNT(Z141)=0,"Enter invoice revenue",IF(COUNT(AB141:AD141)&lt;3,"Enter expenses (0 if none)","Complete"))))</f>
        <v/>
      </c>
      <c r="AL141" s="11">
        <f>IF(A141="","",IF(NOT(AND(COUNT(AH141)=1,N(AH141)&gt;0.004,V141&lt;&gt;"Void",V141&lt;&gt;"Not invoiced",V141&lt;&gt;"Draft")),"",IF(COUNT(X141)=0,"No due date",IF(TODAY()-X141&lt;=0,"Not yet due",IF(TODAY()-X141&lt;=30,"1-30 days",IF(TODAY()-X141&lt;=60,"31-60 days",IF(TODAY()-X141&lt;=90,"61-90 days","Over 90 days")))))))</f>
        <v/>
      </c>
      <c r="AM141" s="49">
        <f>IF(OR(AL141="",AL141="No due date"),"",MAX(TODAY()-X141,0))</f>
        <v/>
      </c>
      <c r="AN141" s="49">
        <f>IF(AL141="","",IF(COUNT(X141)=0,-100000,TODAY()-X141))</f>
        <v/>
      </c>
      <c r="AO141" s="49">
        <f>IF(AN141="","",COUNTIF(AN$11:AN$1010,"&gt;"&amp;AN141)+COUNTIF(AN$11:AN141,AN141))</f>
        <v/>
      </c>
      <c r="AP141" s="49">
        <f>IF(OR(A141="",B141=""),"",IF(COUNTIF(B$11:B141,B141)=1,MAX(AP$10:AP140)+1,""))</f>
        <v/>
      </c>
    </row>
    <row r="142" ht="24" customHeight="1">
      <c r="A142" s="20" t="n"/>
      <c r="B142" s="10" t="n"/>
      <c r="C142" s="10" t="n"/>
      <c r="D142" s="10" t="n"/>
      <c r="E142" s="10" t="n"/>
      <c r="F142" s="18" t="n"/>
      <c r="G142" s="10" t="n"/>
      <c r="H142" s="12" t="n"/>
      <c r="I142" s="12" t="n"/>
      <c r="J142" s="13">
        <f>IF(OR(A142="",COUNT(H142)=0,COUNT(Z142)=0),"",ROUND(Z142-H142,2))</f>
        <v/>
      </c>
      <c r="K142" s="15">
        <f>IF(COUNT(J142)=0,"",IF(Z142=0,"n.a.",J142/Z142))</f>
        <v/>
      </c>
      <c r="L142" s="14">
        <f>IF(OR(A142="",COUNT(H142)=0,COUNT(Y142)=0),"",ROUND(H142*(1+Y142),2))</f>
        <v/>
      </c>
      <c r="M142" s="10" t="n"/>
      <c r="N142" s="10" t="n"/>
      <c r="O142" s="10" t="n"/>
      <c r="P142" s="10" t="n"/>
      <c r="Q142" s="20" t="n"/>
      <c r="R142" s="10" t="n"/>
      <c r="S142" s="10" t="n"/>
      <c r="T142" s="18" t="n"/>
      <c r="U142" s="18" t="n"/>
      <c r="V142" s="10" t="n"/>
      <c r="W142" s="10" t="n"/>
      <c r="X142" s="19">
        <f>IF(OR(A142="",COUNT(U142)=0,COUNT(AI142)=0),"",U142+AI142)</f>
        <v/>
      </c>
      <c r="Y142" s="16" t="n"/>
      <c r="Z142" s="12" t="n"/>
      <c r="AA142" s="17">
        <f>IF(COUNT(J142)=0,"",IF(H142=0,"n.a.",J142/H142))</f>
        <v/>
      </c>
      <c r="AB142" s="12" t="n"/>
      <c r="AC142" s="12" t="n"/>
      <c r="AD142" s="12" t="n"/>
      <c r="AE142" s="13">
        <f>IF(OR(COUNT(J142)=0,COUNT(AB142:AD142)&lt;3),"",ROUND(J142-SUM(AB142:AD142),2))</f>
        <v/>
      </c>
      <c r="AF142" s="15">
        <f>IF(COUNT(AE142)=0,"",IF(Z142=0,"n.a.",AE142/Z142))</f>
        <v/>
      </c>
      <c r="AG142" s="12" t="n"/>
      <c r="AH142" s="14">
        <f>IF(OR(A142="",COUNT(Z142)=0,COUNT(AG142)=0),"",ROUND(Z142-AG142,2))</f>
        <v/>
      </c>
      <c r="AI142" s="21" t="n"/>
      <c r="AJ142" s="11">
        <f>IF(A142="","",IF(COUNT(I142)=0,"Enter approved NTE",IF(COUNT(Z142)&gt;0,IF(Z142&gt;I142,"Invoice exceeds NTE","Invoice within NTE"),IF(COUNT(L142)=0,"Enter quote inputs",IF(L142&gt;I142,"Quote exceeds NTE","Quote within NTE")))))</f>
        <v/>
      </c>
      <c r="AK142" s="11">
        <f>IF(A142="","",IF(COUNT(H142)=0,"Enter direct cost",IF(COUNT(Z142)=0,"Enter invoice revenue",IF(COUNT(AB142:AD142)&lt;3,"Enter expenses (0 if none)","Complete"))))</f>
        <v/>
      </c>
      <c r="AL142" s="11">
        <f>IF(A142="","",IF(NOT(AND(COUNT(AH142)=1,N(AH142)&gt;0.004,V142&lt;&gt;"Void",V142&lt;&gt;"Not invoiced",V142&lt;&gt;"Draft")),"",IF(COUNT(X142)=0,"No due date",IF(TODAY()-X142&lt;=0,"Not yet due",IF(TODAY()-X142&lt;=30,"1-30 days",IF(TODAY()-X142&lt;=60,"31-60 days",IF(TODAY()-X142&lt;=90,"61-90 days","Over 90 days")))))))</f>
        <v/>
      </c>
      <c r="AM142" s="49">
        <f>IF(OR(AL142="",AL142="No due date"),"",MAX(TODAY()-X142,0))</f>
        <v/>
      </c>
      <c r="AN142" s="49">
        <f>IF(AL142="","",IF(COUNT(X142)=0,-100000,TODAY()-X142))</f>
        <v/>
      </c>
      <c r="AO142" s="49">
        <f>IF(AN142="","",COUNTIF(AN$11:AN$1010,"&gt;"&amp;AN142)+COUNTIF(AN$11:AN142,AN142))</f>
        <v/>
      </c>
      <c r="AP142" s="49">
        <f>IF(OR(A142="",B142=""),"",IF(COUNTIF(B$11:B142,B142)=1,MAX(AP$10:AP141)+1,""))</f>
        <v/>
      </c>
    </row>
    <row r="143" ht="24" customHeight="1">
      <c r="A143" s="20" t="n"/>
      <c r="B143" s="10" t="n"/>
      <c r="C143" s="10" t="n"/>
      <c r="D143" s="10" t="n"/>
      <c r="E143" s="10" t="n"/>
      <c r="F143" s="18" t="n"/>
      <c r="G143" s="10" t="n"/>
      <c r="H143" s="12" t="n"/>
      <c r="I143" s="12" t="n"/>
      <c r="J143" s="13">
        <f>IF(OR(A143="",COUNT(H143)=0,COUNT(Z143)=0),"",ROUND(Z143-H143,2))</f>
        <v/>
      </c>
      <c r="K143" s="15">
        <f>IF(COUNT(J143)=0,"",IF(Z143=0,"n.a.",J143/Z143))</f>
        <v/>
      </c>
      <c r="L143" s="14">
        <f>IF(OR(A143="",COUNT(H143)=0,COUNT(Y143)=0),"",ROUND(H143*(1+Y143),2))</f>
        <v/>
      </c>
      <c r="M143" s="10" t="n"/>
      <c r="N143" s="10" t="n"/>
      <c r="O143" s="10" t="n"/>
      <c r="P143" s="10" t="n"/>
      <c r="Q143" s="20" t="n"/>
      <c r="R143" s="10" t="n"/>
      <c r="S143" s="10" t="n"/>
      <c r="T143" s="18" t="n"/>
      <c r="U143" s="18" t="n"/>
      <c r="V143" s="10" t="n"/>
      <c r="W143" s="10" t="n"/>
      <c r="X143" s="19">
        <f>IF(OR(A143="",COUNT(U143)=0,COUNT(AI143)=0),"",U143+AI143)</f>
        <v/>
      </c>
      <c r="Y143" s="16" t="n"/>
      <c r="Z143" s="12" t="n"/>
      <c r="AA143" s="17">
        <f>IF(COUNT(J143)=0,"",IF(H143=0,"n.a.",J143/H143))</f>
        <v/>
      </c>
      <c r="AB143" s="12" t="n"/>
      <c r="AC143" s="12" t="n"/>
      <c r="AD143" s="12" t="n"/>
      <c r="AE143" s="13">
        <f>IF(OR(COUNT(J143)=0,COUNT(AB143:AD143)&lt;3),"",ROUND(J143-SUM(AB143:AD143),2))</f>
        <v/>
      </c>
      <c r="AF143" s="15">
        <f>IF(COUNT(AE143)=0,"",IF(Z143=0,"n.a.",AE143/Z143))</f>
        <v/>
      </c>
      <c r="AG143" s="12" t="n"/>
      <c r="AH143" s="14">
        <f>IF(OR(A143="",COUNT(Z143)=0,COUNT(AG143)=0),"",ROUND(Z143-AG143,2))</f>
        <v/>
      </c>
      <c r="AI143" s="21" t="n"/>
      <c r="AJ143" s="11">
        <f>IF(A143="","",IF(COUNT(I143)=0,"Enter approved NTE",IF(COUNT(Z143)&gt;0,IF(Z143&gt;I143,"Invoice exceeds NTE","Invoice within NTE"),IF(COUNT(L143)=0,"Enter quote inputs",IF(L143&gt;I143,"Quote exceeds NTE","Quote within NTE")))))</f>
        <v/>
      </c>
      <c r="AK143" s="11">
        <f>IF(A143="","",IF(COUNT(H143)=0,"Enter direct cost",IF(COUNT(Z143)=0,"Enter invoice revenue",IF(COUNT(AB143:AD143)&lt;3,"Enter expenses (0 if none)","Complete"))))</f>
        <v/>
      </c>
      <c r="AL143" s="11">
        <f>IF(A143="","",IF(NOT(AND(COUNT(AH143)=1,N(AH143)&gt;0.004,V143&lt;&gt;"Void",V143&lt;&gt;"Not invoiced",V143&lt;&gt;"Draft")),"",IF(COUNT(X143)=0,"No due date",IF(TODAY()-X143&lt;=0,"Not yet due",IF(TODAY()-X143&lt;=30,"1-30 days",IF(TODAY()-X143&lt;=60,"31-60 days",IF(TODAY()-X143&lt;=90,"61-90 days","Over 90 days")))))))</f>
        <v/>
      </c>
      <c r="AM143" s="49">
        <f>IF(OR(AL143="",AL143="No due date"),"",MAX(TODAY()-X143,0))</f>
        <v/>
      </c>
      <c r="AN143" s="49">
        <f>IF(AL143="","",IF(COUNT(X143)=0,-100000,TODAY()-X143))</f>
        <v/>
      </c>
      <c r="AO143" s="49">
        <f>IF(AN143="","",COUNTIF(AN$11:AN$1010,"&gt;"&amp;AN143)+COUNTIF(AN$11:AN143,AN143))</f>
        <v/>
      </c>
      <c r="AP143" s="49">
        <f>IF(OR(A143="",B143=""),"",IF(COUNTIF(B$11:B143,B143)=1,MAX(AP$10:AP142)+1,""))</f>
        <v/>
      </c>
    </row>
    <row r="144" ht="24" customHeight="1">
      <c r="A144" s="20" t="n"/>
      <c r="B144" s="10" t="n"/>
      <c r="C144" s="10" t="n"/>
      <c r="D144" s="10" t="n"/>
      <c r="E144" s="10" t="n"/>
      <c r="F144" s="18" t="n"/>
      <c r="G144" s="10" t="n"/>
      <c r="H144" s="12" t="n"/>
      <c r="I144" s="12" t="n"/>
      <c r="J144" s="13">
        <f>IF(OR(A144="",COUNT(H144)=0,COUNT(Z144)=0),"",ROUND(Z144-H144,2))</f>
        <v/>
      </c>
      <c r="K144" s="15">
        <f>IF(COUNT(J144)=0,"",IF(Z144=0,"n.a.",J144/Z144))</f>
        <v/>
      </c>
      <c r="L144" s="14">
        <f>IF(OR(A144="",COUNT(H144)=0,COUNT(Y144)=0),"",ROUND(H144*(1+Y144),2))</f>
        <v/>
      </c>
      <c r="M144" s="10" t="n"/>
      <c r="N144" s="10" t="n"/>
      <c r="O144" s="10" t="n"/>
      <c r="P144" s="10" t="n"/>
      <c r="Q144" s="20" t="n"/>
      <c r="R144" s="10" t="n"/>
      <c r="S144" s="10" t="n"/>
      <c r="T144" s="18" t="n"/>
      <c r="U144" s="18" t="n"/>
      <c r="V144" s="10" t="n"/>
      <c r="W144" s="10" t="n"/>
      <c r="X144" s="19">
        <f>IF(OR(A144="",COUNT(U144)=0,COUNT(AI144)=0),"",U144+AI144)</f>
        <v/>
      </c>
      <c r="Y144" s="16" t="n"/>
      <c r="Z144" s="12" t="n"/>
      <c r="AA144" s="17">
        <f>IF(COUNT(J144)=0,"",IF(H144=0,"n.a.",J144/H144))</f>
        <v/>
      </c>
      <c r="AB144" s="12" t="n"/>
      <c r="AC144" s="12" t="n"/>
      <c r="AD144" s="12" t="n"/>
      <c r="AE144" s="13">
        <f>IF(OR(COUNT(J144)=0,COUNT(AB144:AD144)&lt;3),"",ROUND(J144-SUM(AB144:AD144),2))</f>
        <v/>
      </c>
      <c r="AF144" s="15">
        <f>IF(COUNT(AE144)=0,"",IF(Z144=0,"n.a.",AE144/Z144))</f>
        <v/>
      </c>
      <c r="AG144" s="12" t="n"/>
      <c r="AH144" s="14">
        <f>IF(OR(A144="",COUNT(Z144)=0,COUNT(AG144)=0),"",ROUND(Z144-AG144,2))</f>
        <v/>
      </c>
      <c r="AI144" s="21" t="n"/>
      <c r="AJ144" s="11">
        <f>IF(A144="","",IF(COUNT(I144)=0,"Enter approved NTE",IF(COUNT(Z144)&gt;0,IF(Z144&gt;I144,"Invoice exceeds NTE","Invoice within NTE"),IF(COUNT(L144)=0,"Enter quote inputs",IF(L144&gt;I144,"Quote exceeds NTE","Quote within NTE")))))</f>
        <v/>
      </c>
      <c r="AK144" s="11">
        <f>IF(A144="","",IF(COUNT(H144)=0,"Enter direct cost",IF(COUNT(Z144)=0,"Enter invoice revenue",IF(COUNT(AB144:AD144)&lt;3,"Enter expenses (0 if none)","Complete"))))</f>
        <v/>
      </c>
      <c r="AL144" s="11">
        <f>IF(A144="","",IF(NOT(AND(COUNT(AH144)=1,N(AH144)&gt;0.004,V144&lt;&gt;"Void",V144&lt;&gt;"Not invoiced",V144&lt;&gt;"Draft")),"",IF(COUNT(X144)=0,"No due date",IF(TODAY()-X144&lt;=0,"Not yet due",IF(TODAY()-X144&lt;=30,"1-30 days",IF(TODAY()-X144&lt;=60,"31-60 days",IF(TODAY()-X144&lt;=90,"61-90 days","Over 90 days")))))))</f>
        <v/>
      </c>
      <c r="AM144" s="49">
        <f>IF(OR(AL144="",AL144="No due date"),"",MAX(TODAY()-X144,0))</f>
        <v/>
      </c>
      <c r="AN144" s="49">
        <f>IF(AL144="","",IF(COUNT(X144)=0,-100000,TODAY()-X144))</f>
        <v/>
      </c>
      <c r="AO144" s="49">
        <f>IF(AN144="","",COUNTIF(AN$11:AN$1010,"&gt;"&amp;AN144)+COUNTIF(AN$11:AN144,AN144))</f>
        <v/>
      </c>
      <c r="AP144" s="49">
        <f>IF(OR(A144="",B144=""),"",IF(COUNTIF(B$11:B144,B144)=1,MAX(AP$10:AP143)+1,""))</f>
        <v/>
      </c>
    </row>
    <row r="145" ht="24" customHeight="1">
      <c r="A145" s="20" t="n"/>
      <c r="B145" s="10" t="n"/>
      <c r="C145" s="10" t="n"/>
      <c r="D145" s="10" t="n"/>
      <c r="E145" s="10" t="n"/>
      <c r="F145" s="18" t="n"/>
      <c r="G145" s="10" t="n"/>
      <c r="H145" s="12" t="n"/>
      <c r="I145" s="12" t="n"/>
      <c r="J145" s="13">
        <f>IF(OR(A145="",COUNT(H145)=0,COUNT(Z145)=0),"",ROUND(Z145-H145,2))</f>
        <v/>
      </c>
      <c r="K145" s="15">
        <f>IF(COUNT(J145)=0,"",IF(Z145=0,"n.a.",J145/Z145))</f>
        <v/>
      </c>
      <c r="L145" s="14">
        <f>IF(OR(A145="",COUNT(H145)=0,COUNT(Y145)=0),"",ROUND(H145*(1+Y145),2))</f>
        <v/>
      </c>
      <c r="M145" s="10" t="n"/>
      <c r="N145" s="10" t="n"/>
      <c r="O145" s="10" t="n"/>
      <c r="P145" s="10" t="n"/>
      <c r="Q145" s="20" t="n"/>
      <c r="R145" s="10" t="n"/>
      <c r="S145" s="10" t="n"/>
      <c r="T145" s="18" t="n"/>
      <c r="U145" s="18" t="n"/>
      <c r="V145" s="10" t="n"/>
      <c r="W145" s="10" t="n"/>
      <c r="X145" s="19">
        <f>IF(OR(A145="",COUNT(U145)=0,COUNT(AI145)=0),"",U145+AI145)</f>
        <v/>
      </c>
      <c r="Y145" s="16" t="n"/>
      <c r="Z145" s="12" t="n"/>
      <c r="AA145" s="17">
        <f>IF(COUNT(J145)=0,"",IF(H145=0,"n.a.",J145/H145))</f>
        <v/>
      </c>
      <c r="AB145" s="12" t="n"/>
      <c r="AC145" s="12" t="n"/>
      <c r="AD145" s="12" t="n"/>
      <c r="AE145" s="13">
        <f>IF(OR(COUNT(J145)=0,COUNT(AB145:AD145)&lt;3),"",ROUND(J145-SUM(AB145:AD145),2))</f>
        <v/>
      </c>
      <c r="AF145" s="15">
        <f>IF(COUNT(AE145)=0,"",IF(Z145=0,"n.a.",AE145/Z145))</f>
        <v/>
      </c>
      <c r="AG145" s="12" t="n"/>
      <c r="AH145" s="14">
        <f>IF(OR(A145="",COUNT(Z145)=0,COUNT(AG145)=0),"",ROUND(Z145-AG145,2))</f>
        <v/>
      </c>
      <c r="AI145" s="21" t="n"/>
      <c r="AJ145" s="11">
        <f>IF(A145="","",IF(COUNT(I145)=0,"Enter approved NTE",IF(COUNT(Z145)&gt;0,IF(Z145&gt;I145,"Invoice exceeds NTE","Invoice within NTE"),IF(COUNT(L145)=0,"Enter quote inputs",IF(L145&gt;I145,"Quote exceeds NTE","Quote within NTE")))))</f>
        <v/>
      </c>
      <c r="AK145" s="11">
        <f>IF(A145="","",IF(COUNT(H145)=0,"Enter direct cost",IF(COUNT(Z145)=0,"Enter invoice revenue",IF(COUNT(AB145:AD145)&lt;3,"Enter expenses (0 if none)","Complete"))))</f>
        <v/>
      </c>
      <c r="AL145" s="11">
        <f>IF(A145="","",IF(NOT(AND(COUNT(AH145)=1,N(AH145)&gt;0.004,V145&lt;&gt;"Void",V145&lt;&gt;"Not invoiced",V145&lt;&gt;"Draft")),"",IF(COUNT(X145)=0,"No due date",IF(TODAY()-X145&lt;=0,"Not yet due",IF(TODAY()-X145&lt;=30,"1-30 days",IF(TODAY()-X145&lt;=60,"31-60 days",IF(TODAY()-X145&lt;=90,"61-90 days","Over 90 days")))))))</f>
        <v/>
      </c>
      <c r="AM145" s="49">
        <f>IF(OR(AL145="",AL145="No due date"),"",MAX(TODAY()-X145,0))</f>
        <v/>
      </c>
      <c r="AN145" s="49">
        <f>IF(AL145="","",IF(COUNT(X145)=0,-100000,TODAY()-X145))</f>
        <v/>
      </c>
      <c r="AO145" s="49">
        <f>IF(AN145="","",COUNTIF(AN$11:AN$1010,"&gt;"&amp;AN145)+COUNTIF(AN$11:AN145,AN145))</f>
        <v/>
      </c>
      <c r="AP145" s="49">
        <f>IF(OR(A145="",B145=""),"",IF(COUNTIF(B$11:B145,B145)=1,MAX(AP$10:AP144)+1,""))</f>
        <v/>
      </c>
    </row>
    <row r="146" ht="24" customHeight="1">
      <c r="A146" s="20" t="n"/>
      <c r="B146" s="10" t="n"/>
      <c r="C146" s="10" t="n"/>
      <c r="D146" s="10" t="n"/>
      <c r="E146" s="10" t="n"/>
      <c r="F146" s="18" t="n"/>
      <c r="G146" s="10" t="n"/>
      <c r="H146" s="12" t="n"/>
      <c r="I146" s="12" t="n"/>
      <c r="J146" s="13">
        <f>IF(OR(A146="",COUNT(H146)=0,COUNT(Z146)=0),"",ROUND(Z146-H146,2))</f>
        <v/>
      </c>
      <c r="K146" s="15">
        <f>IF(COUNT(J146)=0,"",IF(Z146=0,"n.a.",J146/Z146))</f>
        <v/>
      </c>
      <c r="L146" s="14">
        <f>IF(OR(A146="",COUNT(H146)=0,COUNT(Y146)=0),"",ROUND(H146*(1+Y146),2))</f>
        <v/>
      </c>
      <c r="M146" s="10" t="n"/>
      <c r="N146" s="10" t="n"/>
      <c r="O146" s="10" t="n"/>
      <c r="P146" s="10" t="n"/>
      <c r="Q146" s="20" t="n"/>
      <c r="R146" s="10" t="n"/>
      <c r="S146" s="10" t="n"/>
      <c r="T146" s="18" t="n"/>
      <c r="U146" s="18" t="n"/>
      <c r="V146" s="10" t="n"/>
      <c r="W146" s="10" t="n"/>
      <c r="X146" s="19">
        <f>IF(OR(A146="",COUNT(U146)=0,COUNT(AI146)=0),"",U146+AI146)</f>
        <v/>
      </c>
      <c r="Y146" s="16" t="n"/>
      <c r="Z146" s="12" t="n"/>
      <c r="AA146" s="17">
        <f>IF(COUNT(J146)=0,"",IF(H146=0,"n.a.",J146/H146))</f>
        <v/>
      </c>
      <c r="AB146" s="12" t="n"/>
      <c r="AC146" s="12" t="n"/>
      <c r="AD146" s="12" t="n"/>
      <c r="AE146" s="13">
        <f>IF(OR(COUNT(J146)=0,COUNT(AB146:AD146)&lt;3),"",ROUND(J146-SUM(AB146:AD146),2))</f>
        <v/>
      </c>
      <c r="AF146" s="15">
        <f>IF(COUNT(AE146)=0,"",IF(Z146=0,"n.a.",AE146/Z146))</f>
        <v/>
      </c>
      <c r="AG146" s="12" t="n"/>
      <c r="AH146" s="14">
        <f>IF(OR(A146="",COUNT(Z146)=0,COUNT(AG146)=0),"",ROUND(Z146-AG146,2))</f>
        <v/>
      </c>
      <c r="AI146" s="21" t="n"/>
      <c r="AJ146" s="11">
        <f>IF(A146="","",IF(COUNT(I146)=0,"Enter approved NTE",IF(COUNT(Z146)&gt;0,IF(Z146&gt;I146,"Invoice exceeds NTE","Invoice within NTE"),IF(COUNT(L146)=0,"Enter quote inputs",IF(L146&gt;I146,"Quote exceeds NTE","Quote within NTE")))))</f>
        <v/>
      </c>
      <c r="AK146" s="11">
        <f>IF(A146="","",IF(COUNT(H146)=0,"Enter direct cost",IF(COUNT(Z146)=0,"Enter invoice revenue",IF(COUNT(AB146:AD146)&lt;3,"Enter expenses (0 if none)","Complete"))))</f>
        <v/>
      </c>
      <c r="AL146" s="11">
        <f>IF(A146="","",IF(NOT(AND(COUNT(AH146)=1,N(AH146)&gt;0.004,V146&lt;&gt;"Void",V146&lt;&gt;"Not invoiced",V146&lt;&gt;"Draft")),"",IF(COUNT(X146)=0,"No due date",IF(TODAY()-X146&lt;=0,"Not yet due",IF(TODAY()-X146&lt;=30,"1-30 days",IF(TODAY()-X146&lt;=60,"31-60 days",IF(TODAY()-X146&lt;=90,"61-90 days","Over 90 days")))))))</f>
        <v/>
      </c>
      <c r="AM146" s="49">
        <f>IF(OR(AL146="",AL146="No due date"),"",MAX(TODAY()-X146,0))</f>
        <v/>
      </c>
      <c r="AN146" s="49">
        <f>IF(AL146="","",IF(COUNT(X146)=0,-100000,TODAY()-X146))</f>
        <v/>
      </c>
      <c r="AO146" s="49">
        <f>IF(AN146="","",COUNTIF(AN$11:AN$1010,"&gt;"&amp;AN146)+COUNTIF(AN$11:AN146,AN146))</f>
        <v/>
      </c>
      <c r="AP146" s="49">
        <f>IF(OR(A146="",B146=""),"",IF(COUNTIF(B$11:B146,B146)=1,MAX(AP$10:AP145)+1,""))</f>
        <v/>
      </c>
    </row>
    <row r="147" ht="24" customHeight="1">
      <c r="A147" s="20" t="n"/>
      <c r="B147" s="10" t="n"/>
      <c r="C147" s="10" t="n"/>
      <c r="D147" s="10" t="n"/>
      <c r="E147" s="10" t="n"/>
      <c r="F147" s="18" t="n"/>
      <c r="G147" s="10" t="n"/>
      <c r="H147" s="12" t="n"/>
      <c r="I147" s="12" t="n"/>
      <c r="J147" s="13">
        <f>IF(OR(A147="",COUNT(H147)=0,COUNT(Z147)=0),"",ROUND(Z147-H147,2))</f>
        <v/>
      </c>
      <c r="K147" s="15">
        <f>IF(COUNT(J147)=0,"",IF(Z147=0,"n.a.",J147/Z147))</f>
        <v/>
      </c>
      <c r="L147" s="14">
        <f>IF(OR(A147="",COUNT(H147)=0,COUNT(Y147)=0),"",ROUND(H147*(1+Y147),2))</f>
        <v/>
      </c>
      <c r="M147" s="10" t="n"/>
      <c r="N147" s="10" t="n"/>
      <c r="O147" s="10" t="n"/>
      <c r="P147" s="10" t="n"/>
      <c r="Q147" s="20" t="n"/>
      <c r="R147" s="10" t="n"/>
      <c r="S147" s="10" t="n"/>
      <c r="T147" s="18" t="n"/>
      <c r="U147" s="18" t="n"/>
      <c r="V147" s="10" t="n"/>
      <c r="W147" s="10" t="n"/>
      <c r="X147" s="19">
        <f>IF(OR(A147="",COUNT(U147)=0,COUNT(AI147)=0),"",U147+AI147)</f>
        <v/>
      </c>
      <c r="Y147" s="16" t="n"/>
      <c r="Z147" s="12" t="n"/>
      <c r="AA147" s="17">
        <f>IF(COUNT(J147)=0,"",IF(H147=0,"n.a.",J147/H147))</f>
        <v/>
      </c>
      <c r="AB147" s="12" t="n"/>
      <c r="AC147" s="12" t="n"/>
      <c r="AD147" s="12" t="n"/>
      <c r="AE147" s="13">
        <f>IF(OR(COUNT(J147)=0,COUNT(AB147:AD147)&lt;3),"",ROUND(J147-SUM(AB147:AD147),2))</f>
        <v/>
      </c>
      <c r="AF147" s="15">
        <f>IF(COUNT(AE147)=0,"",IF(Z147=0,"n.a.",AE147/Z147))</f>
        <v/>
      </c>
      <c r="AG147" s="12" t="n"/>
      <c r="AH147" s="14">
        <f>IF(OR(A147="",COUNT(Z147)=0,COUNT(AG147)=0),"",ROUND(Z147-AG147,2))</f>
        <v/>
      </c>
      <c r="AI147" s="21" t="n"/>
      <c r="AJ147" s="11">
        <f>IF(A147="","",IF(COUNT(I147)=0,"Enter approved NTE",IF(COUNT(Z147)&gt;0,IF(Z147&gt;I147,"Invoice exceeds NTE","Invoice within NTE"),IF(COUNT(L147)=0,"Enter quote inputs",IF(L147&gt;I147,"Quote exceeds NTE","Quote within NTE")))))</f>
        <v/>
      </c>
      <c r="AK147" s="11">
        <f>IF(A147="","",IF(COUNT(H147)=0,"Enter direct cost",IF(COUNT(Z147)=0,"Enter invoice revenue",IF(COUNT(AB147:AD147)&lt;3,"Enter expenses (0 if none)","Complete"))))</f>
        <v/>
      </c>
      <c r="AL147" s="11">
        <f>IF(A147="","",IF(NOT(AND(COUNT(AH147)=1,N(AH147)&gt;0.004,V147&lt;&gt;"Void",V147&lt;&gt;"Not invoiced",V147&lt;&gt;"Draft")),"",IF(COUNT(X147)=0,"No due date",IF(TODAY()-X147&lt;=0,"Not yet due",IF(TODAY()-X147&lt;=30,"1-30 days",IF(TODAY()-X147&lt;=60,"31-60 days",IF(TODAY()-X147&lt;=90,"61-90 days","Over 90 days")))))))</f>
        <v/>
      </c>
      <c r="AM147" s="49">
        <f>IF(OR(AL147="",AL147="No due date"),"",MAX(TODAY()-X147,0))</f>
        <v/>
      </c>
      <c r="AN147" s="49">
        <f>IF(AL147="","",IF(COUNT(X147)=0,-100000,TODAY()-X147))</f>
        <v/>
      </c>
      <c r="AO147" s="49">
        <f>IF(AN147="","",COUNTIF(AN$11:AN$1010,"&gt;"&amp;AN147)+COUNTIF(AN$11:AN147,AN147))</f>
        <v/>
      </c>
      <c r="AP147" s="49">
        <f>IF(OR(A147="",B147=""),"",IF(COUNTIF(B$11:B147,B147)=1,MAX(AP$10:AP146)+1,""))</f>
        <v/>
      </c>
    </row>
    <row r="148" ht="24" customHeight="1">
      <c r="A148" s="20" t="n"/>
      <c r="B148" s="10" t="n"/>
      <c r="C148" s="10" t="n"/>
      <c r="D148" s="10" t="n"/>
      <c r="E148" s="10" t="n"/>
      <c r="F148" s="18" t="n"/>
      <c r="G148" s="10" t="n"/>
      <c r="H148" s="12" t="n"/>
      <c r="I148" s="12" t="n"/>
      <c r="J148" s="13">
        <f>IF(OR(A148="",COUNT(H148)=0,COUNT(Z148)=0),"",ROUND(Z148-H148,2))</f>
        <v/>
      </c>
      <c r="K148" s="15">
        <f>IF(COUNT(J148)=0,"",IF(Z148=0,"n.a.",J148/Z148))</f>
        <v/>
      </c>
      <c r="L148" s="14">
        <f>IF(OR(A148="",COUNT(H148)=0,COUNT(Y148)=0),"",ROUND(H148*(1+Y148),2))</f>
        <v/>
      </c>
      <c r="M148" s="10" t="n"/>
      <c r="N148" s="10" t="n"/>
      <c r="O148" s="10" t="n"/>
      <c r="P148" s="10" t="n"/>
      <c r="Q148" s="20" t="n"/>
      <c r="R148" s="10" t="n"/>
      <c r="S148" s="10" t="n"/>
      <c r="T148" s="18" t="n"/>
      <c r="U148" s="18" t="n"/>
      <c r="V148" s="10" t="n"/>
      <c r="W148" s="10" t="n"/>
      <c r="X148" s="19">
        <f>IF(OR(A148="",COUNT(U148)=0,COUNT(AI148)=0),"",U148+AI148)</f>
        <v/>
      </c>
      <c r="Y148" s="16" t="n"/>
      <c r="Z148" s="12" t="n"/>
      <c r="AA148" s="17">
        <f>IF(COUNT(J148)=0,"",IF(H148=0,"n.a.",J148/H148))</f>
        <v/>
      </c>
      <c r="AB148" s="12" t="n"/>
      <c r="AC148" s="12" t="n"/>
      <c r="AD148" s="12" t="n"/>
      <c r="AE148" s="13">
        <f>IF(OR(COUNT(J148)=0,COUNT(AB148:AD148)&lt;3),"",ROUND(J148-SUM(AB148:AD148),2))</f>
        <v/>
      </c>
      <c r="AF148" s="15">
        <f>IF(COUNT(AE148)=0,"",IF(Z148=0,"n.a.",AE148/Z148))</f>
        <v/>
      </c>
      <c r="AG148" s="12" t="n"/>
      <c r="AH148" s="14">
        <f>IF(OR(A148="",COUNT(Z148)=0,COUNT(AG148)=0),"",ROUND(Z148-AG148,2))</f>
        <v/>
      </c>
      <c r="AI148" s="21" t="n"/>
      <c r="AJ148" s="11">
        <f>IF(A148="","",IF(COUNT(I148)=0,"Enter approved NTE",IF(COUNT(Z148)&gt;0,IF(Z148&gt;I148,"Invoice exceeds NTE","Invoice within NTE"),IF(COUNT(L148)=0,"Enter quote inputs",IF(L148&gt;I148,"Quote exceeds NTE","Quote within NTE")))))</f>
        <v/>
      </c>
      <c r="AK148" s="11">
        <f>IF(A148="","",IF(COUNT(H148)=0,"Enter direct cost",IF(COUNT(Z148)=0,"Enter invoice revenue",IF(COUNT(AB148:AD148)&lt;3,"Enter expenses (0 if none)","Complete"))))</f>
        <v/>
      </c>
      <c r="AL148" s="11">
        <f>IF(A148="","",IF(NOT(AND(COUNT(AH148)=1,N(AH148)&gt;0.004,V148&lt;&gt;"Void",V148&lt;&gt;"Not invoiced",V148&lt;&gt;"Draft")),"",IF(COUNT(X148)=0,"No due date",IF(TODAY()-X148&lt;=0,"Not yet due",IF(TODAY()-X148&lt;=30,"1-30 days",IF(TODAY()-X148&lt;=60,"31-60 days",IF(TODAY()-X148&lt;=90,"61-90 days","Over 90 days")))))))</f>
        <v/>
      </c>
      <c r="AM148" s="49">
        <f>IF(OR(AL148="",AL148="No due date"),"",MAX(TODAY()-X148,0))</f>
        <v/>
      </c>
      <c r="AN148" s="49">
        <f>IF(AL148="","",IF(COUNT(X148)=0,-100000,TODAY()-X148))</f>
        <v/>
      </c>
      <c r="AO148" s="49">
        <f>IF(AN148="","",COUNTIF(AN$11:AN$1010,"&gt;"&amp;AN148)+COUNTIF(AN$11:AN148,AN148))</f>
        <v/>
      </c>
      <c r="AP148" s="49">
        <f>IF(OR(A148="",B148=""),"",IF(COUNTIF(B$11:B148,B148)=1,MAX(AP$10:AP147)+1,""))</f>
        <v/>
      </c>
    </row>
    <row r="149" ht="24" customHeight="1">
      <c r="A149" s="20" t="n"/>
      <c r="B149" s="10" t="n"/>
      <c r="C149" s="10" t="n"/>
      <c r="D149" s="10" t="n"/>
      <c r="E149" s="10" t="n"/>
      <c r="F149" s="18" t="n"/>
      <c r="G149" s="10" t="n"/>
      <c r="H149" s="12" t="n"/>
      <c r="I149" s="12" t="n"/>
      <c r="J149" s="13">
        <f>IF(OR(A149="",COUNT(H149)=0,COUNT(Z149)=0),"",ROUND(Z149-H149,2))</f>
        <v/>
      </c>
      <c r="K149" s="15">
        <f>IF(COUNT(J149)=0,"",IF(Z149=0,"n.a.",J149/Z149))</f>
        <v/>
      </c>
      <c r="L149" s="14">
        <f>IF(OR(A149="",COUNT(H149)=0,COUNT(Y149)=0),"",ROUND(H149*(1+Y149),2))</f>
        <v/>
      </c>
      <c r="M149" s="10" t="n"/>
      <c r="N149" s="10" t="n"/>
      <c r="O149" s="10" t="n"/>
      <c r="P149" s="10" t="n"/>
      <c r="Q149" s="20" t="n"/>
      <c r="R149" s="10" t="n"/>
      <c r="S149" s="10" t="n"/>
      <c r="T149" s="18" t="n"/>
      <c r="U149" s="18" t="n"/>
      <c r="V149" s="10" t="n"/>
      <c r="W149" s="10" t="n"/>
      <c r="X149" s="19">
        <f>IF(OR(A149="",COUNT(U149)=0,COUNT(AI149)=0),"",U149+AI149)</f>
        <v/>
      </c>
      <c r="Y149" s="16" t="n"/>
      <c r="Z149" s="12" t="n"/>
      <c r="AA149" s="17">
        <f>IF(COUNT(J149)=0,"",IF(H149=0,"n.a.",J149/H149))</f>
        <v/>
      </c>
      <c r="AB149" s="12" t="n"/>
      <c r="AC149" s="12" t="n"/>
      <c r="AD149" s="12" t="n"/>
      <c r="AE149" s="13">
        <f>IF(OR(COUNT(J149)=0,COUNT(AB149:AD149)&lt;3),"",ROUND(J149-SUM(AB149:AD149),2))</f>
        <v/>
      </c>
      <c r="AF149" s="15">
        <f>IF(COUNT(AE149)=0,"",IF(Z149=0,"n.a.",AE149/Z149))</f>
        <v/>
      </c>
      <c r="AG149" s="12" t="n"/>
      <c r="AH149" s="14">
        <f>IF(OR(A149="",COUNT(Z149)=0,COUNT(AG149)=0),"",ROUND(Z149-AG149,2))</f>
        <v/>
      </c>
      <c r="AI149" s="21" t="n"/>
      <c r="AJ149" s="11">
        <f>IF(A149="","",IF(COUNT(I149)=0,"Enter approved NTE",IF(COUNT(Z149)&gt;0,IF(Z149&gt;I149,"Invoice exceeds NTE","Invoice within NTE"),IF(COUNT(L149)=0,"Enter quote inputs",IF(L149&gt;I149,"Quote exceeds NTE","Quote within NTE")))))</f>
        <v/>
      </c>
      <c r="AK149" s="11">
        <f>IF(A149="","",IF(COUNT(H149)=0,"Enter direct cost",IF(COUNT(Z149)=0,"Enter invoice revenue",IF(COUNT(AB149:AD149)&lt;3,"Enter expenses (0 if none)","Complete"))))</f>
        <v/>
      </c>
      <c r="AL149" s="11">
        <f>IF(A149="","",IF(NOT(AND(COUNT(AH149)=1,N(AH149)&gt;0.004,V149&lt;&gt;"Void",V149&lt;&gt;"Not invoiced",V149&lt;&gt;"Draft")),"",IF(COUNT(X149)=0,"No due date",IF(TODAY()-X149&lt;=0,"Not yet due",IF(TODAY()-X149&lt;=30,"1-30 days",IF(TODAY()-X149&lt;=60,"31-60 days",IF(TODAY()-X149&lt;=90,"61-90 days","Over 90 days")))))))</f>
        <v/>
      </c>
      <c r="AM149" s="49">
        <f>IF(OR(AL149="",AL149="No due date"),"",MAX(TODAY()-X149,0))</f>
        <v/>
      </c>
      <c r="AN149" s="49">
        <f>IF(AL149="","",IF(COUNT(X149)=0,-100000,TODAY()-X149))</f>
        <v/>
      </c>
      <c r="AO149" s="49">
        <f>IF(AN149="","",COUNTIF(AN$11:AN$1010,"&gt;"&amp;AN149)+COUNTIF(AN$11:AN149,AN149))</f>
        <v/>
      </c>
      <c r="AP149" s="49">
        <f>IF(OR(A149="",B149=""),"",IF(COUNTIF(B$11:B149,B149)=1,MAX(AP$10:AP148)+1,""))</f>
        <v/>
      </c>
    </row>
    <row r="150" ht="24" customHeight="1">
      <c r="A150" s="20" t="n"/>
      <c r="B150" s="10" t="n"/>
      <c r="C150" s="10" t="n"/>
      <c r="D150" s="10" t="n"/>
      <c r="E150" s="10" t="n"/>
      <c r="F150" s="18" t="n"/>
      <c r="G150" s="10" t="n"/>
      <c r="H150" s="12" t="n"/>
      <c r="I150" s="12" t="n"/>
      <c r="J150" s="13">
        <f>IF(OR(A150="",COUNT(H150)=0,COUNT(Z150)=0),"",ROUND(Z150-H150,2))</f>
        <v/>
      </c>
      <c r="K150" s="15">
        <f>IF(COUNT(J150)=0,"",IF(Z150=0,"n.a.",J150/Z150))</f>
        <v/>
      </c>
      <c r="L150" s="14">
        <f>IF(OR(A150="",COUNT(H150)=0,COUNT(Y150)=0),"",ROUND(H150*(1+Y150),2))</f>
        <v/>
      </c>
      <c r="M150" s="10" t="n"/>
      <c r="N150" s="10" t="n"/>
      <c r="O150" s="10" t="n"/>
      <c r="P150" s="10" t="n"/>
      <c r="Q150" s="20" t="n"/>
      <c r="R150" s="10" t="n"/>
      <c r="S150" s="10" t="n"/>
      <c r="T150" s="18" t="n"/>
      <c r="U150" s="18" t="n"/>
      <c r="V150" s="10" t="n"/>
      <c r="W150" s="10" t="n"/>
      <c r="X150" s="19">
        <f>IF(OR(A150="",COUNT(U150)=0,COUNT(AI150)=0),"",U150+AI150)</f>
        <v/>
      </c>
      <c r="Y150" s="16" t="n"/>
      <c r="Z150" s="12" t="n"/>
      <c r="AA150" s="17">
        <f>IF(COUNT(J150)=0,"",IF(H150=0,"n.a.",J150/H150))</f>
        <v/>
      </c>
      <c r="AB150" s="12" t="n"/>
      <c r="AC150" s="12" t="n"/>
      <c r="AD150" s="12" t="n"/>
      <c r="AE150" s="13">
        <f>IF(OR(COUNT(J150)=0,COUNT(AB150:AD150)&lt;3),"",ROUND(J150-SUM(AB150:AD150),2))</f>
        <v/>
      </c>
      <c r="AF150" s="15">
        <f>IF(COUNT(AE150)=0,"",IF(Z150=0,"n.a.",AE150/Z150))</f>
        <v/>
      </c>
      <c r="AG150" s="12" t="n"/>
      <c r="AH150" s="14">
        <f>IF(OR(A150="",COUNT(Z150)=0,COUNT(AG150)=0),"",ROUND(Z150-AG150,2))</f>
        <v/>
      </c>
      <c r="AI150" s="21" t="n"/>
      <c r="AJ150" s="11">
        <f>IF(A150="","",IF(COUNT(I150)=0,"Enter approved NTE",IF(COUNT(Z150)&gt;0,IF(Z150&gt;I150,"Invoice exceeds NTE","Invoice within NTE"),IF(COUNT(L150)=0,"Enter quote inputs",IF(L150&gt;I150,"Quote exceeds NTE","Quote within NTE")))))</f>
        <v/>
      </c>
      <c r="AK150" s="11">
        <f>IF(A150="","",IF(COUNT(H150)=0,"Enter direct cost",IF(COUNT(Z150)=0,"Enter invoice revenue",IF(COUNT(AB150:AD150)&lt;3,"Enter expenses (0 if none)","Complete"))))</f>
        <v/>
      </c>
      <c r="AL150" s="11">
        <f>IF(A150="","",IF(NOT(AND(COUNT(AH150)=1,N(AH150)&gt;0.004,V150&lt;&gt;"Void",V150&lt;&gt;"Not invoiced",V150&lt;&gt;"Draft")),"",IF(COUNT(X150)=0,"No due date",IF(TODAY()-X150&lt;=0,"Not yet due",IF(TODAY()-X150&lt;=30,"1-30 days",IF(TODAY()-X150&lt;=60,"31-60 days",IF(TODAY()-X150&lt;=90,"61-90 days","Over 90 days")))))))</f>
        <v/>
      </c>
      <c r="AM150" s="49">
        <f>IF(OR(AL150="",AL150="No due date"),"",MAX(TODAY()-X150,0))</f>
        <v/>
      </c>
      <c r="AN150" s="49">
        <f>IF(AL150="","",IF(COUNT(X150)=0,-100000,TODAY()-X150))</f>
        <v/>
      </c>
      <c r="AO150" s="49">
        <f>IF(AN150="","",COUNTIF(AN$11:AN$1010,"&gt;"&amp;AN150)+COUNTIF(AN$11:AN150,AN150))</f>
        <v/>
      </c>
      <c r="AP150" s="49">
        <f>IF(OR(A150="",B150=""),"",IF(COUNTIF(B$11:B150,B150)=1,MAX(AP$10:AP149)+1,""))</f>
        <v/>
      </c>
    </row>
    <row r="151" ht="24" customHeight="1">
      <c r="A151" s="20" t="n"/>
      <c r="B151" s="10" t="n"/>
      <c r="C151" s="10" t="n"/>
      <c r="D151" s="10" t="n"/>
      <c r="E151" s="10" t="n"/>
      <c r="F151" s="18" t="n"/>
      <c r="G151" s="10" t="n"/>
      <c r="H151" s="12" t="n"/>
      <c r="I151" s="12" t="n"/>
      <c r="J151" s="13">
        <f>IF(OR(A151="",COUNT(H151)=0,COUNT(Z151)=0),"",ROUND(Z151-H151,2))</f>
        <v/>
      </c>
      <c r="K151" s="15">
        <f>IF(COUNT(J151)=0,"",IF(Z151=0,"n.a.",J151/Z151))</f>
        <v/>
      </c>
      <c r="L151" s="14">
        <f>IF(OR(A151="",COUNT(H151)=0,COUNT(Y151)=0),"",ROUND(H151*(1+Y151),2))</f>
        <v/>
      </c>
      <c r="M151" s="10" t="n"/>
      <c r="N151" s="10" t="n"/>
      <c r="O151" s="10" t="n"/>
      <c r="P151" s="10" t="n"/>
      <c r="Q151" s="20" t="n"/>
      <c r="R151" s="10" t="n"/>
      <c r="S151" s="10" t="n"/>
      <c r="T151" s="18" t="n"/>
      <c r="U151" s="18" t="n"/>
      <c r="V151" s="10" t="n"/>
      <c r="W151" s="10" t="n"/>
      <c r="X151" s="19">
        <f>IF(OR(A151="",COUNT(U151)=0,COUNT(AI151)=0),"",U151+AI151)</f>
        <v/>
      </c>
      <c r="Y151" s="16" t="n"/>
      <c r="Z151" s="12" t="n"/>
      <c r="AA151" s="17">
        <f>IF(COUNT(J151)=0,"",IF(H151=0,"n.a.",J151/H151))</f>
        <v/>
      </c>
      <c r="AB151" s="12" t="n"/>
      <c r="AC151" s="12" t="n"/>
      <c r="AD151" s="12" t="n"/>
      <c r="AE151" s="13">
        <f>IF(OR(COUNT(J151)=0,COUNT(AB151:AD151)&lt;3),"",ROUND(J151-SUM(AB151:AD151),2))</f>
        <v/>
      </c>
      <c r="AF151" s="15">
        <f>IF(COUNT(AE151)=0,"",IF(Z151=0,"n.a.",AE151/Z151))</f>
        <v/>
      </c>
      <c r="AG151" s="12" t="n"/>
      <c r="AH151" s="14">
        <f>IF(OR(A151="",COUNT(Z151)=0,COUNT(AG151)=0),"",ROUND(Z151-AG151,2))</f>
        <v/>
      </c>
      <c r="AI151" s="21" t="n"/>
      <c r="AJ151" s="11">
        <f>IF(A151="","",IF(COUNT(I151)=0,"Enter approved NTE",IF(COUNT(Z151)&gt;0,IF(Z151&gt;I151,"Invoice exceeds NTE","Invoice within NTE"),IF(COUNT(L151)=0,"Enter quote inputs",IF(L151&gt;I151,"Quote exceeds NTE","Quote within NTE")))))</f>
        <v/>
      </c>
      <c r="AK151" s="11">
        <f>IF(A151="","",IF(COUNT(H151)=0,"Enter direct cost",IF(COUNT(Z151)=0,"Enter invoice revenue",IF(COUNT(AB151:AD151)&lt;3,"Enter expenses (0 if none)","Complete"))))</f>
        <v/>
      </c>
      <c r="AL151" s="11">
        <f>IF(A151="","",IF(NOT(AND(COUNT(AH151)=1,N(AH151)&gt;0.004,V151&lt;&gt;"Void",V151&lt;&gt;"Not invoiced",V151&lt;&gt;"Draft")),"",IF(COUNT(X151)=0,"No due date",IF(TODAY()-X151&lt;=0,"Not yet due",IF(TODAY()-X151&lt;=30,"1-30 days",IF(TODAY()-X151&lt;=60,"31-60 days",IF(TODAY()-X151&lt;=90,"61-90 days","Over 90 days")))))))</f>
        <v/>
      </c>
      <c r="AM151" s="49">
        <f>IF(OR(AL151="",AL151="No due date"),"",MAX(TODAY()-X151,0))</f>
        <v/>
      </c>
      <c r="AN151" s="49">
        <f>IF(AL151="","",IF(COUNT(X151)=0,-100000,TODAY()-X151))</f>
        <v/>
      </c>
      <c r="AO151" s="49">
        <f>IF(AN151="","",COUNTIF(AN$11:AN$1010,"&gt;"&amp;AN151)+COUNTIF(AN$11:AN151,AN151))</f>
        <v/>
      </c>
      <c r="AP151" s="49">
        <f>IF(OR(A151="",B151=""),"",IF(COUNTIF(B$11:B151,B151)=1,MAX(AP$10:AP150)+1,""))</f>
        <v/>
      </c>
    </row>
    <row r="152" ht="24" customHeight="1">
      <c r="A152" s="20" t="n"/>
      <c r="B152" s="10" t="n"/>
      <c r="C152" s="10" t="n"/>
      <c r="D152" s="10" t="n"/>
      <c r="E152" s="10" t="n"/>
      <c r="F152" s="18" t="n"/>
      <c r="G152" s="10" t="n"/>
      <c r="H152" s="12" t="n"/>
      <c r="I152" s="12" t="n"/>
      <c r="J152" s="13">
        <f>IF(OR(A152="",COUNT(H152)=0,COUNT(Z152)=0),"",ROUND(Z152-H152,2))</f>
        <v/>
      </c>
      <c r="K152" s="15">
        <f>IF(COUNT(J152)=0,"",IF(Z152=0,"n.a.",J152/Z152))</f>
        <v/>
      </c>
      <c r="L152" s="14">
        <f>IF(OR(A152="",COUNT(H152)=0,COUNT(Y152)=0),"",ROUND(H152*(1+Y152),2))</f>
        <v/>
      </c>
      <c r="M152" s="10" t="n"/>
      <c r="N152" s="10" t="n"/>
      <c r="O152" s="10" t="n"/>
      <c r="P152" s="10" t="n"/>
      <c r="Q152" s="20" t="n"/>
      <c r="R152" s="10" t="n"/>
      <c r="S152" s="10" t="n"/>
      <c r="T152" s="18" t="n"/>
      <c r="U152" s="18" t="n"/>
      <c r="V152" s="10" t="n"/>
      <c r="W152" s="10" t="n"/>
      <c r="X152" s="19">
        <f>IF(OR(A152="",COUNT(U152)=0,COUNT(AI152)=0),"",U152+AI152)</f>
        <v/>
      </c>
      <c r="Y152" s="16" t="n"/>
      <c r="Z152" s="12" t="n"/>
      <c r="AA152" s="17">
        <f>IF(COUNT(J152)=0,"",IF(H152=0,"n.a.",J152/H152))</f>
        <v/>
      </c>
      <c r="AB152" s="12" t="n"/>
      <c r="AC152" s="12" t="n"/>
      <c r="AD152" s="12" t="n"/>
      <c r="AE152" s="13">
        <f>IF(OR(COUNT(J152)=0,COUNT(AB152:AD152)&lt;3),"",ROUND(J152-SUM(AB152:AD152),2))</f>
        <v/>
      </c>
      <c r="AF152" s="15">
        <f>IF(COUNT(AE152)=0,"",IF(Z152=0,"n.a.",AE152/Z152))</f>
        <v/>
      </c>
      <c r="AG152" s="12" t="n"/>
      <c r="AH152" s="14">
        <f>IF(OR(A152="",COUNT(Z152)=0,COUNT(AG152)=0),"",ROUND(Z152-AG152,2))</f>
        <v/>
      </c>
      <c r="AI152" s="21" t="n"/>
      <c r="AJ152" s="11">
        <f>IF(A152="","",IF(COUNT(I152)=0,"Enter approved NTE",IF(COUNT(Z152)&gt;0,IF(Z152&gt;I152,"Invoice exceeds NTE","Invoice within NTE"),IF(COUNT(L152)=0,"Enter quote inputs",IF(L152&gt;I152,"Quote exceeds NTE","Quote within NTE")))))</f>
        <v/>
      </c>
      <c r="AK152" s="11">
        <f>IF(A152="","",IF(COUNT(H152)=0,"Enter direct cost",IF(COUNT(Z152)=0,"Enter invoice revenue",IF(COUNT(AB152:AD152)&lt;3,"Enter expenses (0 if none)","Complete"))))</f>
        <v/>
      </c>
      <c r="AL152" s="11">
        <f>IF(A152="","",IF(NOT(AND(COUNT(AH152)=1,N(AH152)&gt;0.004,V152&lt;&gt;"Void",V152&lt;&gt;"Not invoiced",V152&lt;&gt;"Draft")),"",IF(COUNT(X152)=0,"No due date",IF(TODAY()-X152&lt;=0,"Not yet due",IF(TODAY()-X152&lt;=30,"1-30 days",IF(TODAY()-X152&lt;=60,"31-60 days",IF(TODAY()-X152&lt;=90,"61-90 days","Over 90 days")))))))</f>
        <v/>
      </c>
      <c r="AM152" s="49">
        <f>IF(OR(AL152="",AL152="No due date"),"",MAX(TODAY()-X152,0))</f>
        <v/>
      </c>
      <c r="AN152" s="49">
        <f>IF(AL152="","",IF(COUNT(X152)=0,-100000,TODAY()-X152))</f>
        <v/>
      </c>
      <c r="AO152" s="49">
        <f>IF(AN152="","",COUNTIF(AN$11:AN$1010,"&gt;"&amp;AN152)+COUNTIF(AN$11:AN152,AN152))</f>
        <v/>
      </c>
      <c r="AP152" s="49">
        <f>IF(OR(A152="",B152=""),"",IF(COUNTIF(B$11:B152,B152)=1,MAX(AP$10:AP151)+1,""))</f>
        <v/>
      </c>
    </row>
    <row r="153" ht="24" customHeight="1">
      <c r="A153" s="20" t="n"/>
      <c r="B153" s="10" t="n"/>
      <c r="C153" s="10" t="n"/>
      <c r="D153" s="10" t="n"/>
      <c r="E153" s="10" t="n"/>
      <c r="F153" s="18" t="n"/>
      <c r="G153" s="10" t="n"/>
      <c r="H153" s="12" t="n"/>
      <c r="I153" s="12" t="n"/>
      <c r="J153" s="13">
        <f>IF(OR(A153="",COUNT(H153)=0,COUNT(Z153)=0),"",ROUND(Z153-H153,2))</f>
        <v/>
      </c>
      <c r="K153" s="15">
        <f>IF(COUNT(J153)=0,"",IF(Z153=0,"n.a.",J153/Z153))</f>
        <v/>
      </c>
      <c r="L153" s="14">
        <f>IF(OR(A153="",COUNT(H153)=0,COUNT(Y153)=0),"",ROUND(H153*(1+Y153),2))</f>
        <v/>
      </c>
      <c r="M153" s="10" t="n"/>
      <c r="N153" s="10" t="n"/>
      <c r="O153" s="10" t="n"/>
      <c r="P153" s="10" t="n"/>
      <c r="Q153" s="20" t="n"/>
      <c r="R153" s="10" t="n"/>
      <c r="S153" s="10" t="n"/>
      <c r="T153" s="18" t="n"/>
      <c r="U153" s="18" t="n"/>
      <c r="V153" s="10" t="n"/>
      <c r="W153" s="10" t="n"/>
      <c r="X153" s="19">
        <f>IF(OR(A153="",COUNT(U153)=0,COUNT(AI153)=0),"",U153+AI153)</f>
        <v/>
      </c>
      <c r="Y153" s="16" t="n"/>
      <c r="Z153" s="12" t="n"/>
      <c r="AA153" s="17">
        <f>IF(COUNT(J153)=0,"",IF(H153=0,"n.a.",J153/H153))</f>
        <v/>
      </c>
      <c r="AB153" s="12" t="n"/>
      <c r="AC153" s="12" t="n"/>
      <c r="AD153" s="12" t="n"/>
      <c r="AE153" s="13">
        <f>IF(OR(COUNT(J153)=0,COUNT(AB153:AD153)&lt;3),"",ROUND(J153-SUM(AB153:AD153),2))</f>
        <v/>
      </c>
      <c r="AF153" s="15">
        <f>IF(COUNT(AE153)=0,"",IF(Z153=0,"n.a.",AE153/Z153))</f>
        <v/>
      </c>
      <c r="AG153" s="12" t="n"/>
      <c r="AH153" s="14">
        <f>IF(OR(A153="",COUNT(Z153)=0,COUNT(AG153)=0),"",ROUND(Z153-AG153,2))</f>
        <v/>
      </c>
      <c r="AI153" s="21" t="n"/>
      <c r="AJ153" s="11">
        <f>IF(A153="","",IF(COUNT(I153)=0,"Enter approved NTE",IF(COUNT(Z153)&gt;0,IF(Z153&gt;I153,"Invoice exceeds NTE","Invoice within NTE"),IF(COUNT(L153)=0,"Enter quote inputs",IF(L153&gt;I153,"Quote exceeds NTE","Quote within NTE")))))</f>
        <v/>
      </c>
      <c r="AK153" s="11">
        <f>IF(A153="","",IF(COUNT(H153)=0,"Enter direct cost",IF(COUNT(Z153)=0,"Enter invoice revenue",IF(COUNT(AB153:AD153)&lt;3,"Enter expenses (0 if none)","Complete"))))</f>
        <v/>
      </c>
      <c r="AL153" s="11">
        <f>IF(A153="","",IF(NOT(AND(COUNT(AH153)=1,N(AH153)&gt;0.004,V153&lt;&gt;"Void",V153&lt;&gt;"Not invoiced",V153&lt;&gt;"Draft")),"",IF(COUNT(X153)=0,"No due date",IF(TODAY()-X153&lt;=0,"Not yet due",IF(TODAY()-X153&lt;=30,"1-30 days",IF(TODAY()-X153&lt;=60,"31-60 days",IF(TODAY()-X153&lt;=90,"61-90 days","Over 90 days")))))))</f>
        <v/>
      </c>
      <c r="AM153" s="49">
        <f>IF(OR(AL153="",AL153="No due date"),"",MAX(TODAY()-X153,0))</f>
        <v/>
      </c>
      <c r="AN153" s="49">
        <f>IF(AL153="","",IF(COUNT(X153)=0,-100000,TODAY()-X153))</f>
        <v/>
      </c>
      <c r="AO153" s="49">
        <f>IF(AN153="","",COUNTIF(AN$11:AN$1010,"&gt;"&amp;AN153)+COUNTIF(AN$11:AN153,AN153))</f>
        <v/>
      </c>
      <c r="AP153" s="49">
        <f>IF(OR(A153="",B153=""),"",IF(COUNTIF(B$11:B153,B153)=1,MAX(AP$10:AP152)+1,""))</f>
        <v/>
      </c>
    </row>
    <row r="154" ht="24" customHeight="1">
      <c r="A154" s="20" t="n"/>
      <c r="B154" s="10" t="n"/>
      <c r="C154" s="10" t="n"/>
      <c r="D154" s="10" t="n"/>
      <c r="E154" s="10" t="n"/>
      <c r="F154" s="18" t="n"/>
      <c r="G154" s="10" t="n"/>
      <c r="H154" s="12" t="n"/>
      <c r="I154" s="12" t="n"/>
      <c r="J154" s="13">
        <f>IF(OR(A154="",COUNT(H154)=0,COUNT(Z154)=0),"",ROUND(Z154-H154,2))</f>
        <v/>
      </c>
      <c r="K154" s="15">
        <f>IF(COUNT(J154)=0,"",IF(Z154=0,"n.a.",J154/Z154))</f>
        <v/>
      </c>
      <c r="L154" s="14">
        <f>IF(OR(A154="",COUNT(H154)=0,COUNT(Y154)=0),"",ROUND(H154*(1+Y154),2))</f>
        <v/>
      </c>
      <c r="M154" s="10" t="n"/>
      <c r="N154" s="10" t="n"/>
      <c r="O154" s="10" t="n"/>
      <c r="P154" s="10" t="n"/>
      <c r="Q154" s="20" t="n"/>
      <c r="R154" s="10" t="n"/>
      <c r="S154" s="10" t="n"/>
      <c r="T154" s="18" t="n"/>
      <c r="U154" s="18" t="n"/>
      <c r="V154" s="10" t="n"/>
      <c r="W154" s="10" t="n"/>
      <c r="X154" s="19">
        <f>IF(OR(A154="",COUNT(U154)=0,COUNT(AI154)=0),"",U154+AI154)</f>
        <v/>
      </c>
      <c r="Y154" s="16" t="n"/>
      <c r="Z154" s="12" t="n"/>
      <c r="AA154" s="17">
        <f>IF(COUNT(J154)=0,"",IF(H154=0,"n.a.",J154/H154))</f>
        <v/>
      </c>
      <c r="AB154" s="12" t="n"/>
      <c r="AC154" s="12" t="n"/>
      <c r="AD154" s="12" t="n"/>
      <c r="AE154" s="13">
        <f>IF(OR(COUNT(J154)=0,COUNT(AB154:AD154)&lt;3),"",ROUND(J154-SUM(AB154:AD154),2))</f>
        <v/>
      </c>
      <c r="AF154" s="15">
        <f>IF(COUNT(AE154)=0,"",IF(Z154=0,"n.a.",AE154/Z154))</f>
        <v/>
      </c>
      <c r="AG154" s="12" t="n"/>
      <c r="AH154" s="14">
        <f>IF(OR(A154="",COUNT(Z154)=0,COUNT(AG154)=0),"",ROUND(Z154-AG154,2))</f>
        <v/>
      </c>
      <c r="AI154" s="21" t="n"/>
      <c r="AJ154" s="11">
        <f>IF(A154="","",IF(COUNT(I154)=0,"Enter approved NTE",IF(COUNT(Z154)&gt;0,IF(Z154&gt;I154,"Invoice exceeds NTE","Invoice within NTE"),IF(COUNT(L154)=0,"Enter quote inputs",IF(L154&gt;I154,"Quote exceeds NTE","Quote within NTE")))))</f>
        <v/>
      </c>
      <c r="AK154" s="11">
        <f>IF(A154="","",IF(COUNT(H154)=0,"Enter direct cost",IF(COUNT(Z154)=0,"Enter invoice revenue",IF(COUNT(AB154:AD154)&lt;3,"Enter expenses (0 if none)","Complete"))))</f>
        <v/>
      </c>
      <c r="AL154" s="11">
        <f>IF(A154="","",IF(NOT(AND(COUNT(AH154)=1,N(AH154)&gt;0.004,V154&lt;&gt;"Void",V154&lt;&gt;"Not invoiced",V154&lt;&gt;"Draft")),"",IF(COUNT(X154)=0,"No due date",IF(TODAY()-X154&lt;=0,"Not yet due",IF(TODAY()-X154&lt;=30,"1-30 days",IF(TODAY()-X154&lt;=60,"31-60 days",IF(TODAY()-X154&lt;=90,"61-90 days","Over 90 days")))))))</f>
        <v/>
      </c>
      <c r="AM154" s="49">
        <f>IF(OR(AL154="",AL154="No due date"),"",MAX(TODAY()-X154,0))</f>
        <v/>
      </c>
      <c r="AN154" s="49">
        <f>IF(AL154="","",IF(COUNT(X154)=0,-100000,TODAY()-X154))</f>
        <v/>
      </c>
      <c r="AO154" s="49">
        <f>IF(AN154="","",COUNTIF(AN$11:AN$1010,"&gt;"&amp;AN154)+COUNTIF(AN$11:AN154,AN154))</f>
        <v/>
      </c>
      <c r="AP154" s="49">
        <f>IF(OR(A154="",B154=""),"",IF(COUNTIF(B$11:B154,B154)=1,MAX(AP$10:AP153)+1,""))</f>
        <v/>
      </c>
    </row>
    <row r="155" ht="24" customHeight="1">
      <c r="A155" s="20" t="n"/>
      <c r="B155" s="10" t="n"/>
      <c r="C155" s="10" t="n"/>
      <c r="D155" s="10" t="n"/>
      <c r="E155" s="10" t="n"/>
      <c r="F155" s="18" t="n"/>
      <c r="G155" s="10" t="n"/>
      <c r="H155" s="12" t="n"/>
      <c r="I155" s="12" t="n"/>
      <c r="J155" s="13">
        <f>IF(OR(A155="",COUNT(H155)=0,COUNT(Z155)=0),"",ROUND(Z155-H155,2))</f>
        <v/>
      </c>
      <c r="K155" s="15">
        <f>IF(COUNT(J155)=0,"",IF(Z155=0,"n.a.",J155/Z155))</f>
        <v/>
      </c>
      <c r="L155" s="14">
        <f>IF(OR(A155="",COUNT(H155)=0,COUNT(Y155)=0),"",ROUND(H155*(1+Y155),2))</f>
        <v/>
      </c>
      <c r="M155" s="10" t="n"/>
      <c r="N155" s="10" t="n"/>
      <c r="O155" s="10" t="n"/>
      <c r="P155" s="10" t="n"/>
      <c r="Q155" s="20" t="n"/>
      <c r="R155" s="10" t="n"/>
      <c r="S155" s="10" t="n"/>
      <c r="T155" s="18" t="n"/>
      <c r="U155" s="18" t="n"/>
      <c r="V155" s="10" t="n"/>
      <c r="W155" s="10" t="n"/>
      <c r="X155" s="19">
        <f>IF(OR(A155="",COUNT(U155)=0,COUNT(AI155)=0),"",U155+AI155)</f>
        <v/>
      </c>
      <c r="Y155" s="16" t="n"/>
      <c r="Z155" s="12" t="n"/>
      <c r="AA155" s="17">
        <f>IF(COUNT(J155)=0,"",IF(H155=0,"n.a.",J155/H155))</f>
        <v/>
      </c>
      <c r="AB155" s="12" t="n"/>
      <c r="AC155" s="12" t="n"/>
      <c r="AD155" s="12" t="n"/>
      <c r="AE155" s="13">
        <f>IF(OR(COUNT(J155)=0,COUNT(AB155:AD155)&lt;3),"",ROUND(J155-SUM(AB155:AD155),2))</f>
        <v/>
      </c>
      <c r="AF155" s="15">
        <f>IF(COUNT(AE155)=0,"",IF(Z155=0,"n.a.",AE155/Z155))</f>
        <v/>
      </c>
      <c r="AG155" s="12" t="n"/>
      <c r="AH155" s="14">
        <f>IF(OR(A155="",COUNT(Z155)=0,COUNT(AG155)=0),"",ROUND(Z155-AG155,2))</f>
        <v/>
      </c>
      <c r="AI155" s="21" t="n"/>
      <c r="AJ155" s="11">
        <f>IF(A155="","",IF(COUNT(I155)=0,"Enter approved NTE",IF(COUNT(Z155)&gt;0,IF(Z155&gt;I155,"Invoice exceeds NTE","Invoice within NTE"),IF(COUNT(L155)=0,"Enter quote inputs",IF(L155&gt;I155,"Quote exceeds NTE","Quote within NTE")))))</f>
        <v/>
      </c>
      <c r="AK155" s="11">
        <f>IF(A155="","",IF(COUNT(H155)=0,"Enter direct cost",IF(COUNT(Z155)=0,"Enter invoice revenue",IF(COUNT(AB155:AD155)&lt;3,"Enter expenses (0 if none)","Complete"))))</f>
        <v/>
      </c>
      <c r="AL155" s="11">
        <f>IF(A155="","",IF(NOT(AND(COUNT(AH155)=1,N(AH155)&gt;0.004,V155&lt;&gt;"Void",V155&lt;&gt;"Not invoiced",V155&lt;&gt;"Draft")),"",IF(COUNT(X155)=0,"No due date",IF(TODAY()-X155&lt;=0,"Not yet due",IF(TODAY()-X155&lt;=30,"1-30 days",IF(TODAY()-X155&lt;=60,"31-60 days",IF(TODAY()-X155&lt;=90,"61-90 days","Over 90 days")))))))</f>
        <v/>
      </c>
      <c r="AM155" s="49">
        <f>IF(OR(AL155="",AL155="No due date"),"",MAX(TODAY()-X155,0))</f>
        <v/>
      </c>
      <c r="AN155" s="49">
        <f>IF(AL155="","",IF(COUNT(X155)=0,-100000,TODAY()-X155))</f>
        <v/>
      </c>
      <c r="AO155" s="49">
        <f>IF(AN155="","",COUNTIF(AN$11:AN$1010,"&gt;"&amp;AN155)+COUNTIF(AN$11:AN155,AN155))</f>
        <v/>
      </c>
      <c r="AP155" s="49">
        <f>IF(OR(A155="",B155=""),"",IF(COUNTIF(B$11:B155,B155)=1,MAX(AP$10:AP154)+1,""))</f>
        <v/>
      </c>
    </row>
    <row r="156" ht="24" customHeight="1">
      <c r="A156" s="20" t="n"/>
      <c r="B156" s="10" t="n"/>
      <c r="C156" s="10" t="n"/>
      <c r="D156" s="10" t="n"/>
      <c r="E156" s="10" t="n"/>
      <c r="F156" s="18" t="n"/>
      <c r="G156" s="10" t="n"/>
      <c r="H156" s="12" t="n"/>
      <c r="I156" s="12" t="n"/>
      <c r="J156" s="13">
        <f>IF(OR(A156="",COUNT(H156)=0,COUNT(Z156)=0),"",ROUND(Z156-H156,2))</f>
        <v/>
      </c>
      <c r="K156" s="15">
        <f>IF(COUNT(J156)=0,"",IF(Z156=0,"n.a.",J156/Z156))</f>
        <v/>
      </c>
      <c r="L156" s="14">
        <f>IF(OR(A156="",COUNT(H156)=0,COUNT(Y156)=0),"",ROUND(H156*(1+Y156),2))</f>
        <v/>
      </c>
      <c r="M156" s="10" t="n"/>
      <c r="N156" s="10" t="n"/>
      <c r="O156" s="10" t="n"/>
      <c r="P156" s="10" t="n"/>
      <c r="Q156" s="20" t="n"/>
      <c r="R156" s="10" t="n"/>
      <c r="S156" s="10" t="n"/>
      <c r="T156" s="18" t="n"/>
      <c r="U156" s="18" t="n"/>
      <c r="V156" s="10" t="n"/>
      <c r="W156" s="10" t="n"/>
      <c r="X156" s="19">
        <f>IF(OR(A156="",COUNT(U156)=0,COUNT(AI156)=0),"",U156+AI156)</f>
        <v/>
      </c>
      <c r="Y156" s="16" t="n"/>
      <c r="Z156" s="12" t="n"/>
      <c r="AA156" s="17">
        <f>IF(COUNT(J156)=0,"",IF(H156=0,"n.a.",J156/H156))</f>
        <v/>
      </c>
      <c r="AB156" s="12" t="n"/>
      <c r="AC156" s="12" t="n"/>
      <c r="AD156" s="12" t="n"/>
      <c r="AE156" s="13">
        <f>IF(OR(COUNT(J156)=0,COUNT(AB156:AD156)&lt;3),"",ROUND(J156-SUM(AB156:AD156),2))</f>
        <v/>
      </c>
      <c r="AF156" s="15">
        <f>IF(COUNT(AE156)=0,"",IF(Z156=0,"n.a.",AE156/Z156))</f>
        <v/>
      </c>
      <c r="AG156" s="12" t="n"/>
      <c r="AH156" s="14">
        <f>IF(OR(A156="",COUNT(Z156)=0,COUNT(AG156)=0),"",ROUND(Z156-AG156,2))</f>
        <v/>
      </c>
      <c r="AI156" s="21" t="n"/>
      <c r="AJ156" s="11">
        <f>IF(A156="","",IF(COUNT(I156)=0,"Enter approved NTE",IF(COUNT(Z156)&gt;0,IF(Z156&gt;I156,"Invoice exceeds NTE","Invoice within NTE"),IF(COUNT(L156)=0,"Enter quote inputs",IF(L156&gt;I156,"Quote exceeds NTE","Quote within NTE")))))</f>
        <v/>
      </c>
      <c r="AK156" s="11">
        <f>IF(A156="","",IF(COUNT(H156)=0,"Enter direct cost",IF(COUNT(Z156)=0,"Enter invoice revenue",IF(COUNT(AB156:AD156)&lt;3,"Enter expenses (0 if none)","Complete"))))</f>
        <v/>
      </c>
      <c r="AL156" s="11">
        <f>IF(A156="","",IF(NOT(AND(COUNT(AH156)=1,N(AH156)&gt;0.004,V156&lt;&gt;"Void",V156&lt;&gt;"Not invoiced",V156&lt;&gt;"Draft")),"",IF(COUNT(X156)=0,"No due date",IF(TODAY()-X156&lt;=0,"Not yet due",IF(TODAY()-X156&lt;=30,"1-30 days",IF(TODAY()-X156&lt;=60,"31-60 days",IF(TODAY()-X156&lt;=90,"61-90 days","Over 90 days")))))))</f>
        <v/>
      </c>
      <c r="AM156" s="49">
        <f>IF(OR(AL156="",AL156="No due date"),"",MAX(TODAY()-X156,0))</f>
        <v/>
      </c>
      <c r="AN156" s="49">
        <f>IF(AL156="","",IF(COUNT(X156)=0,-100000,TODAY()-X156))</f>
        <v/>
      </c>
      <c r="AO156" s="49">
        <f>IF(AN156="","",COUNTIF(AN$11:AN$1010,"&gt;"&amp;AN156)+COUNTIF(AN$11:AN156,AN156))</f>
        <v/>
      </c>
      <c r="AP156" s="49">
        <f>IF(OR(A156="",B156=""),"",IF(COUNTIF(B$11:B156,B156)=1,MAX(AP$10:AP155)+1,""))</f>
        <v/>
      </c>
    </row>
    <row r="157" ht="24" customHeight="1">
      <c r="A157" s="20" t="n"/>
      <c r="B157" s="10" t="n"/>
      <c r="C157" s="10" t="n"/>
      <c r="D157" s="10" t="n"/>
      <c r="E157" s="10" t="n"/>
      <c r="F157" s="18" t="n"/>
      <c r="G157" s="10" t="n"/>
      <c r="H157" s="12" t="n"/>
      <c r="I157" s="12" t="n"/>
      <c r="J157" s="13">
        <f>IF(OR(A157="",COUNT(H157)=0,COUNT(Z157)=0),"",ROUND(Z157-H157,2))</f>
        <v/>
      </c>
      <c r="K157" s="15">
        <f>IF(COUNT(J157)=0,"",IF(Z157=0,"n.a.",J157/Z157))</f>
        <v/>
      </c>
      <c r="L157" s="14">
        <f>IF(OR(A157="",COUNT(H157)=0,COUNT(Y157)=0),"",ROUND(H157*(1+Y157),2))</f>
        <v/>
      </c>
      <c r="M157" s="10" t="n"/>
      <c r="N157" s="10" t="n"/>
      <c r="O157" s="10" t="n"/>
      <c r="P157" s="10" t="n"/>
      <c r="Q157" s="20" t="n"/>
      <c r="R157" s="10" t="n"/>
      <c r="S157" s="10" t="n"/>
      <c r="T157" s="18" t="n"/>
      <c r="U157" s="18" t="n"/>
      <c r="V157" s="10" t="n"/>
      <c r="W157" s="10" t="n"/>
      <c r="X157" s="19">
        <f>IF(OR(A157="",COUNT(U157)=0,COUNT(AI157)=0),"",U157+AI157)</f>
        <v/>
      </c>
      <c r="Y157" s="16" t="n"/>
      <c r="Z157" s="12" t="n"/>
      <c r="AA157" s="17">
        <f>IF(COUNT(J157)=0,"",IF(H157=0,"n.a.",J157/H157))</f>
        <v/>
      </c>
      <c r="AB157" s="12" t="n"/>
      <c r="AC157" s="12" t="n"/>
      <c r="AD157" s="12" t="n"/>
      <c r="AE157" s="13">
        <f>IF(OR(COUNT(J157)=0,COUNT(AB157:AD157)&lt;3),"",ROUND(J157-SUM(AB157:AD157),2))</f>
        <v/>
      </c>
      <c r="AF157" s="15">
        <f>IF(COUNT(AE157)=0,"",IF(Z157=0,"n.a.",AE157/Z157))</f>
        <v/>
      </c>
      <c r="AG157" s="12" t="n"/>
      <c r="AH157" s="14">
        <f>IF(OR(A157="",COUNT(Z157)=0,COUNT(AG157)=0),"",ROUND(Z157-AG157,2))</f>
        <v/>
      </c>
      <c r="AI157" s="21" t="n"/>
      <c r="AJ157" s="11">
        <f>IF(A157="","",IF(COUNT(I157)=0,"Enter approved NTE",IF(COUNT(Z157)&gt;0,IF(Z157&gt;I157,"Invoice exceeds NTE","Invoice within NTE"),IF(COUNT(L157)=0,"Enter quote inputs",IF(L157&gt;I157,"Quote exceeds NTE","Quote within NTE")))))</f>
        <v/>
      </c>
      <c r="AK157" s="11">
        <f>IF(A157="","",IF(COUNT(H157)=0,"Enter direct cost",IF(COUNT(Z157)=0,"Enter invoice revenue",IF(COUNT(AB157:AD157)&lt;3,"Enter expenses (0 if none)","Complete"))))</f>
        <v/>
      </c>
      <c r="AL157" s="11">
        <f>IF(A157="","",IF(NOT(AND(COUNT(AH157)=1,N(AH157)&gt;0.004,V157&lt;&gt;"Void",V157&lt;&gt;"Not invoiced",V157&lt;&gt;"Draft")),"",IF(COUNT(X157)=0,"No due date",IF(TODAY()-X157&lt;=0,"Not yet due",IF(TODAY()-X157&lt;=30,"1-30 days",IF(TODAY()-X157&lt;=60,"31-60 days",IF(TODAY()-X157&lt;=90,"61-90 days","Over 90 days")))))))</f>
        <v/>
      </c>
      <c r="AM157" s="49">
        <f>IF(OR(AL157="",AL157="No due date"),"",MAX(TODAY()-X157,0))</f>
        <v/>
      </c>
      <c r="AN157" s="49">
        <f>IF(AL157="","",IF(COUNT(X157)=0,-100000,TODAY()-X157))</f>
        <v/>
      </c>
      <c r="AO157" s="49">
        <f>IF(AN157="","",COUNTIF(AN$11:AN$1010,"&gt;"&amp;AN157)+COUNTIF(AN$11:AN157,AN157))</f>
        <v/>
      </c>
      <c r="AP157" s="49">
        <f>IF(OR(A157="",B157=""),"",IF(COUNTIF(B$11:B157,B157)=1,MAX(AP$10:AP156)+1,""))</f>
        <v/>
      </c>
    </row>
    <row r="158" ht="24" customHeight="1">
      <c r="A158" s="20" t="n"/>
      <c r="B158" s="10" t="n"/>
      <c r="C158" s="10" t="n"/>
      <c r="D158" s="10" t="n"/>
      <c r="E158" s="10" t="n"/>
      <c r="F158" s="18" t="n"/>
      <c r="G158" s="10" t="n"/>
      <c r="H158" s="12" t="n"/>
      <c r="I158" s="12" t="n"/>
      <c r="J158" s="13">
        <f>IF(OR(A158="",COUNT(H158)=0,COUNT(Z158)=0),"",ROUND(Z158-H158,2))</f>
        <v/>
      </c>
      <c r="K158" s="15">
        <f>IF(COUNT(J158)=0,"",IF(Z158=0,"n.a.",J158/Z158))</f>
        <v/>
      </c>
      <c r="L158" s="14">
        <f>IF(OR(A158="",COUNT(H158)=0,COUNT(Y158)=0),"",ROUND(H158*(1+Y158),2))</f>
        <v/>
      </c>
      <c r="M158" s="10" t="n"/>
      <c r="N158" s="10" t="n"/>
      <c r="O158" s="10" t="n"/>
      <c r="P158" s="10" t="n"/>
      <c r="Q158" s="20" t="n"/>
      <c r="R158" s="10" t="n"/>
      <c r="S158" s="10" t="n"/>
      <c r="T158" s="18" t="n"/>
      <c r="U158" s="18" t="n"/>
      <c r="V158" s="10" t="n"/>
      <c r="W158" s="10" t="n"/>
      <c r="X158" s="19">
        <f>IF(OR(A158="",COUNT(U158)=0,COUNT(AI158)=0),"",U158+AI158)</f>
        <v/>
      </c>
      <c r="Y158" s="16" t="n"/>
      <c r="Z158" s="12" t="n"/>
      <c r="AA158" s="17">
        <f>IF(COUNT(J158)=0,"",IF(H158=0,"n.a.",J158/H158))</f>
        <v/>
      </c>
      <c r="AB158" s="12" t="n"/>
      <c r="AC158" s="12" t="n"/>
      <c r="AD158" s="12" t="n"/>
      <c r="AE158" s="13">
        <f>IF(OR(COUNT(J158)=0,COUNT(AB158:AD158)&lt;3),"",ROUND(J158-SUM(AB158:AD158),2))</f>
        <v/>
      </c>
      <c r="AF158" s="15">
        <f>IF(COUNT(AE158)=0,"",IF(Z158=0,"n.a.",AE158/Z158))</f>
        <v/>
      </c>
      <c r="AG158" s="12" t="n"/>
      <c r="AH158" s="14">
        <f>IF(OR(A158="",COUNT(Z158)=0,COUNT(AG158)=0),"",ROUND(Z158-AG158,2))</f>
        <v/>
      </c>
      <c r="AI158" s="21" t="n"/>
      <c r="AJ158" s="11">
        <f>IF(A158="","",IF(COUNT(I158)=0,"Enter approved NTE",IF(COUNT(Z158)&gt;0,IF(Z158&gt;I158,"Invoice exceeds NTE","Invoice within NTE"),IF(COUNT(L158)=0,"Enter quote inputs",IF(L158&gt;I158,"Quote exceeds NTE","Quote within NTE")))))</f>
        <v/>
      </c>
      <c r="AK158" s="11">
        <f>IF(A158="","",IF(COUNT(H158)=0,"Enter direct cost",IF(COUNT(Z158)=0,"Enter invoice revenue",IF(COUNT(AB158:AD158)&lt;3,"Enter expenses (0 if none)","Complete"))))</f>
        <v/>
      </c>
      <c r="AL158" s="11">
        <f>IF(A158="","",IF(NOT(AND(COUNT(AH158)=1,N(AH158)&gt;0.004,V158&lt;&gt;"Void",V158&lt;&gt;"Not invoiced",V158&lt;&gt;"Draft")),"",IF(COUNT(X158)=0,"No due date",IF(TODAY()-X158&lt;=0,"Not yet due",IF(TODAY()-X158&lt;=30,"1-30 days",IF(TODAY()-X158&lt;=60,"31-60 days",IF(TODAY()-X158&lt;=90,"61-90 days","Over 90 days")))))))</f>
        <v/>
      </c>
      <c r="AM158" s="49">
        <f>IF(OR(AL158="",AL158="No due date"),"",MAX(TODAY()-X158,0))</f>
        <v/>
      </c>
      <c r="AN158" s="49">
        <f>IF(AL158="","",IF(COUNT(X158)=0,-100000,TODAY()-X158))</f>
        <v/>
      </c>
      <c r="AO158" s="49">
        <f>IF(AN158="","",COUNTIF(AN$11:AN$1010,"&gt;"&amp;AN158)+COUNTIF(AN$11:AN158,AN158))</f>
        <v/>
      </c>
      <c r="AP158" s="49">
        <f>IF(OR(A158="",B158=""),"",IF(COUNTIF(B$11:B158,B158)=1,MAX(AP$10:AP157)+1,""))</f>
        <v/>
      </c>
    </row>
    <row r="159" ht="24" customHeight="1">
      <c r="A159" s="20" t="n"/>
      <c r="B159" s="10" t="n"/>
      <c r="C159" s="10" t="n"/>
      <c r="D159" s="10" t="n"/>
      <c r="E159" s="10" t="n"/>
      <c r="F159" s="18" t="n"/>
      <c r="G159" s="10" t="n"/>
      <c r="H159" s="12" t="n"/>
      <c r="I159" s="12" t="n"/>
      <c r="J159" s="13">
        <f>IF(OR(A159="",COUNT(H159)=0,COUNT(Z159)=0),"",ROUND(Z159-H159,2))</f>
        <v/>
      </c>
      <c r="K159" s="15">
        <f>IF(COUNT(J159)=0,"",IF(Z159=0,"n.a.",J159/Z159))</f>
        <v/>
      </c>
      <c r="L159" s="14">
        <f>IF(OR(A159="",COUNT(H159)=0,COUNT(Y159)=0),"",ROUND(H159*(1+Y159),2))</f>
        <v/>
      </c>
      <c r="M159" s="10" t="n"/>
      <c r="N159" s="10" t="n"/>
      <c r="O159" s="10" t="n"/>
      <c r="P159" s="10" t="n"/>
      <c r="Q159" s="20" t="n"/>
      <c r="R159" s="10" t="n"/>
      <c r="S159" s="10" t="n"/>
      <c r="T159" s="18" t="n"/>
      <c r="U159" s="18" t="n"/>
      <c r="V159" s="10" t="n"/>
      <c r="W159" s="10" t="n"/>
      <c r="X159" s="19">
        <f>IF(OR(A159="",COUNT(U159)=0,COUNT(AI159)=0),"",U159+AI159)</f>
        <v/>
      </c>
      <c r="Y159" s="16" t="n"/>
      <c r="Z159" s="12" t="n"/>
      <c r="AA159" s="17">
        <f>IF(COUNT(J159)=0,"",IF(H159=0,"n.a.",J159/H159))</f>
        <v/>
      </c>
      <c r="AB159" s="12" t="n"/>
      <c r="AC159" s="12" t="n"/>
      <c r="AD159" s="12" t="n"/>
      <c r="AE159" s="13">
        <f>IF(OR(COUNT(J159)=0,COUNT(AB159:AD159)&lt;3),"",ROUND(J159-SUM(AB159:AD159),2))</f>
        <v/>
      </c>
      <c r="AF159" s="15">
        <f>IF(COUNT(AE159)=0,"",IF(Z159=0,"n.a.",AE159/Z159))</f>
        <v/>
      </c>
      <c r="AG159" s="12" t="n"/>
      <c r="AH159" s="14">
        <f>IF(OR(A159="",COUNT(Z159)=0,COUNT(AG159)=0),"",ROUND(Z159-AG159,2))</f>
        <v/>
      </c>
      <c r="AI159" s="21" t="n"/>
      <c r="AJ159" s="11">
        <f>IF(A159="","",IF(COUNT(I159)=0,"Enter approved NTE",IF(COUNT(Z159)&gt;0,IF(Z159&gt;I159,"Invoice exceeds NTE","Invoice within NTE"),IF(COUNT(L159)=0,"Enter quote inputs",IF(L159&gt;I159,"Quote exceeds NTE","Quote within NTE")))))</f>
        <v/>
      </c>
      <c r="AK159" s="11">
        <f>IF(A159="","",IF(COUNT(H159)=0,"Enter direct cost",IF(COUNT(Z159)=0,"Enter invoice revenue",IF(COUNT(AB159:AD159)&lt;3,"Enter expenses (0 if none)","Complete"))))</f>
        <v/>
      </c>
      <c r="AL159" s="11">
        <f>IF(A159="","",IF(NOT(AND(COUNT(AH159)=1,N(AH159)&gt;0.004,V159&lt;&gt;"Void",V159&lt;&gt;"Not invoiced",V159&lt;&gt;"Draft")),"",IF(COUNT(X159)=0,"No due date",IF(TODAY()-X159&lt;=0,"Not yet due",IF(TODAY()-X159&lt;=30,"1-30 days",IF(TODAY()-X159&lt;=60,"31-60 days",IF(TODAY()-X159&lt;=90,"61-90 days","Over 90 days")))))))</f>
        <v/>
      </c>
      <c r="AM159" s="49">
        <f>IF(OR(AL159="",AL159="No due date"),"",MAX(TODAY()-X159,0))</f>
        <v/>
      </c>
      <c r="AN159" s="49">
        <f>IF(AL159="","",IF(COUNT(X159)=0,-100000,TODAY()-X159))</f>
        <v/>
      </c>
      <c r="AO159" s="49">
        <f>IF(AN159="","",COUNTIF(AN$11:AN$1010,"&gt;"&amp;AN159)+COUNTIF(AN$11:AN159,AN159))</f>
        <v/>
      </c>
      <c r="AP159" s="49">
        <f>IF(OR(A159="",B159=""),"",IF(COUNTIF(B$11:B159,B159)=1,MAX(AP$10:AP158)+1,""))</f>
        <v/>
      </c>
    </row>
    <row r="160" ht="24" customHeight="1">
      <c r="A160" s="20" t="n"/>
      <c r="B160" s="10" t="n"/>
      <c r="C160" s="10" t="n"/>
      <c r="D160" s="10" t="n"/>
      <c r="E160" s="10" t="n"/>
      <c r="F160" s="18" t="n"/>
      <c r="G160" s="10" t="n"/>
      <c r="H160" s="12" t="n"/>
      <c r="I160" s="12" t="n"/>
      <c r="J160" s="13">
        <f>IF(OR(A160="",COUNT(H160)=0,COUNT(Z160)=0),"",ROUND(Z160-H160,2))</f>
        <v/>
      </c>
      <c r="K160" s="15">
        <f>IF(COUNT(J160)=0,"",IF(Z160=0,"n.a.",J160/Z160))</f>
        <v/>
      </c>
      <c r="L160" s="14">
        <f>IF(OR(A160="",COUNT(H160)=0,COUNT(Y160)=0),"",ROUND(H160*(1+Y160),2))</f>
        <v/>
      </c>
      <c r="M160" s="10" t="n"/>
      <c r="N160" s="10" t="n"/>
      <c r="O160" s="10" t="n"/>
      <c r="P160" s="10" t="n"/>
      <c r="Q160" s="20" t="n"/>
      <c r="R160" s="10" t="n"/>
      <c r="S160" s="10" t="n"/>
      <c r="T160" s="18" t="n"/>
      <c r="U160" s="18" t="n"/>
      <c r="V160" s="10" t="n"/>
      <c r="W160" s="10" t="n"/>
      <c r="X160" s="19">
        <f>IF(OR(A160="",COUNT(U160)=0,COUNT(AI160)=0),"",U160+AI160)</f>
        <v/>
      </c>
      <c r="Y160" s="16" t="n"/>
      <c r="Z160" s="12" t="n"/>
      <c r="AA160" s="17">
        <f>IF(COUNT(J160)=0,"",IF(H160=0,"n.a.",J160/H160))</f>
        <v/>
      </c>
      <c r="AB160" s="12" t="n"/>
      <c r="AC160" s="12" t="n"/>
      <c r="AD160" s="12" t="n"/>
      <c r="AE160" s="13">
        <f>IF(OR(COUNT(J160)=0,COUNT(AB160:AD160)&lt;3),"",ROUND(J160-SUM(AB160:AD160),2))</f>
        <v/>
      </c>
      <c r="AF160" s="15">
        <f>IF(COUNT(AE160)=0,"",IF(Z160=0,"n.a.",AE160/Z160))</f>
        <v/>
      </c>
      <c r="AG160" s="12" t="n"/>
      <c r="AH160" s="14">
        <f>IF(OR(A160="",COUNT(Z160)=0,COUNT(AG160)=0),"",ROUND(Z160-AG160,2))</f>
        <v/>
      </c>
      <c r="AI160" s="21" t="n"/>
      <c r="AJ160" s="11">
        <f>IF(A160="","",IF(COUNT(I160)=0,"Enter approved NTE",IF(COUNT(Z160)&gt;0,IF(Z160&gt;I160,"Invoice exceeds NTE","Invoice within NTE"),IF(COUNT(L160)=0,"Enter quote inputs",IF(L160&gt;I160,"Quote exceeds NTE","Quote within NTE")))))</f>
        <v/>
      </c>
      <c r="AK160" s="11">
        <f>IF(A160="","",IF(COUNT(H160)=0,"Enter direct cost",IF(COUNT(Z160)=0,"Enter invoice revenue",IF(COUNT(AB160:AD160)&lt;3,"Enter expenses (0 if none)","Complete"))))</f>
        <v/>
      </c>
      <c r="AL160" s="11">
        <f>IF(A160="","",IF(NOT(AND(COUNT(AH160)=1,N(AH160)&gt;0.004,V160&lt;&gt;"Void",V160&lt;&gt;"Not invoiced",V160&lt;&gt;"Draft")),"",IF(COUNT(X160)=0,"No due date",IF(TODAY()-X160&lt;=0,"Not yet due",IF(TODAY()-X160&lt;=30,"1-30 days",IF(TODAY()-X160&lt;=60,"31-60 days",IF(TODAY()-X160&lt;=90,"61-90 days","Over 90 days")))))))</f>
        <v/>
      </c>
      <c r="AM160" s="49">
        <f>IF(OR(AL160="",AL160="No due date"),"",MAX(TODAY()-X160,0))</f>
        <v/>
      </c>
      <c r="AN160" s="49">
        <f>IF(AL160="","",IF(COUNT(X160)=0,-100000,TODAY()-X160))</f>
        <v/>
      </c>
      <c r="AO160" s="49">
        <f>IF(AN160="","",COUNTIF(AN$11:AN$1010,"&gt;"&amp;AN160)+COUNTIF(AN$11:AN160,AN160))</f>
        <v/>
      </c>
      <c r="AP160" s="49">
        <f>IF(OR(A160="",B160=""),"",IF(COUNTIF(B$11:B160,B160)=1,MAX(AP$10:AP159)+1,""))</f>
        <v/>
      </c>
    </row>
    <row r="161" ht="24" customHeight="1">
      <c r="A161" s="20" t="n"/>
      <c r="B161" s="10" t="n"/>
      <c r="C161" s="10" t="n"/>
      <c r="D161" s="10" t="n"/>
      <c r="E161" s="10" t="n"/>
      <c r="F161" s="18" t="n"/>
      <c r="G161" s="10" t="n"/>
      <c r="H161" s="12" t="n"/>
      <c r="I161" s="12" t="n"/>
      <c r="J161" s="13">
        <f>IF(OR(A161="",COUNT(H161)=0,COUNT(Z161)=0),"",ROUND(Z161-H161,2))</f>
        <v/>
      </c>
      <c r="K161" s="15">
        <f>IF(COUNT(J161)=0,"",IF(Z161=0,"n.a.",J161/Z161))</f>
        <v/>
      </c>
      <c r="L161" s="14">
        <f>IF(OR(A161="",COUNT(H161)=0,COUNT(Y161)=0),"",ROUND(H161*(1+Y161),2))</f>
        <v/>
      </c>
      <c r="M161" s="10" t="n"/>
      <c r="N161" s="10" t="n"/>
      <c r="O161" s="10" t="n"/>
      <c r="P161" s="10" t="n"/>
      <c r="Q161" s="20" t="n"/>
      <c r="R161" s="10" t="n"/>
      <c r="S161" s="10" t="n"/>
      <c r="T161" s="18" t="n"/>
      <c r="U161" s="18" t="n"/>
      <c r="V161" s="10" t="n"/>
      <c r="W161" s="10" t="n"/>
      <c r="X161" s="19">
        <f>IF(OR(A161="",COUNT(U161)=0,COUNT(AI161)=0),"",U161+AI161)</f>
        <v/>
      </c>
      <c r="Y161" s="16" t="n"/>
      <c r="Z161" s="12" t="n"/>
      <c r="AA161" s="17">
        <f>IF(COUNT(J161)=0,"",IF(H161=0,"n.a.",J161/H161))</f>
        <v/>
      </c>
      <c r="AB161" s="12" t="n"/>
      <c r="AC161" s="12" t="n"/>
      <c r="AD161" s="12" t="n"/>
      <c r="AE161" s="13">
        <f>IF(OR(COUNT(J161)=0,COUNT(AB161:AD161)&lt;3),"",ROUND(J161-SUM(AB161:AD161),2))</f>
        <v/>
      </c>
      <c r="AF161" s="15">
        <f>IF(COUNT(AE161)=0,"",IF(Z161=0,"n.a.",AE161/Z161))</f>
        <v/>
      </c>
      <c r="AG161" s="12" t="n"/>
      <c r="AH161" s="14">
        <f>IF(OR(A161="",COUNT(Z161)=0,COUNT(AG161)=0),"",ROUND(Z161-AG161,2))</f>
        <v/>
      </c>
      <c r="AI161" s="21" t="n"/>
      <c r="AJ161" s="11">
        <f>IF(A161="","",IF(COUNT(I161)=0,"Enter approved NTE",IF(COUNT(Z161)&gt;0,IF(Z161&gt;I161,"Invoice exceeds NTE","Invoice within NTE"),IF(COUNT(L161)=0,"Enter quote inputs",IF(L161&gt;I161,"Quote exceeds NTE","Quote within NTE")))))</f>
        <v/>
      </c>
      <c r="AK161" s="11">
        <f>IF(A161="","",IF(COUNT(H161)=0,"Enter direct cost",IF(COUNT(Z161)=0,"Enter invoice revenue",IF(COUNT(AB161:AD161)&lt;3,"Enter expenses (0 if none)","Complete"))))</f>
        <v/>
      </c>
      <c r="AL161" s="11">
        <f>IF(A161="","",IF(NOT(AND(COUNT(AH161)=1,N(AH161)&gt;0.004,V161&lt;&gt;"Void",V161&lt;&gt;"Not invoiced",V161&lt;&gt;"Draft")),"",IF(COUNT(X161)=0,"No due date",IF(TODAY()-X161&lt;=0,"Not yet due",IF(TODAY()-X161&lt;=30,"1-30 days",IF(TODAY()-X161&lt;=60,"31-60 days",IF(TODAY()-X161&lt;=90,"61-90 days","Over 90 days")))))))</f>
        <v/>
      </c>
      <c r="AM161" s="49">
        <f>IF(OR(AL161="",AL161="No due date"),"",MAX(TODAY()-X161,0))</f>
        <v/>
      </c>
      <c r="AN161" s="49">
        <f>IF(AL161="","",IF(COUNT(X161)=0,-100000,TODAY()-X161))</f>
        <v/>
      </c>
      <c r="AO161" s="49">
        <f>IF(AN161="","",COUNTIF(AN$11:AN$1010,"&gt;"&amp;AN161)+COUNTIF(AN$11:AN161,AN161))</f>
        <v/>
      </c>
      <c r="AP161" s="49">
        <f>IF(OR(A161="",B161=""),"",IF(COUNTIF(B$11:B161,B161)=1,MAX(AP$10:AP160)+1,""))</f>
        <v/>
      </c>
    </row>
    <row r="162" ht="24" customHeight="1">
      <c r="A162" s="20" t="n"/>
      <c r="B162" s="10" t="n"/>
      <c r="C162" s="10" t="n"/>
      <c r="D162" s="10" t="n"/>
      <c r="E162" s="10" t="n"/>
      <c r="F162" s="18" t="n"/>
      <c r="G162" s="10" t="n"/>
      <c r="H162" s="12" t="n"/>
      <c r="I162" s="12" t="n"/>
      <c r="J162" s="13">
        <f>IF(OR(A162="",COUNT(H162)=0,COUNT(Z162)=0),"",ROUND(Z162-H162,2))</f>
        <v/>
      </c>
      <c r="K162" s="15">
        <f>IF(COUNT(J162)=0,"",IF(Z162=0,"n.a.",J162/Z162))</f>
        <v/>
      </c>
      <c r="L162" s="14">
        <f>IF(OR(A162="",COUNT(H162)=0,COUNT(Y162)=0),"",ROUND(H162*(1+Y162),2))</f>
        <v/>
      </c>
      <c r="M162" s="10" t="n"/>
      <c r="N162" s="10" t="n"/>
      <c r="O162" s="10" t="n"/>
      <c r="P162" s="10" t="n"/>
      <c r="Q162" s="20" t="n"/>
      <c r="R162" s="10" t="n"/>
      <c r="S162" s="10" t="n"/>
      <c r="T162" s="18" t="n"/>
      <c r="U162" s="18" t="n"/>
      <c r="V162" s="10" t="n"/>
      <c r="W162" s="10" t="n"/>
      <c r="X162" s="19">
        <f>IF(OR(A162="",COUNT(U162)=0,COUNT(AI162)=0),"",U162+AI162)</f>
        <v/>
      </c>
      <c r="Y162" s="16" t="n"/>
      <c r="Z162" s="12" t="n"/>
      <c r="AA162" s="17">
        <f>IF(COUNT(J162)=0,"",IF(H162=0,"n.a.",J162/H162))</f>
        <v/>
      </c>
      <c r="AB162" s="12" t="n"/>
      <c r="AC162" s="12" t="n"/>
      <c r="AD162" s="12" t="n"/>
      <c r="AE162" s="13">
        <f>IF(OR(COUNT(J162)=0,COUNT(AB162:AD162)&lt;3),"",ROUND(J162-SUM(AB162:AD162),2))</f>
        <v/>
      </c>
      <c r="AF162" s="15">
        <f>IF(COUNT(AE162)=0,"",IF(Z162=0,"n.a.",AE162/Z162))</f>
        <v/>
      </c>
      <c r="AG162" s="12" t="n"/>
      <c r="AH162" s="14">
        <f>IF(OR(A162="",COUNT(Z162)=0,COUNT(AG162)=0),"",ROUND(Z162-AG162,2))</f>
        <v/>
      </c>
      <c r="AI162" s="21" t="n"/>
      <c r="AJ162" s="11">
        <f>IF(A162="","",IF(COUNT(I162)=0,"Enter approved NTE",IF(COUNT(Z162)&gt;0,IF(Z162&gt;I162,"Invoice exceeds NTE","Invoice within NTE"),IF(COUNT(L162)=0,"Enter quote inputs",IF(L162&gt;I162,"Quote exceeds NTE","Quote within NTE")))))</f>
        <v/>
      </c>
      <c r="AK162" s="11">
        <f>IF(A162="","",IF(COUNT(H162)=0,"Enter direct cost",IF(COUNT(Z162)=0,"Enter invoice revenue",IF(COUNT(AB162:AD162)&lt;3,"Enter expenses (0 if none)","Complete"))))</f>
        <v/>
      </c>
      <c r="AL162" s="11">
        <f>IF(A162="","",IF(NOT(AND(COUNT(AH162)=1,N(AH162)&gt;0.004,V162&lt;&gt;"Void",V162&lt;&gt;"Not invoiced",V162&lt;&gt;"Draft")),"",IF(COUNT(X162)=0,"No due date",IF(TODAY()-X162&lt;=0,"Not yet due",IF(TODAY()-X162&lt;=30,"1-30 days",IF(TODAY()-X162&lt;=60,"31-60 days",IF(TODAY()-X162&lt;=90,"61-90 days","Over 90 days")))))))</f>
        <v/>
      </c>
      <c r="AM162" s="49">
        <f>IF(OR(AL162="",AL162="No due date"),"",MAX(TODAY()-X162,0))</f>
        <v/>
      </c>
      <c r="AN162" s="49">
        <f>IF(AL162="","",IF(COUNT(X162)=0,-100000,TODAY()-X162))</f>
        <v/>
      </c>
      <c r="AO162" s="49">
        <f>IF(AN162="","",COUNTIF(AN$11:AN$1010,"&gt;"&amp;AN162)+COUNTIF(AN$11:AN162,AN162))</f>
        <v/>
      </c>
      <c r="AP162" s="49">
        <f>IF(OR(A162="",B162=""),"",IF(COUNTIF(B$11:B162,B162)=1,MAX(AP$10:AP161)+1,""))</f>
        <v/>
      </c>
    </row>
    <row r="163" ht="24" customHeight="1">
      <c r="A163" s="20" t="n"/>
      <c r="B163" s="10" t="n"/>
      <c r="C163" s="10" t="n"/>
      <c r="D163" s="10" t="n"/>
      <c r="E163" s="10" t="n"/>
      <c r="F163" s="18" t="n"/>
      <c r="G163" s="10" t="n"/>
      <c r="H163" s="12" t="n"/>
      <c r="I163" s="12" t="n"/>
      <c r="J163" s="13">
        <f>IF(OR(A163="",COUNT(H163)=0,COUNT(Z163)=0),"",ROUND(Z163-H163,2))</f>
        <v/>
      </c>
      <c r="K163" s="15">
        <f>IF(COUNT(J163)=0,"",IF(Z163=0,"n.a.",J163/Z163))</f>
        <v/>
      </c>
      <c r="L163" s="14">
        <f>IF(OR(A163="",COUNT(H163)=0,COUNT(Y163)=0),"",ROUND(H163*(1+Y163),2))</f>
        <v/>
      </c>
      <c r="M163" s="10" t="n"/>
      <c r="N163" s="10" t="n"/>
      <c r="O163" s="10" t="n"/>
      <c r="P163" s="10" t="n"/>
      <c r="Q163" s="20" t="n"/>
      <c r="R163" s="10" t="n"/>
      <c r="S163" s="10" t="n"/>
      <c r="T163" s="18" t="n"/>
      <c r="U163" s="18" t="n"/>
      <c r="V163" s="10" t="n"/>
      <c r="W163" s="10" t="n"/>
      <c r="X163" s="19">
        <f>IF(OR(A163="",COUNT(U163)=0,COUNT(AI163)=0),"",U163+AI163)</f>
        <v/>
      </c>
      <c r="Y163" s="16" t="n"/>
      <c r="Z163" s="12" t="n"/>
      <c r="AA163" s="17">
        <f>IF(COUNT(J163)=0,"",IF(H163=0,"n.a.",J163/H163))</f>
        <v/>
      </c>
      <c r="AB163" s="12" t="n"/>
      <c r="AC163" s="12" t="n"/>
      <c r="AD163" s="12" t="n"/>
      <c r="AE163" s="13">
        <f>IF(OR(COUNT(J163)=0,COUNT(AB163:AD163)&lt;3),"",ROUND(J163-SUM(AB163:AD163),2))</f>
        <v/>
      </c>
      <c r="AF163" s="15">
        <f>IF(COUNT(AE163)=0,"",IF(Z163=0,"n.a.",AE163/Z163))</f>
        <v/>
      </c>
      <c r="AG163" s="12" t="n"/>
      <c r="AH163" s="14">
        <f>IF(OR(A163="",COUNT(Z163)=0,COUNT(AG163)=0),"",ROUND(Z163-AG163,2))</f>
        <v/>
      </c>
      <c r="AI163" s="21" t="n"/>
      <c r="AJ163" s="11">
        <f>IF(A163="","",IF(COUNT(I163)=0,"Enter approved NTE",IF(COUNT(Z163)&gt;0,IF(Z163&gt;I163,"Invoice exceeds NTE","Invoice within NTE"),IF(COUNT(L163)=0,"Enter quote inputs",IF(L163&gt;I163,"Quote exceeds NTE","Quote within NTE")))))</f>
        <v/>
      </c>
      <c r="AK163" s="11">
        <f>IF(A163="","",IF(COUNT(H163)=0,"Enter direct cost",IF(COUNT(Z163)=0,"Enter invoice revenue",IF(COUNT(AB163:AD163)&lt;3,"Enter expenses (0 if none)","Complete"))))</f>
        <v/>
      </c>
      <c r="AL163" s="11">
        <f>IF(A163="","",IF(NOT(AND(COUNT(AH163)=1,N(AH163)&gt;0.004,V163&lt;&gt;"Void",V163&lt;&gt;"Not invoiced",V163&lt;&gt;"Draft")),"",IF(COUNT(X163)=0,"No due date",IF(TODAY()-X163&lt;=0,"Not yet due",IF(TODAY()-X163&lt;=30,"1-30 days",IF(TODAY()-X163&lt;=60,"31-60 days",IF(TODAY()-X163&lt;=90,"61-90 days","Over 90 days")))))))</f>
        <v/>
      </c>
      <c r="AM163" s="49">
        <f>IF(OR(AL163="",AL163="No due date"),"",MAX(TODAY()-X163,0))</f>
        <v/>
      </c>
      <c r="AN163" s="49">
        <f>IF(AL163="","",IF(COUNT(X163)=0,-100000,TODAY()-X163))</f>
        <v/>
      </c>
      <c r="AO163" s="49">
        <f>IF(AN163="","",COUNTIF(AN$11:AN$1010,"&gt;"&amp;AN163)+COUNTIF(AN$11:AN163,AN163))</f>
        <v/>
      </c>
      <c r="AP163" s="49">
        <f>IF(OR(A163="",B163=""),"",IF(COUNTIF(B$11:B163,B163)=1,MAX(AP$10:AP162)+1,""))</f>
        <v/>
      </c>
    </row>
    <row r="164" ht="24" customHeight="1">
      <c r="A164" s="20" t="n"/>
      <c r="B164" s="10" t="n"/>
      <c r="C164" s="10" t="n"/>
      <c r="D164" s="10" t="n"/>
      <c r="E164" s="10" t="n"/>
      <c r="F164" s="18" t="n"/>
      <c r="G164" s="10" t="n"/>
      <c r="H164" s="12" t="n"/>
      <c r="I164" s="12" t="n"/>
      <c r="J164" s="13">
        <f>IF(OR(A164="",COUNT(H164)=0,COUNT(Z164)=0),"",ROUND(Z164-H164,2))</f>
        <v/>
      </c>
      <c r="K164" s="15">
        <f>IF(COUNT(J164)=0,"",IF(Z164=0,"n.a.",J164/Z164))</f>
        <v/>
      </c>
      <c r="L164" s="14">
        <f>IF(OR(A164="",COUNT(H164)=0,COUNT(Y164)=0),"",ROUND(H164*(1+Y164),2))</f>
        <v/>
      </c>
      <c r="M164" s="10" t="n"/>
      <c r="N164" s="10" t="n"/>
      <c r="O164" s="10" t="n"/>
      <c r="P164" s="10" t="n"/>
      <c r="Q164" s="20" t="n"/>
      <c r="R164" s="10" t="n"/>
      <c r="S164" s="10" t="n"/>
      <c r="T164" s="18" t="n"/>
      <c r="U164" s="18" t="n"/>
      <c r="V164" s="10" t="n"/>
      <c r="W164" s="10" t="n"/>
      <c r="X164" s="19">
        <f>IF(OR(A164="",COUNT(U164)=0,COUNT(AI164)=0),"",U164+AI164)</f>
        <v/>
      </c>
      <c r="Y164" s="16" t="n"/>
      <c r="Z164" s="12" t="n"/>
      <c r="AA164" s="17">
        <f>IF(COUNT(J164)=0,"",IF(H164=0,"n.a.",J164/H164))</f>
        <v/>
      </c>
      <c r="AB164" s="12" t="n"/>
      <c r="AC164" s="12" t="n"/>
      <c r="AD164" s="12" t="n"/>
      <c r="AE164" s="13">
        <f>IF(OR(COUNT(J164)=0,COUNT(AB164:AD164)&lt;3),"",ROUND(J164-SUM(AB164:AD164),2))</f>
        <v/>
      </c>
      <c r="AF164" s="15">
        <f>IF(COUNT(AE164)=0,"",IF(Z164=0,"n.a.",AE164/Z164))</f>
        <v/>
      </c>
      <c r="AG164" s="12" t="n"/>
      <c r="AH164" s="14">
        <f>IF(OR(A164="",COUNT(Z164)=0,COUNT(AG164)=0),"",ROUND(Z164-AG164,2))</f>
        <v/>
      </c>
      <c r="AI164" s="21" t="n"/>
      <c r="AJ164" s="11">
        <f>IF(A164="","",IF(COUNT(I164)=0,"Enter approved NTE",IF(COUNT(Z164)&gt;0,IF(Z164&gt;I164,"Invoice exceeds NTE","Invoice within NTE"),IF(COUNT(L164)=0,"Enter quote inputs",IF(L164&gt;I164,"Quote exceeds NTE","Quote within NTE")))))</f>
        <v/>
      </c>
      <c r="AK164" s="11">
        <f>IF(A164="","",IF(COUNT(H164)=0,"Enter direct cost",IF(COUNT(Z164)=0,"Enter invoice revenue",IF(COUNT(AB164:AD164)&lt;3,"Enter expenses (0 if none)","Complete"))))</f>
        <v/>
      </c>
      <c r="AL164" s="11">
        <f>IF(A164="","",IF(NOT(AND(COUNT(AH164)=1,N(AH164)&gt;0.004,V164&lt;&gt;"Void",V164&lt;&gt;"Not invoiced",V164&lt;&gt;"Draft")),"",IF(COUNT(X164)=0,"No due date",IF(TODAY()-X164&lt;=0,"Not yet due",IF(TODAY()-X164&lt;=30,"1-30 days",IF(TODAY()-X164&lt;=60,"31-60 days",IF(TODAY()-X164&lt;=90,"61-90 days","Over 90 days")))))))</f>
        <v/>
      </c>
      <c r="AM164" s="49">
        <f>IF(OR(AL164="",AL164="No due date"),"",MAX(TODAY()-X164,0))</f>
        <v/>
      </c>
      <c r="AN164" s="49">
        <f>IF(AL164="","",IF(COUNT(X164)=0,-100000,TODAY()-X164))</f>
        <v/>
      </c>
      <c r="AO164" s="49">
        <f>IF(AN164="","",COUNTIF(AN$11:AN$1010,"&gt;"&amp;AN164)+COUNTIF(AN$11:AN164,AN164))</f>
        <v/>
      </c>
      <c r="AP164" s="49">
        <f>IF(OR(A164="",B164=""),"",IF(COUNTIF(B$11:B164,B164)=1,MAX(AP$10:AP163)+1,""))</f>
        <v/>
      </c>
    </row>
    <row r="165" ht="24" customHeight="1">
      <c r="A165" s="20" t="n"/>
      <c r="B165" s="10" t="n"/>
      <c r="C165" s="10" t="n"/>
      <c r="D165" s="10" t="n"/>
      <c r="E165" s="10" t="n"/>
      <c r="F165" s="18" t="n"/>
      <c r="G165" s="10" t="n"/>
      <c r="H165" s="12" t="n"/>
      <c r="I165" s="12" t="n"/>
      <c r="J165" s="13">
        <f>IF(OR(A165="",COUNT(H165)=0,COUNT(Z165)=0),"",ROUND(Z165-H165,2))</f>
        <v/>
      </c>
      <c r="K165" s="15">
        <f>IF(COUNT(J165)=0,"",IF(Z165=0,"n.a.",J165/Z165))</f>
        <v/>
      </c>
      <c r="L165" s="14">
        <f>IF(OR(A165="",COUNT(H165)=0,COUNT(Y165)=0),"",ROUND(H165*(1+Y165),2))</f>
        <v/>
      </c>
      <c r="M165" s="10" t="n"/>
      <c r="N165" s="10" t="n"/>
      <c r="O165" s="10" t="n"/>
      <c r="P165" s="10" t="n"/>
      <c r="Q165" s="20" t="n"/>
      <c r="R165" s="10" t="n"/>
      <c r="S165" s="10" t="n"/>
      <c r="T165" s="18" t="n"/>
      <c r="U165" s="18" t="n"/>
      <c r="V165" s="10" t="n"/>
      <c r="W165" s="10" t="n"/>
      <c r="X165" s="19">
        <f>IF(OR(A165="",COUNT(U165)=0,COUNT(AI165)=0),"",U165+AI165)</f>
        <v/>
      </c>
      <c r="Y165" s="16" t="n"/>
      <c r="Z165" s="12" t="n"/>
      <c r="AA165" s="17">
        <f>IF(COUNT(J165)=0,"",IF(H165=0,"n.a.",J165/H165))</f>
        <v/>
      </c>
      <c r="AB165" s="12" t="n"/>
      <c r="AC165" s="12" t="n"/>
      <c r="AD165" s="12" t="n"/>
      <c r="AE165" s="13">
        <f>IF(OR(COUNT(J165)=0,COUNT(AB165:AD165)&lt;3),"",ROUND(J165-SUM(AB165:AD165),2))</f>
        <v/>
      </c>
      <c r="AF165" s="15">
        <f>IF(COUNT(AE165)=0,"",IF(Z165=0,"n.a.",AE165/Z165))</f>
        <v/>
      </c>
      <c r="AG165" s="12" t="n"/>
      <c r="AH165" s="14">
        <f>IF(OR(A165="",COUNT(Z165)=0,COUNT(AG165)=0),"",ROUND(Z165-AG165,2))</f>
        <v/>
      </c>
      <c r="AI165" s="21" t="n"/>
      <c r="AJ165" s="11">
        <f>IF(A165="","",IF(COUNT(I165)=0,"Enter approved NTE",IF(COUNT(Z165)&gt;0,IF(Z165&gt;I165,"Invoice exceeds NTE","Invoice within NTE"),IF(COUNT(L165)=0,"Enter quote inputs",IF(L165&gt;I165,"Quote exceeds NTE","Quote within NTE")))))</f>
        <v/>
      </c>
      <c r="AK165" s="11">
        <f>IF(A165="","",IF(COUNT(H165)=0,"Enter direct cost",IF(COUNT(Z165)=0,"Enter invoice revenue",IF(COUNT(AB165:AD165)&lt;3,"Enter expenses (0 if none)","Complete"))))</f>
        <v/>
      </c>
      <c r="AL165" s="11">
        <f>IF(A165="","",IF(NOT(AND(COUNT(AH165)=1,N(AH165)&gt;0.004,V165&lt;&gt;"Void",V165&lt;&gt;"Not invoiced",V165&lt;&gt;"Draft")),"",IF(COUNT(X165)=0,"No due date",IF(TODAY()-X165&lt;=0,"Not yet due",IF(TODAY()-X165&lt;=30,"1-30 days",IF(TODAY()-X165&lt;=60,"31-60 days",IF(TODAY()-X165&lt;=90,"61-90 days","Over 90 days")))))))</f>
        <v/>
      </c>
      <c r="AM165" s="49">
        <f>IF(OR(AL165="",AL165="No due date"),"",MAX(TODAY()-X165,0))</f>
        <v/>
      </c>
      <c r="AN165" s="49">
        <f>IF(AL165="","",IF(COUNT(X165)=0,-100000,TODAY()-X165))</f>
        <v/>
      </c>
      <c r="AO165" s="49">
        <f>IF(AN165="","",COUNTIF(AN$11:AN$1010,"&gt;"&amp;AN165)+COUNTIF(AN$11:AN165,AN165))</f>
        <v/>
      </c>
      <c r="AP165" s="49">
        <f>IF(OR(A165="",B165=""),"",IF(COUNTIF(B$11:B165,B165)=1,MAX(AP$10:AP164)+1,""))</f>
        <v/>
      </c>
    </row>
    <row r="166" ht="24" customHeight="1">
      <c r="A166" s="20" t="n"/>
      <c r="B166" s="10" t="n"/>
      <c r="C166" s="10" t="n"/>
      <c r="D166" s="10" t="n"/>
      <c r="E166" s="10" t="n"/>
      <c r="F166" s="18" t="n"/>
      <c r="G166" s="10" t="n"/>
      <c r="H166" s="12" t="n"/>
      <c r="I166" s="12" t="n"/>
      <c r="J166" s="13">
        <f>IF(OR(A166="",COUNT(H166)=0,COUNT(Z166)=0),"",ROUND(Z166-H166,2))</f>
        <v/>
      </c>
      <c r="K166" s="15">
        <f>IF(COUNT(J166)=0,"",IF(Z166=0,"n.a.",J166/Z166))</f>
        <v/>
      </c>
      <c r="L166" s="14">
        <f>IF(OR(A166="",COUNT(H166)=0,COUNT(Y166)=0),"",ROUND(H166*(1+Y166),2))</f>
        <v/>
      </c>
      <c r="M166" s="10" t="n"/>
      <c r="N166" s="10" t="n"/>
      <c r="O166" s="10" t="n"/>
      <c r="P166" s="10" t="n"/>
      <c r="Q166" s="20" t="n"/>
      <c r="R166" s="10" t="n"/>
      <c r="S166" s="10" t="n"/>
      <c r="T166" s="18" t="n"/>
      <c r="U166" s="18" t="n"/>
      <c r="V166" s="10" t="n"/>
      <c r="W166" s="10" t="n"/>
      <c r="X166" s="19">
        <f>IF(OR(A166="",COUNT(U166)=0,COUNT(AI166)=0),"",U166+AI166)</f>
        <v/>
      </c>
      <c r="Y166" s="16" t="n"/>
      <c r="Z166" s="12" t="n"/>
      <c r="AA166" s="17">
        <f>IF(COUNT(J166)=0,"",IF(H166=0,"n.a.",J166/H166))</f>
        <v/>
      </c>
      <c r="AB166" s="12" t="n"/>
      <c r="AC166" s="12" t="n"/>
      <c r="AD166" s="12" t="n"/>
      <c r="AE166" s="13">
        <f>IF(OR(COUNT(J166)=0,COUNT(AB166:AD166)&lt;3),"",ROUND(J166-SUM(AB166:AD166),2))</f>
        <v/>
      </c>
      <c r="AF166" s="15">
        <f>IF(COUNT(AE166)=0,"",IF(Z166=0,"n.a.",AE166/Z166))</f>
        <v/>
      </c>
      <c r="AG166" s="12" t="n"/>
      <c r="AH166" s="14">
        <f>IF(OR(A166="",COUNT(Z166)=0,COUNT(AG166)=0),"",ROUND(Z166-AG166,2))</f>
        <v/>
      </c>
      <c r="AI166" s="21" t="n"/>
      <c r="AJ166" s="11">
        <f>IF(A166="","",IF(COUNT(I166)=0,"Enter approved NTE",IF(COUNT(Z166)&gt;0,IF(Z166&gt;I166,"Invoice exceeds NTE","Invoice within NTE"),IF(COUNT(L166)=0,"Enter quote inputs",IF(L166&gt;I166,"Quote exceeds NTE","Quote within NTE")))))</f>
        <v/>
      </c>
      <c r="AK166" s="11">
        <f>IF(A166="","",IF(COUNT(H166)=0,"Enter direct cost",IF(COUNT(Z166)=0,"Enter invoice revenue",IF(COUNT(AB166:AD166)&lt;3,"Enter expenses (0 if none)","Complete"))))</f>
        <v/>
      </c>
      <c r="AL166" s="11">
        <f>IF(A166="","",IF(NOT(AND(COUNT(AH166)=1,N(AH166)&gt;0.004,V166&lt;&gt;"Void",V166&lt;&gt;"Not invoiced",V166&lt;&gt;"Draft")),"",IF(COUNT(X166)=0,"No due date",IF(TODAY()-X166&lt;=0,"Not yet due",IF(TODAY()-X166&lt;=30,"1-30 days",IF(TODAY()-X166&lt;=60,"31-60 days",IF(TODAY()-X166&lt;=90,"61-90 days","Over 90 days")))))))</f>
        <v/>
      </c>
      <c r="AM166" s="49">
        <f>IF(OR(AL166="",AL166="No due date"),"",MAX(TODAY()-X166,0))</f>
        <v/>
      </c>
      <c r="AN166" s="49">
        <f>IF(AL166="","",IF(COUNT(X166)=0,-100000,TODAY()-X166))</f>
        <v/>
      </c>
      <c r="AO166" s="49">
        <f>IF(AN166="","",COUNTIF(AN$11:AN$1010,"&gt;"&amp;AN166)+COUNTIF(AN$11:AN166,AN166))</f>
        <v/>
      </c>
      <c r="AP166" s="49">
        <f>IF(OR(A166="",B166=""),"",IF(COUNTIF(B$11:B166,B166)=1,MAX(AP$10:AP165)+1,""))</f>
        <v/>
      </c>
    </row>
    <row r="167" ht="24" customHeight="1">
      <c r="A167" s="20" t="n"/>
      <c r="B167" s="10" t="n"/>
      <c r="C167" s="10" t="n"/>
      <c r="D167" s="10" t="n"/>
      <c r="E167" s="10" t="n"/>
      <c r="F167" s="18" t="n"/>
      <c r="G167" s="10" t="n"/>
      <c r="H167" s="12" t="n"/>
      <c r="I167" s="12" t="n"/>
      <c r="J167" s="13">
        <f>IF(OR(A167="",COUNT(H167)=0,COUNT(Z167)=0),"",ROUND(Z167-H167,2))</f>
        <v/>
      </c>
      <c r="K167" s="15">
        <f>IF(COUNT(J167)=0,"",IF(Z167=0,"n.a.",J167/Z167))</f>
        <v/>
      </c>
      <c r="L167" s="14">
        <f>IF(OR(A167="",COUNT(H167)=0,COUNT(Y167)=0),"",ROUND(H167*(1+Y167),2))</f>
        <v/>
      </c>
      <c r="M167" s="10" t="n"/>
      <c r="N167" s="10" t="n"/>
      <c r="O167" s="10" t="n"/>
      <c r="P167" s="10" t="n"/>
      <c r="Q167" s="20" t="n"/>
      <c r="R167" s="10" t="n"/>
      <c r="S167" s="10" t="n"/>
      <c r="T167" s="18" t="n"/>
      <c r="U167" s="18" t="n"/>
      <c r="V167" s="10" t="n"/>
      <c r="W167" s="10" t="n"/>
      <c r="X167" s="19">
        <f>IF(OR(A167="",COUNT(U167)=0,COUNT(AI167)=0),"",U167+AI167)</f>
        <v/>
      </c>
      <c r="Y167" s="16" t="n"/>
      <c r="Z167" s="12" t="n"/>
      <c r="AA167" s="17">
        <f>IF(COUNT(J167)=0,"",IF(H167=0,"n.a.",J167/H167))</f>
        <v/>
      </c>
      <c r="AB167" s="12" t="n"/>
      <c r="AC167" s="12" t="n"/>
      <c r="AD167" s="12" t="n"/>
      <c r="AE167" s="13">
        <f>IF(OR(COUNT(J167)=0,COUNT(AB167:AD167)&lt;3),"",ROUND(J167-SUM(AB167:AD167),2))</f>
        <v/>
      </c>
      <c r="AF167" s="15">
        <f>IF(COUNT(AE167)=0,"",IF(Z167=0,"n.a.",AE167/Z167))</f>
        <v/>
      </c>
      <c r="AG167" s="12" t="n"/>
      <c r="AH167" s="14">
        <f>IF(OR(A167="",COUNT(Z167)=0,COUNT(AG167)=0),"",ROUND(Z167-AG167,2))</f>
        <v/>
      </c>
      <c r="AI167" s="21" t="n"/>
      <c r="AJ167" s="11">
        <f>IF(A167="","",IF(COUNT(I167)=0,"Enter approved NTE",IF(COUNT(Z167)&gt;0,IF(Z167&gt;I167,"Invoice exceeds NTE","Invoice within NTE"),IF(COUNT(L167)=0,"Enter quote inputs",IF(L167&gt;I167,"Quote exceeds NTE","Quote within NTE")))))</f>
        <v/>
      </c>
      <c r="AK167" s="11">
        <f>IF(A167="","",IF(COUNT(H167)=0,"Enter direct cost",IF(COUNT(Z167)=0,"Enter invoice revenue",IF(COUNT(AB167:AD167)&lt;3,"Enter expenses (0 if none)","Complete"))))</f>
        <v/>
      </c>
      <c r="AL167" s="11">
        <f>IF(A167="","",IF(NOT(AND(COUNT(AH167)=1,N(AH167)&gt;0.004,V167&lt;&gt;"Void",V167&lt;&gt;"Not invoiced",V167&lt;&gt;"Draft")),"",IF(COUNT(X167)=0,"No due date",IF(TODAY()-X167&lt;=0,"Not yet due",IF(TODAY()-X167&lt;=30,"1-30 days",IF(TODAY()-X167&lt;=60,"31-60 days",IF(TODAY()-X167&lt;=90,"61-90 days","Over 90 days")))))))</f>
        <v/>
      </c>
      <c r="AM167" s="49">
        <f>IF(OR(AL167="",AL167="No due date"),"",MAX(TODAY()-X167,0))</f>
        <v/>
      </c>
      <c r="AN167" s="49">
        <f>IF(AL167="","",IF(COUNT(X167)=0,-100000,TODAY()-X167))</f>
        <v/>
      </c>
      <c r="AO167" s="49">
        <f>IF(AN167="","",COUNTIF(AN$11:AN$1010,"&gt;"&amp;AN167)+COUNTIF(AN$11:AN167,AN167))</f>
        <v/>
      </c>
      <c r="AP167" s="49">
        <f>IF(OR(A167="",B167=""),"",IF(COUNTIF(B$11:B167,B167)=1,MAX(AP$10:AP166)+1,""))</f>
        <v/>
      </c>
    </row>
    <row r="168" ht="24" customHeight="1">
      <c r="A168" s="20" t="n"/>
      <c r="B168" s="10" t="n"/>
      <c r="C168" s="10" t="n"/>
      <c r="D168" s="10" t="n"/>
      <c r="E168" s="10" t="n"/>
      <c r="F168" s="18" t="n"/>
      <c r="G168" s="10" t="n"/>
      <c r="H168" s="12" t="n"/>
      <c r="I168" s="12" t="n"/>
      <c r="J168" s="13">
        <f>IF(OR(A168="",COUNT(H168)=0,COUNT(Z168)=0),"",ROUND(Z168-H168,2))</f>
        <v/>
      </c>
      <c r="K168" s="15">
        <f>IF(COUNT(J168)=0,"",IF(Z168=0,"n.a.",J168/Z168))</f>
        <v/>
      </c>
      <c r="L168" s="14">
        <f>IF(OR(A168="",COUNT(H168)=0,COUNT(Y168)=0),"",ROUND(H168*(1+Y168),2))</f>
        <v/>
      </c>
      <c r="M168" s="10" t="n"/>
      <c r="N168" s="10" t="n"/>
      <c r="O168" s="10" t="n"/>
      <c r="P168" s="10" t="n"/>
      <c r="Q168" s="20" t="n"/>
      <c r="R168" s="10" t="n"/>
      <c r="S168" s="10" t="n"/>
      <c r="T168" s="18" t="n"/>
      <c r="U168" s="18" t="n"/>
      <c r="V168" s="10" t="n"/>
      <c r="W168" s="10" t="n"/>
      <c r="X168" s="19">
        <f>IF(OR(A168="",COUNT(U168)=0,COUNT(AI168)=0),"",U168+AI168)</f>
        <v/>
      </c>
      <c r="Y168" s="16" t="n"/>
      <c r="Z168" s="12" t="n"/>
      <c r="AA168" s="17">
        <f>IF(COUNT(J168)=0,"",IF(H168=0,"n.a.",J168/H168))</f>
        <v/>
      </c>
      <c r="AB168" s="12" t="n"/>
      <c r="AC168" s="12" t="n"/>
      <c r="AD168" s="12" t="n"/>
      <c r="AE168" s="13">
        <f>IF(OR(COUNT(J168)=0,COUNT(AB168:AD168)&lt;3),"",ROUND(J168-SUM(AB168:AD168),2))</f>
        <v/>
      </c>
      <c r="AF168" s="15">
        <f>IF(COUNT(AE168)=0,"",IF(Z168=0,"n.a.",AE168/Z168))</f>
        <v/>
      </c>
      <c r="AG168" s="12" t="n"/>
      <c r="AH168" s="14">
        <f>IF(OR(A168="",COUNT(Z168)=0,COUNT(AG168)=0),"",ROUND(Z168-AG168,2))</f>
        <v/>
      </c>
      <c r="AI168" s="21" t="n"/>
      <c r="AJ168" s="11">
        <f>IF(A168="","",IF(COUNT(I168)=0,"Enter approved NTE",IF(COUNT(Z168)&gt;0,IF(Z168&gt;I168,"Invoice exceeds NTE","Invoice within NTE"),IF(COUNT(L168)=0,"Enter quote inputs",IF(L168&gt;I168,"Quote exceeds NTE","Quote within NTE")))))</f>
        <v/>
      </c>
      <c r="AK168" s="11">
        <f>IF(A168="","",IF(COUNT(H168)=0,"Enter direct cost",IF(COUNT(Z168)=0,"Enter invoice revenue",IF(COUNT(AB168:AD168)&lt;3,"Enter expenses (0 if none)","Complete"))))</f>
        <v/>
      </c>
      <c r="AL168" s="11">
        <f>IF(A168="","",IF(NOT(AND(COUNT(AH168)=1,N(AH168)&gt;0.004,V168&lt;&gt;"Void",V168&lt;&gt;"Not invoiced",V168&lt;&gt;"Draft")),"",IF(COUNT(X168)=0,"No due date",IF(TODAY()-X168&lt;=0,"Not yet due",IF(TODAY()-X168&lt;=30,"1-30 days",IF(TODAY()-X168&lt;=60,"31-60 days",IF(TODAY()-X168&lt;=90,"61-90 days","Over 90 days")))))))</f>
        <v/>
      </c>
      <c r="AM168" s="49">
        <f>IF(OR(AL168="",AL168="No due date"),"",MAX(TODAY()-X168,0))</f>
        <v/>
      </c>
      <c r="AN168" s="49">
        <f>IF(AL168="","",IF(COUNT(X168)=0,-100000,TODAY()-X168))</f>
        <v/>
      </c>
      <c r="AO168" s="49">
        <f>IF(AN168="","",COUNTIF(AN$11:AN$1010,"&gt;"&amp;AN168)+COUNTIF(AN$11:AN168,AN168))</f>
        <v/>
      </c>
      <c r="AP168" s="49">
        <f>IF(OR(A168="",B168=""),"",IF(COUNTIF(B$11:B168,B168)=1,MAX(AP$10:AP167)+1,""))</f>
        <v/>
      </c>
    </row>
    <row r="169" ht="24" customHeight="1">
      <c r="A169" s="20" t="n"/>
      <c r="B169" s="10" t="n"/>
      <c r="C169" s="10" t="n"/>
      <c r="D169" s="10" t="n"/>
      <c r="E169" s="10" t="n"/>
      <c r="F169" s="18" t="n"/>
      <c r="G169" s="10" t="n"/>
      <c r="H169" s="12" t="n"/>
      <c r="I169" s="12" t="n"/>
      <c r="J169" s="13">
        <f>IF(OR(A169="",COUNT(H169)=0,COUNT(Z169)=0),"",ROUND(Z169-H169,2))</f>
        <v/>
      </c>
      <c r="K169" s="15">
        <f>IF(COUNT(J169)=0,"",IF(Z169=0,"n.a.",J169/Z169))</f>
        <v/>
      </c>
      <c r="L169" s="14">
        <f>IF(OR(A169="",COUNT(H169)=0,COUNT(Y169)=0),"",ROUND(H169*(1+Y169),2))</f>
        <v/>
      </c>
      <c r="M169" s="10" t="n"/>
      <c r="N169" s="10" t="n"/>
      <c r="O169" s="10" t="n"/>
      <c r="P169" s="10" t="n"/>
      <c r="Q169" s="20" t="n"/>
      <c r="R169" s="10" t="n"/>
      <c r="S169" s="10" t="n"/>
      <c r="T169" s="18" t="n"/>
      <c r="U169" s="18" t="n"/>
      <c r="V169" s="10" t="n"/>
      <c r="W169" s="10" t="n"/>
      <c r="X169" s="19">
        <f>IF(OR(A169="",COUNT(U169)=0,COUNT(AI169)=0),"",U169+AI169)</f>
        <v/>
      </c>
      <c r="Y169" s="16" t="n"/>
      <c r="Z169" s="12" t="n"/>
      <c r="AA169" s="17">
        <f>IF(COUNT(J169)=0,"",IF(H169=0,"n.a.",J169/H169))</f>
        <v/>
      </c>
      <c r="AB169" s="12" t="n"/>
      <c r="AC169" s="12" t="n"/>
      <c r="AD169" s="12" t="n"/>
      <c r="AE169" s="13">
        <f>IF(OR(COUNT(J169)=0,COUNT(AB169:AD169)&lt;3),"",ROUND(J169-SUM(AB169:AD169),2))</f>
        <v/>
      </c>
      <c r="AF169" s="15">
        <f>IF(COUNT(AE169)=0,"",IF(Z169=0,"n.a.",AE169/Z169))</f>
        <v/>
      </c>
      <c r="AG169" s="12" t="n"/>
      <c r="AH169" s="14">
        <f>IF(OR(A169="",COUNT(Z169)=0,COUNT(AG169)=0),"",ROUND(Z169-AG169,2))</f>
        <v/>
      </c>
      <c r="AI169" s="21" t="n"/>
      <c r="AJ169" s="11">
        <f>IF(A169="","",IF(COUNT(I169)=0,"Enter approved NTE",IF(COUNT(Z169)&gt;0,IF(Z169&gt;I169,"Invoice exceeds NTE","Invoice within NTE"),IF(COUNT(L169)=0,"Enter quote inputs",IF(L169&gt;I169,"Quote exceeds NTE","Quote within NTE")))))</f>
        <v/>
      </c>
      <c r="AK169" s="11">
        <f>IF(A169="","",IF(COUNT(H169)=0,"Enter direct cost",IF(COUNT(Z169)=0,"Enter invoice revenue",IF(COUNT(AB169:AD169)&lt;3,"Enter expenses (0 if none)","Complete"))))</f>
        <v/>
      </c>
      <c r="AL169" s="11">
        <f>IF(A169="","",IF(NOT(AND(COUNT(AH169)=1,N(AH169)&gt;0.004,V169&lt;&gt;"Void",V169&lt;&gt;"Not invoiced",V169&lt;&gt;"Draft")),"",IF(COUNT(X169)=0,"No due date",IF(TODAY()-X169&lt;=0,"Not yet due",IF(TODAY()-X169&lt;=30,"1-30 days",IF(TODAY()-X169&lt;=60,"31-60 days",IF(TODAY()-X169&lt;=90,"61-90 days","Over 90 days")))))))</f>
        <v/>
      </c>
      <c r="AM169" s="49">
        <f>IF(OR(AL169="",AL169="No due date"),"",MAX(TODAY()-X169,0))</f>
        <v/>
      </c>
      <c r="AN169" s="49">
        <f>IF(AL169="","",IF(COUNT(X169)=0,-100000,TODAY()-X169))</f>
        <v/>
      </c>
      <c r="AO169" s="49">
        <f>IF(AN169="","",COUNTIF(AN$11:AN$1010,"&gt;"&amp;AN169)+COUNTIF(AN$11:AN169,AN169))</f>
        <v/>
      </c>
      <c r="AP169" s="49">
        <f>IF(OR(A169="",B169=""),"",IF(COUNTIF(B$11:B169,B169)=1,MAX(AP$10:AP168)+1,""))</f>
        <v/>
      </c>
    </row>
    <row r="170" ht="24" customHeight="1">
      <c r="A170" s="20" t="n"/>
      <c r="B170" s="10" t="n"/>
      <c r="C170" s="10" t="n"/>
      <c r="D170" s="10" t="n"/>
      <c r="E170" s="10" t="n"/>
      <c r="F170" s="18" t="n"/>
      <c r="G170" s="10" t="n"/>
      <c r="H170" s="12" t="n"/>
      <c r="I170" s="12" t="n"/>
      <c r="J170" s="13">
        <f>IF(OR(A170="",COUNT(H170)=0,COUNT(Z170)=0),"",ROUND(Z170-H170,2))</f>
        <v/>
      </c>
      <c r="K170" s="15">
        <f>IF(COUNT(J170)=0,"",IF(Z170=0,"n.a.",J170/Z170))</f>
        <v/>
      </c>
      <c r="L170" s="14">
        <f>IF(OR(A170="",COUNT(H170)=0,COUNT(Y170)=0),"",ROUND(H170*(1+Y170),2))</f>
        <v/>
      </c>
      <c r="M170" s="10" t="n"/>
      <c r="N170" s="10" t="n"/>
      <c r="O170" s="10" t="n"/>
      <c r="P170" s="10" t="n"/>
      <c r="Q170" s="20" t="n"/>
      <c r="R170" s="10" t="n"/>
      <c r="S170" s="10" t="n"/>
      <c r="T170" s="18" t="n"/>
      <c r="U170" s="18" t="n"/>
      <c r="V170" s="10" t="n"/>
      <c r="W170" s="10" t="n"/>
      <c r="X170" s="19">
        <f>IF(OR(A170="",COUNT(U170)=0,COUNT(AI170)=0),"",U170+AI170)</f>
        <v/>
      </c>
      <c r="Y170" s="16" t="n"/>
      <c r="Z170" s="12" t="n"/>
      <c r="AA170" s="17">
        <f>IF(COUNT(J170)=0,"",IF(H170=0,"n.a.",J170/H170))</f>
        <v/>
      </c>
      <c r="AB170" s="12" t="n"/>
      <c r="AC170" s="12" t="n"/>
      <c r="AD170" s="12" t="n"/>
      <c r="AE170" s="13">
        <f>IF(OR(COUNT(J170)=0,COUNT(AB170:AD170)&lt;3),"",ROUND(J170-SUM(AB170:AD170),2))</f>
        <v/>
      </c>
      <c r="AF170" s="15">
        <f>IF(COUNT(AE170)=0,"",IF(Z170=0,"n.a.",AE170/Z170))</f>
        <v/>
      </c>
      <c r="AG170" s="12" t="n"/>
      <c r="AH170" s="14">
        <f>IF(OR(A170="",COUNT(Z170)=0,COUNT(AG170)=0),"",ROUND(Z170-AG170,2))</f>
        <v/>
      </c>
      <c r="AI170" s="21" t="n"/>
      <c r="AJ170" s="11">
        <f>IF(A170="","",IF(COUNT(I170)=0,"Enter approved NTE",IF(COUNT(Z170)&gt;0,IF(Z170&gt;I170,"Invoice exceeds NTE","Invoice within NTE"),IF(COUNT(L170)=0,"Enter quote inputs",IF(L170&gt;I170,"Quote exceeds NTE","Quote within NTE")))))</f>
        <v/>
      </c>
      <c r="AK170" s="11">
        <f>IF(A170="","",IF(COUNT(H170)=0,"Enter direct cost",IF(COUNT(Z170)=0,"Enter invoice revenue",IF(COUNT(AB170:AD170)&lt;3,"Enter expenses (0 if none)","Complete"))))</f>
        <v/>
      </c>
      <c r="AL170" s="11">
        <f>IF(A170="","",IF(NOT(AND(COUNT(AH170)=1,N(AH170)&gt;0.004,V170&lt;&gt;"Void",V170&lt;&gt;"Not invoiced",V170&lt;&gt;"Draft")),"",IF(COUNT(X170)=0,"No due date",IF(TODAY()-X170&lt;=0,"Not yet due",IF(TODAY()-X170&lt;=30,"1-30 days",IF(TODAY()-X170&lt;=60,"31-60 days",IF(TODAY()-X170&lt;=90,"61-90 days","Over 90 days")))))))</f>
        <v/>
      </c>
      <c r="AM170" s="49">
        <f>IF(OR(AL170="",AL170="No due date"),"",MAX(TODAY()-X170,0))</f>
        <v/>
      </c>
      <c r="AN170" s="49">
        <f>IF(AL170="","",IF(COUNT(X170)=0,-100000,TODAY()-X170))</f>
        <v/>
      </c>
      <c r="AO170" s="49">
        <f>IF(AN170="","",COUNTIF(AN$11:AN$1010,"&gt;"&amp;AN170)+COUNTIF(AN$11:AN170,AN170))</f>
        <v/>
      </c>
      <c r="AP170" s="49">
        <f>IF(OR(A170="",B170=""),"",IF(COUNTIF(B$11:B170,B170)=1,MAX(AP$10:AP169)+1,""))</f>
        <v/>
      </c>
    </row>
    <row r="171" ht="24" customHeight="1">
      <c r="A171" s="20" t="n"/>
      <c r="B171" s="10" t="n"/>
      <c r="C171" s="10" t="n"/>
      <c r="D171" s="10" t="n"/>
      <c r="E171" s="10" t="n"/>
      <c r="F171" s="18" t="n"/>
      <c r="G171" s="10" t="n"/>
      <c r="H171" s="12" t="n"/>
      <c r="I171" s="12" t="n"/>
      <c r="J171" s="13">
        <f>IF(OR(A171="",COUNT(H171)=0,COUNT(Z171)=0),"",ROUND(Z171-H171,2))</f>
        <v/>
      </c>
      <c r="K171" s="15">
        <f>IF(COUNT(J171)=0,"",IF(Z171=0,"n.a.",J171/Z171))</f>
        <v/>
      </c>
      <c r="L171" s="14">
        <f>IF(OR(A171="",COUNT(H171)=0,COUNT(Y171)=0),"",ROUND(H171*(1+Y171),2))</f>
        <v/>
      </c>
      <c r="M171" s="10" t="n"/>
      <c r="N171" s="10" t="n"/>
      <c r="O171" s="10" t="n"/>
      <c r="P171" s="10" t="n"/>
      <c r="Q171" s="20" t="n"/>
      <c r="R171" s="10" t="n"/>
      <c r="S171" s="10" t="n"/>
      <c r="T171" s="18" t="n"/>
      <c r="U171" s="18" t="n"/>
      <c r="V171" s="10" t="n"/>
      <c r="W171" s="10" t="n"/>
      <c r="X171" s="19">
        <f>IF(OR(A171="",COUNT(U171)=0,COUNT(AI171)=0),"",U171+AI171)</f>
        <v/>
      </c>
      <c r="Y171" s="16" t="n"/>
      <c r="Z171" s="12" t="n"/>
      <c r="AA171" s="17">
        <f>IF(COUNT(J171)=0,"",IF(H171=0,"n.a.",J171/H171))</f>
        <v/>
      </c>
      <c r="AB171" s="12" t="n"/>
      <c r="AC171" s="12" t="n"/>
      <c r="AD171" s="12" t="n"/>
      <c r="AE171" s="13">
        <f>IF(OR(COUNT(J171)=0,COUNT(AB171:AD171)&lt;3),"",ROUND(J171-SUM(AB171:AD171),2))</f>
        <v/>
      </c>
      <c r="AF171" s="15">
        <f>IF(COUNT(AE171)=0,"",IF(Z171=0,"n.a.",AE171/Z171))</f>
        <v/>
      </c>
      <c r="AG171" s="12" t="n"/>
      <c r="AH171" s="14">
        <f>IF(OR(A171="",COUNT(Z171)=0,COUNT(AG171)=0),"",ROUND(Z171-AG171,2))</f>
        <v/>
      </c>
      <c r="AI171" s="21" t="n"/>
      <c r="AJ171" s="11">
        <f>IF(A171="","",IF(COUNT(I171)=0,"Enter approved NTE",IF(COUNT(Z171)&gt;0,IF(Z171&gt;I171,"Invoice exceeds NTE","Invoice within NTE"),IF(COUNT(L171)=0,"Enter quote inputs",IF(L171&gt;I171,"Quote exceeds NTE","Quote within NTE")))))</f>
        <v/>
      </c>
      <c r="AK171" s="11">
        <f>IF(A171="","",IF(COUNT(H171)=0,"Enter direct cost",IF(COUNT(Z171)=0,"Enter invoice revenue",IF(COUNT(AB171:AD171)&lt;3,"Enter expenses (0 if none)","Complete"))))</f>
        <v/>
      </c>
      <c r="AL171" s="11">
        <f>IF(A171="","",IF(NOT(AND(COUNT(AH171)=1,N(AH171)&gt;0.004,V171&lt;&gt;"Void",V171&lt;&gt;"Not invoiced",V171&lt;&gt;"Draft")),"",IF(COUNT(X171)=0,"No due date",IF(TODAY()-X171&lt;=0,"Not yet due",IF(TODAY()-X171&lt;=30,"1-30 days",IF(TODAY()-X171&lt;=60,"31-60 days",IF(TODAY()-X171&lt;=90,"61-90 days","Over 90 days")))))))</f>
        <v/>
      </c>
      <c r="AM171" s="49">
        <f>IF(OR(AL171="",AL171="No due date"),"",MAX(TODAY()-X171,0))</f>
        <v/>
      </c>
      <c r="AN171" s="49">
        <f>IF(AL171="","",IF(COUNT(X171)=0,-100000,TODAY()-X171))</f>
        <v/>
      </c>
      <c r="AO171" s="49">
        <f>IF(AN171="","",COUNTIF(AN$11:AN$1010,"&gt;"&amp;AN171)+COUNTIF(AN$11:AN171,AN171))</f>
        <v/>
      </c>
      <c r="AP171" s="49">
        <f>IF(OR(A171="",B171=""),"",IF(COUNTIF(B$11:B171,B171)=1,MAX(AP$10:AP170)+1,""))</f>
        <v/>
      </c>
    </row>
    <row r="172" ht="24" customHeight="1">
      <c r="A172" s="20" t="n"/>
      <c r="B172" s="10" t="n"/>
      <c r="C172" s="10" t="n"/>
      <c r="D172" s="10" t="n"/>
      <c r="E172" s="10" t="n"/>
      <c r="F172" s="18" t="n"/>
      <c r="G172" s="10" t="n"/>
      <c r="H172" s="12" t="n"/>
      <c r="I172" s="12" t="n"/>
      <c r="J172" s="13">
        <f>IF(OR(A172="",COUNT(H172)=0,COUNT(Z172)=0),"",ROUND(Z172-H172,2))</f>
        <v/>
      </c>
      <c r="K172" s="15">
        <f>IF(COUNT(J172)=0,"",IF(Z172=0,"n.a.",J172/Z172))</f>
        <v/>
      </c>
      <c r="L172" s="14">
        <f>IF(OR(A172="",COUNT(H172)=0,COUNT(Y172)=0),"",ROUND(H172*(1+Y172),2))</f>
        <v/>
      </c>
      <c r="M172" s="10" t="n"/>
      <c r="N172" s="10" t="n"/>
      <c r="O172" s="10" t="n"/>
      <c r="P172" s="10" t="n"/>
      <c r="Q172" s="20" t="n"/>
      <c r="R172" s="10" t="n"/>
      <c r="S172" s="10" t="n"/>
      <c r="T172" s="18" t="n"/>
      <c r="U172" s="18" t="n"/>
      <c r="V172" s="10" t="n"/>
      <c r="W172" s="10" t="n"/>
      <c r="X172" s="19">
        <f>IF(OR(A172="",COUNT(U172)=0,COUNT(AI172)=0),"",U172+AI172)</f>
        <v/>
      </c>
      <c r="Y172" s="16" t="n"/>
      <c r="Z172" s="12" t="n"/>
      <c r="AA172" s="17">
        <f>IF(COUNT(J172)=0,"",IF(H172=0,"n.a.",J172/H172))</f>
        <v/>
      </c>
      <c r="AB172" s="12" t="n"/>
      <c r="AC172" s="12" t="n"/>
      <c r="AD172" s="12" t="n"/>
      <c r="AE172" s="13">
        <f>IF(OR(COUNT(J172)=0,COUNT(AB172:AD172)&lt;3),"",ROUND(J172-SUM(AB172:AD172),2))</f>
        <v/>
      </c>
      <c r="AF172" s="15">
        <f>IF(COUNT(AE172)=0,"",IF(Z172=0,"n.a.",AE172/Z172))</f>
        <v/>
      </c>
      <c r="AG172" s="12" t="n"/>
      <c r="AH172" s="14">
        <f>IF(OR(A172="",COUNT(Z172)=0,COUNT(AG172)=0),"",ROUND(Z172-AG172,2))</f>
        <v/>
      </c>
      <c r="AI172" s="21" t="n"/>
      <c r="AJ172" s="11">
        <f>IF(A172="","",IF(COUNT(I172)=0,"Enter approved NTE",IF(COUNT(Z172)&gt;0,IF(Z172&gt;I172,"Invoice exceeds NTE","Invoice within NTE"),IF(COUNT(L172)=0,"Enter quote inputs",IF(L172&gt;I172,"Quote exceeds NTE","Quote within NTE")))))</f>
        <v/>
      </c>
      <c r="AK172" s="11">
        <f>IF(A172="","",IF(COUNT(H172)=0,"Enter direct cost",IF(COUNT(Z172)=0,"Enter invoice revenue",IF(COUNT(AB172:AD172)&lt;3,"Enter expenses (0 if none)","Complete"))))</f>
        <v/>
      </c>
      <c r="AL172" s="11">
        <f>IF(A172="","",IF(NOT(AND(COUNT(AH172)=1,N(AH172)&gt;0.004,V172&lt;&gt;"Void",V172&lt;&gt;"Not invoiced",V172&lt;&gt;"Draft")),"",IF(COUNT(X172)=0,"No due date",IF(TODAY()-X172&lt;=0,"Not yet due",IF(TODAY()-X172&lt;=30,"1-30 days",IF(TODAY()-X172&lt;=60,"31-60 days",IF(TODAY()-X172&lt;=90,"61-90 days","Over 90 days")))))))</f>
        <v/>
      </c>
      <c r="AM172" s="49">
        <f>IF(OR(AL172="",AL172="No due date"),"",MAX(TODAY()-X172,0))</f>
        <v/>
      </c>
      <c r="AN172" s="49">
        <f>IF(AL172="","",IF(COUNT(X172)=0,-100000,TODAY()-X172))</f>
        <v/>
      </c>
      <c r="AO172" s="49">
        <f>IF(AN172="","",COUNTIF(AN$11:AN$1010,"&gt;"&amp;AN172)+COUNTIF(AN$11:AN172,AN172))</f>
        <v/>
      </c>
      <c r="AP172" s="49">
        <f>IF(OR(A172="",B172=""),"",IF(COUNTIF(B$11:B172,B172)=1,MAX(AP$10:AP171)+1,""))</f>
        <v/>
      </c>
    </row>
    <row r="173" ht="24" customHeight="1">
      <c r="A173" s="20" t="n"/>
      <c r="B173" s="10" t="n"/>
      <c r="C173" s="10" t="n"/>
      <c r="D173" s="10" t="n"/>
      <c r="E173" s="10" t="n"/>
      <c r="F173" s="18" t="n"/>
      <c r="G173" s="10" t="n"/>
      <c r="H173" s="12" t="n"/>
      <c r="I173" s="12" t="n"/>
      <c r="J173" s="13">
        <f>IF(OR(A173="",COUNT(H173)=0,COUNT(Z173)=0),"",ROUND(Z173-H173,2))</f>
        <v/>
      </c>
      <c r="K173" s="15">
        <f>IF(COUNT(J173)=0,"",IF(Z173=0,"n.a.",J173/Z173))</f>
        <v/>
      </c>
      <c r="L173" s="14">
        <f>IF(OR(A173="",COUNT(H173)=0,COUNT(Y173)=0),"",ROUND(H173*(1+Y173),2))</f>
        <v/>
      </c>
      <c r="M173" s="10" t="n"/>
      <c r="N173" s="10" t="n"/>
      <c r="O173" s="10" t="n"/>
      <c r="P173" s="10" t="n"/>
      <c r="Q173" s="20" t="n"/>
      <c r="R173" s="10" t="n"/>
      <c r="S173" s="10" t="n"/>
      <c r="T173" s="18" t="n"/>
      <c r="U173" s="18" t="n"/>
      <c r="V173" s="10" t="n"/>
      <c r="W173" s="10" t="n"/>
      <c r="X173" s="19">
        <f>IF(OR(A173="",COUNT(U173)=0,COUNT(AI173)=0),"",U173+AI173)</f>
        <v/>
      </c>
      <c r="Y173" s="16" t="n"/>
      <c r="Z173" s="12" t="n"/>
      <c r="AA173" s="17">
        <f>IF(COUNT(J173)=0,"",IF(H173=0,"n.a.",J173/H173))</f>
        <v/>
      </c>
      <c r="AB173" s="12" t="n"/>
      <c r="AC173" s="12" t="n"/>
      <c r="AD173" s="12" t="n"/>
      <c r="AE173" s="13">
        <f>IF(OR(COUNT(J173)=0,COUNT(AB173:AD173)&lt;3),"",ROUND(J173-SUM(AB173:AD173),2))</f>
        <v/>
      </c>
      <c r="AF173" s="15">
        <f>IF(COUNT(AE173)=0,"",IF(Z173=0,"n.a.",AE173/Z173))</f>
        <v/>
      </c>
      <c r="AG173" s="12" t="n"/>
      <c r="AH173" s="14">
        <f>IF(OR(A173="",COUNT(Z173)=0,COUNT(AG173)=0),"",ROUND(Z173-AG173,2))</f>
        <v/>
      </c>
      <c r="AI173" s="21" t="n"/>
      <c r="AJ173" s="11">
        <f>IF(A173="","",IF(COUNT(I173)=0,"Enter approved NTE",IF(COUNT(Z173)&gt;0,IF(Z173&gt;I173,"Invoice exceeds NTE","Invoice within NTE"),IF(COUNT(L173)=0,"Enter quote inputs",IF(L173&gt;I173,"Quote exceeds NTE","Quote within NTE")))))</f>
        <v/>
      </c>
      <c r="AK173" s="11">
        <f>IF(A173="","",IF(COUNT(H173)=0,"Enter direct cost",IF(COUNT(Z173)=0,"Enter invoice revenue",IF(COUNT(AB173:AD173)&lt;3,"Enter expenses (0 if none)","Complete"))))</f>
        <v/>
      </c>
      <c r="AL173" s="11">
        <f>IF(A173="","",IF(NOT(AND(COUNT(AH173)=1,N(AH173)&gt;0.004,V173&lt;&gt;"Void",V173&lt;&gt;"Not invoiced",V173&lt;&gt;"Draft")),"",IF(COUNT(X173)=0,"No due date",IF(TODAY()-X173&lt;=0,"Not yet due",IF(TODAY()-X173&lt;=30,"1-30 days",IF(TODAY()-X173&lt;=60,"31-60 days",IF(TODAY()-X173&lt;=90,"61-90 days","Over 90 days")))))))</f>
        <v/>
      </c>
      <c r="AM173" s="49">
        <f>IF(OR(AL173="",AL173="No due date"),"",MAX(TODAY()-X173,0))</f>
        <v/>
      </c>
      <c r="AN173" s="49">
        <f>IF(AL173="","",IF(COUNT(X173)=0,-100000,TODAY()-X173))</f>
        <v/>
      </c>
      <c r="AO173" s="49">
        <f>IF(AN173="","",COUNTIF(AN$11:AN$1010,"&gt;"&amp;AN173)+COUNTIF(AN$11:AN173,AN173))</f>
        <v/>
      </c>
      <c r="AP173" s="49">
        <f>IF(OR(A173="",B173=""),"",IF(COUNTIF(B$11:B173,B173)=1,MAX(AP$10:AP172)+1,""))</f>
        <v/>
      </c>
    </row>
    <row r="174" ht="24" customHeight="1">
      <c r="A174" s="20" t="n"/>
      <c r="B174" s="10" t="n"/>
      <c r="C174" s="10" t="n"/>
      <c r="D174" s="10" t="n"/>
      <c r="E174" s="10" t="n"/>
      <c r="F174" s="18" t="n"/>
      <c r="G174" s="10" t="n"/>
      <c r="H174" s="12" t="n"/>
      <c r="I174" s="12" t="n"/>
      <c r="J174" s="13">
        <f>IF(OR(A174="",COUNT(H174)=0,COUNT(Z174)=0),"",ROUND(Z174-H174,2))</f>
        <v/>
      </c>
      <c r="K174" s="15">
        <f>IF(COUNT(J174)=0,"",IF(Z174=0,"n.a.",J174/Z174))</f>
        <v/>
      </c>
      <c r="L174" s="14">
        <f>IF(OR(A174="",COUNT(H174)=0,COUNT(Y174)=0),"",ROUND(H174*(1+Y174),2))</f>
        <v/>
      </c>
      <c r="M174" s="10" t="n"/>
      <c r="N174" s="10" t="n"/>
      <c r="O174" s="10" t="n"/>
      <c r="P174" s="10" t="n"/>
      <c r="Q174" s="20" t="n"/>
      <c r="R174" s="10" t="n"/>
      <c r="S174" s="10" t="n"/>
      <c r="T174" s="18" t="n"/>
      <c r="U174" s="18" t="n"/>
      <c r="V174" s="10" t="n"/>
      <c r="W174" s="10" t="n"/>
      <c r="X174" s="19">
        <f>IF(OR(A174="",COUNT(U174)=0,COUNT(AI174)=0),"",U174+AI174)</f>
        <v/>
      </c>
      <c r="Y174" s="16" t="n"/>
      <c r="Z174" s="12" t="n"/>
      <c r="AA174" s="17">
        <f>IF(COUNT(J174)=0,"",IF(H174=0,"n.a.",J174/H174))</f>
        <v/>
      </c>
      <c r="AB174" s="12" t="n"/>
      <c r="AC174" s="12" t="n"/>
      <c r="AD174" s="12" t="n"/>
      <c r="AE174" s="13">
        <f>IF(OR(COUNT(J174)=0,COUNT(AB174:AD174)&lt;3),"",ROUND(J174-SUM(AB174:AD174),2))</f>
        <v/>
      </c>
      <c r="AF174" s="15">
        <f>IF(COUNT(AE174)=0,"",IF(Z174=0,"n.a.",AE174/Z174))</f>
        <v/>
      </c>
      <c r="AG174" s="12" t="n"/>
      <c r="AH174" s="14">
        <f>IF(OR(A174="",COUNT(Z174)=0,COUNT(AG174)=0),"",ROUND(Z174-AG174,2))</f>
        <v/>
      </c>
      <c r="AI174" s="21" t="n"/>
      <c r="AJ174" s="11">
        <f>IF(A174="","",IF(COUNT(I174)=0,"Enter approved NTE",IF(COUNT(Z174)&gt;0,IF(Z174&gt;I174,"Invoice exceeds NTE","Invoice within NTE"),IF(COUNT(L174)=0,"Enter quote inputs",IF(L174&gt;I174,"Quote exceeds NTE","Quote within NTE")))))</f>
        <v/>
      </c>
      <c r="AK174" s="11">
        <f>IF(A174="","",IF(COUNT(H174)=0,"Enter direct cost",IF(COUNT(Z174)=0,"Enter invoice revenue",IF(COUNT(AB174:AD174)&lt;3,"Enter expenses (0 if none)","Complete"))))</f>
        <v/>
      </c>
      <c r="AL174" s="11">
        <f>IF(A174="","",IF(NOT(AND(COUNT(AH174)=1,N(AH174)&gt;0.004,V174&lt;&gt;"Void",V174&lt;&gt;"Not invoiced",V174&lt;&gt;"Draft")),"",IF(COUNT(X174)=0,"No due date",IF(TODAY()-X174&lt;=0,"Not yet due",IF(TODAY()-X174&lt;=30,"1-30 days",IF(TODAY()-X174&lt;=60,"31-60 days",IF(TODAY()-X174&lt;=90,"61-90 days","Over 90 days")))))))</f>
        <v/>
      </c>
      <c r="AM174" s="49">
        <f>IF(OR(AL174="",AL174="No due date"),"",MAX(TODAY()-X174,0))</f>
        <v/>
      </c>
      <c r="AN174" s="49">
        <f>IF(AL174="","",IF(COUNT(X174)=0,-100000,TODAY()-X174))</f>
        <v/>
      </c>
      <c r="AO174" s="49">
        <f>IF(AN174="","",COUNTIF(AN$11:AN$1010,"&gt;"&amp;AN174)+COUNTIF(AN$11:AN174,AN174))</f>
        <v/>
      </c>
      <c r="AP174" s="49">
        <f>IF(OR(A174="",B174=""),"",IF(COUNTIF(B$11:B174,B174)=1,MAX(AP$10:AP173)+1,""))</f>
        <v/>
      </c>
    </row>
    <row r="175" ht="24" customHeight="1">
      <c r="A175" s="20" t="n"/>
      <c r="B175" s="10" t="n"/>
      <c r="C175" s="10" t="n"/>
      <c r="D175" s="10" t="n"/>
      <c r="E175" s="10" t="n"/>
      <c r="F175" s="18" t="n"/>
      <c r="G175" s="10" t="n"/>
      <c r="H175" s="12" t="n"/>
      <c r="I175" s="12" t="n"/>
      <c r="J175" s="13">
        <f>IF(OR(A175="",COUNT(H175)=0,COUNT(Z175)=0),"",ROUND(Z175-H175,2))</f>
        <v/>
      </c>
      <c r="K175" s="15">
        <f>IF(COUNT(J175)=0,"",IF(Z175=0,"n.a.",J175/Z175))</f>
        <v/>
      </c>
      <c r="L175" s="14">
        <f>IF(OR(A175="",COUNT(H175)=0,COUNT(Y175)=0),"",ROUND(H175*(1+Y175),2))</f>
        <v/>
      </c>
      <c r="M175" s="10" t="n"/>
      <c r="N175" s="10" t="n"/>
      <c r="O175" s="10" t="n"/>
      <c r="P175" s="10" t="n"/>
      <c r="Q175" s="20" t="n"/>
      <c r="R175" s="10" t="n"/>
      <c r="S175" s="10" t="n"/>
      <c r="T175" s="18" t="n"/>
      <c r="U175" s="18" t="n"/>
      <c r="V175" s="10" t="n"/>
      <c r="W175" s="10" t="n"/>
      <c r="X175" s="19">
        <f>IF(OR(A175="",COUNT(U175)=0,COUNT(AI175)=0),"",U175+AI175)</f>
        <v/>
      </c>
      <c r="Y175" s="16" t="n"/>
      <c r="Z175" s="12" t="n"/>
      <c r="AA175" s="17">
        <f>IF(COUNT(J175)=0,"",IF(H175=0,"n.a.",J175/H175))</f>
        <v/>
      </c>
      <c r="AB175" s="12" t="n"/>
      <c r="AC175" s="12" t="n"/>
      <c r="AD175" s="12" t="n"/>
      <c r="AE175" s="13">
        <f>IF(OR(COUNT(J175)=0,COUNT(AB175:AD175)&lt;3),"",ROUND(J175-SUM(AB175:AD175),2))</f>
        <v/>
      </c>
      <c r="AF175" s="15">
        <f>IF(COUNT(AE175)=0,"",IF(Z175=0,"n.a.",AE175/Z175))</f>
        <v/>
      </c>
      <c r="AG175" s="12" t="n"/>
      <c r="AH175" s="14">
        <f>IF(OR(A175="",COUNT(Z175)=0,COUNT(AG175)=0),"",ROUND(Z175-AG175,2))</f>
        <v/>
      </c>
      <c r="AI175" s="21" t="n"/>
      <c r="AJ175" s="11">
        <f>IF(A175="","",IF(COUNT(I175)=0,"Enter approved NTE",IF(COUNT(Z175)&gt;0,IF(Z175&gt;I175,"Invoice exceeds NTE","Invoice within NTE"),IF(COUNT(L175)=0,"Enter quote inputs",IF(L175&gt;I175,"Quote exceeds NTE","Quote within NTE")))))</f>
        <v/>
      </c>
      <c r="AK175" s="11">
        <f>IF(A175="","",IF(COUNT(H175)=0,"Enter direct cost",IF(COUNT(Z175)=0,"Enter invoice revenue",IF(COUNT(AB175:AD175)&lt;3,"Enter expenses (0 if none)","Complete"))))</f>
        <v/>
      </c>
      <c r="AL175" s="11">
        <f>IF(A175="","",IF(NOT(AND(COUNT(AH175)=1,N(AH175)&gt;0.004,V175&lt;&gt;"Void",V175&lt;&gt;"Not invoiced",V175&lt;&gt;"Draft")),"",IF(COUNT(X175)=0,"No due date",IF(TODAY()-X175&lt;=0,"Not yet due",IF(TODAY()-X175&lt;=30,"1-30 days",IF(TODAY()-X175&lt;=60,"31-60 days",IF(TODAY()-X175&lt;=90,"61-90 days","Over 90 days")))))))</f>
        <v/>
      </c>
      <c r="AM175" s="49">
        <f>IF(OR(AL175="",AL175="No due date"),"",MAX(TODAY()-X175,0))</f>
        <v/>
      </c>
      <c r="AN175" s="49">
        <f>IF(AL175="","",IF(COUNT(X175)=0,-100000,TODAY()-X175))</f>
        <v/>
      </c>
      <c r="AO175" s="49">
        <f>IF(AN175="","",COUNTIF(AN$11:AN$1010,"&gt;"&amp;AN175)+COUNTIF(AN$11:AN175,AN175))</f>
        <v/>
      </c>
      <c r="AP175" s="49">
        <f>IF(OR(A175="",B175=""),"",IF(COUNTIF(B$11:B175,B175)=1,MAX(AP$10:AP174)+1,""))</f>
        <v/>
      </c>
    </row>
    <row r="176" ht="24" customHeight="1">
      <c r="A176" s="20" t="n"/>
      <c r="B176" s="10" t="n"/>
      <c r="C176" s="10" t="n"/>
      <c r="D176" s="10" t="n"/>
      <c r="E176" s="10" t="n"/>
      <c r="F176" s="18" t="n"/>
      <c r="G176" s="10" t="n"/>
      <c r="H176" s="12" t="n"/>
      <c r="I176" s="12" t="n"/>
      <c r="J176" s="13">
        <f>IF(OR(A176="",COUNT(H176)=0,COUNT(Z176)=0),"",ROUND(Z176-H176,2))</f>
        <v/>
      </c>
      <c r="K176" s="15">
        <f>IF(COUNT(J176)=0,"",IF(Z176=0,"n.a.",J176/Z176))</f>
        <v/>
      </c>
      <c r="L176" s="14">
        <f>IF(OR(A176="",COUNT(H176)=0,COUNT(Y176)=0),"",ROUND(H176*(1+Y176),2))</f>
        <v/>
      </c>
      <c r="M176" s="10" t="n"/>
      <c r="N176" s="10" t="n"/>
      <c r="O176" s="10" t="n"/>
      <c r="P176" s="10" t="n"/>
      <c r="Q176" s="20" t="n"/>
      <c r="R176" s="10" t="n"/>
      <c r="S176" s="10" t="n"/>
      <c r="T176" s="18" t="n"/>
      <c r="U176" s="18" t="n"/>
      <c r="V176" s="10" t="n"/>
      <c r="W176" s="10" t="n"/>
      <c r="X176" s="19">
        <f>IF(OR(A176="",COUNT(U176)=0,COUNT(AI176)=0),"",U176+AI176)</f>
        <v/>
      </c>
      <c r="Y176" s="16" t="n"/>
      <c r="Z176" s="12" t="n"/>
      <c r="AA176" s="17">
        <f>IF(COUNT(J176)=0,"",IF(H176=0,"n.a.",J176/H176))</f>
        <v/>
      </c>
      <c r="AB176" s="12" t="n"/>
      <c r="AC176" s="12" t="n"/>
      <c r="AD176" s="12" t="n"/>
      <c r="AE176" s="13">
        <f>IF(OR(COUNT(J176)=0,COUNT(AB176:AD176)&lt;3),"",ROUND(J176-SUM(AB176:AD176),2))</f>
        <v/>
      </c>
      <c r="AF176" s="15">
        <f>IF(COUNT(AE176)=0,"",IF(Z176=0,"n.a.",AE176/Z176))</f>
        <v/>
      </c>
      <c r="AG176" s="12" t="n"/>
      <c r="AH176" s="14">
        <f>IF(OR(A176="",COUNT(Z176)=0,COUNT(AG176)=0),"",ROUND(Z176-AG176,2))</f>
        <v/>
      </c>
      <c r="AI176" s="21" t="n"/>
      <c r="AJ176" s="11">
        <f>IF(A176="","",IF(COUNT(I176)=0,"Enter approved NTE",IF(COUNT(Z176)&gt;0,IF(Z176&gt;I176,"Invoice exceeds NTE","Invoice within NTE"),IF(COUNT(L176)=0,"Enter quote inputs",IF(L176&gt;I176,"Quote exceeds NTE","Quote within NTE")))))</f>
        <v/>
      </c>
      <c r="AK176" s="11">
        <f>IF(A176="","",IF(COUNT(H176)=0,"Enter direct cost",IF(COUNT(Z176)=0,"Enter invoice revenue",IF(COUNT(AB176:AD176)&lt;3,"Enter expenses (0 if none)","Complete"))))</f>
        <v/>
      </c>
      <c r="AL176" s="11">
        <f>IF(A176="","",IF(NOT(AND(COUNT(AH176)=1,N(AH176)&gt;0.004,V176&lt;&gt;"Void",V176&lt;&gt;"Not invoiced",V176&lt;&gt;"Draft")),"",IF(COUNT(X176)=0,"No due date",IF(TODAY()-X176&lt;=0,"Not yet due",IF(TODAY()-X176&lt;=30,"1-30 days",IF(TODAY()-X176&lt;=60,"31-60 days",IF(TODAY()-X176&lt;=90,"61-90 days","Over 90 days")))))))</f>
        <v/>
      </c>
      <c r="AM176" s="49">
        <f>IF(OR(AL176="",AL176="No due date"),"",MAX(TODAY()-X176,0))</f>
        <v/>
      </c>
      <c r="AN176" s="49">
        <f>IF(AL176="","",IF(COUNT(X176)=0,-100000,TODAY()-X176))</f>
        <v/>
      </c>
      <c r="AO176" s="49">
        <f>IF(AN176="","",COUNTIF(AN$11:AN$1010,"&gt;"&amp;AN176)+COUNTIF(AN$11:AN176,AN176))</f>
        <v/>
      </c>
      <c r="AP176" s="49">
        <f>IF(OR(A176="",B176=""),"",IF(COUNTIF(B$11:B176,B176)=1,MAX(AP$10:AP175)+1,""))</f>
        <v/>
      </c>
    </row>
    <row r="177" ht="24" customHeight="1">
      <c r="A177" s="20" t="n"/>
      <c r="B177" s="10" t="n"/>
      <c r="C177" s="10" t="n"/>
      <c r="D177" s="10" t="n"/>
      <c r="E177" s="10" t="n"/>
      <c r="F177" s="18" t="n"/>
      <c r="G177" s="10" t="n"/>
      <c r="H177" s="12" t="n"/>
      <c r="I177" s="12" t="n"/>
      <c r="J177" s="13">
        <f>IF(OR(A177="",COUNT(H177)=0,COUNT(Z177)=0),"",ROUND(Z177-H177,2))</f>
        <v/>
      </c>
      <c r="K177" s="15">
        <f>IF(COUNT(J177)=0,"",IF(Z177=0,"n.a.",J177/Z177))</f>
        <v/>
      </c>
      <c r="L177" s="14">
        <f>IF(OR(A177="",COUNT(H177)=0,COUNT(Y177)=0),"",ROUND(H177*(1+Y177),2))</f>
        <v/>
      </c>
      <c r="M177" s="10" t="n"/>
      <c r="N177" s="10" t="n"/>
      <c r="O177" s="10" t="n"/>
      <c r="P177" s="10" t="n"/>
      <c r="Q177" s="20" t="n"/>
      <c r="R177" s="10" t="n"/>
      <c r="S177" s="10" t="n"/>
      <c r="T177" s="18" t="n"/>
      <c r="U177" s="18" t="n"/>
      <c r="V177" s="10" t="n"/>
      <c r="W177" s="10" t="n"/>
      <c r="X177" s="19">
        <f>IF(OR(A177="",COUNT(U177)=0,COUNT(AI177)=0),"",U177+AI177)</f>
        <v/>
      </c>
      <c r="Y177" s="16" t="n"/>
      <c r="Z177" s="12" t="n"/>
      <c r="AA177" s="17">
        <f>IF(COUNT(J177)=0,"",IF(H177=0,"n.a.",J177/H177))</f>
        <v/>
      </c>
      <c r="AB177" s="12" t="n"/>
      <c r="AC177" s="12" t="n"/>
      <c r="AD177" s="12" t="n"/>
      <c r="AE177" s="13">
        <f>IF(OR(COUNT(J177)=0,COUNT(AB177:AD177)&lt;3),"",ROUND(J177-SUM(AB177:AD177),2))</f>
        <v/>
      </c>
      <c r="AF177" s="15">
        <f>IF(COUNT(AE177)=0,"",IF(Z177=0,"n.a.",AE177/Z177))</f>
        <v/>
      </c>
      <c r="AG177" s="12" t="n"/>
      <c r="AH177" s="14">
        <f>IF(OR(A177="",COUNT(Z177)=0,COUNT(AG177)=0),"",ROUND(Z177-AG177,2))</f>
        <v/>
      </c>
      <c r="AI177" s="21" t="n"/>
      <c r="AJ177" s="11">
        <f>IF(A177="","",IF(COUNT(I177)=0,"Enter approved NTE",IF(COUNT(Z177)&gt;0,IF(Z177&gt;I177,"Invoice exceeds NTE","Invoice within NTE"),IF(COUNT(L177)=0,"Enter quote inputs",IF(L177&gt;I177,"Quote exceeds NTE","Quote within NTE")))))</f>
        <v/>
      </c>
      <c r="AK177" s="11">
        <f>IF(A177="","",IF(COUNT(H177)=0,"Enter direct cost",IF(COUNT(Z177)=0,"Enter invoice revenue",IF(COUNT(AB177:AD177)&lt;3,"Enter expenses (0 if none)","Complete"))))</f>
        <v/>
      </c>
      <c r="AL177" s="11">
        <f>IF(A177="","",IF(NOT(AND(COUNT(AH177)=1,N(AH177)&gt;0.004,V177&lt;&gt;"Void",V177&lt;&gt;"Not invoiced",V177&lt;&gt;"Draft")),"",IF(COUNT(X177)=0,"No due date",IF(TODAY()-X177&lt;=0,"Not yet due",IF(TODAY()-X177&lt;=30,"1-30 days",IF(TODAY()-X177&lt;=60,"31-60 days",IF(TODAY()-X177&lt;=90,"61-90 days","Over 90 days")))))))</f>
        <v/>
      </c>
      <c r="AM177" s="49">
        <f>IF(OR(AL177="",AL177="No due date"),"",MAX(TODAY()-X177,0))</f>
        <v/>
      </c>
      <c r="AN177" s="49">
        <f>IF(AL177="","",IF(COUNT(X177)=0,-100000,TODAY()-X177))</f>
        <v/>
      </c>
      <c r="AO177" s="49">
        <f>IF(AN177="","",COUNTIF(AN$11:AN$1010,"&gt;"&amp;AN177)+COUNTIF(AN$11:AN177,AN177))</f>
        <v/>
      </c>
      <c r="AP177" s="49">
        <f>IF(OR(A177="",B177=""),"",IF(COUNTIF(B$11:B177,B177)=1,MAX(AP$10:AP176)+1,""))</f>
        <v/>
      </c>
    </row>
    <row r="178" ht="24" customHeight="1">
      <c r="A178" s="20" t="n"/>
      <c r="B178" s="10" t="n"/>
      <c r="C178" s="10" t="n"/>
      <c r="D178" s="10" t="n"/>
      <c r="E178" s="10" t="n"/>
      <c r="F178" s="18" t="n"/>
      <c r="G178" s="10" t="n"/>
      <c r="H178" s="12" t="n"/>
      <c r="I178" s="12" t="n"/>
      <c r="J178" s="13">
        <f>IF(OR(A178="",COUNT(H178)=0,COUNT(Z178)=0),"",ROUND(Z178-H178,2))</f>
        <v/>
      </c>
      <c r="K178" s="15">
        <f>IF(COUNT(J178)=0,"",IF(Z178=0,"n.a.",J178/Z178))</f>
        <v/>
      </c>
      <c r="L178" s="14">
        <f>IF(OR(A178="",COUNT(H178)=0,COUNT(Y178)=0),"",ROUND(H178*(1+Y178),2))</f>
        <v/>
      </c>
      <c r="M178" s="10" t="n"/>
      <c r="N178" s="10" t="n"/>
      <c r="O178" s="10" t="n"/>
      <c r="P178" s="10" t="n"/>
      <c r="Q178" s="20" t="n"/>
      <c r="R178" s="10" t="n"/>
      <c r="S178" s="10" t="n"/>
      <c r="T178" s="18" t="n"/>
      <c r="U178" s="18" t="n"/>
      <c r="V178" s="10" t="n"/>
      <c r="W178" s="10" t="n"/>
      <c r="X178" s="19">
        <f>IF(OR(A178="",COUNT(U178)=0,COUNT(AI178)=0),"",U178+AI178)</f>
        <v/>
      </c>
      <c r="Y178" s="16" t="n"/>
      <c r="Z178" s="12" t="n"/>
      <c r="AA178" s="17">
        <f>IF(COUNT(J178)=0,"",IF(H178=0,"n.a.",J178/H178))</f>
        <v/>
      </c>
      <c r="AB178" s="12" t="n"/>
      <c r="AC178" s="12" t="n"/>
      <c r="AD178" s="12" t="n"/>
      <c r="AE178" s="13">
        <f>IF(OR(COUNT(J178)=0,COUNT(AB178:AD178)&lt;3),"",ROUND(J178-SUM(AB178:AD178),2))</f>
        <v/>
      </c>
      <c r="AF178" s="15">
        <f>IF(COUNT(AE178)=0,"",IF(Z178=0,"n.a.",AE178/Z178))</f>
        <v/>
      </c>
      <c r="AG178" s="12" t="n"/>
      <c r="AH178" s="14">
        <f>IF(OR(A178="",COUNT(Z178)=0,COUNT(AG178)=0),"",ROUND(Z178-AG178,2))</f>
        <v/>
      </c>
      <c r="AI178" s="21" t="n"/>
      <c r="AJ178" s="11">
        <f>IF(A178="","",IF(COUNT(I178)=0,"Enter approved NTE",IF(COUNT(Z178)&gt;0,IF(Z178&gt;I178,"Invoice exceeds NTE","Invoice within NTE"),IF(COUNT(L178)=0,"Enter quote inputs",IF(L178&gt;I178,"Quote exceeds NTE","Quote within NTE")))))</f>
        <v/>
      </c>
      <c r="AK178" s="11">
        <f>IF(A178="","",IF(COUNT(H178)=0,"Enter direct cost",IF(COUNT(Z178)=0,"Enter invoice revenue",IF(COUNT(AB178:AD178)&lt;3,"Enter expenses (0 if none)","Complete"))))</f>
        <v/>
      </c>
      <c r="AL178" s="11">
        <f>IF(A178="","",IF(NOT(AND(COUNT(AH178)=1,N(AH178)&gt;0.004,V178&lt;&gt;"Void",V178&lt;&gt;"Not invoiced",V178&lt;&gt;"Draft")),"",IF(COUNT(X178)=0,"No due date",IF(TODAY()-X178&lt;=0,"Not yet due",IF(TODAY()-X178&lt;=30,"1-30 days",IF(TODAY()-X178&lt;=60,"31-60 days",IF(TODAY()-X178&lt;=90,"61-90 days","Over 90 days")))))))</f>
        <v/>
      </c>
      <c r="AM178" s="49">
        <f>IF(OR(AL178="",AL178="No due date"),"",MAX(TODAY()-X178,0))</f>
        <v/>
      </c>
      <c r="AN178" s="49">
        <f>IF(AL178="","",IF(COUNT(X178)=0,-100000,TODAY()-X178))</f>
        <v/>
      </c>
      <c r="AO178" s="49">
        <f>IF(AN178="","",COUNTIF(AN$11:AN$1010,"&gt;"&amp;AN178)+COUNTIF(AN$11:AN178,AN178))</f>
        <v/>
      </c>
      <c r="AP178" s="49">
        <f>IF(OR(A178="",B178=""),"",IF(COUNTIF(B$11:B178,B178)=1,MAX(AP$10:AP177)+1,""))</f>
        <v/>
      </c>
    </row>
    <row r="179" ht="24" customHeight="1">
      <c r="A179" s="20" t="n"/>
      <c r="B179" s="10" t="n"/>
      <c r="C179" s="10" t="n"/>
      <c r="D179" s="10" t="n"/>
      <c r="E179" s="10" t="n"/>
      <c r="F179" s="18" t="n"/>
      <c r="G179" s="10" t="n"/>
      <c r="H179" s="12" t="n"/>
      <c r="I179" s="12" t="n"/>
      <c r="J179" s="13">
        <f>IF(OR(A179="",COUNT(H179)=0,COUNT(Z179)=0),"",ROUND(Z179-H179,2))</f>
        <v/>
      </c>
      <c r="K179" s="15">
        <f>IF(COUNT(J179)=0,"",IF(Z179=0,"n.a.",J179/Z179))</f>
        <v/>
      </c>
      <c r="L179" s="14">
        <f>IF(OR(A179="",COUNT(H179)=0,COUNT(Y179)=0),"",ROUND(H179*(1+Y179),2))</f>
        <v/>
      </c>
      <c r="M179" s="10" t="n"/>
      <c r="N179" s="10" t="n"/>
      <c r="O179" s="10" t="n"/>
      <c r="P179" s="10" t="n"/>
      <c r="Q179" s="20" t="n"/>
      <c r="R179" s="10" t="n"/>
      <c r="S179" s="10" t="n"/>
      <c r="T179" s="18" t="n"/>
      <c r="U179" s="18" t="n"/>
      <c r="V179" s="10" t="n"/>
      <c r="W179" s="10" t="n"/>
      <c r="X179" s="19">
        <f>IF(OR(A179="",COUNT(U179)=0,COUNT(AI179)=0),"",U179+AI179)</f>
        <v/>
      </c>
      <c r="Y179" s="16" t="n"/>
      <c r="Z179" s="12" t="n"/>
      <c r="AA179" s="17">
        <f>IF(COUNT(J179)=0,"",IF(H179=0,"n.a.",J179/H179))</f>
        <v/>
      </c>
      <c r="AB179" s="12" t="n"/>
      <c r="AC179" s="12" t="n"/>
      <c r="AD179" s="12" t="n"/>
      <c r="AE179" s="13">
        <f>IF(OR(COUNT(J179)=0,COUNT(AB179:AD179)&lt;3),"",ROUND(J179-SUM(AB179:AD179),2))</f>
        <v/>
      </c>
      <c r="AF179" s="15">
        <f>IF(COUNT(AE179)=0,"",IF(Z179=0,"n.a.",AE179/Z179))</f>
        <v/>
      </c>
      <c r="AG179" s="12" t="n"/>
      <c r="AH179" s="14">
        <f>IF(OR(A179="",COUNT(Z179)=0,COUNT(AG179)=0),"",ROUND(Z179-AG179,2))</f>
        <v/>
      </c>
      <c r="AI179" s="21" t="n"/>
      <c r="AJ179" s="11">
        <f>IF(A179="","",IF(COUNT(I179)=0,"Enter approved NTE",IF(COUNT(Z179)&gt;0,IF(Z179&gt;I179,"Invoice exceeds NTE","Invoice within NTE"),IF(COUNT(L179)=0,"Enter quote inputs",IF(L179&gt;I179,"Quote exceeds NTE","Quote within NTE")))))</f>
        <v/>
      </c>
      <c r="AK179" s="11">
        <f>IF(A179="","",IF(COUNT(H179)=0,"Enter direct cost",IF(COUNT(Z179)=0,"Enter invoice revenue",IF(COUNT(AB179:AD179)&lt;3,"Enter expenses (0 if none)","Complete"))))</f>
        <v/>
      </c>
      <c r="AL179" s="11">
        <f>IF(A179="","",IF(NOT(AND(COUNT(AH179)=1,N(AH179)&gt;0.004,V179&lt;&gt;"Void",V179&lt;&gt;"Not invoiced",V179&lt;&gt;"Draft")),"",IF(COUNT(X179)=0,"No due date",IF(TODAY()-X179&lt;=0,"Not yet due",IF(TODAY()-X179&lt;=30,"1-30 days",IF(TODAY()-X179&lt;=60,"31-60 days",IF(TODAY()-X179&lt;=90,"61-90 days","Over 90 days")))))))</f>
        <v/>
      </c>
      <c r="AM179" s="49">
        <f>IF(OR(AL179="",AL179="No due date"),"",MAX(TODAY()-X179,0))</f>
        <v/>
      </c>
      <c r="AN179" s="49">
        <f>IF(AL179="","",IF(COUNT(X179)=0,-100000,TODAY()-X179))</f>
        <v/>
      </c>
      <c r="AO179" s="49">
        <f>IF(AN179="","",COUNTIF(AN$11:AN$1010,"&gt;"&amp;AN179)+COUNTIF(AN$11:AN179,AN179))</f>
        <v/>
      </c>
      <c r="AP179" s="49">
        <f>IF(OR(A179="",B179=""),"",IF(COUNTIF(B$11:B179,B179)=1,MAX(AP$10:AP178)+1,""))</f>
        <v/>
      </c>
    </row>
    <row r="180" ht="24" customHeight="1">
      <c r="A180" s="20" t="n"/>
      <c r="B180" s="10" t="n"/>
      <c r="C180" s="10" t="n"/>
      <c r="D180" s="10" t="n"/>
      <c r="E180" s="10" t="n"/>
      <c r="F180" s="18" t="n"/>
      <c r="G180" s="10" t="n"/>
      <c r="H180" s="12" t="n"/>
      <c r="I180" s="12" t="n"/>
      <c r="J180" s="13">
        <f>IF(OR(A180="",COUNT(H180)=0,COUNT(Z180)=0),"",ROUND(Z180-H180,2))</f>
        <v/>
      </c>
      <c r="K180" s="15">
        <f>IF(COUNT(J180)=0,"",IF(Z180=0,"n.a.",J180/Z180))</f>
        <v/>
      </c>
      <c r="L180" s="14">
        <f>IF(OR(A180="",COUNT(H180)=0,COUNT(Y180)=0),"",ROUND(H180*(1+Y180),2))</f>
        <v/>
      </c>
      <c r="M180" s="10" t="n"/>
      <c r="N180" s="10" t="n"/>
      <c r="O180" s="10" t="n"/>
      <c r="P180" s="10" t="n"/>
      <c r="Q180" s="20" t="n"/>
      <c r="R180" s="10" t="n"/>
      <c r="S180" s="10" t="n"/>
      <c r="T180" s="18" t="n"/>
      <c r="U180" s="18" t="n"/>
      <c r="V180" s="10" t="n"/>
      <c r="W180" s="10" t="n"/>
      <c r="X180" s="19">
        <f>IF(OR(A180="",COUNT(U180)=0,COUNT(AI180)=0),"",U180+AI180)</f>
        <v/>
      </c>
      <c r="Y180" s="16" t="n"/>
      <c r="Z180" s="12" t="n"/>
      <c r="AA180" s="17">
        <f>IF(COUNT(J180)=0,"",IF(H180=0,"n.a.",J180/H180))</f>
        <v/>
      </c>
      <c r="AB180" s="12" t="n"/>
      <c r="AC180" s="12" t="n"/>
      <c r="AD180" s="12" t="n"/>
      <c r="AE180" s="13">
        <f>IF(OR(COUNT(J180)=0,COUNT(AB180:AD180)&lt;3),"",ROUND(J180-SUM(AB180:AD180),2))</f>
        <v/>
      </c>
      <c r="AF180" s="15">
        <f>IF(COUNT(AE180)=0,"",IF(Z180=0,"n.a.",AE180/Z180))</f>
        <v/>
      </c>
      <c r="AG180" s="12" t="n"/>
      <c r="AH180" s="14">
        <f>IF(OR(A180="",COUNT(Z180)=0,COUNT(AG180)=0),"",ROUND(Z180-AG180,2))</f>
        <v/>
      </c>
      <c r="AI180" s="21" t="n"/>
      <c r="AJ180" s="11">
        <f>IF(A180="","",IF(COUNT(I180)=0,"Enter approved NTE",IF(COUNT(Z180)&gt;0,IF(Z180&gt;I180,"Invoice exceeds NTE","Invoice within NTE"),IF(COUNT(L180)=0,"Enter quote inputs",IF(L180&gt;I180,"Quote exceeds NTE","Quote within NTE")))))</f>
        <v/>
      </c>
      <c r="AK180" s="11">
        <f>IF(A180="","",IF(COUNT(H180)=0,"Enter direct cost",IF(COUNT(Z180)=0,"Enter invoice revenue",IF(COUNT(AB180:AD180)&lt;3,"Enter expenses (0 if none)","Complete"))))</f>
        <v/>
      </c>
      <c r="AL180" s="11">
        <f>IF(A180="","",IF(NOT(AND(COUNT(AH180)=1,N(AH180)&gt;0.004,V180&lt;&gt;"Void",V180&lt;&gt;"Not invoiced",V180&lt;&gt;"Draft")),"",IF(COUNT(X180)=0,"No due date",IF(TODAY()-X180&lt;=0,"Not yet due",IF(TODAY()-X180&lt;=30,"1-30 days",IF(TODAY()-X180&lt;=60,"31-60 days",IF(TODAY()-X180&lt;=90,"61-90 days","Over 90 days")))))))</f>
        <v/>
      </c>
      <c r="AM180" s="49">
        <f>IF(OR(AL180="",AL180="No due date"),"",MAX(TODAY()-X180,0))</f>
        <v/>
      </c>
      <c r="AN180" s="49">
        <f>IF(AL180="","",IF(COUNT(X180)=0,-100000,TODAY()-X180))</f>
        <v/>
      </c>
      <c r="AO180" s="49">
        <f>IF(AN180="","",COUNTIF(AN$11:AN$1010,"&gt;"&amp;AN180)+COUNTIF(AN$11:AN180,AN180))</f>
        <v/>
      </c>
      <c r="AP180" s="49">
        <f>IF(OR(A180="",B180=""),"",IF(COUNTIF(B$11:B180,B180)=1,MAX(AP$10:AP179)+1,""))</f>
        <v/>
      </c>
    </row>
    <row r="181" ht="24" customHeight="1">
      <c r="A181" s="20" t="n"/>
      <c r="B181" s="10" t="n"/>
      <c r="C181" s="10" t="n"/>
      <c r="D181" s="10" t="n"/>
      <c r="E181" s="10" t="n"/>
      <c r="F181" s="18" t="n"/>
      <c r="G181" s="10" t="n"/>
      <c r="H181" s="12" t="n"/>
      <c r="I181" s="12" t="n"/>
      <c r="J181" s="13">
        <f>IF(OR(A181="",COUNT(H181)=0,COUNT(Z181)=0),"",ROUND(Z181-H181,2))</f>
        <v/>
      </c>
      <c r="K181" s="15">
        <f>IF(COUNT(J181)=0,"",IF(Z181=0,"n.a.",J181/Z181))</f>
        <v/>
      </c>
      <c r="L181" s="14">
        <f>IF(OR(A181="",COUNT(H181)=0,COUNT(Y181)=0),"",ROUND(H181*(1+Y181),2))</f>
        <v/>
      </c>
      <c r="M181" s="10" t="n"/>
      <c r="N181" s="10" t="n"/>
      <c r="O181" s="10" t="n"/>
      <c r="P181" s="10" t="n"/>
      <c r="Q181" s="20" t="n"/>
      <c r="R181" s="10" t="n"/>
      <c r="S181" s="10" t="n"/>
      <c r="T181" s="18" t="n"/>
      <c r="U181" s="18" t="n"/>
      <c r="V181" s="10" t="n"/>
      <c r="W181" s="10" t="n"/>
      <c r="X181" s="19">
        <f>IF(OR(A181="",COUNT(U181)=0,COUNT(AI181)=0),"",U181+AI181)</f>
        <v/>
      </c>
      <c r="Y181" s="16" t="n"/>
      <c r="Z181" s="12" t="n"/>
      <c r="AA181" s="17">
        <f>IF(COUNT(J181)=0,"",IF(H181=0,"n.a.",J181/H181))</f>
        <v/>
      </c>
      <c r="AB181" s="12" t="n"/>
      <c r="AC181" s="12" t="n"/>
      <c r="AD181" s="12" t="n"/>
      <c r="AE181" s="13">
        <f>IF(OR(COUNT(J181)=0,COUNT(AB181:AD181)&lt;3),"",ROUND(J181-SUM(AB181:AD181),2))</f>
        <v/>
      </c>
      <c r="AF181" s="15">
        <f>IF(COUNT(AE181)=0,"",IF(Z181=0,"n.a.",AE181/Z181))</f>
        <v/>
      </c>
      <c r="AG181" s="12" t="n"/>
      <c r="AH181" s="14">
        <f>IF(OR(A181="",COUNT(Z181)=0,COUNT(AG181)=0),"",ROUND(Z181-AG181,2))</f>
        <v/>
      </c>
      <c r="AI181" s="21" t="n"/>
      <c r="AJ181" s="11">
        <f>IF(A181="","",IF(COUNT(I181)=0,"Enter approved NTE",IF(COUNT(Z181)&gt;0,IF(Z181&gt;I181,"Invoice exceeds NTE","Invoice within NTE"),IF(COUNT(L181)=0,"Enter quote inputs",IF(L181&gt;I181,"Quote exceeds NTE","Quote within NTE")))))</f>
        <v/>
      </c>
      <c r="AK181" s="11">
        <f>IF(A181="","",IF(COUNT(H181)=0,"Enter direct cost",IF(COUNT(Z181)=0,"Enter invoice revenue",IF(COUNT(AB181:AD181)&lt;3,"Enter expenses (0 if none)","Complete"))))</f>
        <v/>
      </c>
      <c r="AL181" s="11">
        <f>IF(A181="","",IF(NOT(AND(COUNT(AH181)=1,N(AH181)&gt;0.004,V181&lt;&gt;"Void",V181&lt;&gt;"Not invoiced",V181&lt;&gt;"Draft")),"",IF(COUNT(X181)=0,"No due date",IF(TODAY()-X181&lt;=0,"Not yet due",IF(TODAY()-X181&lt;=30,"1-30 days",IF(TODAY()-X181&lt;=60,"31-60 days",IF(TODAY()-X181&lt;=90,"61-90 days","Over 90 days")))))))</f>
        <v/>
      </c>
      <c r="AM181" s="49">
        <f>IF(OR(AL181="",AL181="No due date"),"",MAX(TODAY()-X181,0))</f>
        <v/>
      </c>
      <c r="AN181" s="49">
        <f>IF(AL181="","",IF(COUNT(X181)=0,-100000,TODAY()-X181))</f>
        <v/>
      </c>
      <c r="AO181" s="49">
        <f>IF(AN181="","",COUNTIF(AN$11:AN$1010,"&gt;"&amp;AN181)+COUNTIF(AN$11:AN181,AN181))</f>
        <v/>
      </c>
      <c r="AP181" s="49">
        <f>IF(OR(A181="",B181=""),"",IF(COUNTIF(B$11:B181,B181)=1,MAX(AP$10:AP180)+1,""))</f>
        <v/>
      </c>
    </row>
    <row r="182" ht="24" customHeight="1">
      <c r="A182" s="20" t="n"/>
      <c r="B182" s="10" t="n"/>
      <c r="C182" s="10" t="n"/>
      <c r="D182" s="10" t="n"/>
      <c r="E182" s="10" t="n"/>
      <c r="F182" s="18" t="n"/>
      <c r="G182" s="10" t="n"/>
      <c r="H182" s="12" t="n"/>
      <c r="I182" s="12" t="n"/>
      <c r="J182" s="13">
        <f>IF(OR(A182="",COUNT(H182)=0,COUNT(Z182)=0),"",ROUND(Z182-H182,2))</f>
        <v/>
      </c>
      <c r="K182" s="15">
        <f>IF(COUNT(J182)=0,"",IF(Z182=0,"n.a.",J182/Z182))</f>
        <v/>
      </c>
      <c r="L182" s="14">
        <f>IF(OR(A182="",COUNT(H182)=0,COUNT(Y182)=0),"",ROUND(H182*(1+Y182),2))</f>
        <v/>
      </c>
      <c r="M182" s="10" t="n"/>
      <c r="N182" s="10" t="n"/>
      <c r="O182" s="10" t="n"/>
      <c r="P182" s="10" t="n"/>
      <c r="Q182" s="20" t="n"/>
      <c r="R182" s="10" t="n"/>
      <c r="S182" s="10" t="n"/>
      <c r="T182" s="18" t="n"/>
      <c r="U182" s="18" t="n"/>
      <c r="V182" s="10" t="n"/>
      <c r="W182" s="10" t="n"/>
      <c r="X182" s="19">
        <f>IF(OR(A182="",COUNT(U182)=0,COUNT(AI182)=0),"",U182+AI182)</f>
        <v/>
      </c>
      <c r="Y182" s="16" t="n"/>
      <c r="Z182" s="12" t="n"/>
      <c r="AA182" s="17">
        <f>IF(COUNT(J182)=0,"",IF(H182=0,"n.a.",J182/H182))</f>
        <v/>
      </c>
      <c r="AB182" s="12" t="n"/>
      <c r="AC182" s="12" t="n"/>
      <c r="AD182" s="12" t="n"/>
      <c r="AE182" s="13">
        <f>IF(OR(COUNT(J182)=0,COUNT(AB182:AD182)&lt;3),"",ROUND(J182-SUM(AB182:AD182),2))</f>
        <v/>
      </c>
      <c r="AF182" s="15">
        <f>IF(COUNT(AE182)=0,"",IF(Z182=0,"n.a.",AE182/Z182))</f>
        <v/>
      </c>
      <c r="AG182" s="12" t="n"/>
      <c r="AH182" s="14">
        <f>IF(OR(A182="",COUNT(Z182)=0,COUNT(AG182)=0),"",ROUND(Z182-AG182,2))</f>
        <v/>
      </c>
      <c r="AI182" s="21" t="n"/>
      <c r="AJ182" s="11">
        <f>IF(A182="","",IF(COUNT(I182)=0,"Enter approved NTE",IF(COUNT(Z182)&gt;0,IF(Z182&gt;I182,"Invoice exceeds NTE","Invoice within NTE"),IF(COUNT(L182)=0,"Enter quote inputs",IF(L182&gt;I182,"Quote exceeds NTE","Quote within NTE")))))</f>
        <v/>
      </c>
      <c r="AK182" s="11">
        <f>IF(A182="","",IF(COUNT(H182)=0,"Enter direct cost",IF(COUNT(Z182)=0,"Enter invoice revenue",IF(COUNT(AB182:AD182)&lt;3,"Enter expenses (0 if none)","Complete"))))</f>
        <v/>
      </c>
      <c r="AL182" s="11">
        <f>IF(A182="","",IF(NOT(AND(COUNT(AH182)=1,N(AH182)&gt;0.004,V182&lt;&gt;"Void",V182&lt;&gt;"Not invoiced",V182&lt;&gt;"Draft")),"",IF(COUNT(X182)=0,"No due date",IF(TODAY()-X182&lt;=0,"Not yet due",IF(TODAY()-X182&lt;=30,"1-30 days",IF(TODAY()-X182&lt;=60,"31-60 days",IF(TODAY()-X182&lt;=90,"61-90 days","Over 90 days")))))))</f>
        <v/>
      </c>
      <c r="AM182" s="49">
        <f>IF(OR(AL182="",AL182="No due date"),"",MAX(TODAY()-X182,0))</f>
        <v/>
      </c>
      <c r="AN182" s="49">
        <f>IF(AL182="","",IF(COUNT(X182)=0,-100000,TODAY()-X182))</f>
        <v/>
      </c>
      <c r="AO182" s="49">
        <f>IF(AN182="","",COUNTIF(AN$11:AN$1010,"&gt;"&amp;AN182)+COUNTIF(AN$11:AN182,AN182))</f>
        <v/>
      </c>
      <c r="AP182" s="49">
        <f>IF(OR(A182="",B182=""),"",IF(COUNTIF(B$11:B182,B182)=1,MAX(AP$10:AP181)+1,""))</f>
        <v/>
      </c>
    </row>
    <row r="183" ht="24" customHeight="1">
      <c r="A183" s="20" t="n"/>
      <c r="B183" s="10" t="n"/>
      <c r="C183" s="10" t="n"/>
      <c r="D183" s="10" t="n"/>
      <c r="E183" s="10" t="n"/>
      <c r="F183" s="18" t="n"/>
      <c r="G183" s="10" t="n"/>
      <c r="H183" s="12" t="n"/>
      <c r="I183" s="12" t="n"/>
      <c r="J183" s="13">
        <f>IF(OR(A183="",COUNT(H183)=0,COUNT(Z183)=0),"",ROUND(Z183-H183,2))</f>
        <v/>
      </c>
      <c r="K183" s="15">
        <f>IF(COUNT(J183)=0,"",IF(Z183=0,"n.a.",J183/Z183))</f>
        <v/>
      </c>
      <c r="L183" s="14">
        <f>IF(OR(A183="",COUNT(H183)=0,COUNT(Y183)=0),"",ROUND(H183*(1+Y183),2))</f>
        <v/>
      </c>
      <c r="M183" s="10" t="n"/>
      <c r="N183" s="10" t="n"/>
      <c r="O183" s="10" t="n"/>
      <c r="P183" s="10" t="n"/>
      <c r="Q183" s="20" t="n"/>
      <c r="R183" s="10" t="n"/>
      <c r="S183" s="10" t="n"/>
      <c r="T183" s="18" t="n"/>
      <c r="U183" s="18" t="n"/>
      <c r="V183" s="10" t="n"/>
      <c r="W183" s="10" t="n"/>
      <c r="X183" s="19">
        <f>IF(OR(A183="",COUNT(U183)=0,COUNT(AI183)=0),"",U183+AI183)</f>
        <v/>
      </c>
      <c r="Y183" s="16" t="n"/>
      <c r="Z183" s="12" t="n"/>
      <c r="AA183" s="17">
        <f>IF(COUNT(J183)=0,"",IF(H183=0,"n.a.",J183/H183))</f>
        <v/>
      </c>
      <c r="AB183" s="12" t="n"/>
      <c r="AC183" s="12" t="n"/>
      <c r="AD183" s="12" t="n"/>
      <c r="AE183" s="13">
        <f>IF(OR(COUNT(J183)=0,COUNT(AB183:AD183)&lt;3),"",ROUND(J183-SUM(AB183:AD183),2))</f>
        <v/>
      </c>
      <c r="AF183" s="15">
        <f>IF(COUNT(AE183)=0,"",IF(Z183=0,"n.a.",AE183/Z183))</f>
        <v/>
      </c>
      <c r="AG183" s="12" t="n"/>
      <c r="AH183" s="14">
        <f>IF(OR(A183="",COUNT(Z183)=0,COUNT(AG183)=0),"",ROUND(Z183-AG183,2))</f>
        <v/>
      </c>
      <c r="AI183" s="21" t="n"/>
      <c r="AJ183" s="11">
        <f>IF(A183="","",IF(COUNT(I183)=0,"Enter approved NTE",IF(COUNT(Z183)&gt;0,IF(Z183&gt;I183,"Invoice exceeds NTE","Invoice within NTE"),IF(COUNT(L183)=0,"Enter quote inputs",IF(L183&gt;I183,"Quote exceeds NTE","Quote within NTE")))))</f>
        <v/>
      </c>
      <c r="AK183" s="11">
        <f>IF(A183="","",IF(COUNT(H183)=0,"Enter direct cost",IF(COUNT(Z183)=0,"Enter invoice revenue",IF(COUNT(AB183:AD183)&lt;3,"Enter expenses (0 if none)","Complete"))))</f>
        <v/>
      </c>
      <c r="AL183" s="11">
        <f>IF(A183="","",IF(NOT(AND(COUNT(AH183)=1,N(AH183)&gt;0.004,V183&lt;&gt;"Void",V183&lt;&gt;"Not invoiced",V183&lt;&gt;"Draft")),"",IF(COUNT(X183)=0,"No due date",IF(TODAY()-X183&lt;=0,"Not yet due",IF(TODAY()-X183&lt;=30,"1-30 days",IF(TODAY()-X183&lt;=60,"31-60 days",IF(TODAY()-X183&lt;=90,"61-90 days","Over 90 days")))))))</f>
        <v/>
      </c>
      <c r="AM183" s="49">
        <f>IF(OR(AL183="",AL183="No due date"),"",MAX(TODAY()-X183,0))</f>
        <v/>
      </c>
      <c r="AN183" s="49">
        <f>IF(AL183="","",IF(COUNT(X183)=0,-100000,TODAY()-X183))</f>
        <v/>
      </c>
      <c r="AO183" s="49">
        <f>IF(AN183="","",COUNTIF(AN$11:AN$1010,"&gt;"&amp;AN183)+COUNTIF(AN$11:AN183,AN183))</f>
        <v/>
      </c>
      <c r="AP183" s="49">
        <f>IF(OR(A183="",B183=""),"",IF(COUNTIF(B$11:B183,B183)=1,MAX(AP$10:AP182)+1,""))</f>
        <v/>
      </c>
    </row>
    <row r="184" ht="24" customHeight="1">
      <c r="A184" s="20" t="n"/>
      <c r="B184" s="10" t="n"/>
      <c r="C184" s="10" t="n"/>
      <c r="D184" s="10" t="n"/>
      <c r="E184" s="10" t="n"/>
      <c r="F184" s="18" t="n"/>
      <c r="G184" s="10" t="n"/>
      <c r="H184" s="12" t="n"/>
      <c r="I184" s="12" t="n"/>
      <c r="J184" s="13">
        <f>IF(OR(A184="",COUNT(H184)=0,COUNT(Z184)=0),"",ROUND(Z184-H184,2))</f>
        <v/>
      </c>
      <c r="K184" s="15">
        <f>IF(COUNT(J184)=0,"",IF(Z184=0,"n.a.",J184/Z184))</f>
        <v/>
      </c>
      <c r="L184" s="14">
        <f>IF(OR(A184="",COUNT(H184)=0,COUNT(Y184)=0),"",ROUND(H184*(1+Y184),2))</f>
        <v/>
      </c>
      <c r="M184" s="10" t="n"/>
      <c r="N184" s="10" t="n"/>
      <c r="O184" s="10" t="n"/>
      <c r="P184" s="10" t="n"/>
      <c r="Q184" s="20" t="n"/>
      <c r="R184" s="10" t="n"/>
      <c r="S184" s="10" t="n"/>
      <c r="T184" s="18" t="n"/>
      <c r="U184" s="18" t="n"/>
      <c r="V184" s="10" t="n"/>
      <c r="W184" s="10" t="n"/>
      <c r="X184" s="19">
        <f>IF(OR(A184="",COUNT(U184)=0,COUNT(AI184)=0),"",U184+AI184)</f>
        <v/>
      </c>
      <c r="Y184" s="16" t="n"/>
      <c r="Z184" s="12" t="n"/>
      <c r="AA184" s="17">
        <f>IF(COUNT(J184)=0,"",IF(H184=0,"n.a.",J184/H184))</f>
        <v/>
      </c>
      <c r="AB184" s="12" t="n"/>
      <c r="AC184" s="12" t="n"/>
      <c r="AD184" s="12" t="n"/>
      <c r="AE184" s="13">
        <f>IF(OR(COUNT(J184)=0,COUNT(AB184:AD184)&lt;3),"",ROUND(J184-SUM(AB184:AD184),2))</f>
        <v/>
      </c>
      <c r="AF184" s="15">
        <f>IF(COUNT(AE184)=0,"",IF(Z184=0,"n.a.",AE184/Z184))</f>
        <v/>
      </c>
      <c r="AG184" s="12" t="n"/>
      <c r="AH184" s="14">
        <f>IF(OR(A184="",COUNT(Z184)=0,COUNT(AG184)=0),"",ROUND(Z184-AG184,2))</f>
        <v/>
      </c>
      <c r="AI184" s="21" t="n"/>
      <c r="AJ184" s="11">
        <f>IF(A184="","",IF(COUNT(I184)=0,"Enter approved NTE",IF(COUNT(Z184)&gt;0,IF(Z184&gt;I184,"Invoice exceeds NTE","Invoice within NTE"),IF(COUNT(L184)=0,"Enter quote inputs",IF(L184&gt;I184,"Quote exceeds NTE","Quote within NTE")))))</f>
        <v/>
      </c>
      <c r="AK184" s="11">
        <f>IF(A184="","",IF(COUNT(H184)=0,"Enter direct cost",IF(COUNT(Z184)=0,"Enter invoice revenue",IF(COUNT(AB184:AD184)&lt;3,"Enter expenses (0 if none)","Complete"))))</f>
        <v/>
      </c>
      <c r="AL184" s="11">
        <f>IF(A184="","",IF(NOT(AND(COUNT(AH184)=1,N(AH184)&gt;0.004,V184&lt;&gt;"Void",V184&lt;&gt;"Not invoiced",V184&lt;&gt;"Draft")),"",IF(COUNT(X184)=0,"No due date",IF(TODAY()-X184&lt;=0,"Not yet due",IF(TODAY()-X184&lt;=30,"1-30 days",IF(TODAY()-X184&lt;=60,"31-60 days",IF(TODAY()-X184&lt;=90,"61-90 days","Over 90 days")))))))</f>
        <v/>
      </c>
      <c r="AM184" s="49">
        <f>IF(OR(AL184="",AL184="No due date"),"",MAX(TODAY()-X184,0))</f>
        <v/>
      </c>
      <c r="AN184" s="49">
        <f>IF(AL184="","",IF(COUNT(X184)=0,-100000,TODAY()-X184))</f>
        <v/>
      </c>
      <c r="AO184" s="49">
        <f>IF(AN184="","",COUNTIF(AN$11:AN$1010,"&gt;"&amp;AN184)+COUNTIF(AN$11:AN184,AN184))</f>
        <v/>
      </c>
      <c r="AP184" s="49">
        <f>IF(OR(A184="",B184=""),"",IF(COUNTIF(B$11:B184,B184)=1,MAX(AP$10:AP183)+1,""))</f>
        <v/>
      </c>
    </row>
    <row r="185" ht="24" customHeight="1">
      <c r="A185" s="20" t="n"/>
      <c r="B185" s="10" t="n"/>
      <c r="C185" s="10" t="n"/>
      <c r="D185" s="10" t="n"/>
      <c r="E185" s="10" t="n"/>
      <c r="F185" s="18" t="n"/>
      <c r="G185" s="10" t="n"/>
      <c r="H185" s="12" t="n"/>
      <c r="I185" s="12" t="n"/>
      <c r="J185" s="13">
        <f>IF(OR(A185="",COUNT(H185)=0,COUNT(Z185)=0),"",ROUND(Z185-H185,2))</f>
        <v/>
      </c>
      <c r="K185" s="15">
        <f>IF(COUNT(J185)=0,"",IF(Z185=0,"n.a.",J185/Z185))</f>
        <v/>
      </c>
      <c r="L185" s="14">
        <f>IF(OR(A185="",COUNT(H185)=0,COUNT(Y185)=0),"",ROUND(H185*(1+Y185),2))</f>
        <v/>
      </c>
      <c r="M185" s="10" t="n"/>
      <c r="N185" s="10" t="n"/>
      <c r="O185" s="10" t="n"/>
      <c r="P185" s="10" t="n"/>
      <c r="Q185" s="20" t="n"/>
      <c r="R185" s="10" t="n"/>
      <c r="S185" s="10" t="n"/>
      <c r="T185" s="18" t="n"/>
      <c r="U185" s="18" t="n"/>
      <c r="V185" s="10" t="n"/>
      <c r="W185" s="10" t="n"/>
      <c r="X185" s="19">
        <f>IF(OR(A185="",COUNT(U185)=0,COUNT(AI185)=0),"",U185+AI185)</f>
        <v/>
      </c>
      <c r="Y185" s="16" t="n"/>
      <c r="Z185" s="12" t="n"/>
      <c r="AA185" s="17">
        <f>IF(COUNT(J185)=0,"",IF(H185=0,"n.a.",J185/H185))</f>
        <v/>
      </c>
      <c r="AB185" s="12" t="n"/>
      <c r="AC185" s="12" t="n"/>
      <c r="AD185" s="12" t="n"/>
      <c r="AE185" s="13">
        <f>IF(OR(COUNT(J185)=0,COUNT(AB185:AD185)&lt;3),"",ROUND(J185-SUM(AB185:AD185),2))</f>
        <v/>
      </c>
      <c r="AF185" s="15">
        <f>IF(COUNT(AE185)=0,"",IF(Z185=0,"n.a.",AE185/Z185))</f>
        <v/>
      </c>
      <c r="AG185" s="12" t="n"/>
      <c r="AH185" s="14">
        <f>IF(OR(A185="",COUNT(Z185)=0,COUNT(AG185)=0),"",ROUND(Z185-AG185,2))</f>
        <v/>
      </c>
      <c r="AI185" s="21" t="n"/>
      <c r="AJ185" s="11">
        <f>IF(A185="","",IF(COUNT(I185)=0,"Enter approved NTE",IF(COUNT(Z185)&gt;0,IF(Z185&gt;I185,"Invoice exceeds NTE","Invoice within NTE"),IF(COUNT(L185)=0,"Enter quote inputs",IF(L185&gt;I185,"Quote exceeds NTE","Quote within NTE")))))</f>
        <v/>
      </c>
      <c r="AK185" s="11">
        <f>IF(A185="","",IF(COUNT(H185)=0,"Enter direct cost",IF(COUNT(Z185)=0,"Enter invoice revenue",IF(COUNT(AB185:AD185)&lt;3,"Enter expenses (0 if none)","Complete"))))</f>
        <v/>
      </c>
      <c r="AL185" s="11">
        <f>IF(A185="","",IF(NOT(AND(COUNT(AH185)=1,N(AH185)&gt;0.004,V185&lt;&gt;"Void",V185&lt;&gt;"Not invoiced",V185&lt;&gt;"Draft")),"",IF(COUNT(X185)=0,"No due date",IF(TODAY()-X185&lt;=0,"Not yet due",IF(TODAY()-X185&lt;=30,"1-30 days",IF(TODAY()-X185&lt;=60,"31-60 days",IF(TODAY()-X185&lt;=90,"61-90 days","Over 90 days")))))))</f>
        <v/>
      </c>
      <c r="AM185" s="49">
        <f>IF(OR(AL185="",AL185="No due date"),"",MAX(TODAY()-X185,0))</f>
        <v/>
      </c>
      <c r="AN185" s="49">
        <f>IF(AL185="","",IF(COUNT(X185)=0,-100000,TODAY()-X185))</f>
        <v/>
      </c>
      <c r="AO185" s="49">
        <f>IF(AN185="","",COUNTIF(AN$11:AN$1010,"&gt;"&amp;AN185)+COUNTIF(AN$11:AN185,AN185))</f>
        <v/>
      </c>
      <c r="AP185" s="49">
        <f>IF(OR(A185="",B185=""),"",IF(COUNTIF(B$11:B185,B185)=1,MAX(AP$10:AP184)+1,""))</f>
        <v/>
      </c>
    </row>
    <row r="186" ht="24" customHeight="1">
      <c r="A186" s="20" t="n"/>
      <c r="B186" s="10" t="n"/>
      <c r="C186" s="10" t="n"/>
      <c r="D186" s="10" t="n"/>
      <c r="E186" s="10" t="n"/>
      <c r="F186" s="18" t="n"/>
      <c r="G186" s="10" t="n"/>
      <c r="H186" s="12" t="n"/>
      <c r="I186" s="12" t="n"/>
      <c r="J186" s="13">
        <f>IF(OR(A186="",COUNT(H186)=0,COUNT(Z186)=0),"",ROUND(Z186-H186,2))</f>
        <v/>
      </c>
      <c r="K186" s="15">
        <f>IF(COUNT(J186)=0,"",IF(Z186=0,"n.a.",J186/Z186))</f>
        <v/>
      </c>
      <c r="L186" s="14">
        <f>IF(OR(A186="",COUNT(H186)=0,COUNT(Y186)=0),"",ROUND(H186*(1+Y186),2))</f>
        <v/>
      </c>
      <c r="M186" s="10" t="n"/>
      <c r="N186" s="10" t="n"/>
      <c r="O186" s="10" t="n"/>
      <c r="P186" s="10" t="n"/>
      <c r="Q186" s="20" t="n"/>
      <c r="R186" s="10" t="n"/>
      <c r="S186" s="10" t="n"/>
      <c r="T186" s="18" t="n"/>
      <c r="U186" s="18" t="n"/>
      <c r="V186" s="10" t="n"/>
      <c r="W186" s="10" t="n"/>
      <c r="X186" s="19">
        <f>IF(OR(A186="",COUNT(U186)=0,COUNT(AI186)=0),"",U186+AI186)</f>
        <v/>
      </c>
      <c r="Y186" s="16" t="n"/>
      <c r="Z186" s="12" t="n"/>
      <c r="AA186" s="17">
        <f>IF(COUNT(J186)=0,"",IF(H186=0,"n.a.",J186/H186))</f>
        <v/>
      </c>
      <c r="AB186" s="12" t="n"/>
      <c r="AC186" s="12" t="n"/>
      <c r="AD186" s="12" t="n"/>
      <c r="AE186" s="13">
        <f>IF(OR(COUNT(J186)=0,COUNT(AB186:AD186)&lt;3),"",ROUND(J186-SUM(AB186:AD186),2))</f>
        <v/>
      </c>
      <c r="AF186" s="15">
        <f>IF(COUNT(AE186)=0,"",IF(Z186=0,"n.a.",AE186/Z186))</f>
        <v/>
      </c>
      <c r="AG186" s="12" t="n"/>
      <c r="AH186" s="14">
        <f>IF(OR(A186="",COUNT(Z186)=0,COUNT(AG186)=0),"",ROUND(Z186-AG186,2))</f>
        <v/>
      </c>
      <c r="AI186" s="21" t="n"/>
      <c r="AJ186" s="11">
        <f>IF(A186="","",IF(COUNT(I186)=0,"Enter approved NTE",IF(COUNT(Z186)&gt;0,IF(Z186&gt;I186,"Invoice exceeds NTE","Invoice within NTE"),IF(COUNT(L186)=0,"Enter quote inputs",IF(L186&gt;I186,"Quote exceeds NTE","Quote within NTE")))))</f>
        <v/>
      </c>
      <c r="AK186" s="11">
        <f>IF(A186="","",IF(COUNT(H186)=0,"Enter direct cost",IF(COUNT(Z186)=0,"Enter invoice revenue",IF(COUNT(AB186:AD186)&lt;3,"Enter expenses (0 if none)","Complete"))))</f>
        <v/>
      </c>
      <c r="AL186" s="11">
        <f>IF(A186="","",IF(NOT(AND(COUNT(AH186)=1,N(AH186)&gt;0.004,V186&lt;&gt;"Void",V186&lt;&gt;"Not invoiced",V186&lt;&gt;"Draft")),"",IF(COUNT(X186)=0,"No due date",IF(TODAY()-X186&lt;=0,"Not yet due",IF(TODAY()-X186&lt;=30,"1-30 days",IF(TODAY()-X186&lt;=60,"31-60 days",IF(TODAY()-X186&lt;=90,"61-90 days","Over 90 days")))))))</f>
        <v/>
      </c>
      <c r="AM186" s="49">
        <f>IF(OR(AL186="",AL186="No due date"),"",MAX(TODAY()-X186,0))</f>
        <v/>
      </c>
      <c r="AN186" s="49">
        <f>IF(AL186="","",IF(COUNT(X186)=0,-100000,TODAY()-X186))</f>
        <v/>
      </c>
      <c r="AO186" s="49">
        <f>IF(AN186="","",COUNTIF(AN$11:AN$1010,"&gt;"&amp;AN186)+COUNTIF(AN$11:AN186,AN186))</f>
        <v/>
      </c>
      <c r="AP186" s="49">
        <f>IF(OR(A186="",B186=""),"",IF(COUNTIF(B$11:B186,B186)=1,MAX(AP$10:AP185)+1,""))</f>
        <v/>
      </c>
    </row>
    <row r="187" ht="24" customHeight="1">
      <c r="A187" s="20" t="n"/>
      <c r="B187" s="10" t="n"/>
      <c r="C187" s="10" t="n"/>
      <c r="D187" s="10" t="n"/>
      <c r="E187" s="10" t="n"/>
      <c r="F187" s="18" t="n"/>
      <c r="G187" s="10" t="n"/>
      <c r="H187" s="12" t="n"/>
      <c r="I187" s="12" t="n"/>
      <c r="J187" s="13">
        <f>IF(OR(A187="",COUNT(H187)=0,COUNT(Z187)=0),"",ROUND(Z187-H187,2))</f>
        <v/>
      </c>
      <c r="K187" s="15">
        <f>IF(COUNT(J187)=0,"",IF(Z187=0,"n.a.",J187/Z187))</f>
        <v/>
      </c>
      <c r="L187" s="14">
        <f>IF(OR(A187="",COUNT(H187)=0,COUNT(Y187)=0),"",ROUND(H187*(1+Y187),2))</f>
        <v/>
      </c>
      <c r="M187" s="10" t="n"/>
      <c r="N187" s="10" t="n"/>
      <c r="O187" s="10" t="n"/>
      <c r="P187" s="10" t="n"/>
      <c r="Q187" s="20" t="n"/>
      <c r="R187" s="10" t="n"/>
      <c r="S187" s="10" t="n"/>
      <c r="T187" s="18" t="n"/>
      <c r="U187" s="18" t="n"/>
      <c r="V187" s="10" t="n"/>
      <c r="W187" s="10" t="n"/>
      <c r="X187" s="19">
        <f>IF(OR(A187="",COUNT(U187)=0,COUNT(AI187)=0),"",U187+AI187)</f>
        <v/>
      </c>
      <c r="Y187" s="16" t="n"/>
      <c r="Z187" s="12" t="n"/>
      <c r="AA187" s="17">
        <f>IF(COUNT(J187)=0,"",IF(H187=0,"n.a.",J187/H187))</f>
        <v/>
      </c>
      <c r="AB187" s="12" t="n"/>
      <c r="AC187" s="12" t="n"/>
      <c r="AD187" s="12" t="n"/>
      <c r="AE187" s="13">
        <f>IF(OR(COUNT(J187)=0,COUNT(AB187:AD187)&lt;3),"",ROUND(J187-SUM(AB187:AD187),2))</f>
        <v/>
      </c>
      <c r="AF187" s="15">
        <f>IF(COUNT(AE187)=0,"",IF(Z187=0,"n.a.",AE187/Z187))</f>
        <v/>
      </c>
      <c r="AG187" s="12" t="n"/>
      <c r="AH187" s="14">
        <f>IF(OR(A187="",COUNT(Z187)=0,COUNT(AG187)=0),"",ROUND(Z187-AG187,2))</f>
        <v/>
      </c>
      <c r="AI187" s="21" t="n"/>
      <c r="AJ187" s="11">
        <f>IF(A187="","",IF(COUNT(I187)=0,"Enter approved NTE",IF(COUNT(Z187)&gt;0,IF(Z187&gt;I187,"Invoice exceeds NTE","Invoice within NTE"),IF(COUNT(L187)=0,"Enter quote inputs",IF(L187&gt;I187,"Quote exceeds NTE","Quote within NTE")))))</f>
        <v/>
      </c>
      <c r="AK187" s="11">
        <f>IF(A187="","",IF(COUNT(H187)=0,"Enter direct cost",IF(COUNT(Z187)=0,"Enter invoice revenue",IF(COUNT(AB187:AD187)&lt;3,"Enter expenses (0 if none)","Complete"))))</f>
        <v/>
      </c>
      <c r="AL187" s="11">
        <f>IF(A187="","",IF(NOT(AND(COUNT(AH187)=1,N(AH187)&gt;0.004,V187&lt;&gt;"Void",V187&lt;&gt;"Not invoiced",V187&lt;&gt;"Draft")),"",IF(COUNT(X187)=0,"No due date",IF(TODAY()-X187&lt;=0,"Not yet due",IF(TODAY()-X187&lt;=30,"1-30 days",IF(TODAY()-X187&lt;=60,"31-60 days",IF(TODAY()-X187&lt;=90,"61-90 days","Over 90 days")))))))</f>
        <v/>
      </c>
      <c r="AM187" s="49">
        <f>IF(OR(AL187="",AL187="No due date"),"",MAX(TODAY()-X187,0))</f>
        <v/>
      </c>
      <c r="AN187" s="49">
        <f>IF(AL187="","",IF(COUNT(X187)=0,-100000,TODAY()-X187))</f>
        <v/>
      </c>
      <c r="AO187" s="49">
        <f>IF(AN187="","",COUNTIF(AN$11:AN$1010,"&gt;"&amp;AN187)+COUNTIF(AN$11:AN187,AN187))</f>
        <v/>
      </c>
      <c r="AP187" s="49">
        <f>IF(OR(A187="",B187=""),"",IF(COUNTIF(B$11:B187,B187)=1,MAX(AP$10:AP186)+1,""))</f>
        <v/>
      </c>
    </row>
    <row r="188" ht="24" customHeight="1">
      <c r="A188" s="20" t="n"/>
      <c r="B188" s="10" t="n"/>
      <c r="C188" s="10" t="n"/>
      <c r="D188" s="10" t="n"/>
      <c r="E188" s="10" t="n"/>
      <c r="F188" s="18" t="n"/>
      <c r="G188" s="10" t="n"/>
      <c r="H188" s="12" t="n"/>
      <c r="I188" s="12" t="n"/>
      <c r="J188" s="13">
        <f>IF(OR(A188="",COUNT(H188)=0,COUNT(Z188)=0),"",ROUND(Z188-H188,2))</f>
        <v/>
      </c>
      <c r="K188" s="15">
        <f>IF(COUNT(J188)=0,"",IF(Z188=0,"n.a.",J188/Z188))</f>
        <v/>
      </c>
      <c r="L188" s="14">
        <f>IF(OR(A188="",COUNT(H188)=0,COUNT(Y188)=0),"",ROUND(H188*(1+Y188),2))</f>
        <v/>
      </c>
      <c r="M188" s="10" t="n"/>
      <c r="N188" s="10" t="n"/>
      <c r="O188" s="10" t="n"/>
      <c r="P188" s="10" t="n"/>
      <c r="Q188" s="20" t="n"/>
      <c r="R188" s="10" t="n"/>
      <c r="S188" s="10" t="n"/>
      <c r="T188" s="18" t="n"/>
      <c r="U188" s="18" t="n"/>
      <c r="V188" s="10" t="n"/>
      <c r="W188" s="10" t="n"/>
      <c r="X188" s="19">
        <f>IF(OR(A188="",COUNT(U188)=0,COUNT(AI188)=0),"",U188+AI188)</f>
        <v/>
      </c>
      <c r="Y188" s="16" t="n"/>
      <c r="Z188" s="12" t="n"/>
      <c r="AA188" s="17">
        <f>IF(COUNT(J188)=0,"",IF(H188=0,"n.a.",J188/H188))</f>
        <v/>
      </c>
      <c r="AB188" s="12" t="n"/>
      <c r="AC188" s="12" t="n"/>
      <c r="AD188" s="12" t="n"/>
      <c r="AE188" s="13">
        <f>IF(OR(COUNT(J188)=0,COUNT(AB188:AD188)&lt;3),"",ROUND(J188-SUM(AB188:AD188),2))</f>
        <v/>
      </c>
      <c r="AF188" s="15">
        <f>IF(COUNT(AE188)=0,"",IF(Z188=0,"n.a.",AE188/Z188))</f>
        <v/>
      </c>
      <c r="AG188" s="12" t="n"/>
      <c r="AH188" s="14">
        <f>IF(OR(A188="",COUNT(Z188)=0,COUNT(AG188)=0),"",ROUND(Z188-AG188,2))</f>
        <v/>
      </c>
      <c r="AI188" s="21" t="n"/>
      <c r="AJ188" s="11">
        <f>IF(A188="","",IF(COUNT(I188)=0,"Enter approved NTE",IF(COUNT(Z188)&gt;0,IF(Z188&gt;I188,"Invoice exceeds NTE","Invoice within NTE"),IF(COUNT(L188)=0,"Enter quote inputs",IF(L188&gt;I188,"Quote exceeds NTE","Quote within NTE")))))</f>
        <v/>
      </c>
      <c r="AK188" s="11">
        <f>IF(A188="","",IF(COUNT(H188)=0,"Enter direct cost",IF(COUNT(Z188)=0,"Enter invoice revenue",IF(COUNT(AB188:AD188)&lt;3,"Enter expenses (0 if none)","Complete"))))</f>
        <v/>
      </c>
      <c r="AL188" s="11">
        <f>IF(A188="","",IF(NOT(AND(COUNT(AH188)=1,N(AH188)&gt;0.004,V188&lt;&gt;"Void",V188&lt;&gt;"Not invoiced",V188&lt;&gt;"Draft")),"",IF(COUNT(X188)=0,"No due date",IF(TODAY()-X188&lt;=0,"Not yet due",IF(TODAY()-X188&lt;=30,"1-30 days",IF(TODAY()-X188&lt;=60,"31-60 days",IF(TODAY()-X188&lt;=90,"61-90 days","Over 90 days")))))))</f>
        <v/>
      </c>
      <c r="AM188" s="49">
        <f>IF(OR(AL188="",AL188="No due date"),"",MAX(TODAY()-X188,0))</f>
        <v/>
      </c>
      <c r="AN188" s="49">
        <f>IF(AL188="","",IF(COUNT(X188)=0,-100000,TODAY()-X188))</f>
        <v/>
      </c>
      <c r="AO188" s="49">
        <f>IF(AN188="","",COUNTIF(AN$11:AN$1010,"&gt;"&amp;AN188)+COUNTIF(AN$11:AN188,AN188))</f>
        <v/>
      </c>
      <c r="AP188" s="49">
        <f>IF(OR(A188="",B188=""),"",IF(COUNTIF(B$11:B188,B188)=1,MAX(AP$10:AP187)+1,""))</f>
        <v/>
      </c>
    </row>
    <row r="189" ht="24" customHeight="1">
      <c r="A189" s="20" t="n"/>
      <c r="B189" s="10" t="n"/>
      <c r="C189" s="10" t="n"/>
      <c r="D189" s="10" t="n"/>
      <c r="E189" s="10" t="n"/>
      <c r="F189" s="18" t="n"/>
      <c r="G189" s="10" t="n"/>
      <c r="H189" s="12" t="n"/>
      <c r="I189" s="12" t="n"/>
      <c r="J189" s="13">
        <f>IF(OR(A189="",COUNT(H189)=0,COUNT(Z189)=0),"",ROUND(Z189-H189,2))</f>
        <v/>
      </c>
      <c r="K189" s="15">
        <f>IF(COUNT(J189)=0,"",IF(Z189=0,"n.a.",J189/Z189))</f>
        <v/>
      </c>
      <c r="L189" s="14">
        <f>IF(OR(A189="",COUNT(H189)=0,COUNT(Y189)=0),"",ROUND(H189*(1+Y189),2))</f>
        <v/>
      </c>
      <c r="M189" s="10" t="n"/>
      <c r="N189" s="10" t="n"/>
      <c r="O189" s="10" t="n"/>
      <c r="P189" s="10" t="n"/>
      <c r="Q189" s="20" t="n"/>
      <c r="R189" s="10" t="n"/>
      <c r="S189" s="10" t="n"/>
      <c r="T189" s="18" t="n"/>
      <c r="U189" s="18" t="n"/>
      <c r="V189" s="10" t="n"/>
      <c r="W189" s="10" t="n"/>
      <c r="X189" s="19">
        <f>IF(OR(A189="",COUNT(U189)=0,COUNT(AI189)=0),"",U189+AI189)</f>
        <v/>
      </c>
      <c r="Y189" s="16" t="n"/>
      <c r="Z189" s="12" t="n"/>
      <c r="AA189" s="17">
        <f>IF(COUNT(J189)=0,"",IF(H189=0,"n.a.",J189/H189))</f>
        <v/>
      </c>
      <c r="AB189" s="12" t="n"/>
      <c r="AC189" s="12" t="n"/>
      <c r="AD189" s="12" t="n"/>
      <c r="AE189" s="13">
        <f>IF(OR(COUNT(J189)=0,COUNT(AB189:AD189)&lt;3),"",ROUND(J189-SUM(AB189:AD189),2))</f>
        <v/>
      </c>
      <c r="AF189" s="15">
        <f>IF(COUNT(AE189)=0,"",IF(Z189=0,"n.a.",AE189/Z189))</f>
        <v/>
      </c>
      <c r="AG189" s="12" t="n"/>
      <c r="AH189" s="14">
        <f>IF(OR(A189="",COUNT(Z189)=0,COUNT(AG189)=0),"",ROUND(Z189-AG189,2))</f>
        <v/>
      </c>
      <c r="AI189" s="21" t="n"/>
      <c r="AJ189" s="11">
        <f>IF(A189="","",IF(COUNT(I189)=0,"Enter approved NTE",IF(COUNT(Z189)&gt;0,IF(Z189&gt;I189,"Invoice exceeds NTE","Invoice within NTE"),IF(COUNT(L189)=0,"Enter quote inputs",IF(L189&gt;I189,"Quote exceeds NTE","Quote within NTE")))))</f>
        <v/>
      </c>
      <c r="AK189" s="11">
        <f>IF(A189="","",IF(COUNT(H189)=0,"Enter direct cost",IF(COUNT(Z189)=0,"Enter invoice revenue",IF(COUNT(AB189:AD189)&lt;3,"Enter expenses (0 if none)","Complete"))))</f>
        <v/>
      </c>
      <c r="AL189" s="11">
        <f>IF(A189="","",IF(NOT(AND(COUNT(AH189)=1,N(AH189)&gt;0.004,V189&lt;&gt;"Void",V189&lt;&gt;"Not invoiced",V189&lt;&gt;"Draft")),"",IF(COUNT(X189)=0,"No due date",IF(TODAY()-X189&lt;=0,"Not yet due",IF(TODAY()-X189&lt;=30,"1-30 days",IF(TODAY()-X189&lt;=60,"31-60 days",IF(TODAY()-X189&lt;=90,"61-90 days","Over 90 days")))))))</f>
        <v/>
      </c>
      <c r="AM189" s="49">
        <f>IF(OR(AL189="",AL189="No due date"),"",MAX(TODAY()-X189,0))</f>
        <v/>
      </c>
      <c r="AN189" s="49">
        <f>IF(AL189="","",IF(COUNT(X189)=0,-100000,TODAY()-X189))</f>
        <v/>
      </c>
      <c r="AO189" s="49">
        <f>IF(AN189="","",COUNTIF(AN$11:AN$1010,"&gt;"&amp;AN189)+COUNTIF(AN$11:AN189,AN189))</f>
        <v/>
      </c>
      <c r="AP189" s="49">
        <f>IF(OR(A189="",B189=""),"",IF(COUNTIF(B$11:B189,B189)=1,MAX(AP$10:AP188)+1,""))</f>
        <v/>
      </c>
    </row>
    <row r="190" ht="24" customHeight="1">
      <c r="A190" s="20" t="n"/>
      <c r="B190" s="10" t="n"/>
      <c r="C190" s="10" t="n"/>
      <c r="D190" s="10" t="n"/>
      <c r="E190" s="10" t="n"/>
      <c r="F190" s="18" t="n"/>
      <c r="G190" s="10" t="n"/>
      <c r="H190" s="12" t="n"/>
      <c r="I190" s="12" t="n"/>
      <c r="J190" s="13">
        <f>IF(OR(A190="",COUNT(H190)=0,COUNT(Z190)=0),"",ROUND(Z190-H190,2))</f>
        <v/>
      </c>
      <c r="K190" s="15">
        <f>IF(COUNT(J190)=0,"",IF(Z190=0,"n.a.",J190/Z190))</f>
        <v/>
      </c>
      <c r="L190" s="14">
        <f>IF(OR(A190="",COUNT(H190)=0,COUNT(Y190)=0),"",ROUND(H190*(1+Y190),2))</f>
        <v/>
      </c>
      <c r="M190" s="10" t="n"/>
      <c r="N190" s="10" t="n"/>
      <c r="O190" s="10" t="n"/>
      <c r="P190" s="10" t="n"/>
      <c r="Q190" s="20" t="n"/>
      <c r="R190" s="10" t="n"/>
      <c r="S190" s="10" t="n"/>
      <c r="T190" s="18" t="n"/>
      <c r="U190" s="18" t="n"/>
      <c r="V190" s="10" t="n"/>
      <c r="W190" s="10" t="n"/>
      <c r="X190" s="19">
        <f>IF(OR(A190="",COUNT(U190)=0,COUNT(AI190)=0),"",U190+AI190)</f>
        <v/>
      </c>
      <c r="Y190" s="16" t="n"/>
      <c r="Z190" s="12" t="n"/>
      <c r="AA190" s="17">
        <f>IF(COUNT(J190)=0,"",IF(H190=0,"n.a.",J190/H190))</f>
        <v/>
      </c>
      <c r="AB190" s="12" t="n"/>
      <c r="AC190" s="12" t="n"/>
      <c r="AD190" s="12" t="n"/>
      <c r="AE190" s="13">
        <f>IF(OR(COUNT(J190)=0,COUNT(AB190:AD190)&lt;3),"",ROUND(J190-SUM(AB190:AD190),2))</f>
        <v/>
      </c>
      <c r="AF190" s="15">
        <f>IF(COUNT(AE190)=0,"",IF(Z190=0,"n.a.",AE190/Z190))</f>
        <v/>
      </c>
      <c r="AG190" s="12" t="n"/>
      <c r="AH190" s="14">
        <f>IF(OR(A190="",COUNT(Z190)=0,COUNT(AG190)=0),"",ROUND(Z190-AG190,2))</f>
        <v/>
      </c>
      <c r="AI190" s="21" t="n"/>
      <c r="AJ190" s="11">
        <f>IF(A190="","",IF(COUNT(I190)=0,"Enter approved NTE",IF(COUNT(Z190)&gt;0,IF(Z190&gt;I190,"Invoice exceeds NTE","Invoice within NTE"),IF(COUNT(L190)=0,"Enter quote inputs",IF(L190&gt;I190,"Quote exceeds NTE","Quote within NTE")))))</f>
        <v/>
      </c>
      <c r="AK190" s="11">
        <f>IF(A190="","",IF(COUNT(H190)=0,"Enter direct cost",IF(COUNT(Z190)=0,"Enter invoice revenue",IF(COUNT(AB190:AD190)&lt;3,"Enter expenses (0 if none)","Complete"))))</f>
        <v/>
      </c>
      <c r="AL190" s="11">
        <f>IF(A190="","",IF(NOT(AND(COUNT(AH190)=1,N(AH190)&gt;0.004,V190&lt;&gt;"Void",V190&lt;&gt;"Not invoiced",V190&lt;&gt;"Draft")),"",IF(COUNT(X190)=0,"No due date",IF(TODAY()-X190&lt;=0,"Not yet due",IF(TODAY()-X190&lt;=30,"1-30 days",IF(TODAY()-X190&lt;=60,"31-60 days",IF(TODAY()-X190&lt;=90,"61-90 days","Over 90 days")))))))</f>
        <v/>
      </c>
      <c r="AM190" s="49">
        <f>IF(OR(AL190="",AL190="No due date"),"",MAX(TODAY()-X190,0))</f>
        <v/>
      </c>
      <c r="AN190" s="49">
        <f>IF(AL190="","",IF(COUNT(X190)=0,-100000,TODAY()-X190))</f>
        <v/>
      </c>
      <c r="AO190" s="49">
        <f>IF(AN190="","",COUNTIF(AN$11:AN$1010,"&gt;"&amp;AN190)+COUNTIF(AN$11:AN190,AN190))</f>
        <v/>
      </c>
      <c r="AP190" s="49">
        <f>IF(OR(A190="",B190=""),"",IF(COUNTIF(B$11:B190,B190)=1,MAX(AP$10:AP189)+1,""))</f>
        <v/>
      </c>
    </row>
    <row r="191" ht="24" customHeight="1">
      <c r="A191" s="20" t="n"/>
      <c r="B191" s="10" t="n"/>
      <c r="C191" s="10" t="n"/>
      <c r="D191" s="10" t="n"/>
      <c r="E191" s="10" t="n"/>
      <c r="F191" s="18" t="n"/>
      <c r="G191" s="10" t="n"/>
      <c r="H191" s="12" t="n"/>
      <c r="I191" s="12" t="n"/>
      <c r="J191" s="13">
        <f>IF(OR(A191="",COUNT(H191)=0,COUNT(Z191)=0),"",ROUND(Z191-H191,2))</f>
        <v/>
      </c>
      <c r="K191" s="15">
        <f>IF(COUNT(J191)=0,"",IF(Z191=0,"n.a.",J191/Z191))</f>
        <v/>
      </c>
      <c r="L191" s="14">
        <f>IF(OR(A191="",COUNT(H191)=0,COUNT(Y191)=0),"",ROUND(H191*(1+Y191),2))</f>
        <v/>
      </c>
      <c r="M191" s="10" t="n"/>
      <c r="N191" s="10" t="n"/>
      <c r="O191" s="10" t="n"/>
      <c r="P191" s="10" t="n"/>
      <c r="Q191" s="20" t="n"/>
      <c r="R191" s="10" t="n"/>
      <c r="S191" s="10" t="n"/>
      <c r="T191" s="18" t="n"/>
      <c r="U191" s="18" t="n"/>
      <c r="V191" s="10" t="n"/>
      <c r="W191" s="10" t="n"/>
      <c r="X191" s="19">
        <f>IF(OR(A191="",COUNT(U191)=0,COUNT(AI191)=0),"",U191+AI191)</f>
        <v/>
      </c>
      <c r="Y191" s="16" t="n"/>
      <c r="Z191" s="12" t="n"/>
      <c r="AA191" s="17">
        <f>IF(COUNT(J191)=0,"",IF(H191=0,"n.a.",J191/H191))</f>
        <v/>
      </c>
      <c r="AB191" s="12" t="n"/>
      <c r="AC191" s="12" t="n"/>
      <c r="AD191" s="12" t="n"/>
      <c r="AE191" s="13">
        <f>IF(OR(COUNT(J191)=0,COUNT(AB191:AD191)&lt;3),"",ROUND(J191-SUM(AB191:AD191),2))</f>
        <v/>
      </c>
      <c r="AF191" s="15">
        <f>IF(COUNT(AE191)=0,"",IF(Z191=0,"n.a.",AE191/Z191))</f>
        <v/>
      </c>
      <c r="AG191" s="12" t="n"/>
      <c r="AH191" s="14">
        <f>IF(OR(A191="",COUNT(Z191)=0,COUNT(AG191)=0),"",ROUND(Z191-AG191,2))</f>
        <v/>
      </c>
      <c r="AI191" s="21" t="n"/>
      <c r="AJ191" s="11">
        <f>IF(A191="","",IF(COUNT(I191)=0,"Enter approved NTE",IF(COUNT(Z191)&gt;0,IF(Z191&gt;I191,"Invoice exceeds NTE","Invoice within NTE"),IF(COUNT(L191)=0,"Enter quote inputs",IF(L191&gt;I191,"Quote exceeds NTE","Quote within NTE")))))</f>
        <v/>
      </c>
      <c r="AK191" s="11">
        <f>IF(A191="","",IF(COUNT(H191)=0,"Enter direct cost",IF(COUNT(Z191)=0,"Enter invoice revenue",IF(COUNT(AB191:AD191)&lt;3,"Enter expenses (0 if none)","Complete"))))</f>
        <v/>
      </c>
      <c r="AL191" s="11">
        <f>IF(A191="","",IF(NOT(AND(COUNT(AH191)=1,N(AH191)&gt;0.004,V191&lt;&gt;"Void",V191&lt;&gt;"Not invoiced",V191&lt;&gt;"Draft")),"",IF(COUNT(X191)=0,"No due date",IF(TODAY()-X191&lt;=0,"Not yet due",IF(TODAY()-X191&lt;=30,"1-30 days",IF(TODAY()-X191&lt;=60,"31-60 days",IF(TODAY()-X191&lt;=90,"61-90 days","Over 90 days")))))))</f>
        <v/>
      </c>
      <c r="AM191" s="49">
        <f>IF(OR(AL191="",AL191="No due date"),"",MAX(TODAY()-X191,0))</f>
        <v/>
      </c>
      <c r="AN191" s="49">
        <f>IF(AL191="","",IF(COUNT(X191)=0,-100000,TODAY()-X191))</f>
        <v/>
      </c>
      <c r="AO191" s="49">
        <f>IF(AN191="","",COUNTIF(AN$11:AN$1010,"&gt;"&amp;AN191)+COUNTIF(AN$11:AN191,AN191))</f>
        <v/>
      </c>
      <c r="AP191" s="49">
        <f>IF(OR(A191="",B191=""),"",IF(COUNTIF(B$11:B191,B191)=1,MAX(AP$10:AP190)+1,""))</f>
        <v/>
      </c>
    </row>
    <row r="192" ht="24" customHeight="1">
      <c r="A192" s="20" t="n"/>
      <c r="B192" s="10" t="n"/>
      <c r="C192" s="10" t="n"/>
      <c r="D192" s="10" t="n"/>
      <c r="E192" s="10" t="n"/>
      <c r="F192" s="18" t="n"/>
      <c r="G192" s="10" t="n"/>
      <c r="H192" s="12" t="n"/>
      <c r="I192" s="12" t="n"/>
      <c r="J192" s="13">
        <f>IF(OR(A192="",COUNT(H192)=0,COUNT(Z192)=0),"",ROUND(Z192-H192,2))</f>
        <v/>
      </c>
      <c r="K192" s="15">
        <f>IF(COUNT(J192)=0,"",IF(Z192=0,"n.a.",J192/Z192))</f>
        <v/>
      </c>
      <c r="L192" s="14">
        <f>IF(OR(A192="",COUNT(H192)=0,COUNT(Y192)=0),"",ROUND(H192*(1+Y192),2))</f>
        <v/>
      </c>
      <c r="M192" s="10" t="n"/>
      <c r="N192" s="10" t="n"/>
      <c r="O192" s="10" t="n"/>
      <c r="P192" s="10" t="n"/>
      <c r="Q192" s="20" t="n"/>
      <c r="R192" s="10" t="n"/>
      <c r="S192" s="10" t="n"/>
      <c r="T192" s="18" t="n"/>
      <c r="U192" s="18" t="n"/>
      <c r="V192" s="10" t="n"/>
      <c r="W192" s="10" t="n"/>
      <c r="X192" s="19">
        <f>IF(OR(A192="",COUNT(U192)=0,COUNT(AI192)=0),"",U192+AI192)</f>
        <v/>
      </c>
      <c r="Y192" s="16" t="n"/>
      <c r="Z192" s="12" t="n"/>
      <c r="AA192" s="17">
        <f>IF(COUNT(J192)=0,"",IF(H192=0,"n.a.",J192/H192))</f>
        <v/>
      </c>
      <c r="AB192" s="12" t="n"/>
      <c r="AC192" s="12" t="n"/>
      <c r="AD192" s="12" t="n"/>
      <c r="AE192" s="13">
        <f>IF(OR(COUNT(J192)=0,COUNT(AB192:AD192)&lt;3),"",ROUND(J192-SUM(AB192:AD192),2))</f>
        <v/>
      </c>
      <c r="AF192" s="15">
        <f>IF(COUNT(AE192)=0,"",IF(Z192=0,"n.a.",AE192/Z192))</f>
        <v/>
      </c>
      <c r="AG192" s="12" t="n"/>
      <c r="AH192" s="14">
        <f>IF(OR(A192="",COUNT(Z192)=0,COUNT(AG192)=0),"",ROUND(Z192-AG192,2))</f>
        <v/>
      </c>
      <c r="AI192" s="21" t="n"/>
      <c r="AJ192" s="11">
        <f>IF(A192="","",IF(COUNT(I192)=0,"Enter approved NTE",IF(COUNT(Z192)&gt;0,IF(Z192&gt;I192,"Invoice exceeds NTE","Invoice within NTE"),IF(COUNT(L192)=0,"Enter quote inputs",IF(L192&gt;I192,"Quote exceeds NTE","Quote within NTE")))))</f>
        <v/>
      </c>
      <c r="AK192" s="11">
        <f>IF(A192="","",IF(COUNT(H192)=0,"Enter direct cost",IF(COUNT(Z192)=0,"Enter invoice revenue",IF(COUNT(AB192:AD192)&lt;3,"Enter expenses (0 if none)","Complete"))))</f>
        <v/>
      </c>
      <c r="AL192" s="11">
        <f>IF(A192="","",IF(NOT(AND(COUNT(AH192)=1,N(AH192)&gt;0.004,V192&lt;&gt;"Void",V192&lt;&gt;"Not invoiced",V192&lt;&gt;"Draft")),"",IF(COUNT(X192)=0,"No due date",IF(TODAY()-X192&lt;=0,"Not yet due",IF(TODAY()-X192&lt;=30,"1-30 days",IF(TODAY()-X192&lt;=60,"31-60 days",IF(TODAY()-X192&lt;=90,"61-90 days","Over 90 days")))))))</f>
        <v/>
      </c>
      <c r="AM192" s="49">
        <f>IF(OR(AL192="",AL192="No due date"),"",MAX(TODAY()-X192,0))</f>
        <v/>
      </c>
      <c r="AN192" s="49">
        <f>IF(AL192="","",IF(COUNT(X192)=0,-100000,TODAY()-X192))</f>
        <v/>
      </c>
      <c r="AO192" s="49">
        <f>IF(AN192="","",COUNTIF(AN$11:AN$1010,"&gt;"&amp;AN192)+COUNTIF(AN$11:AN192,AN192))</f>
        <v/>
      </c>
      <c r="AP192" s="49">
        <f>IF(OR(A192="",B192=""),"",IF(COUNTIF(B$11:B192,B192)=1,MAX(AP$10:AP191)+1,""))</f>
        <v/>
      </c>
    </row>
    <row r="193" ht="24" customHeight="1">
      <c r="A193" s="20" t="n"/>
      <c r="B193" s="10" t="n"/>
      <c r="C193" s="10" t="n"/>
      <c r="D193" s="10" t="n"/>
      <c r="E193" s="10" t="n"/>
      <c r="F193" s="18" t="n"/>
      <c r="G193" s="10" t="n"/>
      <c r="H193" s="12" t="n"/>
      <c r="I193" s="12" t="n"/>
      <c r="J193" s="13">
        <f>IF(OR(A193="",COUNT(H193)=0,COUNT(Z193)=0),"",ROUND(Z193-H193,2))</f>
        <v/>
      </c>
      <c r="K193" s="15">
        <f>IF(COUNT(J193)=0,"",IF(Z193=0,"n.a.",J193/Z193))</f>
        <v/>
      </c>
      <c r="L193" s="14">
        <f>IF(OR(A193="",COUNT(H193)=0,COUNT(Y193)=0),"",ROUND(H193*(1+Y193),2))</f>
        <v/>
      </c>
      <c r="M193" s="10" t="n"/>
      <c r="N193" s="10" t="n"/>
      <c r="O193" s="10" t="n"/>
      <c r="P193" s="10" t="n"/>
      <c r="Q193" s="20" t="n"/>
      <c r="R193" s="10" t="n"/>
      <c r="S193" s="10" t="n"/>
      <c r="T193" s="18" t="n"/>
      <c r="U193" s="18" t="n"/>
      <c r="V193" s="10" t="n"/>
      <c r="W193" s="10" t="n"/>
      <c r="X193" s="19">
        <f>IF(OR(A193="",COUNT(U193)=0,COUNT(AI193)=0),"",U193+AI193)</f>
        <v/>
      </c>
      <c r="Y193" s="16" t="n"/>
      <c r="Z193" s="12" t="n"/>
      <c r="AA193" s="17">
        <f>IF(COUNT(J193)=0,"",IF(H193=0,"n.a.",J193/H193))</f>
        <v/>
      </c>
      <c r="AB193" s="12" t="n"/>
      <c r="AC193" s="12" t="n"/>
      <c r="AD193" s="12" t="n"/>
      <c r="AE193" s="13">
        <f>IF(OR(COUNT(J193)=0,COUNT(AB193:AD193)&lt;3),"",ROUND(J193-SUM(AB193:AD193),2))</f>
        <v/>
      </c>
      <c r="AF193" s="15">
        <f>IF(COUNT(AE193)=0,"",IF(Z193=0,"n.a.",AE193/Z193))</f>
        <v/>
      </c>
      <c r="AG193" s="12" t="n"/>
      <c r="AH193" s="14">
        <f>IF(OR(A193="",COUNT(Z193)=0,COUNT(AG193)=0),"",ROUND(Z193-AG193,2))</f>
        <v/>
      </c>
      <c r="AI193" s="21" t="n"/>
      <c r="AJ193" s="11">
        <f>IF(A193="","",IF(COUNT(I193)=0,"Enter approved NTE",IF(COUNT(Z193)&gt;0,IF(Z193&gt;I193,"Invoice exceeds NTE","Invoice within NTE"),IF(COUNT(L193)=0,"Enter quote inputs",IF(L193&gt;I193,"Quote exceeds NTE","Quote within NTE")))))</f>
        <v/>
      </c>
      <c r="AK193" s="11">
        <f>IF(A193="","",IF(COUNT(H193)=0,"Enter direct cost",IF(COUNT(Z193)=0,"Enter invoice revenue",IF(COUNT(AB193:AD193)&lt;3,"Enter expenses (0 if none)","Complete"))))</f>
        <v/>
      </c>
      <c r="AL193" s="11">
        <f>IF(A193="","",IF(NOT(AND(COUNT(AH193)=1,N(AH193)&gt;0.004,V193&lt;&gt;"Void",V193&lt;&gt;"Not invoiced",V193&lt;&gt;"Draft")),"",IF(COUNT(X193)=0,"No due date",IF(TODAY()-X193&lt;=0,"Not yet due",IF(TODAY()-X193&lt;=30,"1-30 days",IF(TODAY()-X193&lt;=60,"31-60 days",IF(TODAY()-X193&lt;=90,"61-90 days","Over 90 days")))))))</f>
        <v/>
      </c>
      <c r="AM193" s="49">
        <f>IF(OR(AL193="",AL193="No due date"),"",MAX(TODAY()-X193,0))</f>
        <v/>
      </c>
      <c r="AN193" s="49">
        <f>IF(AL193="","",IF(COUNT(X193)=0,-100000,TODAY()-X193))</f>
        <v/>
      </c>
      <c r="AO193" s="49">
        <f>IF(AN193="","",COUNTIF(AN$11:AN$1010,"&gt;"&amp;AN193)+COUNTIF(AN$11:AN193,AN193))</f>
        <v/>
      </c>
      <c r="AP193" s="49">
        <f>IF(OR(A193="",B193=""),"",IF(COUNTIF(B$11:B193,B193)=1,MAX(AP$10:AP192)+1,""))</f>
        <v/>
      </c>
    </row>
    <row r="194" ht="24" customHeight="1">
      <c r="A194" s="20" t="n"/>
      <c r="B194" s="10" t="n"/>
      <c r="C194" s="10" t="n"/>
      <c r="D194" s="10" t="n"/>
      <c r="E194" s="10" t="n"/>
      <c r="F194" s="18" t="n"/>
      <c r="G194" s="10" t="n"/>
      <c r="H194" s="12" t="n"/>
      <c r="I194" s="12" t="n"/>
      <c r="J194" s="13">
        <f>IF(OR(A194="",COUNT(H194)=0,COUNT(Z194)=0),"",ROUND(Z194-H194,2))</f>
        <v/>
      </c>
      <c r="K194" s="15">
        <f>IF(COUNT(J194)=0,"",IF(Z194=0,"n.a.",J194/Z194))</f>
        <v/>
      </c>
      <c r="L194" s="14">
        <f>IF(OR(A194="",COUNT(H194)=0,COUNT(Y194)=0),"",ROUND(H194*(1+Y194),2))</f>
        <v/>
      </c>
      <c r="M194" s="10" t="n"/>
      <c r="N194" s="10" t="n"/>
      <c r="O194" s="10" t="n"/>
      <c r="P194" s="10" t="n"/>
      <c r="Q194" s="20" t="n"/>
      <c r="R194" s="10" t="n"/>
      <c r="S194" s="10" t="n"/>
      <c r="T194" s="18" t="n"/>
      <c r="U194" s="18" t="n"/>
      <c r="V194" s="10" t="n"/>
      <c r="W194" s="10" t="n"/>
      <c r="X194" s="19">
        <f>IF(OR(A194="",COUNT(U194)=0,COUNT(AI194)=0),"",U194+AI194)</f>
        <v/>
      </c>
      <c r="Y194" s="16" t="n"/>
      <c r="Z194" s="12" t="n"/>
      <c r="AA194" s="17">
        <f>IF(COUNT(J194)=0,"",IF(H194=0,"n.a.",J194/H194))</f>
        <v/>
      </c>
      <c r="AB194" s="12" t="n"/>
      <c r="AC194" s="12" t="n"/>
      <c r="AD194" s="12" t="n"/>
      <c r="AE194" s="13">
        <f>IF(OR(COUNT(J194)=0,COUNT(AB194:AD194)&lt;3),"",ROUND(J194-SUM(AB194:AD194),2))</f>
        <v/>
      </c>
      <c r="AF194" s="15">
        <f>IF(COUNT(AE194)=0,"",IF(Z194=0,"n.a.",AE194/Z194))</f>
        <v/>
      </c>
      <c r="AG194" s="12" t="n"/>
      <c r="AH194" s="14">
        <f>IF(OR(A194="",COUNT(Z194)=0,COUNT(AG194)=0),"",ROUND(Z194-AG194,2))</f>
        <v/>
      </c>
      <c r="AI194" s="21" t="n"/>
      <c r="AJ194" s="11">
        <f>IF(A194="","",IF(COUNT(I194)=0,"Enter approved NTE",IF(COUNT(Z194)&gt;0,IF(Z194&gt;I194,"Invoice exceeds NTE","Invoice within NTE"),IF(COUNT(L194)=0,"Enter quote inputs",IF(L194&gt;I194,"Quote exceeds NTE","Quote within NTE")))))</f>
        <v/>
      </c>
      <c r="AK194" s="11">
        <f>IF(A194="","",IF(COUNT(H194)=0,"Enter direct cost",IF(COUNT(Z194)=0,"Enter invoice revenue",IF(COUNT(AB194:AD194)&lt;3,"Enter expenses (0 if none)","Complete"))))</f>
        <v/>
      </c>
      <c r="AL194" s="11">
        <f>IF(A194="","",IF(NOT(AND(COUNT(AH194)=1,N(AH194)&gt;0.004,V194&lt;&gt;"Void",V194&lt;&gt;"Not invoiced",V194&lt;&gt;"Draft")),"",IF(COUNT(X194)=0,"No due date",IF(TODAY()-X194&lt;=0,"Not yet due",IF(TODAY()-X194&lt;=30,"1-30 days",IF(TODAY()-X194&lt;=60,"31-60 days",IF(TODAY()-X194&lt;=90,"61-90 days","Over 90 days")))))))</f>
        <v/>
      </c>
      <c r="AM194" s="49">
        <f>IF(OR(AL194="",AL194="No due date"),"",MAX(TODAY()-X194,0))</f>
        <v/>
      </c>
      <c r="AN194" s="49">
        <f>IF(AL194="","",IF(COUNT(X194)=0,-100000,TODAY()-X194))</f>
        <v/>
      </c>
      <c r="AO194" s="49">
        <f>IF(AN194="","",COUNTIF(AN$11:AN$1010,"&gt;"&amp;AN194)+COUNTIF(AN$11:AN194,AN194))</f>
        <v/>
      </c>
      <c r="AP194" s="49">
        <f>IF(OR(A194="",B194=""),"",IF(COUNTIF(B$11:B194,B194)=1,MAX(AP$10:AP193)+1,""))</f>
        <v/>
      </c>
    </row>
    <row r="195" ht="24" customHeight="1">
      <c r="A195" s="20" t="n"/>
      <c r="B195" s="10" t="n"/>
      <c r="C195" s="10" t="n"/>
      <c r="D195" s="10" t="n"/>
      <c r="E195" s="10" t="n"/>
      <c r="F195" s="18" t="n"/>
      <c r="G195" s="10" t="n"/>
      <c r="H195" s="12" t="n"/>
      <c r="I195" s="12" t="n"/>
      <c r="J195" s="13">
        <f>IF(OR(A195="",COUNT(H195)=0,COUNT(Z195)=0),"",ROUND(Z195-H195,2))</f>
        <v/>
      </c>
      <c r="K195" s="15">
        <f>IF(COUNT(J195)=0,"",IF(Z195=0,"n.a.",J195/Z195))</f>
        <v/>
      </c>
      <c r="L195" s="14">
        <f>IF(OR(A195="",COUNT(H195)=0,COUNT(Y195)=0),"",ROUND(H195*(1+Y195),2))</f>
        <v/>
      </c>
      <c r="M195" s="10" t="n"/>
      <c r="N195" s="10" t="n"/>
      <c r="O195" s="10" t="n"/>
      <c r="P195" s="10" t="n"/>
      <c r="Q195" s="20" t="n"/>
      <c r="R195" s="10" t="n"/>
      <c r="S195" s="10" t="n"/>
      <c r="T195" s="18" t="n"/>
      <c r="U195" s="18" t="n"/>
      <c r="V195" s="10" t="n"/>
      <c r="W195" s="10" t="n"/>
      <c r="X195" s="19">
        <f>IF(OR(A195="",COUNT(U195)=0,COUNT(AI195)=0),"",U195+AI195)</f>
        <v/>
      </c>
      <c r="Y195" s="16" t="n"/>
      <c r="Z195" s="12" t="n"/>
      <c r="AA195" s="17">
        <f>IF(COUNT(J195)=0,"",IF(H195=0,"n.a.",J195/H195))</f>
        <v/>
      </c>
      <c r="AB195" s="12" t="n"/>
      <c r="AC195" s="12" t="n"/>
      <c r="AD195" s="12" t="n"/>
      <c r="AE195" s="13">
        <f>IF(OR(COUNT(J195)=0,COUNT(AB195:AD195)&lt;3),"",ROUND(J195-SUM(AB195:AD195),2))</f>
        <v/>
      </c>
      <c r="AF195" s="15">
        <f>IF(COUNT(AE195)=0,"",IF(Z195=0,"n.a.",AE195/Z195))</f>
        <v/>
      </c>
      <c r="AG195" s="12" t="n"/>
      <c r="AH195" s="14">
        <f>IF(OR(A195="",COUNT(Z195)=0,COUNT(AG195)=0),"",ROUND(Z195-AG195,2))</f>
        <v/>
      </c>
      <c r="AI195" s="21" t="n"/>
      <c r="AJ195" s="11">
        <f>IF(A195="","",IF(COUNT(I195)=0,"Enter approved NTE",IF(COUNT(Z195)&gt;0,IF(Z195&gt;I195,"Invoice exceeds NTE","Invoice within NTE"),IF(COUNT(L195)=0,"Enter quote inputs",IF(L195&gt;I195,"Quote exceeds NTE","Quote within NTE")))))</f>
        <v/>
      </c>
      <c r="AK195" s="11">
        <f>IF(A195="","",IF(COUNT(H195)=0,"Enter direct cost",IF(COUNT(Z195)=0,"Enter invoice revenue",IF(COUNT(AB195:AD195)&lt;3,"Enter expenses (0 if none)","Complete"))))</f>
        <v/>
      </c>
      <c r="AL195" s="11">
        <f>IF(A195="","",IF(NOT(AND(COUNT(AH195)=1,N(AH195)&gt;0.004,V195&lt;&gt;"Void",V195&lt;&gt;"Not invoiced",V195&lt;&gt;"Draft")),"",IF(COUNT(X195)=0,"No due date",IF(TODAY()-X195&lt;=0,"Not yet due",IF(TODAY()-X195&lt;=30,"1-30 days",IF(TODAY()-X195&lt;=60,"31-60 days",IF(TODAY()-X195&lt;=90,"61-90 days","Over 90 days")))))))</f>
        <v/>
      </c>
      <c r="AM195" s="49">
        <f>IF(OR(AL195="",AL195="No due date"),"",MAX(TODAY()-X195,0))</f>
        <v/>
      </c>
      <c r="AN195" s="49">
        <f>IF(AL195="","",IF(COUNT(X195)=0,-100000,TODAY()-X195))</f>
        <v/>
      </c>
      <c r="AO195" s="49">
        <f>IF(AN195="","",COUNTIF(AN$11:AN$1010,"&gt;"&amp;AN195)+COUNTIF(AN$11:AN195,AN195))</f>
        <v/>
      </c>
      <c r="AP195" s="49">
        <f>IF(OR(A195="",B195=""),"",IF(COUNTIF(B$11:B195,B195)=1,MAX(AP$10:AP194)+1,""))</f>
        <v/>
      </c>
    </row>
    <row r="196" ht="24" customHeight="1">
      <c r="A196" s="20" t="n"/>
      <c r="B196" s="10" t="n"/>
      <c r="C196" s="10" t="n"/>
      <c r="D196" s="10" t="n"/>
      <c r="E196" s="10" t="n"/>
      <c r="F196" s="18" t="n"/>
      <c r="G196" s="10" t="n"/>
      <c r="H196" s="12" t="n"/>
      <c r="I196" s="12" t="n"/>
      <c r="J196" s="13">
        <f>IF(OR(A196="",COUNT(H196)=0,COUNT(Z196)=0),"",ROUND(Z196-H196,2))</f>
        <v/>
      </c>
      <c r="K196" s="15">
        <f>IF(COUNT(J196)=0,"",IF(Z196=0,"n.a.",J196/Z196))</f>
        <v/>
      </c>
      <c r="L196" s="14">
        <f>IF(OR(A196="",COUNT(H196)=0,COUNT(Y196)=0),"",ROUND(H196*(1+Y196),2))</f>
        <v/>
      </c>
      <c r="M196" s="10" t="n"/>
      <c r="N196" s="10" t="n"/>
      <c r="O196" s="10" t="n"/>
      <c r="P196" s="10" t="n"/>
      <c r="Q196" s="20" t="n"/>
      <c r="R196" s="10" t="n"/>
      <c r="S196" s="10" t="n"/>
      <c r="T196" s="18" t="n"/>
      <c r="U196" s="18" t="n"/>
      <c r="V196" s="10" t="n"/>
      <c r="W196" s="10" t="n"/>
      <c r="X196" s="19">
        <f>IF(OR(A196="",COUNT(U196)=0,COUNT(AI196)=0),"",U196+AI196)</f>
        <v/>
      </c>
      <c r="Y196" s="16" t="n"/>
      <c r="Z196" s="12" t="n"/>
      <c r="AA196" s="17">
        <f>IF(COUNT(J196)=0,"",IF(H196=0,"n.a.",J196/H196))</f>
        <v/>
      </c>
      <c r="AB196" s="12" t="n"/>
      <c r="AC196" s="12" t="n"/>
      <c r="AD196" s="12" t="n"/>
      <c r="AE196" s="13">
        <f>IF(OR(COUNT(J196)=0,COUNT(AB196:AD196)&lt;3),"",ROUND(J196-SUM(AB196:AD196),2))</f>
        <v/>
      </c>
      <c r="AF196" s="15">
        <f>IF(COUNT(AE196)=0,"",IF(Z196=0,"n.a.",AE196/Z196))</f>
        <v/>
      </c>
      <c r="AG196" s="12" t="n"/>
      <c r="AH196" s="14">
        <f>IF(OR(A196="",COUNT(Z196)=0,COUNT(AG196)=0),"",ROUND(Z196-AG196,2))</f>
        <v/>
      </c>
      <c r="AI196" s="21" t="n"/>
      <c r="AJ196" s="11">
        <f>IF(A196="","",IF(COUNT(I196)=0,"Enter approved NTE",IF(COUNT(Z196)&gt;0,IF(Z196&gt;I196,"Invoice exceeds NTE","Invoice within NTE"),IF(COUNT(L196)=0,"Enter quote inputs",IF(L196&gt;I196,"Quote exceeds NTE","Quote within NTE")))))</f>
        <v/>
      </c>
      <c r="AK196" s="11">
        <f>IF(A196="","",IF(COUNT(H196)=0,"Enter direct cost",IF(COUNT(Z196)=0,"Enter invoice revenue",IF(COUNT(AB196:AD196)&lt;3,"Enter expenses (0 if none)","Complete"))))</f>
        <v/>
      </c>
      <c r="AL196" s="11">
        <f>IF(A196="","",IF(NOT(AND(COUNT(AH196)=1,N(AH196)&gt;0.004,V196&lt;&gt;"Void",V196&lt;&gt;"Not invoiced",V196&lt;&gt;"Draft")),"",IF(COUNT(X196)=0,"No due date",IF(TODAY()-X196&lt;=0,"Not yet due",IF(TODAY()-X196&lt;=30,"1-30 days",IF(TODAY()-X196&lt;=60,"31-60 days",IF(TODAY()-X196&lt;=90,"61-90 days","Over 90 days")))))))</f>
        <v/>
      </c>
      <c r="AM196" s="49">
        <f>IF(OR(AL196="",AL196="No due date"),"",MAX(TODAY()-X196,0))</f>
        <v/>
      </c>
      <c r="AN196" s="49">
        <f>IF(AL196="","",IF(COUNT(X196)=0,-100000,TODAY()-X196))</f>
        <v/>
      </c>
      <c r="AO196" s="49">
        <f>IF(AN196="","",COUNTIF(AN$11:AN$1010,"&gt;"&amp;AN196)+COUNTIF(AN$11:AN196,AN196))</f>
        <v/>
      </c>
      <c r="AP196" s="49">
        <f>IF(OR(A196="",B196=""),"",IF(COUNTIF(B$11:B196,B196)=1,MAX(AP$10:AP195)+1,""))</f>
        <v/>
      </c>
    </row>
    <row r="197" ht="24" customHeight="1">
      <c r="A197" s="20" t="n"/>
      <c r="B197" s="10" t="n"/>
      <c r="C197" s="10" t="n"/>
      <c r="D197" s="10" t="n"/>
      <c r="E197" s="10" t="n"/>
      <c r="F197" s="18" t="n"/>
      <c r="G197" s="10" t="n"/>
      <c r="H197" s="12" t="n"/>
      <c r="I197" s="12" t="n"/>
      <c r="J197" s="13">
        <f>IF(OR(A197="",COUNT(H197)=0,COUNT(Z197)=0),"",ROUND(Z197-H197,2))</f>
        <v/>
      </c>
      <c r="K197" s="15">
        <f>IF(COUNT(J197)=0,"",IF(Z197=0,"n.a.",J197/Z197))</f>
        <v/>
      </c>
      <c r="L197" s="14">
        <f>IF(OR(A197="",COUNT(H197)=0,COUNT(Y197)=0),"",ROUND(H197*(1+Y197),2))</f>
        <v/>
      </c>
      <c r="M197" s="10" t="n"/>
      <c r="N197" s="10" t="n"/>
      <c r="O197" s="10" t="n"/>
      <c r="P197" s="10" t="n"/>
      <c r="Q197" s="20" t="n"/>
      <c r="R197" s="10" t="n"/>
      <c r="S197" s="10" t="n"/>
      <c r="T197" s="18" t="n"/>
      <c r="U197" s="18" t="n"/>
      <c r="V197" s="10" t="n"/>
      <c r="W197" s="10" t="n"/>
      <c r="X197" s="19">
        <f>IF(OR(A197="",COUNT(U197)=0,COUNT(AI197)=0),"",U197+AI197)</f>
        <v/>
      </c>
      <c r="Y197" s="16" t="n"/>
      <c r="Z197" s="12" t="n"/>
      <c r="AA197" s="17">
        <f>IF(COUNT(J197)=0,"",IF(H197=0,"n.a.",J197/H197))</f>
        <v/>
      </c>
      <c r="AB197" s="12" t="n"/>
      <c r="AC197" s="12" t="n"/>
      <c r="AD197" s="12" t="n"/>
      <c r="AE197" s="13">
        <f>IF(OR(COUNT(J197)=0,COUNT(AB197:AD197)&lt;3),"",ROUND(J197-SUM(AB197:AD197),2))</f>
        <v/>
      </c>
      <c r="AF197" s="15">
        <f>IF(COUNT(AE197)=0,"",IF(Z197=0,"n.a.",AE197/Z197))</f>
        <v/>
      </c>
      <c r="AG197" s="12" t="n"/>
      <c r="AH197" s="14">
        <f>IF(OR(A197="",COUNT(Z197)=0,COUNT(AG197)=0),"",ROUND(Z197-AG197,2))</f>
        <v/>
      </c>
      <c r="AI197" s="21" t="n"/>
      <c r="AJ197" s="11">
        <f>IF(A197="","",IF(COUNT(I197)=0,"Enter approved NTE",IF(COUNT(Z197)&gt;0,IF(Z197&gt;I197,"Invoice exceeds NTE","Invoice within NTE"),IF(COUNT(L197)=0,"Enter quote inputs",IF(L197&gt;I197,"Quote exceeds NTE","Quote within NTE")))))</f>
        <v/>
      </c>
      <c r="AK197" s="11">
        <f>IF(A197="","",IF(COUNT(H197)=0,"Enter direct cost",IF(COUNT(Z197)=0,"Enter invoice revenue",IF(COUNT(AB197:AD197)&lt;3,"Enter expenses (0 if none)","Complete"))))</f>
        <v/>
      </c>
      <c r="AL197" s="11">
        <f>IF(A197="","",IF(NOT(AND(COUNT(AH197)=1,N(AH197)&gt;0.004,V197&lt;&gt;"Void",V197&lt;&gt;"Not invoiced",V197&lt;&gt;"Draft")),"",IF(COUNT(X197)=0,"No due date",IF(TODAY()-X197&lt;=0,"Not yet due",IF(TODAY()-X197&lt;=30,"1-30 days",IF(TODAY()-X197&lt;=60,"31-60 days",IF(TODAY()-X197&lt;=90,"61-90 days","Over 90 days")))))))</f>
        <v/>
      </c>
      <c r="AM197" s="49">
        <f>IF(OR(AL197="",AL197="No due date"),"",MAX(TODAY()-X197,0))</f>
        <v/>
      </c>
      <c r="AN197" s="49">
        <f>IF(AL197="","",IF(COUNT(X197)=0,-100000,TODAY()-X197))</f>
        <v/>
      </c>
      <c r="AO197" s="49">
        <f>IF(AN197="","",COUNTIF(AN$11:AN$1010,"&gt;"&amp;AN197)+COUNTIF(AN$11:AN197,AN197))</f>
        <v/>
      </c>
      <c r="AP197" s="49">
        <f>IF(OR(A197="",B197=""),"",IF(COUNTIF(B$11:B197,B197)=1,MAX(AP$10:AP196)+1,""))</f>
        <v/>
      </c>
    </row>
    <row r="198" ht="24" customHeight="1">
      <c r="A198" s="20" t="n"/>
      <c r="B198" s="10" t="n"/>
      <c r="C198" s="10" t="n"/>
      <c r="D198" s="10" t="n"/>
      <c r="E198" s="10" t="n"/>
      <c r="F198" s="18" t="n"/>
      <c r="G198" s="10" t="n"/>
      <c r="H198" s="12" t="n"/>
      <c r="I198" s="12" t="n"/>
      <c r="J198" s="13">
        <f>IF(OR(A198="",COUNT(H198)=0,COUNT(Z198)=0),"",ROUND(Z198-H198,2))</f>
        <v/>
      </c>
      <c r="K198" s="15">
        <f>IF(COUNT(J198)=0,"",IF(Z198=0,"n.a.",J198/Z198))</f>
        <v/>
      </c>
      <c r="L198" s="14">
        <f>IF(OR(A198="",COUNT(H198)=0,COUNT(Y198)=0),"",ROUND(H198*(1+Y198),2))</f>
        <v/>
      </c>
      <c r="M198" s="10" t="n"/>
      <c r="N198" s="10" t="n"/>
      <c r="O198" s="10" t="n"/>
      <c r="P198" s="10" t="n"/>
      <c r="Q198" s="20" t="n"/>
      <c r="R198" s="10" t="n"/>
      <c r="S198" s="10" t="n"/>
      <c r="T198" s="18" t="n"/>
      <c r="U198" s="18" t="n"/>
      <c r="V198" s="10" t="n"/>
      <c r="W198" s="10" t="n"/>
      <c r="X198" s="19">
        <f>IF(OR(A198="",COUNT(U198)=0,COUNT(AI198)=0),"",U198+AI198)</f>
        <v/>
      </c>
      <c r="Y198" s="16" t="n"/>
      <c r="Z198" s="12" t="n"/>
      <c r="AA198" s="17">
        <f>IF(COUNT(J198)=0,"",IF(H198=0,"n.a.",J198/H198))</f>
        <v/>
      </c>
      <c r="AB198" s="12" t="n"/>
      <c r="AC198" s="12" t="n"/>
      <c r="AD198" s="12" t="n"/>
      <c r="AE198" s="13">
        <f>IF(OR(COUNT(J198)=0,COUNT(AB198:AD198)&lt;3),"",ROUND(J198-SUM(AB198:AD198),2))</f>
        <v/>
      </c>
      <c r="AF198" s="15">
        <f>IF(COUNT(AE198)=0,"",IF(Z198=0,"n.a.",AE198/Z198))</f>
        <v/>
      </c>
      <c r="AG198" s="12" t="n"/>
      <c r="AH198" s="14">
        <f>IF(OR(A198="",COUNT(Z198)=0,COUNT(AG198)=0),"",ROUND(Z198-AG198,2))</f>
        <v/>
      </c>
      <c r="AI198" s="21" t="n"/>
      <c r="AJ198" s="11">
        <f>IF(A198="","",IF(COUNT(I198)=0,"Enter approved NTE",IF(COUNT(Z198)&gt;0,IF(Z198&gt;I198,"Invoice exceeds NTE","Invoice within NTE"),IF(COUNT(L198)=0,"Enter quote inputs",IF(L198&gt;I198,"Quote exceeds NTE","Quote within NTE")))))</f>
        <v/>
      </c>
      <c r="AK198" s="11">
        <f>IF(A198="","",IF(COUNT(H198)=0,"Enter direct cost",IF(COUNT(Z198)=0,"Enter invoice revenue",IF(COUNT(AB198:AD198)&lt;3,"Enter expenses (0 if none)","Complete"))))</f>
        <v/>
      </c>
      <c r="AL198" s="11">
        <f>IF(A198="","",IF(NOT(AND(COUNT(AH198)=1,N(AH198)&gt;0.004,V198&lt;&gt;"Void",V198&lt;&gt;"Not invoiced",V198&lt;&gt;"Draft")),"",IF(COUNT(X198)=0,"No due date",IF(TODAY()-X198&lt;=0,"Not yet due",IF(TODAY()-X198&lt;=30,"1-30 days",IF(TODAY()-X198&lt;=60,"31-60 days",IF(TODAY()-X198&lt;=90,"61-90 days","Over 90 days")))))))</f>
        <v/>
      </c>
      <c r="AM198" s="49">
        <f>IF(OR(AL198="",AL198="No due date"),"",MAX(TODAY()-X198,0))</f>
        <v/>
      </c>
      <c r="AN198" s="49">
        <f>IF(AL198="","",IF(COUNT(X198)=0,-100000,TODAY()-X198))</f>
        <v/>
      </c>
      <c r="AO198" s="49">
        <f>IF(AN198="","",COUNTIF(AN$11:AN$1010,"&gt;"&amp;AN198)+COUNTIF(AN$11:AN198,AN198))</f>
        <v/>
      </c>
      <c r="AP198" s="49">
        <f>IF(OR(A198="",B198=""),"",IF(COUNTIF(B$11:B198,B198)=1,MAX(AP$10:AP197)+1,""))</f>
        <v/>
      </c>
    </row>
    <row r="199" ht="24" customHeight="1">
      <c r="A199" s="20" t="n"/>
      <c r="B199" s="10" t="n"/>
      <c r="C199" s="10" t="n"/>
      <c r="D199" s="10" t="n"/>
      <c r="E199" s="10" t="n"/>
      <c r="F199" s="18" t="n"/>
      <c r="G199" s="10" t="n"/>
      <c r="H199" s="12" t="n"/>
      <c r="I199" s="12" t="n"/>
      <c r="J199" s="13">
        <f>IF(OR(A199="",COUNT(H199)=0,COUNT(Z199)=0),"",ROUND(Z199-H199,2))</f>
        <v/>
      </c>
      <c r="K199" s="15">
        <f>IF(COUNT(J199)=0,"",IF(Z199=0,"n.a.",J199/Z199))</f>
        <v/>
      </c>
      <c r="L199" s="14">
        <f>IF(OR(A199="",COUNT(H199)=0,COUNT(Y199)=0),"",ROUND(H199*(1+Y199),2))</f>
        <v/>
      </c>
      <c r="M199" s="10" t="n"/>
      <c r="N199" s="10" t="n"/>
      <c r="O199" s="10" t="n"/>
      <c r="P199" s="10" t="n"/>
      <c r="Q199" s="20" t="n"/>
      <c r="R199" s="10" t="n"/>
      <c r="S199" s="10" t="n"/>
      <c r="T199" s="18" t="n"/>
      <c r="U199" s="18" t="n"/>
      <c r="V199" s="10" t="n"/>
      <c r="W199" s="10" t="n"/>
      <c r="X199" s="19">
        <f>IF(OR(A199="",COUNT(U199)=0,COUNT(AI199)=0),"",U199+AI199)</f>
        <v/>
      </c>
      <c r="Y199" s="16" t="n"/>
      <c r="Z199" s="12" t="n"/>
      <c r="AA199" s="17">
        <f>IF(COUNT(J199)=0,"",IF(H199=0,"n.a.",J199/H199))</f>
        <v/>
      </c>
      <c r="AB199" s="12" t="n"/>
      <c r="AC199" s="12" t="n"/>
      <c r="AD199" s="12" t="n"/>
      <c r="AE199" s="13">
        <f>IF(OR(COUNT(J199)=0,COUNT(AB199:AD199)&lt;3),"",ROUND(J199-SUM(AB199:AD199),2))</f>
        <v/>
      </c>
      <c r="AF199" s="15">
        <f>IF(COUNT(AE199)=0,"",IF(Z199=0,"n.a.",AE199/Z199))</f>
        <v/>
      </c>
      <c r="AG199" s="12" t="n"/>
      <c r="AH199" s="14">
        <f>IF(OR(A199="",COUNT(Z199)=0,COUNT(AG199)=0),"",ROUND(Z199-AG199,2))</f>
        <v/>
      </c>
      <c r="AI199" s="21" t="n"/>
      <c r="AJ199" s="11">
        <f>IF(A199="","",IF(COUNT(I199)=0,"Enter approved NTE",IF(COUNT(Z199)&gt;0,IF(Z199&gt;I199,"Invoice exceeds NTE","Invoice within NTE"),IF(COUNT(L199)=0,"Enter quote inputs",IF(L199&gt;I199,"Quote exceeds NTE","Quote within NTE")))))</f>
        <v/>
      </c>
      <c r="AK199" s="11">
        <f>IF(A199="","",IF(COUNT(H199)=0,"Enter direct cost",IF(COUNT(Z199)=0,"Enter invoice revenue",IF(COUNT(AB199:AD199)&lt;3,"Enter expenses (0 if none)","Complete"))))</f>
        <v/>
      </c>
      <c r="AL199" s="11">
        <f>IF(A199="","",IF(NOT(AND(COUNT(AH199)=1,N(AH199)&gt;0.004,V199&lt;&gt;"Void",V199&lt;&gt;"Not invoiced",V199&lt;&gt;"Draft")),"",IF(COUNT(X199)=0,"No due date",IF(TODAY()-X199&lt;=0,"Not yet due",IF(TODAY()-X199&lt;=30,"1-30 days",IF(TODAY()-X199&lt;=60,"31-60 days",IF(TODAY()-X199&lt;=90,"61-90 days","Over 90 days")))))))</f>
        <v/>
      </c>
      <c r="AM199" s="49">
        <f>IF(OR(AL199="",AL199="No due date"),"",MAX(TODAY()-X199,0))</f>
        <v/>
      </c>
      <c r="AN199" s="49">
        <f>IF(AL199="","",IF(COUNT(X199)=0,-100000,TODAY()-X199))</f>
        <v/>
      </c>
      <c r="AO199" s="49">
        <f>IF(AN199="","",COUNTIF(AN$11:AN$1010,"&gt;"&amp;AN199)+COUNTIF(AN$11:AN199,AN199))</f>
        <v/>
      </c>
      <c r="AP199" s="49">
        <f>IF(OR(A199="",B199=""),"",IF(COUNTIF(B$11:B199,B199)=1,MAX(AP$10:AP198)+1,""))</f>
        <v/>
      </c>
    </row>
    <row r="200" ht="24" customHeight="1">
      <c r="A200" s="20" t="n"/>
      <c r="B200" s="10" t="n"/>
      <c r="C200" s="10" t="n"/>
      <c r="D200" s="10" t="n"/>
      <c r="E200" s="10" t="n"/>
      <c r="F200" s="18" t="n"/>
      <c r="G200" s="10" t="n"/>
      <c r="H200" s="12" t="n"/>
      <c r="I200" s="12" t="n"/>
      <c r="J200" s="13">
        <f>IF(OR(A200="",COUNT(H200)=0,COUNT(Z200)=0),"",ROUND(Z200-H200,2))</f>
        <v/>
      </c>
      <c r="K200" s="15">
        <f>IF(COUNT(J200)=0,"",IF(Z200=0,"n.a.",J200/Z200))</f>
        <v/>
      </c>
      <c r="L200" s="14">
        <f>IF(OR(A200="",COUNT(H200)=0,COUNT(Y200)=0),"",ROUND(H200*(1+Y200),2))</f>
        <v/>
      </c>
      <c r="M200" s="10" t="n"/>
      <c r="N200" s="10" t="n"/>
      <c r="O200" s="10" t="n"/>
      <c r="P200" s="10" t="n"/>
      <c r="Q200" s="20" t="n"/>
      <c r="R200" s="10" t="n"/>
      <c r="S200" s="10" t="n"/>
      <c r="T200" s="18" t="n"/>
      <c r="U200" s="18" t="n"/>
      <c r="V200" s="10" t="n"/>
      <c r="W200" s="10" t="n"/>
      <c r="X200" s="19">
        <f>IF(OR(A200="",COUNT(U200)=0,COUNT(AI200)=0),"",U200+AI200)</f>
        <v/>
      </c>
      <c r="Y200" s="16" t="n"/>
      <c r="Z200" s="12" t="n"/>
      <c r="AA200" s="17">
        <f>IF(COUNT(J200)=0,"",IF(H200=0,"n.a.",J200/H200))</f>
        <v/>
      </c>
      <c r="AB200" s="12" t="n"/>
      <c r="AC200" s="12" t="n"/>
      <c r="AD200" s="12" t="n"/>
      <c r="AE200" s="13">
        <f>IF(OR(COUNT(J200)=0,COUNT(AB200:AD200)&lt;3),"",ROUND(J200-SUM(AB200:AD200),2))</f>
        <v/>
      </c>
      <c r="AF200" s="15">
        <f>IF(COUNT(AE200)=0,"",IF(Z200=0,"n.a.",AE200/Z200))</f>
        <v/>
      </c>
      <c r="AG200" s="12" t="n"/>
      <c r="AH200" s="14">
        <f>IF(OR(A200="",COUNT(Z200)=0,COUNT(AG200)=0),"",ROUND(Z200-AG200,2))</f>
        <v/>
      </c>
      <c r="AI200" s="21" t="n"/>
      <c r="AJ200" s="11">
        <f>IF(A200="","",IF(COUNT(I200)=0,"Enter approved NTE",IF(COUNT(Z200)&gt;0,IF(Z200&gt;I200,"Invoice exceeds NTE","Invoice within NTE"),IF(COUNT(L200)=0,"Enter quote inputs",IF(L200&gt;I200,"Quote exceeds NTE","Quote within NTE")))))</f>
        <v/>
      </c>
      <c r="AK200" s="11">
        <f>IF(A200="","",IF(COUNT(H200)=0,"Enter direct cost",IF(COUNT(Z200)=0,"Enter invoice revenue",IF(COUNT(AB200:AD200)&lt;3,"Enter expenses (0 if none)","Complete"))))</f>
        <v/>
      </c>
      <c r="AL200" s="11">
        <f>IF(A200="","",IF(NOT(AND(COUNT(AH200)=1,N(AH200)&gt;0.004,V200&lt;&gt;"Void",V200&lt;&gt;"Not invoiced",V200&lt;&gt;"Draft")),"",IF(COUNT(X200)=0,"No due date",IF(TODAY()-X200&lt;=0,"Not yet due",IF(TODAY()-X200&lt;=30,"1-30 days",IF(TODAY()-X200&lt;=60,"31-60 days",IF(TODAY()-X200&lt;=90,"61-90 days","Over 90 days")))))))</f>
        <v/>
      </c>
      <c r="AM200" s="49">
        <f>IF(OR(AL200="",AL200="No due date"),"",MAX(TODAY()-X200,0))</f>
        <v/>
      </c>
      <c r="AN200" s="49">
        <f>IF(AL200="","",IF(COUNT(X200)=0,-100000,TODAY()-X200))</f>
        <v/>
      </c>
      <c r="AO200" s="49">
        <f>IF(AN200="","",COUNTIF(AN$11:AN$1010,"&gt;"&amp;AN200)+COUNTIF(AN$11:AN200,AN200))</f>
        <v/>
      </c>
      <c r="AP200" s="49">
        <f>IF(OR(A200="",B200=""),"",IF(COUNTIF(B$11:B200,B200)=1,MAX(AP$10:AP199)+1,""))</f>
        <v/>
      </c>
    </row>
    <row r="201" ht="24" customHeight="1">
      <c r="A201" s="20" t="n"/>
      <c r="B201" s="10" t="n"/>
      <c r="C201" s="10" t="n"/>
      <c r="D201" s="10" t="n"/>
      <c r="E201" s="10" t="n"/>
      <c r="F201" s="18" t="n"/>
      <c r="G201" s="10" t="n"/>
      <c r="H201" s="12" t="n"/>
      <c r="I201" s="12" t="n"/>
      <c r="J201" s="13">
        <f>IF(OR(A201="",COUNT(H201)=0,COUNT(Z201)=0),"",ROUND(Z201-H201,2))</f>
        <v/>
      </c>
      <c r="K201" s="15">
        <f>IF(COUNT(J201)=0,"",IF(Z201=0,"n.a.",J201/Z201))</f>
        <v/>
      </c>
      <c r="L201" s="14">
        <f>IF(OR(A201="",COUNT(H201)=0,COUNT(Y201)=0),"",ROUND(H201*(1+Y201),2))</f>
        <v/>
      </c>
      <c r="M201" s="10" t="n"/>
      <c r="N201" s="10" t="n"/>
      <c r="O201" s="10" t="n"/>
      <c r="P201" s="10" t="n"/>
      <c r="Q201" s="20" t="n"/>
      <c r="R201" s="10" t="n"/>
      <c r="S201" s="10" t="n"/>
      <c r="T201" s="18" t="n"/>
      <c r="U201" s="18" t="n"/>
      <c r="V201" s="10" t="n"/>
      <c r="W201" s="10" t="n"/>
      <c r="X201" s="19">
        <f>IF(OR(A201="",COUNT(U201)=0,COUNT(AI201)=0),"",U201+AI201)</f>
        <v/>
      </c>
      <c r="Y201" s="16" t="n"/>
      <c r="Z201" s="12" t="n"/>
      <c r="AA201" s="17">
        <f>IF(COUNT(J201)=0,"",IF(H201=0,"n.a.",J201/H201))</f>
        <v/>
      </c>
      <c r="AB201" s="12" t="n"/>
      <c r="AC201" s="12" t="n"/>
      <c r="AD201" s="12" t="n"/>
      <c r="AE201" s="13">
        <f>IF(OR(COUNT(J201)=0,COUNT(AB201:AD201)&lt;3),"",ROUND(J201-SUM(AB201:AD201),2))</f>
        <v/>
      </c>
      <c r="AF201" s="15">
        <f>IF(COUNT(AE201)=0,"",IF(Z201=0,"n.a.",AE201/Z201))</f>
        <v/>
      </c>
      <c r="AG201" s="12" t="n"/>
      <c r="AH201" s="14">
        <f>IF(OR(A201="",COUNT(Z201)=0,COUNT(AG201)=0),"",ROUND(Z201-AG201,2))</f>
        <v/>
      </c>
      <c r="AI201" s="21" t="n"/>
      <c r="AJ201" s="11">
        <f>IF(A201="","",IF(COUNT(I201)=0,"Enter approved NTE",IF(COUNT(Z201)&gt;0,IF(Z201&gt;I201,"Invoice exceeds NTE","Invoice within NTE"),IF(COUNT(L201)=0,"Enter quote inputs",IF(L201&gt;I201,"Quote exceeds NTE","Quote within NTE")))))</f>
        <v/>
      </c>
      <c r="AK201" s="11">
        <f>IF(A201="","",IF(COUNT(H201)=0,"Enter direct cost",IF(COUNT(Z201)=0,"Enter invoice revenue",IF(COUNT(AB201:AD201)&lt;3,"Enter expenses (0 if none)","Complete"))))</f>
        <v/>
      </c>
      <c r="AL201" s="11">
        <f>IF(A201="","",IF(NOT(AND(COUNT(AH201)=1,N(AH201)&gt;0.004,V201&lt;&gt;"Void",V201&lt;&gt;"Not invoiced",V201&lt;&gt;"Draft")),"",IF(COUNT(X201)=0,"No due date",IF(TODAY()-X201&lt;=0,"Not yet due",IF(TODAY()-X201&lt;=30,"1-30 days",IF(TODAY()-X201&lt;=60,"31-60 days",IF(TODAY()-X201&lt;=90,"61-90 days","Over 90 days")))))))</f>
        <v/>
      </c>
      <c r="AM201" s="49">
        <f>IF(OR(AL201="",AL201="No due date"),"",MAX(TODAY()-X201,0))</f>
        <v/>
      </c>
      <c r="AN201" s="49">
        <f>IF(AL201="","",IF(COUNT(X201)=0,-100000,TODAY()-X201))</f>
        <v/>
      </c>
      <c r="AO201" s="49">
        <f>IF(AN201="","",COUNTIF(AN$11:AN$1010,"&gt;"&amp;AN201)+COUNTIF(AN$11:AN201,AN201))</f>
        <v/>
      </c>
      <c r="AP201" s="49">
        <f>IF(OR(A201="",B201=""),"",IF(COUNTIF(B$11:B201,B201)=1,MAX(AP$10:AP200)+1,""))</f>
        <v/>
      </c>
    </row>
    <row r="202" ht="24" customHeight="1">
      <c r="A202" s="20" t="n"/>
      <c r="B202" s="10" t="n"/>
      <c r="C202" s="10" t="n"/>
      <c r="D202" s="10" t="n"/>
      <c r="E202" s="10" t="n"/>
      <c r="F202" s="18" t="n"/>
      <c r="G202" s="10" t="n"/>
      <c r="H202" s="12" t="n"/>
      <c r="I202" s="12" t="n"/>
      <c r="J202" s="13">
        <f>IF(OR(A202="",COUNT(H202)=0,COUNT(Z202)=0),"",ROUND(Z202-H202,2))</f>
        <v/>
      </c>
      <c r="K202" s="15">
        <f>IF(COUNT(J202)=0,"",IF(Z202=0,"n.a.",J202/Z202))</f>
        <v/>
      </c>
      <c r="L202" s="14">
        <f>IF(OR(A202="",COUNT(H202)=0,COUNT(Y202)=0),"",ROUND(H202*(1+Y202),2))</f>
        <v/>
      </c>
      <c r="M202" s="10" t="n"/>
      <c r="N202" s="10" t="n"/>
      <c r="O202" s="10" t="n"/>
      <c r="P202" s="10" t="n"/>
      <c r="Q202" s="20" t="n"/>
      <c r="R202" s="10" t="n"/>
      <c r="S202" s="10" t="n"/>
      <c r="T202" s="18" t="n"/>
      <c r="U202" s="18" t="n"/>
      <c r="V202" s="10" t="n"/>
      <c r="W202" s="10" t="n"/>
      <c r="X202" s="19">
        <f>IF(OR(A202="",COUNT(U202)=0,COUNT(AI202)=0),"",U202+AI202)</f>
        <v/>
      </c>
      <c r="Y202" s="16" t="n"/>
      <c r="Z202" s="12" t="n"/>
      <c r="AA202" s="17">
        <f>IF(COUNT(J202)=0,"",IF(H202=0,"n.a.",J202/H202))</f>
        <v/>
      </c>
      <c r="AB202" s="12" t="n"/>
      <c r="AC202" s="12" t="n"/>
      <c r="AD202" s="12" t="n"/>
      <c r="AE202" s="13">
        <f>IF(OR(COUNT(J202)=0,COUNT(AB202:AD202)&lt;3),"",ROUND(J202-SUM(AB202:AD202),2))</f>
        <v/>
      </c>
      <c r="AF202" s="15">
        <f>IF(COUNT(AE202)=0,"",IF(Z202=0,"n.a.",AE202/Z202))</f>
        <v/>
      </c>
      <c r="AG202" s="12" t="n"/>
      <c r="AH202" s="14">
        <f>IF(OR(A202="",COUNT(Z202)=0,COUNT(AG202)=0),"",ROUND(Z202-AG202,2))</f>
        <v/>
      </c>
      <c r="AI202" s="21" t="n"/>
      <c r="AJ202" s="11">
        <f>IF(A202="","",IF(COUNT(I202)=0,"Enter approved NTE",IF(COUNT(Z202)&gt;0,IF(Z202&gt;I202,"Invoice exceeds NTE","Invoice within NTE"),IF(COUNT(L202)=0,"Enter quote inputs",IF(L202&gt;I202,"Quote exceeds NTE","Quote within NTE")))))</f>
        <v/>
      </c>
      <c r="AK202" s="11">
        <f>IF(A202="","",IF(COUNT(H202)=0,"Enter direct cost",IF(COUNT(Z202)=0,"Enter invoice revenue",IF(COUNT(AB202:AD202)&lt;3,"Enter expenses (0 if none)","Complete"))))</f>
        <v/>
      </c>
      <c r="AL202" s="11">
        <f>IF(A202="","",IF(NOT(AND(COUNT(AH202)=1,N(AH202)&gt;0.004,V202&lt;&gt;"Void",V202&lt;&gt;"Not invoiced",V202&lt;&gt;"Draft")),"",IF(COUNT(X202)=0,"No due date",IF(TODAY()-X202&lt;=0,"Not yet due",IF(TODAY()-X202&lt;=30,"1-30 days",IF(TODAY()-X202&lt;=60,"31-60 days",IF(TODAY()-X202&lt;=90,"61-90 days","Over 90 days")))))))</f>
        <v/>
      </c>
      <c r="AM202" s="49">
        <f>IF(OR(AL202="",AL202="No due date"),"",MAX(TODAY()-X202,0))</f>
        <v/>
      </c>
      <c r="AN202" s="49">
        <f>IF(AL202="","",IF(COUNT(X202)=0,-100000,TODAY()-X202))</f>
        <v/>
      </c>
      <c r="AO202" s="49">
        <f>IF(AN202="","",COUNTIF(AN$11:AN$1010,"&gt;"&amp;AN202)+COUNTIF(AN$11:AN202,AN202))</f>
        <v/>
      </c>
      <c r="AP202" s="49">
        <f>IF(OR(A202="",B202=""),"",IF(COUNTIF(B$11:B202,B202)=1,MAX(AP$10:AP201)+1,""))</f>
        <v/>
      </c>
    </row>
    <row r="203" ht="24" customHeight="1">
      <c r="A203" s="20" t="n"/>
      <c r="B203" s="10" t="n"/>
      <c r="C203" s="10" t="n"/>
      <c r="D203" s="10" t="n"/>
      <c r="E203" s="10" t="n"/>
      <c r="F203" s="18" t="n"/>
      <c r="G203" s="10" t="n"/>
      <c r="H203" s="12" t="n"/>
      <c r="I203" s="12" t="n"/>
      <c r="J203" s="13">
        <f>IF(OR(A203="",COUNT(H203)=0,COUNT(Z203)=0),"",ROUND(Z203-H203,2))</f>
        <v/>
      </c>
      <c r="K203" s="15">
        <f>IF(COUNT(J203)=0,"",IF(Z203=0,"n.a.",J203/Z203))</f>
        <v/>
      </c>
      <c r="L203" s="14">
        <f>IF(OR(A203="",COUNT(H203)=0,COUNT(Y203)=0),"",ROUND(H203*(1+Y203),2))</f>
        <v/>
      </c>
      <c r="M203" s="10" t="n"/>
      <c r="N203" s="10" t="n"/>
      <c r="O203" s="10" t="n"/>
      <c r="P203" s="10" t="n"/>
      <c r="Q203" s="20" t="n"/>
      <c r="R203" s="10" t="n"/>
      <c r="S203" s="10" t="n"/>
      <c r="T203" s="18" t="n"/>
      <c r="U203" s="18" t="n"/>
      <c r="V203" s="10" t="n"/>
      <c r="W203" s="10" t="n"/>
      <c r="X203" s="19">
        <f>IF(OR(A203="",COUNT(U203)=0,COUNT(AI203)=0),"",U203+AI203)</f>
        <v/>
      </c>
      <c r="Y203" s="16" t="n"/>
      <c r="Z203" s="12" t="n"/>
      <c r="AA203" s="17">
        <f>IF(COUNT(J203)=0,"",IF(H203=0,"n.a.",J203/H203))</f>
        <v/>
      </c>
      <c r="AB203" s="12" t="n"/>
      <c r="AC203" s="12" t="n"/>
      <c r="AD203" s="12" t="n"/>
      <c r="AE203" s="13">
        <f>IF(OR(COUNT(J203)=0,COUNT(AB203:AD203)&lt;3),"",ROUND(J203-SUM(AB203:AD203),2))</f>
        <v/>
      </c>
      <c r="AF203" s="15">
        <f>IF(COUNT(AE203)=0,"",IF(Z203=0,"n.a.",AE203/Z203))</f>
        <v/>
      </c>
      <c r="AG203" s="12" t="n"/>
      <c r="AH203" s="14">
        <f>IF(OR(A203="",COUNT(Z203)=0,COUNT(AG203)=0),"",ROUND(Z203-AG203,2))</f>
        <v/>
      </c>
      <c r="AI203" s="21" t="n"/>
      <c r="AJ203" s="11">
        <f>IF(A203="","",IF(COUNT(I203)=0,"Enter approved NTE",IF(COUNT(Z203)&gt;0,IF(Z203&gt;I203,"Invoice exceeds NTE","Invoice within NTE"),IF(COUNT(L203)=0,"Enter quote inputs",IF(L203&gt;I203,"Quote exceeds NTE","Quote within NTE")))))</f>
        <v/>
      </c>
      <c r="AK203" s="11">
        <f>IF(A203="","",IF(COUNT(H203)=0,"Enter direct cost",IF(COUNT(Z203)=0,"Enter invoice revenue",IF(COUNT(AB203:AD203)&lt;3,"Enter expenses (0 if none)","Complete"))))</f>
        <v/>
      </c>
      <c r="AL203" s="11">
        <f>IF(A203="","",IF(NOT(AND(COUNT(AH203)=1,N(AH203)&gt;0.004,V203&lt;&gt;"Void",V203&lt;&gt;"Not invoiced",V203&lt;&gt;"Draft")),"",IF(COUNT(X203)=0,"No due date",IF(TODAY()-X203&lt;=0,"Not yet due",IF(TODAY()-X203&lt;=30,"1-30 days",IF(TODAY()-X203&lt;=60,"31-60 days",IF(TODAY()-X203&lt;=90,"61-90 days","Over 90 days")))))))</f>
        <v/>
      </c>
      <c r="AM203" s="49">
        <f>IF(OR(AL203="",AL203="No due date"),"",MAX(TODAY()-X203,0))</f>
        <v/>
      </c>
      <c r="AN203" s="49">
        <f>IF(AL203="","",IF(COUNT(X203)=0,-100000,TODAY()-X203))</f>
        <v/>
      </c>
      <c r="AO203" s="49">
        <f>IF(AN203="","",COUNTIF(AN$11:AN$1010,"&gt;"&amp;AN203)+COUNTIF(AN$11:AN203,AN203))</f>
        <v/>
      </c>
      <c r="AP203" s="49">
        <f>IF(OR(A203="",B203=""),"",IF(COUNTIF(B$11:B203,B203)=1,MAX(AP$10:AP202)+1,""))</f>
        <v/>
      </c>
    </row>
    <row r="204" ht="24" customHeight="1">
      <c r="A204" s="20" t="n"/>
      <c r="B204" s="10" t="n"/>
      <c r="C204" s="10" t="n"/>
      <c r="D204" s="10" t="n"/>
      <c r="E204" s="10" t="n"/>
      <c r="F204" s="18" t="n"/>
      <c r="G204" s="10" t="n"/>
      <c r="H204" s="12" t="n"/>
      <c r="I204" s="12" t="n"/>
      <c r="J204" s="13">
        <f>IF(OR(A204="",COUNT(H204)=0,COUNT(Z204)=0),"",ROUND(Z204-H204,2))</f>
        <v/>
      </c>
      <c r="K204" s="15">
        <f>IF(COUNT(J204)=0,"",IF(Z204=0,"n.a.",J204/Z204))</f>
        <v/>
      </c>
      <c r="L204" s="14">
        <f>IF(OR(A204="",COUNT(H204)=0,COUNT(Y204)=0),"",ROUND(H204*(1+Y204),2))</f>
        <v/>
      </c>
      <c r="M204" s="10" t="n"/>
      <c r="N204" s="10" t="n"/>
      <c r="O204" s="10" t="n"/>
      <c r="P204" s="10" t="n"/>
      <c r="Q204" s="20" t="n"/>
      <c r="R204" s="10" t="n"/>
      <c r="S204" s="10" t="n"/>
      <c r="T204" s="18" t="n"/>
      <c r="U204" s="18" t="n"/>
      <c r="V204" s="10" t="n"/>
      <c r="W204" s="10" t="n"/>
      <c r="X204" s="19">
        <f>IF(OR(A204="",COUNT(U204)=0,COUNT(AI204)=0),"",U204+AI204)</f>
        <v/>
      </c>
      <c r="Y204" s="16" t="n"/>
      <c r="Z204" s="12" t="n"/>
      <c r="AA204" s="17">
        <f>IF(COUNT(J204)=0,"",IF(H204=0,"n.a.",J204/H204))</f>
        <v/>
      </c>
      <c r="AB204" s="12" t="n"/>
      <c r="AC204" s="12" t="n"/>
      <c r="AD204" s="12" t="n"/>
      <c r="AE204" s="13">
        <f>IF(OR(COUNT(J204)=0,COUNT(AB204:AD204)&lt;3),"",ROUND(J204-SUM(AB204:AD204),2))</f>
        <v/>
      </c>
      <c r="AF204" s="15">
        <f>IF(COUNT(AE204)=0,"",IF(Z204=0,"n.a.",AE204/Z204))</f>
        <v/>
      </c>
      <c r="AG204" s="12" t="n"/>
      <c r="AH204" s="14">
        <f>IF(OR(A204="",COUNT(Z204)=0,COUNT(AG204)=0),"",ROUND(Z204-AG204,2))</f>
        <v/>
      </c>
      <c r="AI204" s="21" t="n"/>
      <c r="AJ204" s="11">
        <f>IF(A204="","",IF(COUNT(I204)=0,"Enter approved NTE",IF(COUNT(Z204)&gt;0,IF(Z204&gt;I204,"Invoice exceeds NTE","Invoice within NTE"),IF(COUNT(L204)=0,"Enter quote inputs",IF(L204&gt;I204,"Quote exceeds NTE","Quote within NTE")))))</f>
        <v/>
      </c>
      <c r="AK204" s="11">
        <f>IF(A204="","",IF(COUNT(H204)=0,"Enter direct cost",IF(COUNT(Z204)=0,"Enter invoice revenue",IF(COUNT(AB204:AD204)&lt;3,"Enter expenses (0 if none)","Complete"))))</f>
        <v/>
      </c>
      <c r="AL204" s="11">
        <f>IF(A204="","",IF(NOT(AND(COUNT(AH204)=1,N(AH204)&gt;0.004,V204&lt;&gt;"Void",V204&lt;&gt;"Not invoiced",V204&lt;&gt;"Draft")),"",IF(COUNT(X204)=0,"No due date",IF(TODAY()-X204&lt;=0,"Not yet due",IF(TODAY()-X204&lt;=30,"1-30 days",IF(TODAY()-X204&lt;=60,"31-60 days",IF(TODAY()-X204&lt;=90,"61-90 days","Over 90 days")))))))</f>
        <v/>
      </c>
      <c r="AM204" s="49">
        <f>IF(OR(AL204="",AL204="No due date"),"",MAX(TODAY()-X204,0))</f>
        <v/>
      </c>
      <c r="AN204" s="49">
        <f>IF(AL204="","",IF(COUNT(X204)=0,-100000,TODAY()-X204))</f>
        <v/>
      </c>
      <c r="AO204" s="49">
        <f>IF(AN204="","",COUNTIF(AN$11:AN$1010,"&gt;"&amp;AN204)+COUNTIF(AN$11:AN204,AN204))</f>
        <v/>
      </c>
      <c r="AP204" s="49">
        <f>IF(OR(A204="",B204=""),"",IF(COUNTIF(B$11:B204,B204)=1,MAX(AP$10:AP203)+1,""))</f>
        <v/>
      </c>
    </row>
    <row r="205" ht="24" customHeight="1">
      <c r="A205" s="20" t="n"/>
      <c r="B205" s="10" t="n"/>
      <c r="C205" s="10" t="n"/>
      <c r="D205" s="10" t="n"/>
      <c r="E205" s="10" t="n"/>
      <c r="F205" s="18" t="n"/>
      <c r="G205" s="10" t="n"/>
      <c r="H205" s="12" t="n"/>
      <c r="I205" s="12" t="n"/>
      <c r="J205" s="13">
        <f>IF(OR(A205="",COUNT(H205)=0,COUNT(Z205)=0),"",ROUND(Z205-H205,2))</f>
        <v/>
      </c>
      <c r="K205" s="15">
        <f>IF(COUNT(J205)=0,"",IF(Z205=0,"n.a.",J205/Z205))</f>
        <v/>
      </c>
      <c r="L205" s="14">
        <f>IF(OR(A205="",COUNT(H205)=0,COUNT(Y205)=0),"",ROUND(H205*(1+Y205),2))</f>
        <v/>
      </c>
      <c r="M205" s="10" t="n"/>
      <c r="N205" s="10" t="n"/>
      <c r="O205" s="10" t="n"/>
      <c r="P205" s="10" t="n"/>
      <c r="Q205" s="20" t="n"/>
      <c r="R205" s="10" t="n"/>
      <c r="S205" s="10" t="n"/>
      <c r="T205" s="18" t="n"/>
      <c r="U205" s="18" t="n"/>
      <c r="V205" s="10" t="n"/>
      <c r="W205" s="10" t="n"/>
      <c r="X205" s="19">
        <f>IF(OR(A205="",COUNT(U205)=0,COUNT(AI205)=0),"",U205+AI205)</f>
        <v/>
      </c>
      <c r="Y205" s="16" t="n"/>
      <c r="Z205" s="12" t="n"/>
      <c r="AA205" s="17">
        <f>IF(COUNT(J205)=0,"",IF(H205=0,"n.a.",J205/H205))</f>
        <v/>
      </c>
      <c r="AB205" s="12" t="n"/>
      <c r="AC205" s="12" t="n"/>
      <c r="AD205" s="12" t="n"/>
      <c r="AE205" s="13">
        <f>IF(OR(COUNT(J205)=0,COUNT(AB205:AD205)&lt;3),"",ROUND(J205-SUM(AB205:AD205),2))</f>
        <v/>
      </c>
      <c r="AF205" s="15">
        <f>IF(COUNT(AE205)=0,"",IF(Z205=0,"n.a.",AE205/Z205))</f>
        <v/>
      </c>
      <c r="AG205" s="12" t="n"/>
      <c r="AH205" s="14">
        <f>IF(OR(A205="",COUNT(Z205)=0,COUNT(AG205)=0),"",ROUND(Z205-AG205,2))</f>
        <v/>
      </c>
      <c r="AI205" s="21" t="n"/>
      <c r="AJ205" s="11">
        <f>IF(A205="","",IF(COUNT(I205)=0,"Enter approved NTE",IF(COUNT(Z205)&gt;0,IF(Z205&gt;I205,"Invoice exceeds NTE","Invoice within NTE"),IF(COUNT(L205)=0,"Enter quote inputs",IF(L205&gt;I205,"Quote exceeds NTE","Quote within NTE")))))</f>
        <v/>
      </c>
      <c r="AK205" s="11">
        <f>IF(A205="","",IF(COUNT(H205)=0,"Enter direct cost",IF(COUNT(Z205)=0,"Enter invoice revenue",IF(COUNT(AB205:AD205)&lt;3,"Enter expenses (0 if none)","Complete"))))</f>
        <v/>
      </c>
      <c r="AL205" s="11">
        <f>IF(A205="","",IF(NOT(AND(COUNT(AH205)=1,N(AH205)&gt;0.004,V205&lt;&gt;"Void",V205&lt;&gt;"Not invoiced",V205&lt;&gt;"Draft")),"",IF(COUNT(X205)=0,"No due date",IF(TODAY()-X205&lt;=0,"Not yet due",IF(TODAY()-X205&lt;=30,"1-30 days",IF(TODAY()-X205&lt;=60,"31-60 days",IF(TODAY()-X205&lt;=90,"61-90 days","Over 90 days")))))))</f>
        <v/>
      </c>
      <c r="AM205" s="49">
        <f>IF(OR(AL205="",AL205="No due date"),"",MAX(TODAY()-X205,0))</f>
        <v/>
      </c>
      <c r="AN205" s="49">
        <f>IF(AL205="","",IF(COUNT(X205)=0,-100000,TODAY()-X205))</f>
        <v/>
      </c>
      <c r="AO205" s="49">
        <f>IF(AN205="","",COUNTIF(AN$11:AN$1010,"&gt;"&amp;AN205)+COUNTIF(AN$11:AN205,AN205))</f>
        <v/>
      </c>
      <c r="AP205" s="49">
        <f>IF(OR(A205="",B205=""),"",IF(COUNTIF(B$11:B205,B205)=1,MAX(AP$10:AP204)+1,""))</f>
        <v/>
      </c>
    </row>
    <row r="206" ht="24" customHeight="1">
      <c r="A206" s="20" t="n"/>
      <c r="B206" s="10" t="n"/>
      <c r="C206" s="10" t="n"/>
      <c r="D206" s="10" t="n"/>
      <c r="E206" s="10" t="n"/>
      <c r="F206" s="18" t="n"/>
      <c r="G206" s="10" t="n"/>
      <c r="H206" s="12" t="n"/>
      <c r="I206" s="12" t="n"/>
      <c r="J206" s="13">
        <f>IF(OR(A206="",COUNT(H206)=0,COUNT(Z206)=0),"",ROUND(Z206-H206,2))</f>
        <v/>
      </c>
      <c r="K206" s="15">
        <f>IF(COUNT(J206)=0,"",IF(Z206=0,"n.a.",J206/Z206))</f>
        <v/>
      </c>
      <c r="L206" s="14">
        <f>IF(OR(A206="",COUNT(H206)=0,COUNT(Y206)=0),"",ROUND(H206*(1+Y206),2))</f>
        <v/>
      </c>
      <c r="M206" s="10" t="n"/>
      <c r="N206" s="10" t="n"/>
      <c r="O206" s="10" t="n"/>
      <c r="P206" s="10" t="n"/>
      <c r="Q206" s="20" t="n"/>
      <c r="R206" s="10" t="n"/>
      <c r="S206" s="10" t="n"/>
      <c r="T206" s="18" t="n"/>
      <c r="U206" s="18" t="n"/>
      <c r="V206" s="10" t="n"/>
      <c r="W206" s="10" t="n"/>
      <c r="X206" s="19">
        <f>IF(OR(A206="",COUNT(U206)=0,COUNT(AI206)=0),"",U206+AI206)</f>
        <v/>
      </c>
      <c r="Y206" s="16" t="n"/>
      <c r="Z206" s="12" t="n"/>
      <c r="AA206" s="17">
        <f>IF(COUNT(J206)=0,"",IF(H206=0,"n.a.",J206/H206))</f>
        <v/>
      </c>
      <c r="AB206" s="12" t="n"/>
      <c r="AC206" s="12" t="n"/>
      <c r="AD206" s="12" t="n"/>
      <c r="AE206" s="13">
        <f>IF(OR(COUNT(J206)=0,COUNT(AB206:AD206)&lt;3),"",ROUND(J206-SUM(AB206:AD206),2))</f>
        <v/>
      </c>
      <c r="AF206" s="15">
        <f>IF(COUNT(AE206)=0,"",IF(Z206=0,"n.a.",AE206/Z206))</f>
        <v/>
      </c>
      <c r="AG206" s="12" t="n"/>
      <c r="AH206" s="14">
        <f>IF(OR(A206="",COUNT(Z206)=0,COUNT(AG206)=0),"",ROUND(Z206-AG206,2))</f>
        <v/>
      </c>
      <c r="AI206" s="21" t="n"/>
      <c r="AJ206" s="11">
        <f>IF(A206="","",IF(COUNT(I206)=0,"Enter approved NTE",IF(COUNT(Z206)&gt;0,IF(Z206&gt;I206,"Invoice exceeds NTE","Invoice within NTE"),IF(COUNT(L206)=0,"Enter quote inputs",IF(L206&gt;I206,"Quote exceeds NTE","Quote within NTE")))))</f>
        <v/>
      </c>
      <c r="AK206" s="11">
        <f>IF(A206="","",IF(COUNT(H206)=0,"Enter direct cost",IF(COUNT(Z206)=0,"Enter invoice revenue",IF(COUNT(AB206:AD206)&lt;3,"Enter expenses (0 if none)","Complete"))))</f>
        <v/>
      </c>
      <c r="AL206" s="11">
        <f>IF(A206="","",IF(NOT(AND(COUNT(AH206)=1,N(AH206)&gt;0.004,V206&lt;&gt;"Void",V206&lt;&gt;"Not invoiced",V206&lt;&gt;"Draft")),"",IF(COUNT(X206)=0,"No due date",IF(TODAY()-X206&lt;=0,"Not yet due",IF(TODAY()-X206&lt;=30,"1-30 days",IF(TODAY()-X206&lt;=60,"31-60 days",IF(TODAY()-X206&lt;=90,"61-90 days","Over 90 days")))))))</f>
        <v/>
      </c>
      <c r="AM206" s="49">
        <f>IF(OR(AL206="",AL206="No due date"),"",MAX(TODAY()-X206,0))</f>
        <v/>
      </c>
      <c r="AN206" s="49">
        <f>IF(AL206="","",IF(COUNT(X206)=0,-100000,TODAY()-X206))</f>
        <v/>
      </c>
      <c r="AO206" s="49">
        <f>IF(AN206="","",COUNTIF(AN$11:AN$1010,"&gt;"&amp;AN206)+COUNTIF(AN$11:AN206,AN206))</f>
        <v/>
      </c>
      <c r="AP206" s="49">
        <f>IF(OR(A206="",B206=""),"",IF(COUNTIF(B$11:B206,B206)=1,MAX(AP$10:AP205)+1,""))</f>
        <v/>
      </c>
    </row>
    <row r="207" ht="24" customHeight="1">
      <c r="A207" s="20" t="n"/>
      <c r="B207" s="10" t="n"/>
      <c r="C207" s="10" t="n"/>
      <c r="D207" s="10" t="n"/>
      <c r="E207" s="10" t="n"/>
      <c r="F207" s="18" t="n"/>
      <c r="G207" s="10" t="n"/>
      <c r="H207" s="12" t="n"/>
      <c r="I207" s="12" t="n"/>
      <c r="J207" s="13">
        <f>IF(OR(A207="",COUNT(H207)=0,COUNT(Z207)=0),"",ROUND(Z207-H207,2))</f>
        <v/>
      </c>
      <c r="K207" s="15">
        <f>IF(COUNT(J207)=0,"",IF(Z207=0,"n.a.",J207/Z207))</f>
        <v/>
      </c>
      <c r="L207" s="14">
        <f>IF(OR(A207="",COUNT(H207)=0,COUNT(Y207)=0),"",ROUND(H207*(1+Y207),2))</f>
        <v/>
      </c>
      <c r="M207" s="10" t="n"/>
      <c r="N207" s="10" t="n"/>
      <c r="O207" s="10" t="n"/>
      <c r="P207" s="10" t="n"/>
      <c r="Q207" s="20" t="n"/>
      <c r="R207" s="10" t="n"/>
      <c r="S207" s="10" t="n"/>
      <c r="T207" s="18" t="n"/>
      <c r="U207" s="18" t="n"/>
      <c r="V207" s="10" t="n"/>
      <c r="W207" s="10" t="n"/>
      <c r="X207" s="19">
        <f>IF(OR(A207="",COUNT(U207)=0,COUNT(AI207)=0),"",U207+AI207)</f>
        <v/>
      </c>
      <c r="Y207" s="16" t="n"/>
      <c r="Z207" s="12" t="n"/>
      <c r="AA207" s="17">
        <f>IF(COUNT(J207)=0,"",IF(H207=0,"n.a.",J207/H207))</f>
        <v/>
      </c>
      <c r="AB207" s="12" t="n"/>
      <c r="AC207" s="12" t="n"/>
      <c r="AD207" s="12" t="n"/>
      <c r="AE207" s="13">
        <f>IF(OR(COUNT(J207)=0,COUNT(AB207:AD207)&lt;3),"",ROUND(J207-SUM(AB207:AD207),2))</f>
        <v/>
      </c>
      <c r="AF207" s="15">
        <f>IF(COUNT(AE207)=0,"",IF(Z207=0,"n.a.",AE207/Z207))</f>
        <v/>
      </c>
      <c r="AG207" s="12" t="n"/>
      <c r="AH207" s="14">
        <f>IF(OR(A207="",COUNT(Z207)=0,COUNT(AG207)=0),"",ROUND(Z207-AG207,2))</f>
        <v/>
      </c>
      <c r="AI207" s="21" t="n"/>
      <c r="AJ207" s="11">
        <f>IF(A207="","",IF(COUNT(I207)=0,"Enter approved NTE",IF(COUNT(Z207)&gt;0,IF(Z207&gt;I207,"Invoice exceeds NTE","Invoice within NTE"),IF(COUNT(L207)=0,"Enter quote inputs",IF(L207&gt;I207,"Quote exceeds NTE","Quote within NTE")))))</f>
        <v/>
      </c>
      <c r="AK207" s="11">
        <f>IF(A207="","",IF(COUNT(H207)=0,"Enter direct cost",IF(COUNT(Z207)=0,"Enter invoice revenue",IF(COUNT(AB207:AD207)&lt;3,"Enter expenses (0 if none)","Complete"))))</f>
        <v/>
      </c>
      <c r="AL207" s="11">
        <f>IF(A207="","",IF(NOT(AND(COUNT(AH207)=1,N(AH207)&gt;0.004,V207&lt;&gt;"Void",V207&lt;&gt;"Not invoiced",V207&lt;&gt;"Draft")),"",IF(COUNT(X207)=0,"No due date",IF(TODAY()-X207&lt;=0,"Not yet due",IF(TODAY()-X207&lt;=30,"1-30 days",IF(TODAY()-X207&lt;=60,"31-60 days",IF(TODAY()-X207&lt;=90,"61-90 days","Over 90 days")))))))</f>
        <v/>
      </c>
      <c r="AM207" s="49">
        <f>IF(OR(AL207="",AL207="No due date"),"",MAX(TODAY()-X207,0))</f>
        <v/>
      </c>
      <c r="AN207" s="49">
        <f>IF(AL207="","",IF(COUNT(X207)=0,-100000,TODAY()-X207))</f>
        <v/>
      </c>
      <c r="AO207" s="49">
        <f>IF(AN207="","",COUNTIF(AN$11:AN$1010,"&gt;"&amp;AN207)+COUNTIF(AN$11:AN207,AN207))</f>
        <v/>
      </c>
      <c r="AP207" s="49">
        <f>IF(OR(A207="",B207=""),"",IF(COUNTIF(B$11:B207,B207)=1,MAX(AP$10:AP206)+1,""))</f>
        <v/>
      </c>
    </row>
    <row r="208" ht="24" customHeight="1">
      <c r="A208" s="20" t="n"/>
      <c r="B208" s="10" t="n"/>
      <c r="C208" s="10" t="n"/>
      <c r="D208" s="10" t="n"/>
      <c r="E208" s="10" t="n"/>
      <c r="F208" s="18" t="n"/>
      <c r="G208" s="10" t="n"/>
      <c r="H208" s="12" t="n"/>
      <c r="I208" s="12" t="n"/>
      <c r="J208" s="13">
        <f>IF(OR(A208="",COUNT(H208)=0,COUNT(Z208)=0),"",ROUND(Z208-H208,2))</f>
        <v/>
      </c>
      <c r="K208" s="15">
        <f>IF(COUNT(J208)=0,"",IF(Z208=0,"n.a.",J208/Z208))</f>
        <v/>
      </c>
      <c r="L208" s="14">
        <f>IF(OR(A208="",COUNT(H208)=0,COUNT(Y208)=0),"",ROUND(H208*(1+Y208),2))</f>
        <v/>
      </c>
      <c r="M208" s="10" t="n"/>
      <c r="N208" s="10" t="n"/>
      <c r="O208" s="10" t="n"/>
      <c r="P208" s="10" t="n"/>
      <c r="Q208" s="20" t="n"/>
      <c r="R208" s="10" t="n"/>
      <c r="S208" s="10" t="n"/>
      <c r="T208" s="18" t="n"/>
      <c r="U208" s="18" t="n"/>
      <c r="V208" s="10" t="n"/>
      <c r="W208" s="10" t="n"/>
      <c r="X208" s="19">
        <f>IF(OR(A208="",COUNT(U208)=0,COUNT(AI208)=0),"",U208+AI208)</f>
        <v/>
      </c>
      <c r="Y208" s="16" t="n"/>
      <c r="Z208" s="12" t="n"/>
      <c r="AA208" s="17">
        <f>IF(COUNT(J208)=0,"",IF(H208=0,"n.a.",J208/H208))</f>
        <v/>
      </c>
      <c r="AB208" s="12" t="n"/>
      <c r="AC208" s="12" t="n"/>
      <c r="AD208" s="12" t="n"/>
      <c r="AE208" s="13">
        <f>IF(OR(COUNT(J208)=0,COUNT(AB208:AD208)&lt;3),"",ROUND(J208-SUM(AB208:AD208),2))</f>
        <v/>
      </c>
      <c r="AF208" s="15">
        <f>IF(COUNT(AE208)=0,"",IF(Z208=0,"n.a.",AE208/Z208))</f>
        <v/>
      </c>
      <c r="AG208" s="12" t="n"/>
      <c r="AH208" s="14">
        <f>IF(OR(A208="",COUNT(Z208)=0,COUNT(AG208)=0),"",ROUND(Z208-AG208,2))</f>
        <v/>
      </c>
      <c r="AI208" s="21" t="n"/>
      <c r="AJ208" s="11">
        <f>IF(A208="","",IF(COUNT(I208)=0,"Enter approved NTE",IF(COUNT(Z208)&gt;0,IF(Z208&gt;I208,"Invoice exceeds NTE","Invoice within NTE"),IF(COUNT(L208)=0,"Enter quote inputs",IF(L208&gt;I208,"Quote exceeds NTE","Quote within NTE")))))</f>
        <v/>
      </c>
      <c r="AK208" s="11">
        <f>IF(A208="","",IF(COUNT(H208)=0,"Enter direct cost",IF(COUNT(Z208)=0,"Enter invoice revenue",IF(COUNT(AB208:AD208)&lt;3,"Enter expenses (0 if none)","Complete"))))</f>
        <v/>
      </c>
      <c r="AL208" s="11">
        <f>IF(A208="","",IF(NOT(AND(COUNT(AH208)=1,N(AH208)&gt;0.004,V208&lt;&gt;"Void",V208&lt;&gt;"Not invoiced",V208&lt;&gt;"Draft")),"",IF(COUNT(X208)=0,"No due date",IF(TODAY()-X208&lt;=0,"Not yet due",IF(TODAY()-X208&lt;=30,"1-30 days",IF(TODAY()-X208&lt;=60,"31-60 days",IF(TODAY()-X208&lt;=90,"61-90 days","Over 90 days")))))))</f>
        <v/>
      </c>
      <c r="AM208" s="49">
        <f>IF(OR(AL208="",AL208="No due date"),"",MAX(TODAY()-X208,0))</f>
        <v/>
      </c>
      <c r="AN208" s="49">
        <f>IF(AL208="","",IF(COUNT(X208)=0,-100000,TODAY()-X208))</f>
        <v/>
      </c>
      <c r="AO208" s="49">
        <f>IF(AN208="","",COUNTIF(AN$11:AN$1010,"&gt;"&amp;AN208)+COUNTIF(AN$11:AN208,AN208))</f>
        <v/>
      </c>
      <c r="AP208" s="49">
        <f>IF(OR(A208="",B208=""),"",IF(COUNTIF(B$11:B208,B208)=1,MAX(AP$10:AP207)+1,""))</f>
        <v/>
      </c>
    </row>
    <row r="209" ht="24" customHeight="1">
      <c r="A209" s="20" t="n"/>
      <c r="B209" s="10" t="n"/>
      <c r="C209" s="10" t="n"/>
      <c r="D209" s="10" t="n"/>
      <c r="E209" s="10" t="n"/>
      <c r="F209" s="18" t="n"/>
      <c r="G209" s="10" t="n"/>
      <c r="H209" s="12" t="n"/>
      <c r="I209" s="12" t="n"/>
      <c r="J209" s="13">
        <f>IF(OR(A209="",COUNT(H209)=0,COUNT(Z209)=0),"",ROUND(Z209-H209,2))</f>
        <v/>
      </c>
      <c r="K209" s="15">
        <f>IF(COUNT(J209)=0,"",IF(Z209=0,"n.a.",J209/Z209))</f>
        <v/>
      </c>
      <c r="L209" s="14">
        <f>IF(OR(A209="",COUNT(H209)=0,COUNT(Y209)=0),"",ROUND(H209*(1+Y209),2))</f>
        <v/>
      </c>
      <c r="M209" s="10" t="n"/>
      <c r="N209" s="10" t="n"/>
      <c r="O209" s="10" t="n"/>
      <c r="P209" s="10" t="n"/>
      <c r="Q209" s="20" t="n"/>
      <c r="R209" s="10" t="n"/>
      <c r="S209" s="10" t="n"/>
      <c r="T209" s="18" t="n"/>
      <c r="U209" s="18" t="n"/>
      <c r="V209" s="10" t="n"/>
      <c r="W209" s="10" t="n"/>
      <c r="X209" s="19">
        <f>IF(OR(A209="",COUNT(U209)=0,COUNT(AI209)=0),"",U209+AI209)</f>
        <v/>
      </c>
      <c r="Y209" s="16" t="n"/>
      <c r="Z209" s="12" t="n"/>
      <c r="AA209" s="17">
        <f>IF(COUNT(J209)=0,"",IF(H209=0,"n.a.",J209/H209))</f>
        <v/>
      </c>
      <c r="AB209" s="12" t="n"/>
      <c r="AC209" s="12" t="n"/>
      <c r="AD209" s="12" t="n"/>
      <c r="AE209" s="13">
        <f>IF(OR(COUNT(J209)=0,COUNT(AB209:AD209)&lt;3),"",ROUND(J209-SUM(AB209:AD209),2))</f>
        <v/>
      </c>
      <c r="AF209" s="15">
        <f>IF(COUNT(AE209)=0,"",IF(Z209=0,"n.a.",AE209/Z209))</f>
        <v/>
      </c>
      <c r="AG209" s="12" t="n"/>
      <c r="AH209" s="14">
        <f>IF(OR(A209="",COUNT(Z209)=0,COUNT(AG209)=0),"",ROUND(Z209-AG209,2))</f>
        <v/>
      </c>
      <c r="AI209" s="21" t="n"/>
      <c r="AJ209" s="11">
        <f>IF(A209="","",IF(COUNT(I209)=0,"Enter approved NTE",IF(COUNT(Z209)&gt;0,IF(Z209&gt;I209,"Invoice exceeds NTE","Invoice within NTE"),IF(COUNT(L209)=0,"Enter quote inputs",IF(L209&gt;I209,"Quote exceeds NTE","Quote within NTE")))))</f>
        <v/>
      </c>
      <c r="AK209" s="11">
        <f>IF(A209="","",IF(COUNT(H209)=0,"Enter direct cost",IF(COUNT(Z209)=0,"Enter invoice revenue",IF(COUNT(AB209:AD209)&lt;3,"Enter expenses (0 if none)","Complete"))))</f>
        <v/>
      </c>
      <c r="AL209" s="11">
        <f>IF(A209="","",IF(NOT(AND(COUNT(AH209)=1,N(AH209)&gt;0.004,V209&lt;&gt;"Void",V209&lt;&gt;"Not invoiced",V209&lt;&gt;"Draft")),"",IF(COUNT(X209)=0,"No due date",IF(TODAY()-X209&lt;=0,"Not yet due",IF(TODAY()-X209&lt;=30,"1-30 days",IF(TODAY()-X209&lt;=60,"31-60 days",IF(TODAY()-X209&lt;=90,"61-90 days","Over 90 days")))))))</f>
        <v/>
      </c>
      <c r="AM209" s="49">
        <f>IF(OR(AL209="",AL209="No due date"),"",MAX(TODAY()-X209,0))</f>
        <v/>
      </c>
      <c r="AN209" s="49">
        <f>IF(AL209="","",IF(COUNT(X209)=0,-100000,TODAY()-X209))</f>
        <v/>
      </c>
      <c r="AO209" s="49">
        <f>IF(AN209="","",COUNTIF(AN$11:AN$1010,"&gt;"&amp;AN209)+COUNTIF(AN$11:AN209,AN209))</f>
        <v/>
      </c>
      <c r="AP209" s="49">
        <f>IF(OR(A209="",B209=""),"",IF(COUNTIF(B$11:B209,B209)=1,MAX(AP$10:AP208)+1,""))</f>
        <v/>
      </c>
    </row>
    <row r="210" ht="24" customHeight="1">
      <c r="A210" s="20" t="n"/>
      <c r="B210" s="10" t="n"/>
      <c r="C210" s="10" t="n"/>
      <c r="D210" s="10" t="n"/>
      <c r="E210" s="10" t="n"/>
      <c r="F210" s="18" t="n"/>
      <c r="G210" s="10" t="n"/>
      <c r="H210" s="12" t="n"/>
      <c r="I210" s="12" t="n"/>
      <c r="J210" s="13">
        <f>IF(OR(A210="",COUNT(H210)=0,COUNT(Z210)=0),"",ROUND(Z210-H210,2))</f>
        <v/>
      </c>
      <c r="K210" s="15">
        <f>IF(COUNT(J210)=0,"",IF(Z210=0,"n.a.",J210/Z210))</f>
        <v/>
      </c>
      <c r="L210" s="14">
        <f>IF(OR(A210="",COUNT(H210)=0,COUNT(Y210)=0),"",ROUND(H210*(1+Y210),2))</f>
        <v/>
      </c>
      <c r="M210" s="10" t="n"/>
      <c r="N210" s="10" t="n"/>
      <c r="O210" s="10" t="n"/>
      <c r="P210" s="10" t="n"/>
      <c r="Q210" s="20" t="n"/>
      <c r="R210" s="10" t="n"/>
      <c r="S210" s="10" t="n"/>
      <c r="T210" s="18" t="n"/>
      <c r="U210" s="18" t="n"/>
      <c r="V210" s="10" t="n"/>
      <c r="W210" s="10" t="n"/>
      <c r="X210" s="19">
        <f>IF(OR(A210="",COUNT(U210)=0,COUNT(AI210)=0),"",U210+AI210)</f>
        <v/>
      </c>
      <c r="Y210" s="16" t="n"/>
      <c r="Z210" s="12" t="n"/>
      <c r="AA210" s="17">
        <f>IF(COUNT(J210)=0,"",IF(H210=0,"n.a.",J210/H210))</f>
        <v/>
      </c>
      <c r="AB210" s="12" t="n"/>
      <c r="AC210" s="12" t="n"/>
      <c r="AD210" s="12" t="n"/>
      <c r="AE210" s="13">
        <f>IF(OR(COUNT(J210)=0,COUNT(AB210:AD210)&lt;3),"",ROUND(J210-SUM(AB210:AD210),2))</f>
        <v/>
      </c>
      <c r="AF210" s="15">
        <f>IF(COUNT(AE210)=0,"",IF(Z210=0,"n.a.",AE210/Z210))</f>
        <v/>
      </c>
      <c r="AG210" s="12" t="n"/>
      <c r="AH210" s="14">
        <f>IF(OR(A210="",COUNT(Z210)=0,COUNT(AG210)=0),"",ROUND(Z210-AG210,2))</f>
        <v/>
      </c>
      <c r="AI210" s="21" t="n"/>
      <c r="AJ210" s="11">
        <f>IF(A210="","",IF(COUNT(I210)=0,"Enter approved NTE",IF(COUNT(Z210)&gt;0,IF(Z210&gt;I210,"Invoice exceeds NTE","Invoice within NTE"),IF(COUNT(L210)=0,"Enter quote inputs",IF(L210&gt;I210,"Quote exceeds NTE","Quote within NTE")))))</f>
        <v/>
      </c>
      <c r="AK210" s="11">
        <f>IF(A210="","",IF(COUNT(H210)=0,"Enter direct cost",IF(COUNT(Z210)=0,"Enter invoice revenue",IF(COUNT(AB210:AD210)&lt;3,"Enter expenses (0 if none)","Complete"))))</f>
        <v/>
      </c>
      <c r="AL210" s="11">
        <f>IF(A210="","",IF(NOT(AND(COUNT(AH210)=1,N(AH210)&gt;0.004,V210&lt;&gt;"Void",V210&lt;&gt;"Not invoiced",V210&lt;&gt;"Draft")),"",IF(COUNT(X210)=0,"No due date",IF(TODAY()-X210&lt;=0,"Not yet due",IF(TODAY()-X210&lt;=30,"1-30 days",IF(TODAY()-X210&lt;=60,"31-60 days",IF(TODAY()-X210&lt;=90,"61-90 days","Over 90 days")))))))</f>
        <v/>
      </c>
      <c r="AM210" s="49">
        <f>IF(OR(AL210="",AL210="No due date"),"",MAX(TODAY()-X210,0))</f>
        <v/>
      </c>
      <c r="AN210" s="49">
        <f>IF(AL210="","",IF(COUNT(X210)=0,-100000,TODAY()-X210))</f>
        <v/>
      </c>
      <c r="AO210" s="49">
        <f>IF(AN210="","",COUNTIF(AN$11:AN$1010,"&gt;"&amp;AN210)+COUNTIF(AN$11:AN210,AN210))</f>
        <v/>
      </c>
      <c r="AP210" s="49">
        <f>IF(OR(A210="",B210=""),"",IF(COUNTIF(B$11:B210,B210)=1,MAX(AP$10:AP209)+1,""))</f>
        <v/>
      </c>
    </row>
    <row r="211" ht="24" customHeight="1">
      <c r="A211" s="20" t="n"/>
      <c r="B211" s="10" t="n"/>
      <c r="C211" s="10" t="n"/>
      <c r="D211" s="10" t="n"/>
      <c r="E211" s="10" t="n"/>
      <c r="F211" s="18" t="n"/>
      <c r="G211" s="10" t="n"/>
      <c r="H211" s="12" t="n"/>
      <c r="I211" s="12" t="n"/>
      <c r="J211" s="13">
        <f>IF(OR(A211="",COUNT(H211)=0,COUNT(Z211)=0),"",ROUND(Z211-H211,2))</f>
        <v/>
      </c>
      <c r="K211" s="15">
        <f>IF(COUNT(J211)=0,"",IF(Z211=0,"n.a.",J211/Z211))</f>
        <v/>
      </c>
      <c r="L211" s="14">
        <f>IF(OR(A211="",COUNT(H211)=0,COUNT(Y211)=0),"",ROUND(H211*(1+Y211),2))</f>
        <v/>
      </c>
      <c r="M211" s="10" t="n"/>
      <c r="N211" s="10" t="n"/>
      <c r="O211" s="10" t="n"/>
      <c r="P211" s="10" t="n"/>
      <c r="Q211" s="20" t="n"/>
      <c r="R211" s="10" t="n"/>
      <c r="S211" s="10" t="n"/>
      <c r="T211" s="18" t="n"/>
      <c r="U211" s="18" t="n"/>
      <c r="V211" s="10" t="n"/>
      <c r="W211" s="10" t="n"/>
      <c r="X211" s="19">
        <f>IF(OR(A211="",COUNT(U211)=0,COUNT(AI211)=0),"",U211+AI211)</f>
        <v/>
      </c>
      <c r="Y211" s="16" t="n"/>
      <c r="Z211" s="12" t="n"/>
      <c r="AA211" s="17">
        <f>IF(COUNT(J211)=0,"",IF(H211=0,"n.a.",J211/H211))</f>
        <v/>
      </c>
      <c r="AB211" s="12" t="n"/>
      <c r="AC211" s="12" t="n"/>
      <c r="AD211" s="12" t="n"/>
      <c r="AE211" s="13">
        <f>IF(OR(COUNT(J211)=0,COUNT(AB211:AD211)&lt;3),"",ROUND(J211-SUM(AB211:AD211),2))</f>
        <v/>
      </c>
      <c r="AF211" s="15">
        <f>IF(COUNT(AE211)=0,"",IF(Z211=0,"n.a.",AE211/Z211))</f>
        <v/>
      </c>
      <c r="AG211" s="12" t="n"/>
      <c r="AH211" s="14">
        <f>IF(OR(A211="",COUNT(Z211)=0,COUNT(AG211)=0),"",ROUND(Z211-AG211,2))</f>
        <v/>
      </c>
      <c r="AI211" s="21" t="n"/>
      <c r="AJ211" s="11">
        <f>IF(A211="","",IF(COUNT(I211)=0,"Enter approved NTE",IF(COUNT(Z211)&gt;0,IF(Z211&gt;I211,"Invoice exceeds NTE","Invoice within NTE"),IF(COUNT(L211)=0,"Enter quote inputs",IF(L211&gt;I211,"Quote exceeds NTE","Quote within NTE")))))</f>
        <v/>
      </c>
      <c r="AK211" s="11">
        <f>IF(A211="","",IF(COUNT(H211)=0,"Enter direct cost",IF(COUNT(Z211)=0,"Enter invoice revenue",IF(COUNT(AB211:AD211)&lt;3,"Enter expenses (0 if none)","Complete"))))</f>
        <v/>
      </c>
      <c r="AL211" s="11">
        <f>IF(A211="","",IF(NOT(AND(COUNT(AH211)=1,N(AH211)&gt;0.004,V211&lt;&gt;"Void",V211&lt;&gt;"Not invoiced",V211&lt;&gt;"Draft")),"",IF(COUNT(X211)=0,"No due date",IF(TODAY()-X211&lt;=0,"Not yet due",IF(TODAY()-X211&lt;=30,"1-30 days",IF(TODAY()-X211&lt;=60,"31-60 days",IF(TODAY()-X211&lt;=90,"61-90 days","Over 90 days")))))))</f>
        <v/>
      </c>
      <c r="AM211" s="49">
        <f>IF(OR(AL211="",AL211="No due date"),"",MAX(TODAY()-X211,0))</f>
        <v/>
      </c>
      <c r="AN211" s="49">
        <f>IF(AL211="","",IF(COUNT(X211)=0,-100000,TODAY()-X211))</f>
        <v/>
      </c>
      <c r="AO211" s="49">
        <f>IF(AN211="","",COUNTIF(AN$11:AN$1010,"&gt;"&amp;AN211)+COUNTIF(AN$11:AN211,AN211))</f>
        <v/>
      </c>
      <c r="AP211" s="49">
        <f>IF(OR(A211="",B211=""),"",IF(COUNTIF(B$11:B211,B211)=1,MAX(AP$10:AP210)+1,""))</f>
        <v/>
      </c>
    </row>
    <row r="212" ht="24" customHeight="1">
      <c r="A212" s="20" t="n"/>
      <c r="B212" s="10" t="n"/>
      <c r="C212" s="10" t="n"/>
      <c r="D212" s="10" t="n"/>
      <c r="E212" s="10" t="n"/>
      <c r="F212" s="18" t="n"/>
      <c r="G212" s="10" t="n"/>
      <c r="H212" s="12" t="n"/>
      <c r="I212" s="12" t="n"/>
      <c r="J212" s="13">
        <f>IF(OR(A212="",COUNT(H212)=0,COUNT(Z212)=0),"",ROUND(Z212-H212,2))</f>
        <v/>
      </c>
      <c r="K212" s="15">
        <f>IF(COUNT(J212)=0,"",IF(Z212=0,"n.a.",J212/Z212))</f>
        <v/>
      </c>
      <c r="L212" s="14">
        <f>IF(OR(A212="",COUNT(H212)=0,COUNT(Y212)=0),"",ROUND(H212*(1+Y212),2))</f>
        <v/>
      </c>
      <c r="M212" s="10" t="n"/>
      <c r="N212" s="10" t="n"/>
      <c r="O212" s="10" t="n"/>
      <c r="P212" s="10" t="n"/>
      <c r="Q212" s="20" t="n"/>
      <c r="R212" s="10" t="n"/>
      <c r="S212" s="10" t="n"/>
      <c r="T212" s="18" t="n"/>
      <c r="U212" s="18" t="n"/>
      <c r="V212" s="10" t="n"/>
      <c r="W212" s="10" t="n"/>
      <c r="X212" s="19">
        <f>IF(OR(A212="",COUNT(U212)=0,COUNT(AI212)=0),"",U212+AI212)</f>
        <v/>
      </c>
      <c r="Y212" s="16" t="n"/>
      <c r="Z212" s="12" t="n"/>
      <c r="AA212" s="17">
        <f>IF(COUNT(J212)=0,"",IF(H212=0,"n.a.",J212/H212))</f>
        <v/>
      </c>
      <c r="AB212" s="12" t="n"/>
      <c r="AC212" s="12" t="n"/>
      <c r="AD212" s="12" t="n"/>
      <c r="AE212" s="13">
        <f>IF(OR(COUNT(J212)=0,COUNT(AB212:AD212)&lt;3),"",ROUND(J212-SUM(AB212:AD212),2))</f>
        <v/>
      </c>
      <c r="AF212" s="15">
        <f>IF(COUNT(AE212)=0,"",IF(Z212=0,"n.a.",AE212/Z212))</f>
        <v/>
      </c>
      <c r="AG212" s="12" t="n"/>
      <c r="AH212" s="14">
        <f>IF(OR(A212="",COUNT(Z212)=0,COUNT(AG212)=0),"",ROUND(Z212-AG212,2))</f>
        <v/>
      </c>
      <c r="AI212" s="21" t="n"/>
      <c r="AJ212" s="11">
        <f>IF(A212="","",IF(COUNT(I212)=0,"Enter approved NTE",IF(COUNT(Z212)&gt;0,IF(Z212&gt;I212,"Invoice exceeds NTE","Invoice within NTE"),IF(COUNT(L212)=0,"Enter quote inputs",IF(L212&gt;I212,"Quote exceeds NTE","Quote within NTE")))))</f>
        <v/>
      </c>
      <c r="AK212" s="11">
        <f>IF(A212="","",IF(COUNT(H212)=0,"Enter direct cost",IF(COUNT(Z212)=0,"Enter invoice revenue",IF(COUNT(AB212:AD212)&lt;3,"Enter expenses (0 if none)","Complete"))))</f>
        <v/>
      </c>
      <c r="AL212" s="11">
        <f>IF(A212="","",IF(NOT(AND(COUNT(AH212)=1,N(AH212)&gt;0.004,V212&lt;&gt;"Void",V212&lt;&gt;"Not invoiced",V212&lt;&gt;"Draft")),"",IF(COUNT(X212)=0,"No due date",IF(TODAY()-X212&lt;=0,"Not yet due",IF(TODAY()-X212&lt;=30,"1-30 days",IF(TODAY()-X212&lt;=60,"31-60 days",IF(TODAY()-X212&lt;=90,"61-90 days","Over 90 days")))))))</f>
        <v/>
      </c>
      <c r="AM212" s="49">
        <f>IF(OR(AL212="",AL212="No due date"),"",MAX(TODAY()-X212,0))</f>
        <v/>
      </c>
      <c r="AN212" s="49">
        <f>IF(AL212="","",IF(COUNT(X212)=0,-100000,TODAY()-X212))</f>
        <v/>
      </c>
      <c r="AO212" s="49">
        <f>IF(AN212="","",COUNTIF(AN$11:AN$1010,"&gt;"&amp;AN212)+COUNTIF(AN$11:AN212,AN212))</f>
        <v/>
      </c>
      <c r="AP212" s="49">
        <f>IF(OR(A212="",B212=""),"",IF(COUNTIF(B$11:B212,B212)=1,MAX(AP$10:AP211)+1,""))</f>
        <v/>
      </c>
    </row>
    <row r="213" ht="24" customHeight="1">
      <c r="A213" s="20" t="n"/>
      <c r="B213" s="10" t="n"/>
      <c r="C213" s="10" t="n"/>
      <c r="D213" s="10" t="n"/>
      <c r="E213" s="10" t="n"/>
      <c r="F213" s="18" t="n"/>
      <c r="G213" s="10" t="n"/>
      <c r="H213" s="12" t="n"/>
      <c r="I213" s="12" t="n"/>
      <c r="J213" s="13">
        <f>IF(OR(A213="",COUNT(H213)=0,COUNT(Z213)=0),"",ROUND(Z213-H213,2))</f>
        <v/>
      </c>
      <c r="K213" s="15">
        <f>IF(COUNT(J213)=0,"",IF(Z213=0,"n.a.",J213/Z213))</f>
        <v/>
      </c>
      <c r="L213" s="14">
        <f>IF(OR(A213="",COUNT(H213)=0,COUNT(Y213)=0),"",ROUND(H213*(1+Y213),2))</f>
        <v/>
      </c>
      <c r="M213" s="10" t="n"/>
      <c r="N213" s="10" t="n"/>
      <c r="O213" s="10" t="n"/>
      <c r="P213" s="10" t="n"/>
      <c r="Q213" s="20" t="n"/>
      <c r="R213" s="10" t="n"/>
      <c r="S213" s="10" t="n"/>
      <c r="T213" s="18" t="n"/>
      <c r="U213" s="18" t="n"/>
      <c r="V213" s="10" t="n"/>
      <c r="W213" s="10" t="n"/>
      <c r="X213" s="19">
        <f>IF(OR(A213="",COUNT(U213)=0,COUNT(AI213)=0),"",U213+AI213)</f>
        <v/>
      </c>
      <c r="Y213" s="16" t="n"/>
      <c r="Z213" s="12" t="n"/>
      <c r="AA213" s="17">
        <f>IF(COUNT(J213)=0,"",IF(H213=0,"n.a.",J213/H213))</f>
        <v/>
      </c>
      <c r="AB213" s="12" t="n"/>
      <c r="AC213" s="12" t="n"/>
      <c r="AD213" s="12" t="n"/>
      <c r="AE213" s="13">
        <f>IF(OR(COUNT(J213)=0,COUNT(AB213:AD213)&lt;3),"",ROUND(J213-SUM(AB213:AD213),2))</f>
        <v/>
      </c>
      <c r="AF213" s="15">
        <f>IF(COUNT(AE213)=0,"",IF(Z213=0,"n.a.",AE213/Z213))</f>
        <v/>
      </c>
      <c r="AG213" s="12" t="n"/>
      <c r="AH213" s="14">
        <f>IF(OR(A213="",COUNT(Z213)=0,COUNT(AG213)=0),"",ROUND(Z213-AG213,2))</f>
        <v/>
      </c>
      <c r="AI213" s="21" t="n"/>
      <c r="AJ213" s="11">
        <f>IF(A213="","",IF(COUNT(I213)=0,"Enter approved NTE",IF(COUNT(Z213)&gt;0,IF(Z213&gt;I213,"Invoice exceeds NTE","Invoice within NTE"),IF(COUNT(L213)=0,"Enter quote inputs",IF(L213&gt;I213,"Quote exceeds NTE","Quote within NTE")))))</f>
        <v/>
      </c>
      <c r="AK213" s="11">
        <f>IF(A213="","",IF(COUNT(H213)=0,"Enter direct cost",IF(COUNT(Z213)=0,"Enter invoice revenue",IF(COUNT(AB213:AD213)&lt;3,"Enter expenses (0 if none)","Complete"))))</f>
        <v/>
      </c>
      <c r="AL213" s="11">
        <f>IF(A213="","",IF(NOT(AND(COUNT(AH213)=1,N(AH213)&gt;0.004,V213&lt;&gt;"Void",V213&lt;&gt;"Not invoiced",V213&lt;&gt;"Draft")),"",IF(COUNT(X213)=0,"No due date",IF(TODAY()-X213&lt;=0,"Not yet due",IF(TODAY()-X213&lt;=30,"1-30 days",IF(TODAY()-X213&lt;=60,"31-60 days",IF(TODAY()-X213&lt;=90,"61-90 days","Over 90 days")))))))</f>
        <v/>
      </c>
      <c r="AM213" s="49">
        <f>IF(OR(AL213="",AL213="No due date"),"",MAX(TODAY()-X213,0))</f>
        <v/>
      </c>
      <c r="AN213" s="49">
        <f>IF(AL213="","",IF(COUNT(X213)=0,-100000,TODAY()-X213))</f>
        <v/>
      </c>
      <c r="AO213" s="49">
        <f>IF(AN213="","",COUNTIF(AN$11:AN$1010,"&gt;"&amp;AN213)+COUNTIF(AN$11:AN213,AN213))</f>
        <v/>
      </c>
      <c r="AP213" s="49">
        <f>IF(OR(A213="",B213=""),"",IF(COUNTIF(B$11:B213,B213)=1,MAX(AP$10:AP212)+1,""))</f>
        <v/>
      </c>
    </row>
    <row r="214" ht="24" customHeight="1">
      <c r="A214" s="20" t="n"/>
      <c r="B214" s="10" t="n"/>
      <c r="C214" s="10" t="n"/>
      <c r="D214" s="10" t="n"/>
      <c r="E214" s="10" t="n"/>
      <c r="F214" s="18" t="n"/>
      <c r="G214" s="10" t="n"/>
      <c r="H214" s="12" t="n"/>
      <c r="I214" s="12" t="n"/>
      <c r="J214" s="13">
        <f>IF(OR(A214="",COUNT(H214)=0,COUNT(Z214)=0),"",ROUND(Z214-H214,2))</f>
        <v/>
      </c>
      <c r="K214" s="15">
        <f>IF(COUNT(J214)=0,"",IF(Z214=0,"n.a.",J214/Z214))</f>
        <v/>
      </c>
      <c r="L214" s="14">
        <f>IF(OR(A214="",COUNT(H214)=0,COUNT(Y214)=0),"",ROUND(H214*(1+Y214),2))</f>
        <v/>
      </c>
      <c r="M214" s="10" t="n"/>
      <c r="N214" s="10" t="n"/>
      <c r="O214" s="10" t="n"/>
      <c r="P214" s="10" t="n"/>
      <c r="Q214" s="20" t="n"/>
      <c r="R214" s="10" t="n"/>
      <c r="S214" s="10" t="n"/>
      <c r="T214" s="18" t="n"/>
      <c r="U214" s="18" t="n"/>
      <c r="V214" s="10" t="n"/>
      <c r="W214" s="10" t="n"/>
      <c r="X214" s="19">
        <f>IF(OR(A214="",COUNT(U214)=0,COUNT(AI214)=0),"",U214+AI214)</f>
        <v/>
      </c>
      <c r="Y214" s="16" t="n"/>
      <c r="Z214" s="12" t="n"/>
      <c r="AA214" s="17">
        <f>IF(COUNT(J214)=0,"",IF(H214=0,"n.a.",J214/H214))</f>
        <v/>
      </c>
      <c r="AB214" s="12" t="n"/>
      <c r="AC214" s="12" t="n"/>
      <c r="AD214" s="12" t="n"/>
      <c r="AE214" s="13">
        <f>IF(OR(COUNT(J214)=0,COUNT(AB214:AD214)&lt;3),"",ROUND(J214-SUM(AB214:AD214),2))</f>
        <v/>
      </c>
      <c r="AF214" s="15">
        <f>IF(COUNT(AE214)=0,"",IF(Z214=0,"n.a.",AE214/Z214))</f>
        <v/>
      </c>
      <c r="AG214" s="12" t="n"/>
      <c r="AH214" s="14">
        <f>IF(OR(A214="",COUNT(Z214)=0,COUNT(AG214)=0),"",ROUND(Z214-AG214,2))</f>
        <v/>
      </c>
      <c r="AI214" s="21" t="n"/>
      <c r="AJ214" s="11">
        <f>IF(A214="","",IF(COUNT(I214)=0,"Enter approved NTE",IF(COUNT(Z214)&gt;0,IF(Z214&gt;I214,"Invoice exceeds NTE","Invoice within NTE"),IF(COUNT(L214)=0,"Enter quote inputs",IF(L214&gt;I214,"Quote exceeds NTE","Quote within NTE")))))</f>
        <v/>
      </c>
      <c r="AK214" s="11">
        <f>IF(A214="","",IF(COUNT(H214)=0,"Enter direct cost",IF(COUNT(Z214)=0,"Enter invoice revenue",IF(COUNT(AB214:AD214)&lt;3,"Enter expenses (0 if none)","Complete"))))</f>
        <v/>
      </c>
      <c r="AL214" s="11">
        <f>IF(A214="","",IF(NOT(AND(COUNT(AH214)=1,N(AH214)&gt;0.004,V214&lt;&gt;"Void",V214&lt;&gt;"Not invoiced",V214&lt;&gt;"Draft")),"",IF(COUNT(X214)=0,"No due date",IF(TODAY()-X214&lt;=0,"Not yet due",IF(TODAY()-X214&lt;=30,"1-30 days",IF(TODAY()-X214&lt;=60,"31-60 days",IF(TODAY()-X214&lt;=90,"61-90 days","Over 90 days")))))))</f>
        <v/>
      </c>
      <c r="AM214" s="49">
        <f>IF(OR(AL214="",AL214="No due date"),"",MAX(TODAY()-X214,0))</f>
        <v/>
      </c>
      <c r="AN214" s="49">
        <f>IF(AL214="","",IF(COUNT(X214)=0,-100000,TODAY()-X214))</f>
        <v/>
      </c>
      <c r="AO214" s="49">
        <f>IF(AN214="","",COUNTIF(AN$11:AN$1010,"&gt;"&amp;AN214)+COUNTIF(AN$11:AN214,AN214))</f>
        <v/>
      </c>
      <c r="AP214" s="49">
        <f>IF(OR(A214="",B214=""),"",IF(COUNTIF(B$11:B214,B214)=1,MAX(AP$10:AP213)+1,""))</f>
        <v/>
      </c>
    </row>
    <row r="215" ht="24" customHeight="1">
      <c r="A215" s="20" t="n"/>
      <c r="B215" s="10" t="n"/>
      <c r="C215" s="10" t="n"/>
      <c r="D215" s="10" t="n"/>
      <c r="E215" s="10" t="n"/>
      <c r="F215" s="18" t="n"/>
      <c r="G215" s="10" t="n"/>
      <c r="H215" s="12" t="n"/>
      <c r="I215" s="12" t="n"/>
      <c r="J215" s="13">
        <f>IF(OR(A215="",COUNT(H215)=0,COUNT(Z215)=0),"",ROUND(Z215-H215,2))</f>
        <v/>
      </c>
      <c r="K215" s="15">
        <f>IF(COUNT(J215)=0,"",IF(Z215=0,"n.a.",J215/Z215))</f>
        <v/>
      </c>
      <c r="L215" s="14">
        <f>IF(OR(A215="",COUNT(H215)=0,COUNT(Y215)=0),"",ROUND(H215*(1+Y215),2))</f>
        <v/>
      </c>
      <c r="M215" s="10" t="n"/>
      <c r="N215" s="10" t="n"/>
      <c r="O215" s="10" t="n"/>
      <c r="P215" s="10" t="n"/>
      <c r="Q215" s="20" t="n"/>
      <c r="R215" s="10" t="n"/>
      <c r="S215" s="10" t="n"/>
      <c r="T215" s="18" t="n"/>
      <c r="U215" s="18" t="n"/>
      <c r="V215" s="10" t="n"/>
      <c r="W215" s="10" t="n"/>
      <c r="X215" s="19">
        <f>IF(OR(A215="",COUNT(U215)=0,COUNT(AI215)=0),"",U215+AI215)</f>
        <v/>
      </c>
      <c r="Y215" s="16" t="n"/>
      <c r="Z215" s="12" t="n"/>
      <c r="AA215" s="17">
        <f>IF(COUNT(J215)=0,"",IF(H215=0,"n.a.",J215/H215))</f>
        <v/>
      </c>
      <c r="AB215" s="12" t="n"/>
      <c r="AC215" s="12" t="n"/>
      <c r="AD215" s="12" t="n"/>
      <c r="AE215" s="13">
        <f>IF(OR(COUNT(J215)=0,COUNT(AB215:AD215)&lt;3),"",ROUND(J215-SUM(AB215:AD215),2))</f>
        <v/>
      </c>
      <c r="AF215" s="15">
        <f>IF(COUNT(AE215)=0,"",IF(Z215=0,"n.a.",AE215/Z215))</f>
        <v/>
      </c>
      <c r="AG215" s="12" t="n"/>
      <c r="AH215" s="14">
        <f>IF(OR(A215="",COUNT(Z215)=0,COUNT(AG215)=0),"",ROUND(Z215-AG215,2))</f>
        <v/>
      </c>
      <c r="AI215" s="21" t="n"/>
      <c r="AJ215" s="11">
        <f>IF(A215="","",IF(COUNT(I215)=0,"Enter approved NTE",IF(COUNT(Z215)&gt;0,IF(Z215&gt;I215,"Invoice exceeds NTE","Invoice within NTE"),IF(COUNT(L215)=0,"Enter quote inputs",IF(L215&gt;I215,"Quote exceeds NTE","Quote within NTE")))))</f>
        <v/>
      </c>
      <c r="AK215" s="11">
        <f>IF(A215="","",IF(COUNT(H215)=0,"Enter direct cost",IF(COUNT(Z215)=0,"Enter invoice revenue",IF(COUNT(AB215:AD215)&lt;3,"Enter expenses (0 if none)","Complete"))))</f>
        <v/>
      </c>
      <c r="AL215" s="11">
        <f>IF(A215="","",IF(NOT(AND(COUNT(AH215)=1,N(AH215)&gt;0.004,V215&lt;&gt;"Void",V215&lt;&gt;"Not invoiced",V215&lt;&gt;"Draft")),"",IF(COUNT(X215)=0,"No due date",IF(TODAY()-X215&lt;=0,"Not yet due",IF(TODAY()-X215&lt;=30,"1-30 days",IF(TODAY()-X215&lt;=60,"31-60 days",IF(TODAY()-X215&lt;=90,"61-90 days","Over 90 days")))))))</f>
        <v/>
      </c>
      <c r="AM215" s="49">
        <f>IF(OR(AL215="",AL215="No due date"),"",MAX(TODAY()-X215,0))</f>
        <v/>
      </c>
      <c r="AN215" s="49">
        <f>IF(AL215="","",IF(COUNT(X215)=0,-100000,TODAY()-X215))</f>
        <v/>
      </c>
      <c r="AO215" s="49">
        <f>IF(AN215="","",COUNTIF(AN$11:AN$1010,"&gt;"&amp;AN215)+COUNTIF(AN$11:AN215,AN215))</f>
        <v/>
      </c>
      <c r="AP215" s="49">
        <f>IF(OR(A215="",B215=""),"",IF(COUNTIF(B$11:B215,B215)=1,MAX(AP$10:AP214)+1,""))</f>
        <v/>
      </c>
    </row>
    <row r="216" ht="24" customHeight="1">
      <c r="A216" s="20" t="n"/>
      <c r="B216" s="10" t="n"/>
      <c r="C216" s="10" t="n"/>
      <c r="D216" s="10" t="n"/>
      <c r="E216" s="10" t="n"/>
      <c r="F216" s="18" t="n"/>
      <c r="G216" s="10" t="n"/>
      <c r="H216" s="12" t="n"/>
      <c r="I216" s="12" t="n"/>
      <c r="J216" s="13">
        <f>IF(OR(A216="",COUNT(H216)=0,COUNT(Z216)=0),"",ROUND(Z216-H216,2))</f>
        <v/>
      </c>
      <c r="K216" s="15">
        <f>IF(COUNT(J216)=0,"",IF(Z216=0,"n.a.",J216/Z216))</f>
        <v/>
      </c>
      <c r="L216" s="14">
        <f>IF(OR(A216="",COUNT(H216)=0,COUNT(Y216)=0),"",ROUND(H216*(1+Y216),2))</f>
        <v/>
      </c>
      <c r="M216" s="10" t="n"/>
      <c r="N216" s="10" t="n"/>
      <c r="O216" s="10" t="n"/>
      <c r="P216" s="10" t="n"/>
      <c r="Q216" s="20" t="n"/>
      <c r="R216" s="10" t="n"/>
      <c r="S216" s="10" t="n"/>
      <c r="T216" s="18" t="n"/>
      <c r="U216" s="18" t="n"/>
      <c r="V216" s="10" t="n"/>
      <c r="W216" s="10" t="n"/>
      <c r="X216" s="19">
        <f>IF(OR(A216="",COUNT(U216)=0,COUNT(AI216)=0),"",U216+AI216)</f>
        <v/>
      </c>
      <c r="Y216" s="16" t="n"/>
      <c r="Z216" s="12" t="n"/>
      <c r="AA216" s="17">
        <f>IF(COUNT(J216)=0,"",IF(H216=0,"n.a.",J216/H216))</f>
        <v/>
      </c>
      <c r="AB216" s="12" t="n"/>
      <c r="AC216" s="12" t="n"/>
      <c r="AD216" s="12" t="n"/>
      <c r="AE216" s="13">
        <f>IF(OR(COUNT(J216)=0,COUNT(AB216:AD216)&lt;3),"",ROUND(J216-SUM(AB216:AD216),2))</f>
        <v/>
      </c>
      <c r="AF216" s="15">
        <f>IF(COUNT(AE216)=0,"",IF(Z216=0,"n.a.",AE216/Z216))</f>
        <v/>
      </c>
      <c r="AG216" s="12" t="n"/>
      <c r="AH216" s="14">
        <f>IF(OR(A216="",COUNT(Z216)=0,COUNT(AG216)=0),"",ROUND(Z216-AG216,2))</f>
        <v/>
      </c>
      <c r="AI216" s="21" t="n"/>
      <c r="AJ216" s="11">
        <f>IF(A216="","",IF(COUNT(I216)=0,"Enter approved NTE",IF(COUNT(Z216)&gt;0,IF(Z216&gt;I216,"Invoice exceeds NTE","Invoice within NTE"),IF(COUNT(L216)=0,"Enter quote inputs",IF(L216&gt;I216,"Quote exceeds NTE","Quote within NTE")))))</f>
        <v/>
      </c>
      <c r="AK216" s="11">
        <f>IF(A216="","",IF(COUNT(H216)=0,"Enter direct cost",IF(COUNT(Z216)=0,"Enter invoice revenue",IF(COUNT(AB216:AD216)&lt;3,"Enter expenses (0 if none)","Complete"))))</f>
        <v/>
      </c>
      <c r="AL216" s="11">
        <f>IF(A216="","",IF(NOT(AND(COUNT(AH216)=1,N(AH216)&gt;0.004,V216&lt;&gt;"Void",V216&lt;&gt;"Not invoiced",V216&lt;&gt;"Draft")),"",IF(COUNT(X216)=0,"No due date",IF(TODAY()-X216&lt;=0,"Not yet due",IF(TODAY()-X216&lt;=30,"1-30 days",IF(TODAY()-X216&lt;=60,"31-60 days",IF(TODAY()-X216&lt;=90,"61-90 days","Over 90 days")))))))</f>
        <v/>
      </c>
      <c r="AM216" s="49">
        <f>IF(OR(AL216="",AL216="No due date"),"",MAX(TODAY()-X216,0))</f>
        <v/>
      </c>
      <c r="AN216" s="49">
        <f>IF(AL216="","",IF(COUNT(X216)=0,-100000,TODAY()-X216))</f>
        <v/>
      </c>
      <c r="AO216" s="49">
        <f>IF(AN216="","",COUNTIF(AN$11:AN$1010,"&gt;"&amp;AN216)+COUNTIF(AN$11:AN216,AN216))</f>
        <v/>
      </c>
      <c r="AP216" s="49">
        <f>IF(OR(A216="",B216=""),"",IF(COUNTIF(B$11:B216,B216)=1,MAX(AP$10:AP215)+1,""))</f>
        <v/>
      </c>
    </row>
    <row r="217" ht="24" customHeight="1">
      <c r="A217" s="20" t="n"/>
      <c r="B217" s="10" t="n"/>
      <c r="C217" s="10" t="n"/>
      <c r="D217" s="10" t="n"/>
      <c r="E217" s="10" t="n"/>
      <c r="F217" s="18" t="n"/>
      <c r="G217" s="10" t="n"/>
      <c r="H217" s="12" t="n"/>
      <c r="I217" s="12" t="n"/>
      <c r="J217" s="13">
        <f>IF(OR(A217="",COUNT(H217)=0,COUNT(Z217)=0),"",ROUND(Z217-H217,2))</f>
        <v/>
      </c>
      <c r="K217" s="15">
        <f>IF(COUNT(J217)=0,"",IF(Z217=0,"n.a.",J217/Z217))</f>
        <v/>
      </c>
      <c r="L217" s="14">
        <f>IF(OR(A217="",COUNT(H217)=0,COUNT(Y217)=0),"",ROUND(H217*(1+Y217),2))</f>
        <v/>
      </c>
      <c r="M217" s="10" t="n"/>
      <c r="N217" s="10" t="n"/>
      <c r="O217" s="10" t="n"/>
      <c r="P217" s="10" t="n"/>
      <c r="Q217" s="20" t="n"/>
      <c r="R217" s="10" t="n"/>
      <c r="S217" s="10" t="n"/>
      <c r="T217" s="18" t="n"/>
      <c r="U217" s="18" t="n"/>
      <c r="V217" s="10" t="n"/>
      <c r="W217" s="10" t="n"/>
      <c r="X217" s="19">
        <f>IF(OR(A217="",COUNT(U217)=0,COUNT(AI217)=0),"",U217+AI217)</f>
        <v/>
      </c>
      <c r="Y217" s="16" t="n"/>
      <c r="Z217" s="12" t="n"/>
      <c r="AA217" s="17">
        <f>IF(COUNT(J217)=0,"",IF(H217=0,"n.a.",J217/H217))</f>
        <v/>
      </c>
      <c r="AB217" s="12" t="n"/>
      <c r="AC217" s="12" t="n"/>
      <c r="AD217" s="12" t="n"/>
      <c r="AE217" s="13">
        <f>IF(OR(COUNT(J217)=0,COUNT(AB217:AD217)&lt;3),"",ROUND(J217-SUM(AB217:AD217),2))</f>
        <v/>
      </c>
      <c r="AF217" s="15">
        <f>IF(COUNT(AE217)=0,"",IF(Z217=0,"n.a.",AE217/Z217))</f>
        <v/>
      </c>
      <c r="AG217" s="12" t="n"/>
      <c r="AH217" s="14">
        <f>IF(OR(A217="",COUNT(Z217)=0,COUNT(AG217)=0),"",ROUND(Z217-AG217,2))</f>
        <v/>
      </c>
      <c r="AI217" s="21" t="n"/>
      <c r="AJ217" s="11">
        <f>IF(A217="","",IF(COUNT(I217)=0,"Enter approved NTE",IF(COUNT(Z217)&gt;0,IF(Z217&gt;I217,"Invoice exceeds NTE","Invoice within NTE"),IF(COUNT(L217)=0,"Enter quote inputs",IF(L217&gt;I217,"Quote exceeds NTE","Quote within NTE")))))</f>
        <v/>
      </c>
      <c r="AK217" s="11">
        <f>IF(A217="","",IF(COUNT(H217)=0,"Enter direct cost",IF(COUNT(Z217)=0,"Enter invoice revenue",IF(COUNT(AB217:AD217)&lt;3,"Enter expenses (0 if none)","Complete"))))</f>
        <v/>
      </c>
      <c r="AL217" s="11">
        <f>IF(A217="","",IF(NOT(AND(COUNT(AH217)=1,N(AH217)&gt;0.004,V217&lt;&gt;"Void",V217&lt;&gt;"Not invoiced",V217&lt;&gt;"Draft")),"",IF(COUNT(X217)=0,"No due date",IF(TODAY()-X217&lt;=0,"Not yet due",IF(TODAY()-X217&lt;=30,"1-30 days",IF(TODAY()-X217&lt;=60,"31-60 days",IF(TODAY()-X217&lt;=90,"61-90 days","Over 90 days")))))))</f>
        <v/>
      </c>
      <c r="AM217" s="49">
        <f>IF(OR(AL217="",AL217="No due date"),"",MAX(TODAY()-X217,0))</f>
        <v/>
      </c>
      <c r="AN217" s="49">
        <f>IF(AL217="","",IF(COUNT(X217)=0,-100000,TODAY()-X217))</f>
        <v/>
      </c>
      <c r="AO217" s="49">
        <f>IF(AN217="","",COUNTIF(AN$11:AN$1010,"&gt;"&amp;AN217)+COUNTIF(AN$11:AN217,AN217))</f>
        <v/>
      </c>
      <c r="AP217" s="49">
        <f>IF(OR(A217="",B217=""),"",IF(COUNTIF(B$11:B217,B217)=1,MAX(AP$10:AP216)+1,""))</f>
        <v/>
      </c>
    </row>
    <row r="218" ht="24" customHeight="1">
      <c r="A218" s="20" t="n"/>
      <c r="B218" s="10" t="n"/>
      <c r="C218" s="10" t="n"/>
      <c r="D218" s="10" t="n"/>
      <c r="E218" s="10" t="n"/>
      <c r="F218" s="18" t="n"/>
      <c r="G218" s="10" t="n"/>
      <c r="H218" s="12" t="n"/>
      <c r="I218" s="12" t="n"/>
      <c r="J218" s="13">
        <f>IF(OR(A218="",COUNT(H218)=0,COUNT(Z218)=0),"",ROUND(Z218-H218,2))</f>
        <v/>
      </c>
      <c r="K218" s="15">
        <f>IF(COUNT(J218)=0,"",IF(Z218=0,"n.a.",J218/Z218))</f>
        <v/>
      </c>
      <c r="L218" s="14">
        <f>IF(OR(A218="",COUNT(H218)=0,COUNT(Y218)=0),"",ROUND(H218*(1+Y218),2))</f>
        <v/>
      </c>
      <c r="M218" s="10" t="n"/>
      <c r="N218" s="10" t="n"/>
      <c r="O218" s="10" t="n"/>
      <c r="P218" s="10" t="n"/>
      <c r="Q218" s="20" t="n"/>
      <c r="R218" s="10" t="n"/>
      <c r="S218" s="10" t="n"/>
      <c r="T218" s="18" t="n"/>
      <c r="U218" s="18" t="n"/>
      <c r="V218" s="10" t="n"/>
      <c r="W218" s="10" t="n"/>
      <c r="X218" s="19">
        <f>IF(OR(A218="",COUNT(U218)=0,COUNT(AI218)=0),"",U218+AI218)</f>
        <v/>
      </c>
      <c r="Y218" s="16" t="n"/>
      <c r="Z218" s="12" t="n"/>
      <c r="AA218" s="17">
        <f>IF(COUNT(J218)=0,"",IF(H218=0,"n.a.",J218/H218))</f>
        <v/>
      </c>
      <c r="AB218" s="12" t="n"/>
      <c r="AC218" s="12" t="n"/>
      <c r="AD218" s="12" t="n"/>
      <c r="AE218" s="13">
        <f>IF(OR(COUNT(J218)=0,COUNT(AB218:AD218)&lt;3),"",ROUND(J218-SUM(AB218:AD218),2))</f>
        <v/>
      </c>
      <c r="AF218" s="15">
        <f>IF(COUNT(AE218)=0,"",IF(Z218=0,"n.a.",AE218/Z218))</f>
        <v/>
      </c>
      <c r="AG218" s="12" t="n"/>
      <c r="AH218" s="14">
        <f>IF(OR(A218="",COUNT(Z218)=0,COUNT(AG218)=0),"",ROUND(Z218-AG218,2))</f>
        <v/>
      </c>
      <c r="AI218" s="21" t="n"/>
      <c r="AJ218" s="11">
        <f>IF(A218="","",IF(COUNT(I218)=0,"Enter approved NTE",IF(COUNT(Z218)&gt;0,IF(Z218&gt;I218,"Invoice exceeds NTE","Invoice within NTE"),IF(COUNT(L218)=0,"Enter quote inputs",IF(L218&gt;I218,"Quote exceeds NTE","Quote within NTE")))))</f>
        <v/>
      </c>
      <c r="AK218" s="11">
        <f>IF(A218="","",IF(COUNT(H218)=0,"Enter direct cost",IF(COUNT(Z218)=0,"Enter invoice revenue",IF(COUNT(AB218:AD218)&lt;3,"Enter expenses (0 if none)","Complete"))))</f>
        <v/>
      </c>
      <c r="AL218" s="11">
        <f>IF(A218="","",IF(NOT(AND(COUNT(AH218)=1,N(AH218)&gt;0.004,V218&lt;&gt;"Void",V218&lt;&gt;"Not invoiced",V218&lt;&gt;"Draft")),"",IF(COUNT(X218)=0,"No due date",IF(TODAY()-X218&lt;=0,"Not yet due",IF(TODAY()-X218&lt;=30,"1-30 days",IF(TODAY()-X218&lt;=60,"31-60 days",IF(TODAY()-X218&lt;=90,"61-90 days","Over 90 days")))))))</f>
        <v/>
      </c>
      <c r="AM218" s="49">
        <f>IF(OR(AL218="",AL218="No due date"),"",MAX(TODAY()-X218,0))</f>
        <v/>
      </c>
      <c r="AN218" s="49">
        <f>IF(AL218="","",IF(COUNT(X218)=0,-100000,TODAY()-X218))</f>
        <v/>
      </c>
      <c r="AO218" s="49">
        <f>IF(AN218="","",COUNTIF(AN$11:AN$1010,"&gt;"&amp;AN218)+COUNTIF(AN$11:AN218,AN218))</f>
        <v/>
      </c>
      <c r="AP218" s="49">
        <f>IF(OR(A218="",B218=""),"",IF(COUNTIF(B$11:B218,B218)=1,MAX(AP$10:AP217)+1,""))</f>
        <v/>
      </c>
    </row>
    <row r="219" ht="24" customHeight="1">
      <c r="A219" s="20" t="n"/>
      <c r="B219" s="10" t="n"/>
      <c r="C219" s="10" t="n"/>
      <c r="D219" s="10" t="n"/>
      <c r="E219" s="10" t="n"/>
      <c r="F219" s="18" t="n"/>
      <c r="G219" s="10" t="n"/>
      <c r="H219" s="12" t="n"/>
      <c r="I219" s="12" t="n"/>
      <c r="J219" s="13">
        <f>IF(OR(A219="",COUNT(H219)=0,COUNT(Z219)=0),"",ROUND(Z219-H219,2))</f>
        <v/>
      </c>
      <c r="K219" s="15">
        <f>IF(COUNT(J219)=0,"",IF(Z219=0,"n.a.",J219/Z219))</f>
        <v/>
      </c>
      <c r="L219" s="14">
        <f>IF(OR(A219="",COUNT(H219)=0,COUNT(Y219)=0),"",ROUND(H219*(1+Y219),2))</f>
        <v/>
      </c>
      <c r="M219" s="10" t="n"/>
      <c r="N219" s="10" t="n"/>
      <c r="O219" s="10" t="n"/>
      <c r="P219" s="10" t="n"/>
      <c r="Q219" s="20" t="n"/>
      <c r="R219" s="10" t="n"/>
      <c r="S219" s="10" t="n"/>
      <c r="T219" s="18" t="n"/>
      <c r="U219" s="18" t="n"/>
      <c r="V219" s="10" t="n"/>
      <c r="W219" s="10" t="n"/>
      <c r="X219" s="19">
        <f>IF(OR(A219="",COUNT(U219)=0,COUNT(AI219)=0),"",U219+AI219)</f>
        <v/>
      </c>
      <c r="Y219" s="16" t="n"/>
      <c r="Z219" s="12" t="n"/>
      <c r="AA219" s="17">
        <f>IF(COUNT(J219)=0,"",IF(H219=0,"n.a.",J219/H219))</f>
        <v/>
      </c>
      <c r="AB219" s="12" t="n"/>
      <c r="AC219" s="12" t="n"/>
      <c r="AD219" s="12" t="n"/>
      <c r="AE219" s="13">
        <f>IF(OR(COUNT(J219)=0,COUNT(AB219:AD219)&lt;3),"",ROUND(J219-SUM(AB219:AD219),2))</f>
        <v/>
      </c>
      <c r="AF219" s="15">
        <f>IF(COUNT(AE219)=0,"",IF(Z219=0,"n.a.",AE219/Z219))</f>
        <v/>
      </c>
      <c r="AG219" s="12" t="n"/>
      <c r="AH219" s="14">
        <f>IF(OR(A219="",COUNT(Z219)=0,COUNT(AG219)=0),"",ROUND(Z219-AG219,2))</f>
        <v/>
      </c>
      <c r="AI219" s="21" t="n"/>
      <c r="AJ219" s="11">
        <f>IF(A219="","",IF(COUNT(I219)=0,"Enter approved NTE",IF(COUNT(Z219)&gt;0,IF(Z219&gt;I219,"Invoice exceeds NTE","Invoice within NTE"),IF(COUNT(L219)=0,"Enter quote inputs",IF(L219&gt;I219,"Quote exceeds NTE","Quote within NTE")))))</f>
        <v/>
      </c>
      <c r="AK219" s="11">
        <f>IF(A219="","",IF(COUNT(H219)=0,"Enter direct cost",IF(COUNT(Z219)=0,"Enter invoice revenue",IF(COUNT(AB219:AD219)&lt;3,"Enter expenses (0 if none)","Complete"))))</f>
        <v/>
      </c>
      <c r="AL219" s="11">
        <f>IF(A219="","",IF(NOT(AND(COUNT(AH219)=1,N(AH219)&gt;0.004,V219&lt;&gt;"Void",V219&lt;&gt;"Not invoiced",V219&lt;&gt;"Draft")),"",IF(COUNT(X219)=0,"No due date",IF(TODAY()-X219&lt;=0,"Not yet due",IF(TODAY()-X219&lt;=30,"1-30 days",IF(TODAY()-X219&lt;=60,"31-60 days",IF(TODAY()-X219&lt;=90,"61-90 days","Over 90 days")))))))</f>
        <v/>
      </c>
      <c r="AM219" s="49">
        <f>IF(OR(AL219="",AL219="No due date"),"",MAX(TODAY()-X219,0))</f>
        <v/>
      </c>
      <c r="AN219" s="49">
        <f>IF(AL219="","",IF(COUNT(X219)=0,-100000,TODAY()-X219))</f>
        <v/>
      </c>
      <c r="AO219" s="49">
        <f>IF(AN219="","",COUNTIF(AN$11:AN$1010,"&gt;"&amp;AN219)+COUNTIF(AN$11:AN219,AN219))</f>
        <v/>
      </c>
      <c r="AP219" s="49">
        <f>IF(OR(A219="",B219=""),"",IF(COUNTIF(B$11:B219,B219)=1,MAX(AP$10:AP218)+1,""))</f>
        <v/>
      </c>
    </row>
    <row r="220" ht="24" customHeight="1">
      <c r="A220" s="20" t="n"/>
      <c r="B220" s="10" t="n"/>
      <c r="C220" s="10" t="n"/>
      <c r="D220" s="10" t="n"/>
      <c r="E220" s="10" t="n"/>
      <c r="F220" s="18" t="n"/>
      <c r="G220" s="10" t="n"/>
      <c r="H220" s="12" t="n"/>
      <c r="I220" s="12" t="n"/>
      <c r="J220" s="13">
        <f>IF(OR(A220="",COUNT(H220)=0,COUNT(Z220)=0),"",ROUND(Z220-H220,2))</f>
        <v/>
      </c>
      <c r="K220" s="15">
        <f>IF(COUNT(J220)=0,"",IF(Z220=0,"n.a.",J220/Z220))</f>
        <v/>
      </c>
      <c r="L220" s="14">
        <f>IF(OR(A220="",COUNT(H220)=0,COUNT(Y220)=0),"",ROUND(H220*(1+Y220),2))</f>
        <v/>
      </c>
      <c r="M220" s="10" t="n"/>
      <c r="N220" s="10" t="n"/>
      <c r="O220" s="10" t="n"/>
      <c r="P220" s="10" t="n"/>
      <c r="Q220" s="20" t="n"/>
      <c r="R220" s="10" t="n"/>
      <c r="S220" s="10" t="n"/>
      <c r="T220" s="18" t="n"/>
      <c r="U220" s="18" t="n"/>
      <c r="V220" s="10" t="n"/>
      <c r="W220" s="10" t="n"/>
      <c r="X220" s="19">
        <f>IF(OR(A220="",COUNT(U220)=0,COUNT(AI220)=0),"",U220+AI220)</f>
        <v/>
      </c>
      <c r="Y220" s="16" t="n"/>
      <c r="Z220" s="12" t="n"/>
      <c r="AA220" s="17">
        <f>IF(COUNT(J220)=0,"",IF(H220=0,"n.a.",J220/H220))</f>
        <v/>
      </c>
      <c r="AB220" s="12" t="n"/>
      <c r="AC220" s="12" t="n"/>
      <c r="AD220" s="12" t="n"/>
      <c r="AE220" s="13">
        <f>IF(OR(COUNT(J220)=0,COUNT(AB220:AD220)&lt;3),"",ROUND(J220-SUM(AB220:AD220),2))</f>
        <v/>
      </c>
      <c r="AF220" s="15">
        <f>IF(COUNT(AE220)=0,"",IF(Z220=0,"n.a.",AE220/Z220))</f>
        <v/>
      </c>
      <c r="AG220" s="12" t="n"/>
      <c r="AH220" s="14">
        <f>IF(OR(A220="",COUNT(Z220)=0,COUNT(AG220)=0),"",ROUND(Z220-AG220,2))</f>
        <v/>
      </c>
      <c r="AI220" s="21" t="n"/>
      <c r="AJ220" s="11">
        <f>IF(A220="","",IF(COUNT(I220)=0,"Enter approved NTE",IF(COUNT(Z220)&gt;0,IF(Z220&gt;I220,"Invoice exceeds NTE","Invoice within NTE"),IF(COUNT(L220)=0,"Enter quote inputs",IF(L220&gt;I220,"Quote exceeds NTE","Quote within NTE")))))</f>
        <v/>
      </c>
      <c r="AK220" s="11">
        <f>IF(A220="","",IF(COUNT(H220)=0,"Enter direct cost",IF(COUNT(Z220)=0,"Enter invoice revenue",IF(COUNT(AB220:AD220)&lt;3,"Enter expenses (0 if none)","Complete"))))</f>
        <v/>
      </c>
      <c r="AL220" s="11">
        <f>IF(A220="","",IF(NOT(AND(COUNT(AH220)=1,N(AH220)&gt;0.004,V220&lt;&gt;"Void",V220&lt;&gt;"Not invoiced",V220&lt;&gt;"Draft")),"",IF(COUNT(X220)=0,"No due date",IF(TODAY()-X220&lt;=0,"Not yet due",IF(TODAY()-X220&lt;=30,"1-30 days",IF(TODAY()-X220&lt;=60,"31-60 days",IF(TODAY()-X220&lt;=90,"61-90 days","Over 90 days")))))))</f>
        <v/>
      </c>
      <c r="AM220" s="49">
        <f>IF(OR(AL220="",AL220="No due date"),"",MAX(TODAY()-X220,0))</f>
        <v/>
      </c>
      <c r="AN220" s="49">
        <f>IF(AL220="","",IF(COUNT(X220)=0,-100000,TODAY()-X220))</f>
        <v/>
      </c>
      <c r="AO220" s="49">
        <f>IF(AN220="","",COUNTIF(AN$11:AN$1010,"&gt;"&amp;AN220)+COUNTIF(AN$11:AN220,AN220))</f>
        <v/>
      </c>
      <c r="AP220" s="49">
        <f>IF(OR(A220="",B220=""),"",IF(COUNTIF(B$11:B220,B220)=1,MAX(AP$10:AP219)+1,""))</f>
        <v/>
      </c>
    </row>
    <row r="221" ht="24" customHeight="1">
      <c r="A221" s="20" t="n"/>
      <c r="B221" s="10" t="n"/>
      <c r="C221" s="10" t="n"/>
      <c r="D221" s="10" t="n"/>
      <c r="E221" s="10" t="n"/>
      <c r="F221" s="18" t="n"/>
      <c r="G221" s="10" t="n"/>
      <c r="H221" s="12" t="n"/>
      <c r="I221" s="12" t="n"/>
      <c r="J221" s="13">
        <f>IF(OR(A221="",COUNT(H221)=0,COUNT(Z221)=0),"",ROUND(Z221-H221,2))</f>
        <v/>
      </c>
      <c r="K221" s="15">
        <f>IF(COUNT(J221)=0,"",IF(Z221=0,"n.a.",J221/Z221))</f>
        <v/>
      </c>
      <c r="L221" s="14">
        <f>IF(OR(A221="",COUNT(H221)=0,COUNT(Y221)=0),"",ROUND(H221*(1+Y221),2))</f>
        <v/>
      </c>
      <c r="M221" s="10" t="n"/>
      <c r="N221" s="10" t="n"/>
      <c r="O221" s="10" t="n"/>
      <c r="P221" s="10" t="n"/>
      <c r="Q221" s="20" t="n"/>
      <c r="R221" s="10" t="n"/>
      <c r="S221" s="10" t="n"/>
      <c r="T221" s="18" t="n"/>
      <c r="U221" s="18" t="n"/>
      <c r="V221" s="10" t="n"/>
      <c r="W221" s="10" t="n"/>
      <c r="X221" s="19">
        <f>IF(OR(A221="",COUNT(U221)=0,COUNT(AI221)=0),"",U221+AI221)</f>
        <v/>
      </c>
      <c r="Y221" s="16" t="n"/>
      <c r="Z221" s="12" t="n"/>
      <c r="AA221" s="17">
        <f>IF(COUNT(J221)=0,"",IF(H221=0,"n.a.",J221/H221))</f>
        <v/>
      </c>
      <c r="AB221" s="12" t="n"/>
      <c r="AC221" s="12" t="n"/>
      <c r="AD221" s="12" t="n"/>
      <c r="AE221" s="13">
        <f>IF(OR(COUNT(J221)=0,COUNT(AB221:AD221)&lt;3),"",ROUND(J221-SUM(AB221:AD221),2))</f>
        <v/>
      </c>
      <c r="AF221" s="15">
        <f>IF(COUNT(AE221)=0,"",IF(Z221=0,"n.a.",AE221/Z221))</f>
        <v/>
      </c>
      <c r="AG221" s="12" t="n"/>
      <c r="AH221" s="14">
        <f>IF(OR(A221="",COUNT(Z221)=0,COUNT(AG221)=0),"",ROUND(Z221-AG221,2))</f>
        <v/>
      </c>
      <c r="AI221" s="21" t="n"/>
      <c r="AJ221" s="11">
        <f>IF(A221="","",IF(COUNT(I221)=0,"Enter approved NTE",IF(COUNT(Z221)&gt;0,IF(Z221&gt;I221,"Invoice exceeds NTE","Invoice within NTE"),IF(COUNT(L221)=0,"Enter quote inputs",IF(L221&gt;I221,"Quote exceeds NTE","Quote within NTE")))))</f>
        <v/>
      </c>
      <c r="AK221" s="11">
        <f>IF(A221="","",IF(COUNT(H221)=0,"Enter direct cost",IF(COUNT(Z221)=0,"Enter invoice revenue",IF(COUNT(AB221:AD221)&lt;3,"Enter expenses (0 if none)","Complete"))))</f>
        <v/>
      </c>
      <c r="AL221" s="11">
        <f>IF(A221="","",IF(NOT(AND(COUNT(AH221)=1,N(AH221)&gt;0.004,V221&lt;&gt;"Void",V221&lt;&gt;"Not invoiced",V221&lt;&gt;"Draft")),"",IF(COUNT(X221)=0,"No due date",IF(TODAY()-X221&lt;=0,"Not yet due",IF(TODAY()-X221&lt;=30,"1-30 days",IF(TODAY()-X221&lt;=60,"31-60 days",IF(TODAY()-X221&lt;=90,"61-90 days","Over 90 days")))))))</f>
        <v/>
      </c>
      <c r="AM221" s="49">
        <f>IF(OR(AL221="",AL221="No due date"),"",MAX(TODAY()-X221,0))</f>
        <v/>
      </c>
      <c r="AN221" s="49">
        <f>IF(AL221="","",IF(COUNT(X221)=0,-100000,TODAY()-X221))</f>
        <v/>
      </c>
      <c r="AO221" s="49">
        <f>IF(AN221="","",COUNTIF(AN$11:AN$1010,"&gt;"&amp;AN221)+COUNTIF(AN$11:AN221,AN221))</f>
        <v/>
      </c>
      <c r="AP221" s="49">
        <f>IF(OR(A221="",B221=""),"",IF(COUNTIF(B$11:B221,B221)=1,MAX(AP$10:AP220)+1,""))</f>
        <v/>
      </c>
    </row>
    <row r="222" ht="24" customHeight="1">
      <c r="A222" s="20" t="n"/>
      <c r="B222" s="10" t="n"/>
      <c r="C222" s="10" t="n"/>
      <c r="D222" s="10" t="n"/>
      <c r="E222" s="10" t="n"/>
      <c r="F222" s="18" t="n"/>
      <c r="G222" s="10" t="n"/>
      <c r="H222" s="12" t="n"/>
      <c r="I222" s="12" t="n"/>
      <c r="J222" s="13">
        <f>IF(OR(A222="",COUNT(H222)=0,COUNT(Z222)=0),"",ROUND(Z222-H222,2))</f>
        <v/>
      </c>
      <c r="K222" s="15">
        <f>IF(COUNT(J222)=0,"",IF(Z222=0,"n.a.",J222/Z222))</f>
        <v/>
      </c>
      <c r="L222" s="14">
        <f>IF(OR(A222="",COUNT(H222)=0,COUNT(Y222)=0),"",ROUND(H222*(1+Y222),2))</f>
        <v/>
      </c>
      <c r="M222" s="10" t="n"/>
      <c r="N222" s="10" t="n"/>
      <c r="O222" s="10" t="n"/>
      <c r="P222" s="10" t="n"/>
      <c r="Q222" s="20" t="n"/>
      <c r="R222" s="10" t="n"/>
      <c r="S222" s="10" t="n"/>
      <c r="T222" s="18" t="n"/>
      <c r="U222" s="18" t="n"/>
      <c r="V222" s="10" t="n"/>
      <c r="W222" s="10" t="n"/>
      <c r="X222" s="19">
        <f>IF(OR(A222="",COUNT(U222)=0,COUNT(AI222)=0),"",U222+AI222)</f>
        <v/>
      </c>
      <c r="Y222" s="16" t="n"/>
      <c r="Z222" s="12" t="n"/>
      <c r="AA222" s="17">
        <f>IF(COUNT(J222)=0,"",IF(H222=0,"n.a.",J222/H222))</f>
        <v/>
      </c>
      <c r="AB222" s="12" t="n"/>
      <c r="AC222" s="12" t="n"/>
      <c r="AD222" s="12" t="n"/>
      <c r="AE222" s="13">
        <f>IF(OR(COUNT(J222)=0,COUNT(AB222:AD222)&lt;3),"",ROUND(J222-SUM(AB222:AD222),2))</f>
        <v/>
      </c>
      <c r="AF222" s="15">
        <f>IF(COUNT(AE222)=0,"",IF(Z222=0,"n.a.",AE222/Z222))</f>
        <v/>
      </c>
      <c r="AG222" s="12" t="n"/>
      <c r="AH222" s="14">
        <f>IF(OR(A222="",COUNT(Z222)=0,COUNT(AG222)=0),"",ROUND(Z222-AG222,2))</f>
        <v/>
      </c>
      <c r="AI222" s="21" t="n"/>
      <c r="AJ222" s="11">
        <f>IF(A222="","",IF(COUNT(I222)=0,"Enter approved NTE",IF(COUNT(Z222)&gt;0,IF(Z222&gt;I222,"Invoice exceeds NTE","Invoice within NTE"),IF(COUNT(L222)=0,"Enter quote inputs",IF(L222&gt;I222,"Quote exceeds NTE","Quote within NTE")))))</f>
        <v/>
      </c>
      <c r="AK222" s="11">
        <f>IF(A222="","",IF(COUNT(H222)=0,"Enter direct cost",IF(COUNT(Z222)=0,"Enter invoice revenue",IF(COUNT(AB222:AD222)&lt;3,"Enter expenses (0 if none)","Complete"))))</f>
        <v/>
      </c>
      <c r="AL222" s="11">
        <f>IF(A222="","",IF(NOT(AND(COUNT(AH222)=1,N(AH222)&gt;0.004,V222&lt;&gt;"Void",V222&lt;&gt;"Not invoiced",V222&lt;&gt;"Draft")),"",IF(COUNT(X222)=0,"No due date",IF(TODAY()-X222&lt;=0,"Not yet due",IF(TODAY()-X222&lt;=30,"1-30 days",IF(TODAY()-X222&lt;=60,"31-60 days",IF(TODAY()-X222&lt;=90,"61-90 days","Over 90 days")))))))</f>
        <v/>
      </c>
      <c r="AM222" s="49">
        <f>IF(OR(AL222="",AL222="No due date"),"",MAX(TODAY()-X222,0))</f>
        <v/>
      </c>
      <c r="AN222" s="49">
        <f>IF(AL222="","",IF(COUNT(X222)=0,-100000,TODAY()-X222))</f>
        <v/>
      </c>
      <c r="AO222" s="49">
        <f>IF(AN222="","",COUNTIF(AN$11:AN$1010,"&gt;"&amp;AN222)+COUNTIF(AN$11:AN222,AN222))</f>
        <v/>
      </c>
      <c r="AP222" s="49">
        <f>IF(OR(A222="",B222=""),"",IF(COUNTIF(B$11:B222,B222)=1,MAX(AP$10:AP221)+1,""))</f>
        <v/>
      </c>
    </row>
    <row r="223" ht="24" customHeight="1">
      <c r="A223" s="20" t="n"/>
      <c r="B223" s="10" t="n"/>
      <c r="C223" s="10" t="n"/>
      <c r="D223" s="10" t="n"/>
      <c r="E223" s="10" t="n"/>
      <c r="F223" s="18" t="n"/>
      <c r="G223" s="10" t="n"/>
      <c r="H223" s="12" t="n"/>
      <c r="I223" s="12" t="n"/>
      <c r="J223" s="13">
        <f>IF(OR(A223="",COUNT(H223)=0,COUNT(Z223)=0),"",ROUND(Z223-H223,2))</f>
        <v/>
      </c>
      <c r="K223" s="15">
        <f>IF(COUNT(J223)=0,"",IF(Z223=0,"n.a.",J223/Z223))</f>
        <v/>
      </c>
      <c r="L223" s="14">
        <f>IF(OR(A223="",COUNT(H223)=0,COUNT(Y223)=0),"",ROUND(H223*(1+Y223),2))</f>
        <v/>
      </c>
      <c r="M223" s="10" t="n"/>
      <c r="N223" s="10" t="n"/>
      <c r="O223" s="10" t="n"/>
      <c r="P223" s="10" t="n"/>
      <c r="Q223" s="20" t="n"/>
      <c r="R223" s="10" t="n"/>
      <c r="S223" s="10" t="n"/>
      <c r="T223" s="18" t="n"/>
      <c r="U223" s="18" t="n"/>
      <c r="V223" s="10" t="n"/>
      <c r="W223" s="10" t="n"/>
      <c r="X223" s="19">
        <f>IF(OR(A223="",COUNT(U223)=0,COUNT(AI223)=0),"",U223+AI223)</f>
        <v/>
      </c>
      <c r="Y223" s="16" t="n"/>
      <c r="Z223" s="12" t="n"/>
      <c r="AA223" s="17">
        <f>IF(COUNT(J223)=0,"",IF(H223=0,"n.a.",J223/H223))</f>
        <v/>
      </c>
      <c r="AB223" s="12" t="n"/>
      <c r="AC223" s="12" t="n"/>
      <c r="AD223" s="12" t="n"/>
      <c r="AE223" s="13">
        <f>IF(OR(COUNT(J223)=0,COUNT(AB223:AD223)&lt;3),"",ROUND(J223-SUM(AB223:AD223),2))</f>
        <v/>
      </c>
      <c r="AF223" s="15">
        <f>IF(COUNT(AE223)=0,"",IF(Z223=0,"n.a.",AE223/Z223))</f>
        <v/>
      </c>
      <c r="AG223" s="12" t="n"/>
      <c r="AH223" s="14">
        <f>IF(OR(A223="",COUNT(Z223)=0,COUNT(AG223)=0),"",ROUND(Z223-AG223,2))</f>
        <v/>
      </c>
      <c r="AI223" s="21" t="n"/>
      <c r="AJ223" s="11">
        <f>IF(A223="","",IF(COUNT(I223)=0,"Enter approved NTE",IF(COUNT(Z223)&gt;0,IF(Z223&gt;I223,"Invoice exceeds NTE","Invoice within NTE"),IF(COUNT(L223)=0,"Enter quote inputs",IF(L223&gt;I223,"Quote exceeds NTE","Quote within NTE")))))</f>
        <v/>
      </c>
      <c r="AK223" s="11">
        <f>IF(A223="","",IF(COUNT(H223)=0,"Enter direct cost",IF(COUNT(Z223)=0,"Enter invoice revenue",IF(COUNT(AB223:AD223)&lt;3,"Enter expenses (0 if none)","Complete"))))</f>
        <v/>
      </c>
      <c r="AL223" s="11">
        <f>IF(A223="","",IF(NOT(AND(COUNT(AH223)=1,N(AH223)&gt;0.004,V223&lt;&gt;"Void",V223&lt;&gt;"Not invoiced",V223&lt;&gt;"Draft")),"",IF(COUNT(X223)=0,"No due date",IF(TODAY()-X223&lt;=0,"Not yet due",IF(TODAY()-X223&lt;=30,"1-30 days",IF(TODAY()-X223&lt;=60,"31-60 days",IF(TODAY()-X223&lt;=90,"61-90 days","Over 90 days")))))))</f>
        <v/>
      </c>
      <c r="AM223" s="49">
        <f>IF(OR(AL223="",AL223="No due date"),"",MAX(TODAY()-X223,0))</f>
        <v/>
      </c>
      <c r="AN223" s="49">
        <f>IF(AL223="","",IF(COUNT(X223)=0,-100000,TODAY()-X223))</f>
        <v/>
      </c>
      <c r="AO223" s="49">
        <f>IF(AN223="","",COUNTIF(AN$11:AN$1010,"&gt;"&amp;AN223)+COUNTIF(AN$11:AN223,AN223))</f>
        <v/>
      </c>
      <c r="AP223" s="49">
        <f>IF(OR(A223="",B223=""),"",IF(COUNTIF(B$11:B223,B223)=1,MAX(AP$10:AP222)+1,""))</f>
        <v/>
      </c>
    </row>
    <row r="224" ht="24" customHeight="1">
      <c r="A224" s="20" t="n"/>
      <c r="B224" s="10" t="n"/>
      <c r="C224" s="10" t="n"/>
      <c r="D224" s="10" t="n"/>
      <c r="E224" s="10" t="n"/>
      <c r="F224" s="18" t="n"/>
      <c r="G224" s="10" t="n"/>
      <c r="H224" s="12" t="n"/>
      <c r="I224" s="12" t="n"/>
      <c r="J224" s="13">
        <f>IF(OR(A224="",COUNT(H224)=0,COUNT(Z224)=0),"",ROUND(Z224-H224,2))</f>
        <v/>
      </c>
      <c r="K224" s="15">
        <f>IF(COUNT(J224)=0,"",IF(Z224=0,"n.a.",J224/Z224))</f>
        <v/>
      </c>
      <c r="L224" s="14">
        <f>IF(OR(A224="",COUNT(H224)=0,COUNT(Y224)=0),"",ROUND(H224*(1+Y224),2))</f>
        <v/>
      </c>
      <c r="M224" s="10" t="n"/>
      <c r="N224" s="10" t="n"/>
      <c r="O224" s="10" t="n"/>
      <c r="P224" s="10" t="n"/>
      <c r="Q224" s="20" t="n"/>
      <c r="R224" s="10" t="n"/>
      <c r="S224" s="10" t="n"/>
      <c r="T224" s="18" t="n"/>
      <c r="U224" s="18" t="n"/>
      <c r="V224" s="10" t="n"/>
      <c r="W224" s="10" t="n"/>
      <c r="X224" s="19">
        <f>IF(OR(A224="",COUNT(U224)=0,COUNT(AI224)=0),"",U224+AI224)</f>
        <v/>
      </c>
      <c r="Y224" s="16" t="n"/>
      <c r="Z224" s="12" t="n"/>
      <c r="AA224" s="17">
        <f>IF(COUNT(J224)=0,"",IF(H224=0,"n.a.",J224/H224))</f>
        <v/>
      </c>
      <c r="AB224" s="12" t="n"/>
      <c r="AC224" s="12" t="n"/>
      <c r="AD224" s="12" t="n"/>
      <c r="AE224" s="13">
        <f>IF(OR(COUNT(J224)=0,COUNT(AB224:AD224)&lt;3),"",ROUND(J224-SUM(AB224:AD224),2))</f>
        <v/>
      </c>
      <c r="AF224" s="15">
        <f>IF(COUNT(AE224)=0,"",IF(Z224=0,"n.a.",AE224/Z224))</f>
        <v/>
      </c>
      <c r="AG224" s="12" t="n"/>
      <c r="AH224" s="14">
        <f>IF(OR(A224="",COUNT(Z224)=0,COUNT(AG224)=0),"",ROUND(Z224-AG224,2))</f>
        <v/>
      </c>
      <c r="AI224" s="21" t="n"/>
      <c r="AJ224" s="11">
        <f>IF(A224="","",IF(COUNT(I224)=0,"Enter approved NTE",IF(COUNT(Z224)&gt;0,IF(Z224&gt;I224,"Invoice exceeds NTE","Invoice within NTE"),IF(COUNT(L224)=0,"Enter quote inputs",IF(L224&gt;I224,"Quote exceeds NTE","Quote within NTE")))))</f>
        <v/>
      </c>
      <c r="AK224" s="11">
        <f>IF(A224="","",IF(COUNT(H224)=0,"Enter direct cost",IF(COUNT(Z224)=0,"Enter invoice revenue",IF(COUNT(AB224:AD224)&lt;3,"Enter expenses (0 if none)","Complete"))))</f>
        <v/>
      </c>
      <c r="AL224" s="11">
        <f>IF(A224="","",IF(NOT(AND(COUNT(AH224)=1,N(AH224)&gt;0.004,V224&lt;&gt;"Void",V224&lt;&gt;"Not invoiced",V224&lt;&gt;"Draft")),"",IF(COUNT(X224)=0,"No due date",IF(TODAY()-X224&lt;=0,"Not yet due",IF(TODAY()-X224&lt;=30,"1-30 days",IF(TODAY()-X224&lt;=60,"31-60 days",IF(TODAY()-X224&lt;=90,"61-90 days","Over 90 days")))))))</f>
        <v/>
      </c>
      <c r="AM224" s="49">
        <f>IF(OR(AL224="",AL224="No due date"),"",MAX(TODAY()-X224,0))</f>
        <v/>
      </c>
      <c r="AN224" s="49">
        <f>IF(AL224="","",IF(COUNT(X224)=0,-100000,TODAY()-X224))</f>
        <v/>
      </c>
      <c r="AO224" s="49">
        <f>IF(AN224="","",COUNTIF(AN$11:AN$1010,"&gt;"&amp;AN224)+COUNTIF(AN$11:AN224,AN224))</f>
        <v/>
      </c>
      <c r="AP224" s="49">
        <f>IF(OR(A224="",B224=""),"",IF(COUNTIF(B$11:B224,B224)=1,MAX(AP$10:AP223)+1,""))</f>
        <v/>
      </c>
    </row>
    <row r="225" ht="24" customHeight="1">
      <c r="A225" s="20" t="n"/>
      <c r="B225" s="10" t="n"/>
      <c r="C225" s="10" t="n"/>
      <c r="D225" s="10" t="n"/>
      <c r="E225" s="10" t="n"/>
      <c r="F225" s="18" t="n"/>
      <c r="G225" s="10" t="n"/>
      <c r="H225" s="12" t="n"/>
      <c r="I225" s="12" t="n"/>
      <c r="J225" s="13">
        <f>IF(OR(A225="",COUNT(H225)=0,COUNT(Z225)=0),"",ROUND(Z225-H225,2))</f>
        <v/>
      </c>
      <c r="K225" s="15">
        <f>IF(COUNT(J225)=0,"",IF(Z225=0,"n.a.",J225/Z225))</f>
        <v/>
      </c>
      <c r="L225" s="14">
        <f>IF(OR(A225="",COUNT(H225)=0,COUNT(Y225)=0),"",ROUND(H225*(1+Y225),2))</f>
        <v/>
      </c>
      <c r="M225" s="10" t="n"/>
      <c r="N225" s="10" t="n"/>
      <c r="O225" s="10" t="n"/>
      <c r="P225" s="10" t="n"/>
      <c r="Q225" s="20" t="n"/>
      <c r="R225" s="10" t="n"/>
      <c r="S225" s="10" t="n"/>
      <c r="T225" s="18" t="n"/>
      <c r="U225" s="18" t="n"/>
      <c r="V225" s="10" t="n"/>
      <c r="W225" s="10" t="n"/>
      <c r="X225" s="19">
        <f>IF(OR(A225="",COUNT(U225)=0,COUNT(AI225)=0),"",U225+AI225)</f>
        <v/>
      </c>
      <c r="Y225" s="16" t="n"/>
      <c r="Z225" s="12" t="n"/>
      <c r="AA225" s="17">
        <f>IF(COUNT(J225)=0,"",IF(H225=0,"n.a.",J225/H225))</f>
        <v/>
      </c>
      <c r="AB225" s="12" t="n"/>
      <c r="AC225" s="12" t="n"/>
      <c r="AD225" s="12" t="n"/>
      <c r="AE225" s="13">
        <f>IF(OR(COUNT(J225)=0,COUNT(AB225:AD225)&lt;3),"",ROUND(J225-SUM(AB225:AD225),2))</f>
        <v/>
      </c>
      <c r="AF225" s="15">
        <f>IF(COUNT(AE225)=0,"",IF(Z225=0,"n.a.",AE225/Z225))</f>
        <v/>
      </c>
      <c r="AG225" s="12" t="n"/>
      <c r="AH225" s="14">
        <f>IF(OR(A225="",COUNT(Z225)=0,COUNT(AG225)=0),"",ROUND(Z225-AG225,2))</f>
        <v/>
      </c>
      <c r="AI225" s="21" t="n"/>
      <c r="AJ225" s="11">
        <f>IF(A225="","",IF(COUNT(I225)=0,"Enter approved NTE",IF(COUNT(Z225)&gt;0,IF(Z225&gt;I225,"Invoice exceeds NTE","Invoice within NTE"),IF(COUNT(L225)=0,"Enter quote inputs",IF(L225&gt;I225,"Quote exceeds NTE","Quote within NTE")))))</f>
        <v/>
      </c>
      <c r="AK225" s="11">
        <f>IF(A225="","",IF(COUNT(H225)=0,"Enter direct cost",IF(COUNT(Z225)=0,"Enter invoice revenue",IF(COUNT(AB225:AD225)&lt;3,"Enter expenses (0 if none)","Complete"))))</f>
        <v/>
      </c>
      <c r="AL225" s="11">
        <f>IF(A225="","",IF(NOT(AND(COUNT(AH225)=1,N(AH225)&gt;0.004,V225&lt;&gt;"Void",V225&lt;&gt;"Not invoiced",V225&lt;&gt;"Draft")),"",IF(COUNT(X225)=0,"No due date",IF(TODAY()-X225&lt;=0,"Not yet due",IF(TODAY()-X225&lt;=30,"1-30 days",IF(TODAY()-X225&lt;=60,"31-60 days",IF(TODAY()-X225&lt;=90,"61-90 days","Over 90 days")))))))</f>
        <v/>
      </c>
      <c r="AM225" s="49">
        <f>IF(OR(AL225="",AL225="No due date"),"",MAX(TODAY()-X225,0))</f>
        <v/>
      </c>
      <c r="AN225" s="49">
        <f>IF(AL225="","",IF(COUNT(X225)=0,-100000,TODAY()-X225))</f>
        <v/>
      </c>
      <c r="AO225" s="49">
        <f>IF(AN225="","",COUNTIF(AN$11:AN$1010,"&gt;"&amp;AN225)+COUNTIF(AN$11:AN225,AN225))</f>
        <v/>
      </c>
      <c r="AP225" s="49">
        <f>IF(OR(A225="",B225=""),"",IF(COUNTIF(B$11:B225,B225)=1,MAX(AP$10:AP224)+1,""))</f>
        <v/>
      </c>
    </row>
    <row r="226" ht="24" customHeight="1">
      <c r="A226" s="20" t="n"/>
      <c r="B226" s="10" t="n"/>
      <c r="C226" s="10" t="n"/>
      <c r="D226" s="10" t="n"/>
      <c r="E226" s="10" t="n"/>
      <c r="F226" s="18" t="n"/>
      <c r="G226" s="10" t="n"/>
      <c r="H226" s="12" t="n"/>
      <c r="I226" s="12" t="n"/>
      <c r="J226" s="13">
        <f>IF(OR(A226="",COUNT(H226)=0,COUNT(Z226)=0),"",ROUND(Z226-H226,2))</f>
        <v/>
      </c>
      <c r="K226" s="15">
        <f>IF(COUNT(J226)=0,"",IF(Z226=0,"n.a.",J226/Z226))</f>
        <v/>
      </c>
      <c r="L226" s="14">
        <f>IF(OR(A226="",COUNT(H226)=0,COUNT(Y226)=0),"",ROUND(H226*(1+Y226),2))</f>
        <v/>
      </c>
      <c r="M226" s="10" t="n"/>
      <c r="N226" s="10" t="n"/>
      <c r="O226" s="10" t="n"/>
      <c r="P226" s="10" t="n"/>
      <c r="Q226" s="20" t="n"/>
      <c r="R226" s="10" t="n"/>
      <c r="S226" s="10" t="n"/>
      <c r="T226" s="18" t="n"/>
      <c r="U226" s="18" t="n"/>
      <c r="V226" s="10" t="n"/>
      <c r="W226" s="10" t="n"/>
      <c r="X226" s="19">
        <f>IF(OR(A226="",COUNT(U226)=0,COUNT(AI226)=0),"",U226+AI226)</f>
        <v/>
      </c>
      <c r="Y226" s="16" t="n"/>
      <c r="Z226" s="12" t="n"/>
      <c r="AA226" s="17">
        <f>IF(COUNT(J226)=0,"",IF(H226=0,"n.a.",J226/H226))</f>
        <v/>
      </c>
      <c r="AB226" s="12" t="n"/>
      <c r="AC226" s="12" t="n"/>
      <c r="AD226" s="12" t="n"/>
      <c r="AE226" s="13">
        <f>IF(OR(COUNT(J226)=0,COUNT(AB226:AD226)&lt;3),"",ROUND(J226-SUM(AB226:AD226),2))</f>
        <v/>
      </c>
      <c r="AF226" s="15">
        <f>IF(COUNT(AE226)=0,"",IF(Z226=0,"n.a.",AE226/Z226))</f>
        <v/>
      </c>
      <c r="AG226" s="12" t="n"/>
      <c r="AH226" s="14">
        <f>IF(OR(A226="",COUNT(Z226)=0,COUNT(AG226)=0),"",ROUND(Z226-AG226,2))</f>
        <v/>
      </c>
      <c r="AI226" s="21" t="n"/>
      <c r="AJ226" s="11">
        <f>IF(A226="","",IF(COUNT(I226)=0,"Enter approved NTE",IF(COUNT(Z226)&gt;0,IF(Z226&gt;I226,"Invoice exceeds NTE","Invoice within NTE"),IF(COUNT(L226)=0,"Enter quote inputs",IF(L226&gt;I226,"Quote exceeds NTE","Quote within NTE")))))</f>
        <v/>
      </c>
      <c r="AK226" s="11">
        <f>IF(A226="","",IF(COUNT(H226)=0,"Enter direct cost",IF(COUNT(Z226)=0,"Enter invoice revenue",IF(COUNT(AB226:AD226)&lt;3,"Enter expenses (0 if none)","Complete"))))</f>
        <v/>
      </c>
      <c r="AL226" s="11">
        <f>IF(A226="","",IF(NOT(AND(COUNT(AH226)=1,N(AH226)&gt;0.004,V226&lt;&gt;"Void",V226&lt;&gt;"Not invoiced",V226&lt;&gt;"Draft")),"",IF(COUNT(X226)=0,"No due date",IF(TODAY()-X226&lt;=0,"Not yet due",IF(TODAY()-X226&lt;=30,"1-30 days",IF(TODAY()-X226&lt;=60,"31-60 days",IF(TODAY()-X226&lt;=90,"61-90 days","Over 90 days")))))))</f>
        <v/>
      </c>
      <c r="AM226" s="49">
        <f>IF(OR(AL226="",AL226="No due date"),"",MAX(TODAY()-X226,0))</f>
        <v/>
      </c>
      <c r="AN226" s="49">
        <f>IF(AL226="","",IF(COUNT(X226)=0,-100000,TODAY()-X226))</f>
        <v/>
      </c>
      <c r="AO226" s="49">
        <f>IF(AN226="","",COUNTIF(AN$11:AN$1010,"&gt;"&amp;AN226)+COUNTIF(AN$11:AN226,AN226))</f>
        <v/>
      </c>
      <c r="AP226" s="49">
        <f>IF(OR(A226="",B226=""),"",IF(COUNTIF(B$11:B226,B226)=1,MAX(AP$10:AP225)+1,""))</f>
        <v/>
      </c>
    </row>
    <row r="227" ht="24" customHeight="1">
      <c r="A227" s="20" t="n"/>
      <c r="B227" s="10" t="n"/>
      <c r="C227" s="10" t="n"/>
      <c r="D227" s="10" t="n"/>
      <c r="E227" s="10" t="n"/>
      <c r="F227" s="18" t="n"/>
      <c r="G227" s="10" t="n"/>
      <c r="H227" s="12" t="n"/>
      <c r="I227" s="12" t="n"/>
      <c r="J227" s="13">
        <f>IF(OR(A227="",COUNT(H227)=0,COUNT(Z227)=0),"",ROUND(Z227-H227,2))</f>
        <v/>
      </c>
      <c r="K227" s="15">
        <f>IF(COUNT(J227)=0,"",IF(Z227=0,"n.a.",J227/Z227))</f>
        <v/>
      </c>
      <c r="L227" s="14">
        <f>IF(OR(A227="",COUNT(H227)=0,COUNT(Y227)=0),"",ROUND(H227*(1+Y227),2))</f>
        <v/>
      </c>
      <c r="M227" s="10" t="n"/>
      <c r="N227" s="10" t="n"/>
      <c r="O227" s="10" t="n"/>
      <c r="P227" s="10" t="n"/>
      <c r="Q227" s="20" t="n"/>
      <c r="R227" s="10" t="n"/>
      <c r="S227" s="10" t="n"/>
      <c r="T227" s="18" t="n"/>
      <c r="U227" s="18" t="n"/>
      <c r="V227" s="10" t="n"/>
      <c r="W227" s="10" t="n"/>
      <c r="X227" s="19">
        <f>IF(OR(A227="",COUNT(U227)=0,COUNT(AI227)=0),"",U227+AI227)</f>
        <v/>
      </c>
      <c r="Y227" s="16" t="n"/>
      <c r="Z227" s="12" t="n"/>
      <c r="AA227" s="17">
        <f>IF(COUNT(J227)=0,"",IF(H227=0,"n.a.",J227/H227))</f>
        <v/>
      </c>
      <c r="AB227" s="12" t="n"/>
      <c r="AC227" s="12" t="n"/>
      <c r="AD227" s="12" t="n"/>
      <c r="AE227" s="13">
        <f>IF(OR(COUNT(J227)=0,COUNT(AB227:AD227)&lt;3),"",ROUND(J227-SUM(AB227:AD227),2))</f>
        <v/>
      </c>
      <c r="AF227" s="15">
        <f>IF(COUNT(AE227)=0,"",IF(Z227=0,"n.a.",AE227/Z227))</f>
        <v/>
      </c>
      <c r="AG227" s="12" t="n"/>
      <c r="AH227" s="14">
        <f>IF(OR(A227="",COUNT(Z227)=0,COUNT(AG227)=0),"",ROUND(Z227-AG227,2))</f>
        <v/>
      </c>
      <c r="AI227" s="21" t="n"/>
      <c r="AJ227" s="11">
        <f>IF(A227="","",IF(COUNT(I227)=0,"Enter approved NTE",IF(COUNT(Z227)&gt;0,IF(Z227&gt;I227,"Invoice exceeds NTE","Invoice within NTE"),IF(COUNT(L227)=0,"Enter quote inputs",IF(L227&gt;I227,"Quote exceeds NTE","Quote within NTE")))))</f>
        <v/>
      </c>
      <c r="AK227" s="11">
        <f>IF(A227="","",IF(COUNT(H227)=0,"Enter direct cost",IF(COUNT(Z227)=0,"Enter invoice revenue",IF(COUNT(AB227:AD227)&lt;3,"Enter expenses (0 if none)","Complete"))))</f>
        <v/>
      </c>
      <c r="AL227" s="11">
        <f>IF(A227="","",IF(NOT(AND(COUNT(AH227)=1,N(AH227)&gt;0.004,V227&lt;&gt;"Void",V227&lt;&gt;"Not invoiced",V227&lt;&gt;"Draft")),"",IF(COUNT(X227)=0,"No due date",IF(TODAY()-X227&lt;=0,"Not yet due",IF(TODAY()-X227&lt;=30,"1-30 days",IF(TODAY()-X227&lt;=60,"31-60 days",IF(TODAY()-X227&lt;=90,"61-90 days","Over 90 days")))))))</f>
        <v/>
      </c>
      <c r="AM227" s="49">
        <f>IF(OR(AL227="",AL227="No due date"),"",MAX(TODAY()-X227,0))</f>
        <v/>
      </c>
      <c r="AN227" s="49">
        <f>IF(AL227="","",IF(COUNT(X227)=0,-100000,TODAY()-X227))</f>
        <v/>
      </c>
      <c r="AO227" s="49">
        <f>IF(AN227="","",COUNTIF(AN$11:AN$1010,"&gt;"&amp;AN227)+COUNTIF(AN$11:AN227,AN227))</f>
        <v/>
      </c>
      <c r="AP227" s="49">
        <f>IF(OR(A227="",B227=""),"",IF(COUNTIF(B$11:B227,B227)=1,MAX(AP$10:AP226)+1,""))</f>
        <v/>
      </c>
    </row>
    <row r="228" ht="24" customHeight="1">
      <c r="A228" s="20" t="n"/>
      <c r="B228" s="10" t="n"/>
      <c r="C228" s="10" t="n"/>
      <c r="D228" s="10" t="n"/>
      <c r="E228" s="10" t="n"/>
      <c r="F228" s="18" t="n"/>
      <c r="G228" s="10" t="n"/>
      <c r="H228" s="12" t="n"/>
      <c r="I228" s="12" t="n"/>
      <c r="J228" s="13">
        <f>IF(OR(A228="",COUNT(H228)=0,COUNT(Z228)=0),"",ROUND(Z228-H228,2))</f>
        <v/>
      </c>
      <c r="K228" s="15">
        <f>IF(COUNT(J228)=0,"",IF(Z228=0,"n.a.",J228/Z228))</f>
        <v/>
      </c>
      <c r="L228" s="14">
        <f>IF(OR(A228="",COUNT(H228)=0,COUNT(Y228)=0),"",ROUND(H228*(1+Y228),2))</f>
        <v/>
      </c>
      <c r="M228" s="10" t="n"/>
      <c r="N228" s="10" t="n"/>
      <c r="O228" s="10" t="n"/>
      <c r="P228" s="10" t="n"/>
      <c r="Q228" s="20" t="n"/>
      <c r="R228" s="10" t="n"/>
      <c r="S228" s="10" t="n"/>
      <c r="T228" s="18" t="n"/>
      <c r="U228" s="18" t="n"/>
      <c r="V228" s="10" t="n"/>
      <c r="W228" s="10" t="n"/>
      <c r="X228" s="19">
        <f>IF(OR(A228="",COUNT(U228)=0,COUNT(AI228)=0),"",U228+AI228)</f>
        <v/>
      </c>
      <c r="Y228" s="16" t="n"/>
      <c r="Z228" s="12" t="n"/>
      <c r="AA228" s="17">
        <f>IF(COUNT(J228)=0,"",IF(H228=0,"n.a.",J228/H228))</f>
        <v/>
      </c>
      <c r="AB228" s="12" t="n"/>
      <c r="AC228" s="12" t="n"/>
      <c r="AD228" s="12" t="n"/>
      <c r="AE228" s="13">
        <f>IF(OR(COUNT(J228)=0,COUNT(AB228:AD228)&lt;3),"",ROUND(J228-SUM(AB228:AD228),2))</f>
        <v/>
      </c>
      <c r="AF228" s="15">
        <f>IF(COUNT(AE228)=0,"",IF(Z228=0,"n.a.",AE228/Z228))</f>
        <v/>
      </c>
      <c r="AG228" s="12" t="n"/>
      <c r="AH228" s="14">
        <f>IF(OR(A228="",COUNT(Z228)=0,COUNT(AG228)=0),"",ROUND(Z228-AG228,2))</f>
        <v/>
      </c>
      <c r="AI228" s="21" t="n"/>
      <c r="AJ228" s="11">
        <f>IF(A228="","",IF(COUNT(I228)=0,"Enter approved NTE",IF(COUNT(Z228)&gt;0,IF(Z228&gt;I228,"Invoice exceeds NTE","Invoice within NTE"),IF(COUNT(L228)=0,"Enter quote inputs",IF(L228&gt;I228,"Quote exceeds NTE","Quote within NTE")))))</f>
        <v/>
      </c>
      <c r="AK228" s="11">
        <f>IF(A228="","",IF(COUNT(H228)=0,"Enter direct cost",IF(COUNT(Z228)=0,"Enter invoice revenue",IF(COUNT(AB228:AD228)&lt;3,"Enter expenses (0 if none)","Complete"))))</f>
        <v/>
      </c>
      <c r="AL228" s="11">
        <f>IF(A228="","",IF(NOT(AND(COUNT(AH228)=1,N(AH228)&gt;0.004,V228&lt;&gt;"Void",V228&lt;&gt;"Not invoiced",V228&lt;&gt;"Draft")),"",IF(COUNT(X228)=0,"No due date",IF(TODAY()-X228&lt;=0,"Not yet due",IF(TODAY()-X228&lt;=30,"1-30 days",IF(TODAY()-X228&lt;=60,"31-60 days",IF(TODAY()-X228&lt;=90,"61-90 days","Over 90 days")))))))</f>
        <v/>
      </c>
      <c r="AM228" s="49">
        <f>IF(OR(AL228="",AL228="No due date"),"",MAX(TODAY()-X228,0))</f>
        <v/>
      </c>
      <c r="AN228" s="49">
        <f>IF(AL228="","",IF(COUNT(X228)=0,-100000,TODAY()-X228))</f>
        <v/>
      </c>
      <c r="AO228" s="49">
        <f>IF(AN228="","",COUNTIF(AN$11:AN$1010,"&gt;"&amp;AN228)+COUNTIF(AN$11:AN228,AN228))</f>
        <v/>
      </c>
      <c r="AP228" s="49">
        <f>IF(OR(A228="",B228=""),"",IF(COUNTIF(B$11:B228,B228)=1,MAX(AP$10:AP227)+1,""))</f>
        <v/>
      </c>
    </row>
    <row r="229" ht="24" customHeight="1">
      <c r="A229" s="20" t="n"/>
      <c r="B229" s="10" t="n"/>
      <c r="C229" s="10" t="n"/>
      <c r="D229" s="10" t="n"/>
      <c r="E229" s="10" t="n"/>
      <c r="F229" s="18" t="n"/>
      <c r="G229" s="10" t="n"/>
      <c r="H229" s="12" t="n"/>
      <c r="I229" s="12" t="n"/>
      <c r="J229" s="13">
        <f>IF(OR(A229="",COUNT(H229)=0,COUNT(Z229)=0),"",ROUND(Z229-H229,2))</f>
        <v/>
      </c>
      <c r="K229" s="15">
        <f>IF(COUNT(J229)=0,"",IF(Z229=0,"n.a.",J229/Z229))</f>
        <v/>
      </c>
      <c r="L229" s="14">
        <f>IF(OR(A229="",COUNT(H229)=0,COUNT(Y229)=0),"",ROUND(H229*(1+Y229),2))</f>
        <v/>
      </c>
      <c r="M229" s="10" t="n"/>
      <c r="N229" s="10" t="n"/>
      <c r="O229" s="10" t="n"/>
      <c r="P229" s="10" t="n"/>
      <c r="Q229" s="20" t="n"/>
      <c r="R229" s="10" t="n"/>
      <c r="S229" s="10" t="n"/>
      <c r="T229" s="18" t="n"/>
      <c r="U229" s="18" t="n"/>
      <c r="V229" s="10" t="n"/>
      <c r="W229" s="10" t="n"/>
      <c r="X229" s="19">
        <f>IF(OR(A229="",COUNT(U229)=0,COUNT(AI229)=0),"",U229+AI229)</f>
        <v/>
      </c>
      <c r="Y229" s="16" t="n"/>
      <c r="Z229" s="12" t="n"/>
      <c r="AA229" s="17">
        <f>IF(COUNT(J229)=0,"",IF(H229=0,"n.a.",J229/H229))</f>
        <v/>
      </c>
      <c r="AB229" s="12" t="n"/>
      <c r="AC229" s="12" t="n"/>
      <c r="AD229" s="12" t="n"/>
      <c r="AE229" s="13">
        <f>IF(OR(COUNT(J229)=0,COUNT(AB229:AD229)&lt;3),"",ROUND(J229-SUM(AB229:AD229),2))</f>
        <v/>
      </c>
      <c r="AF229" s="15">
        <f>IF(COUNT(AE229)=0,"",IF(Z229=0,"n.a.",AE229/Z229))</f>
        <v/>
      </c>
      <c r="AG229" s="12" t="n"/>
      <c r="AH229" s="14">
        <f>IF(OR(A229="",COUNT(Z229)=0,COUNT(AG229)=0),"",ROUND(Z229-AG229,2))</f>
        <v/>
      </c>
      <c r="AI229" s="21" t="n"/>
      <c r="AJ229" s="11">
        <f>IF(A229="","",IF(COUNT(I229)=0,"Enter approved NTE",IF(COUNT(Z229)&gt;0,IF(Z229&gt;I229,"Invoice exceeds NTE","Invoice within NTE"),IF(COUNT(L229)=0,"Enter quote inputs",IF(L229&gt;I229,"Quote exceeds NTE","Quote within NTE")))))</f>
        <v/>
      </c>
      <c r="AK229" s="11">
        <f>IF(A229="","",IF(COUNT(H229)=0,"Enter direct cost",IF(COUNT(Z229)=0,"Enter invoice revenue",IF(COUNT(AB229:AD229)&lt;3,"Enter expenses (0 if none)","Complete"))))</f>
        <v/>
      </c>
      <c r="AL229" s="11">
        <f>IF(A229="","",IF(NOT(AND(COUNT(AH229)=1,N(AH229)&gt;0.004,V229&lt;&gt;"Void",V229&lt;&gt;"Not invoiced",V229&lt;&gt;"Draft")),"",IF(COUNT(X229)=0,"No due date",IF(TODAY()-X229&lt;=0,"Not yet due",IF(TODAY()-X229&lt;=30,"1-30 days",IF(TODAY()-X229&lt;=60,"31-60 days",IF(TODAY()-X229&lt;=90,"61-90 days","Over 90 days")))))))</f>
        <v/>
      </c>
      <c r="AM229" s="49">
        <f>IF(OR(AL229="",AL229="No due date"),"",MAX(TODAY()-X229,0))</f>
        <v/>
      </c>
      <c r="AN229" s="49">
        <f>IF(AL229="","",IF(COUNT(X229)=0,-100000,TODAY()-X229))</f>
        <v/>
      </c>
      <c r="AO229" s="49">
        <f>IF(AN229="","",COUNTIF(AN$11:AN$1010,"&gt;"&amp;AN229)+COUNTIF(AN$11:AN229,AN229))</f>
        <v/>
      </c>
      <c r="AP229" s="49">
        <f>IF(OR(A229="",B229=""),"",IF(COUNTIF(B$11:B229,B229)=1,MAX(AP$10:AP228)+1,""))</f>
        <v/>
      </c>
    </row>
    <row r="230" ht="24" customHeight="1">
      <c r="A230" s="20" t="n"/>
      <c r="B230" s="10" t="n"/>
      <c r="C230" s="10" t="n"/>
      <c r="D230" s="10" t="n"/>
      <c r="E230" s="10" t="n"/>
      <c r="F230" s="18" t="n"/>
      <c r="G230" s="10" t="n"/>
      <c r="H230" s="12" t="n"/>
      <c r="I230" s="12" t="n"/>
      <c r="J230" s="13">
        <f>IF(OR(A230="",COUNT(H230)=0,COUNT(Z230)=0),"",ROUND(Z230-H230,2))</f>
        <v/>
      </c>
      <c r="K230" s="15">
        <f>IF(COUNT(J230)=0,"",IF(Z230=0,"n.a.",J230/Z230))</f>
        <v/>
      </c>
      <c r="L230" s="14">
        <f>IF(OR(A230="",COUNT(H230)=0,COUNT(Y230)=0),"",ROUND(H230*(1+Y230),2))</f>
        <v/>
      </c>
      <c r="M230" s="10" t="n"/>
      <c r="N230" s="10" t="n"/>
      <c r="O230" s="10" t="n"/>
      <c r="P230" s="10" t="n"/>
      <c r="Q230" s="20" t="n"/>
      <c r="R230" s="10" t="n"/>
      <c r="S230" s="10" t="n"/>
      <c r="T230" s="18" t="n"/>
      <c r="U230" s="18" t="n"/>
      <c r="V230" s="10" t="n"/>
      <c r="W230" s="10" t="n"/>
      <c r="X230" s="19">
        <f>IF(OR(A230="",COUNT(U230)=0,COUNT(AI230)=0),"",U230+AI230)</f>
        <v/>
      </c>
      <c r="Y230" s="16" t="n"/>
      <c r="Z230" s="12" t="n"/>
      <c r="AA230" s="17">
        <f>IF(COUNT(J230)=0,"",IF(H230=0,"n.a.",J230/H230))</f>
        <v/>
      </c>
      <c r="AB230" s="12" t="n"/>
      <c r="AC230" s="12" t="n"/>
      <c r="AD230" s="12" t="n"/>
      <c r="AE230" s="13">
        <f>IF(OR(COUNT(J230)=0,COUNT(AB230:AD230)&lt;3),"",ROUND(J230-SUM(AB230:AD230),2))</f>
        <v/>
      </c>
      <c r="AF230" s="15">
        <f>IF(COUNT(AE230)=0,"",IF(Z230=0,"n.a.",AE230/Z230))</f>
        <v/>
      </c>
      <c r="AG230" s="12" t="n"/>
      <c r="AH230" s="14">
        <f>IF(OR(A230="",COUNT(Z230)=0,COUNT(AG230)=0),"",ROUND(Z230-AG230,2))</f>
        <v/>
      </c>
      <c r="AI230" s="21" t="n"/>
      <c r="AJ230" s="11">
        <f>IF(A230="","",IF(COUNT(I230)=0,"Enter approved NTE",IF(COUNT(Z230)&gt;0,IF(Z230&gt;I230,"Invoice exceeds NTE","Invoice within NTE"),IF(COUNT(L230)=0,"Enter quote inputs",IF(L230&gt;I230,"Quote exceeds NTE","Quote within NTE")))))</f>
        <v/>
      </c>
      <c r="AK230" s="11">
        <f>IF(A230="","",IF(COUNT(H230)=0,"Enter direct cost",IF(COUNT(Z230)=0,"Enter invoice revenue",IF(COUNT(AB230:AD230)&lt;3,"Enter expenses (0 if none)","Complete"))))</f>
        <v/>
      </c>
      <c r="AL230" s="11">
        <f>IF(A230="","",IF(NOT(AND(COUNT(AH230)=1,N(AH230)&gt;0.004,V230&lt;&gt;"Void",V230&lt;&gt;"Not invoiced",V230&lt;&gt;"Draft")),"",IF(COUNT(X230)=0,"No due date",IF(TODAY()-X230&lt;=0,"Not yet due",IF(TODAY()-X230&lt;=30,"1-30 days",IF(TODAY()-X230&lt;=60,"31-60 days",IF(TODAY()-X230&lt;=90,"61-90 days","Over 90 days")))))))</f>
        <v/>
      </c>
      <c r="AM230" s="49">
        <f>IF(OR(AL230="",AL230="No due date"),"",MAX(TODAY()-X230,0))</f>
        <v/>
      </c>
      <c r="AN230" s="49">
        <f>IF(AL230="","",IF(COUNT(X230)=0,-100000,TODAY()-X230))</f>
        <v/>
      </c>
      <c r="AO230" s="49">
        <f>IF(AN230="","",COUNTIF(AN$11:AN$1010,"&gt;"&amp;AN230)+COUNTIF(AN$11:AN230,AN230))</f>
        <v/>
      </c>
      <c r="AP230" s="49">
        <f>IF(OR(A230="",B230=""),"",IF(COUNTIF(B$11:B230,B230)=1,MAX(AP$10:AP229)+1,""))</f>
        <v/>
      </c>
    </row>
    <row r="231" ht="24" customHeight="1">
      <c r="A231" s="20" t="n"/>
      <c r="B231" s="10" t="n"/>
      <c r="C231" s="10" t="n"/>
      <c r="D231" s="10" t="n"/>
      <c r="E231" s="10" t="n"/>
      <c r="F231" s="18" t="n"/>
      <c r="G231" s="10" t="n"/>
      <c r="H231" s="12" t="n"/>
      <c r="I231" s="12" t="n"/>
      <c r="J231" s="13">
        <f>IF(OR(A231="",COUNT(H231)=0,COUNT(Z231)=0),"",ROUND(Z231-H231,2))</f>
        <v/>
      </c>
      <c r="K231" s="15">
        <f>IF(COUNT(J231)=0,"",IF(Z231=0,"n.a.",J231/Z231))</f>
        <v/>
      </c>
      <c r="L231" s="14">
        <f>IF(OR(A231="",COUNT(H231)=0,COUNT(Y231)=0),"",ROUND(H231*(1+Y231),2))</f>
        <v/>
      </c>
      <c r="M231" s="10" t="n"/>
      <c r="N231" s="10" t="n"/>
      <c r="O231" s="10" t="n"/>
      <c r="P231" s="10" t="n"/>
      <c r="Q231" s="20" t="n"/>
      <c r="R231" s="10" t="n"/>
      <c r="S231" s="10" t="n"/>
      <c r="T231" s="18" t="n"/>
      <c r="U231" s="18" t="n"/>
      <c r="V231" s="10" t="n"/>
      <c r="W231" s="10" t="n"/>
      <c r="X231" s="19">
        <f>IF(OR(A231="",COUNT(U231)=0,COUNT(AI231)=0),"",U231+AI231)</f>
        <v/>
      </c>
      <c r="Y231" s="16" t="n"/>
      <c r="Z231" s="12" t="n"/>
      <c r="AA231" s="17">
        <f>IF(COUNT(J231)=0,"",IF(H231=0,"n.a.",J231/H231))</f>
        <v/>
      </c>
      <c r="AB231" s="12" t="n"/>
      <c r="AC231" s="12" t="n"/>
      <c r="AD231" s="12" t="n"/>
      <c r="AE231" s="13">
        <f>IF(OR(COUNT(J231)=0,COUNT(AB231:AD231)&lt;3),"",ROUND(J231-SUM(AB231:AD231),2))</f>
        <v/>
      </c>
      <c r="AF231" s="15">
        <f>IF(COUNT(AE231)=0,"",IF(Z231=0,"n.a.",AE231/Z231))</f>
        <v/>
      </c>
      <c r="AG231" s="12" t="n"/>
      <c r="AH231" s="14">
        <f>IF(OR(A231="",COUNT(Z231)=0,COUNT(AG231)=0),"",ROUND(Z231-AG231,2))</f>
        <v/>
      </c>
      <c r="AI231" s="21" t="n"/>
      <c r="AJ231" s="11">
        <f>IF(A231="","",IF(COUNT(I231)=0,"Enter approved NTE",IF(COUNT(Z231)&gt;0,IF(Z231&gt;I231,"Invoice exceeds NTE","Invoice within NTE"),IF(COUNT(L231)=0,"Enter quote inputs",IF(L231&gt;I231,"Quote exceeds NTE","Quote within NTE")))))</f>
        <v/>
      </c>
      <c r="AK231" s="11">
        <f>IF(A231="","",IF(COUNT(H231)=0,"Enter direct cost",IF(COUNT(Z231)=0,"Enter invoice revenue",IF(COUNT(AB231:AD231)&lt;3,"Enter expenses (0 if none)","Complete"))))</f>
        <v/>
      </c>
      <c r="AL231" s="11">
        <f>IF(A231="","",IF(NOT(AND(COUNT(AH231)=1,N(AH231)&gt;0.004,V231&lt;&gt;"Void",V231&lt;&gt;"Not invoiced",V231&lt;&gt;"Draft")),"",IF(COUNT(X231)=0,"No due date",IF(TODAY()-X231&lt;=0,"Not yet due",IF(TODAY()-X231&lt;=30,"1-30 days",IF(TODAY()-X231&lt;=60,"31-60 days",IF(TODAY()-X231&lt;=90,"61-90 days","Over 90 days")))))))</f>
        <v/>
      </c>
      <c r="AM231" s="49">
        <f>IF(OR(AL231="",AL231="No due date"),"",MAX(TODAY()-X231,0))</f>
        <v/>
      </c>
      <c r="AN231" s="49">
        <f>IF(AL231="","",IF(COUNT(X231)=0,-100000,TODAY()-X231))</f>
        <v/>
      </c>
      <c r="AO231" s="49">
        <f>IF(AN231="","",COUNTIF(AN$11:AN$1010,"&gt;"&amp;AN231)+COUNTIF(AN$11:AN231,AN231))</f>
        <v/>
      </c>
      <c r="AP231" s="49">
        <f>IF(OR(A231="",B231=""),"",IF(COUNTIF(B$11:B231,B231)=1,MAX(AP$10:AP230)+1,""))</f>
        <v/>
      </c>
    </row>
    <row r="232" ht="24" customHeight="1">
      <c r="A232" s="20" t="n"/>
      <c r="B232" s="10" t="n"/>
      <c r="C232" s="10" t="n"/>
      <c r="D232" s="10" t="n"/>
      <c r="E232" s="10" t="n"/>
      <c r="F232" s="18" t="n"/>
      <c r="G232" s="10" t="n"/>
      <c r="H232" s="12" t="n"/>
      <c r="I232" s="12" t="n"/>
      <c r="J232" s="13">
        <f>IF(OR(A232="",COUNT(H232)=0,COUNT(Z232)=0),"",ROUND(Z232-H232,2))</f>
        <v/>
      </c>
      <c r="K232" s="15">
        <f>IF(COUNT(J232)=0,"",IF(Z232=0,"n.a.",J232/Z232))</f>
        <v/>
      </c>
      <c r="L232" s="14">
        <f>IF(OR(A232="",COUNT(H232)=0,COUNT(Y232)=0),"",ROUND(H232*(1+Y232),2))</f>
        <v/>
      </c>
      <c r="M232" s="10" t="n"/>
      <c r="N232" s="10" t="n"/>
      <c r="O232" s="10" t="n"/>
      <c r="P232" s="10" t="n"/>
      <c r="Q232" s="20" t="n"/>
      <c r="R232" s="10" t="n"/>
      <c r="S232" s="10" t="n"/>
      <c r="T232" s="18" t="n"/>
      <c r="U232" s="18" t="n"/>
      <c r="V232" s="10" t="n"/>
      <c r="W232" s="10" t="n"/>
      <c r="X232" s="19">
        <f>IF(OR(A232="",COUNT(U232)=0,COUNT(AI232)=0),"",U232+AI232)</f>
        <v/>
      </c>
      <c r="Y232" s="16" t="n"/>
      <c r="Z232" s="12" t="n"/>
      <c r="AA232" s="17">
        <f>IF(COUNT(J232)=0,"",IF(H232=0,"n.a.",J232/H232))</f>
        <v/>
      </c>
      <c r="AB232" s="12" t="n"/>
      <c r="AC232" s="12" t="n"/>
      <c r="AD232" s="12" t="n"/>
      <c r="AE232" s="13">
        <f>IF(OR(COUNT(J232)=0,COUNT(AB232:AD232)&lt;3),"",ROUND(J232-SUM(AB232:AD232),2))</f>
        <v/>
      </c>
      <c r="AF232" s="15">
        <f>IF(COUNT(AE232)=0,"",IF(Z232=0,"n.a.",AE232/Z232))</f>
        <v/>
      </c>
      <c r="AG232" s="12" t="n"/>
      <c r="AH232" s="14">
        <f>IF(OR(A232="",COUNT(Z232)=0,COUNT(AG232)=0),"",ROUND(Z232-AG232,2))</f>
        <v/>
      </c>
      <c r="AI232" s="21" t="n"/>
      <c r="AJ232" s="11">
        <f>IF(A232="","",IF(COUNT(I232)=0,"Enter approved NTE",IF(COUNT(Z232)&gt;0,IF(Z232&gt;I232,"Invoice exceeds NTE","Invoice within NTE"),IF(COUNT(L232)=0,"Enter quote inputs",IF(L232&gt;I232,"Quote exceeds NTE","Quote within NTE")))))</f>
        <v/>
      </c>
      <c r="AK232" s="11">
        <f>IF(A232="","",IF(COUNT(H232)=0,"Enter direct cost",IF(COUNT(Z232)=0,"Enter invoice revenue",IF(COUNT(AB232:AD232)&lt;3,"Enter expenses (0 if none)","Complete"))))</f>
        <v/>
      </c>
      <c r="AL232" s="11">
        <f>IF(A232="","",IF(NOT(AND(COUNT(AH232)=1,N(AH232)&gt;0.004,V232&lt;&gt;"Void",V232&lt;&gt;"Not invoiced",V232&lt;&gt;"Draft")),"",IF(COUNT(X232)=0,"No due date",IF(TODAY()-X232&lt;=0,"Not yet due",IF(TODAY()-X232&lt;=30,"1-30 days",IF(TODAY()-X232&lt;=60,"31-60 days",IF(TODAY()-X232&lt;=90,"61-90 days","Over 90 days")))))))</f>
        <v/>
      </c>
      <c r="AM232" s="49">
        <f>IF(OR(AL232="",AL232="No due date"),"",MAX(TODAY()-X232,0))</f>
        <v/>
      </c>
      <c r="AN232" s="49">
        <f>IF(AL232="","",IF(COUNT(X232)=0,-100000,TODAY()-X232))</f>
        <v/>
      </c>
      <c r="AO232" s="49">
        <f>IF(AN232="","",COUNTIF(AN$11:AN$1010,"&gt;"&amp;AN232)+COUNTIF(AN$11:AN232,AN232))</f>
        <v/>
      </c>
      <c r="AP232" s="49">
        <f>IF(OR(A232="",B232=""),"",IF(COUNTIF(B$11:B232,B232)=1,MAX(AP$10:AP231)+1,""))</f>
        <v/>
      </c>
    </row>
    <row r="233" ht="24" customHeight="1">
      <c r="A233" s="20" t="n"/>
      <c r="B233" s="10" t="n"/>
      <c r="C233" s="10" t="n"/>
      <c r="D233" s="10" t="n"/>
      <c r="E233" s="10" t="n"/>
      <c r="F233" s="18" t="n"/>
      <c r="G233" s="10" t="n"/>
      <c r="H233" s="12" t="n"/>
      <c r="I233" s="12" t="n"/>
      <c r="J233" s="13">
        <f>IF(OR(A233="",COUNT(H233)=0,COUNT(Z233)=0),"",ROUND(Z233-H233,2))</f>
        <v/>
      </c>
      <c r="K233" s="15">
        <f>IF(COUNT(J233)=0,"",IF(Z233=0,"n.a.",J233/Z233))</f>
        <v/>
      </c>
      <c r="L233" s="14">
        <f>IF(OR(A233="",COUNT(H233)=0,COUNT(Y233)=0),"",ROUND(H233*(1+Y233),2))</f>
        <v/>
      </c>
      <c r="M233" s="10" t="n"/>
      <c r="N233" s="10" t="n"/>
      <c r="O233" s="10" t="n"/>
      <c r="P233" s="10" t="n"/>
      <c r="Q233" s="20" t="n"/>
      <c r="R233" s="10" t="n"/>
      <c r="S233" s="10" t="n"/>
      <c r="T233" s="18" t="n"/>
      <c r="U233" s="18" t="n"/>
      <c r="V233" s="10" t="n"/>
      <c r="W233" s="10" t="n"/>
      <c r="X233" s="19">
        <f>IF(OR(A233="",COUNT(U233)=0,COUNT(AI233)=0),"",U233+AI233)</f>
        <v/>
      </c>
      <c r="Y233" s="16" t="n"/>
      <c r="Z233" s="12" t="n"/>
      <c r="AA233" s="17">
        <f>IF(COUNT(J233)=0,"",IF(H233=0,"n.a.",J233/H233))</f>
        <v/>
      </c>
      <c r="AB233" s="12" t="n"/>
      <c r="AC233" s="12" t="n"/>
      <c r="AD233" s="12" t="n"/>
      <c r="AE233" s="13">
        <f>IF(OR(COUNT(J233)=0,COUNT(AB233:AD233)&lt;3),"",ROUND(J233-SUM(AB233:AD233),2))</f>
        <v/>
      </c>
      <c r="AF233" s="15">
        <f>IF(COUNT(AE233)=0,"",IF(Z233=0,"n.a.",AE233/Z233))</f>
        <v/>
      </c>
      <c r="AG233" s="12" t="n"/>
      <c r="AH233" s="14">
        <f>IF(OR(A233="",COUNT(Z233)=0,COUNT(AG233)=0),"",ROUND(Z233-AG233,2))</f>
        <v/>
      </c>
      <c r="AI233" s="21" t="n"/>
      <c r="AJ233" s="11">
        <f>IF(A233="","",IF(COUNT(I233)=0,"Enter approved NTE",IF(COUNT(Z233)&gt;0,IF(Z233&gt;I233,"Invoice exceeds NTE","Invoice within NTE"),IF(COUNT(L233)=0,"Enter quote inputs",IF(L233&gt;I233,"Quote exceeds NTE","Quote within NTE")))))</f>
        <v/>
      </c>
      <c r="AK233" s="11">
        <f>IF(A233="","",IF(COUNT(H233)=0,"Enter direct cost",IF(COUNT(Z233)=0,"Enter invoice revenue",IF(COUNT(AB233:AD233)&lt;3,"Enter expenses (0 if none)","Complete"))))</f>
        <v/>
      </c>
      <c r="AL233" s="11">
        <f>IF(A233="","",IF(NOT(AND(COUNT(AH233)=1,N(AH233)&gt;0.004,V233&lt;&gt;"Void",V233&lt;&gt;"Not invoiced",V233&lt;&gt;"Draft")),"",IF(COUNT(X233)=0,"No due date",IF(TODAY()-X233&lt;=0,"Not yet due",IF(TODAY()-X233&lt;=30,"1-30 days",IF(TODAY()-X233&lt;=60,"31-60 days",IF(TODAY()-X233&lt;=90,"61-90 days","Over 90 days")))))))</f>
        <v/>
      </c>
      <c r="AM233" s="49">
        <f>IF(OR(AL233="",AL233="No due date"),"",MAX(TODAY()-X233,0))</f>
        <v/>
      </c>
      <c r="AN233" s="49">
        <f>IF(AL233="","",IF(COUNT(X233)=0,-100000,TODAY()-X233))</f>
        <v/>
      </c>
      <c r="AO233" s="49">
        <f>IF(AN233="","",COUNTIF(AN$11:AN$1010,"&gt;"&amp;AN233)+COUNTIF(AN$11:AN233,AN233))</f>
        <v/>
      </c>
      <c r="AP233" s="49">
        <f>IF(OR(A233="",B233=""),"",IF(COUNTIF(B$11:B233,B233)=1,MAX(AP$10:AP232)+1,""))</f>
        <v/>
      </c>
    </row>
    <row r="234" ht="24" customHeight="1">
      <c r="A234" s="20" t="n"/>
      <c r="B234" s="10" t="n"/>
      <c r="C234" s="10" t="n"/>
      <c r="D234" s="10" t="n"/>
      <c r="E234" s="10" t="n"/>
      <c r="F234" s="18" t="n"/>
      <c r="G234" s="10" t="n"/>
      <c r="H234" s="12" t="n"/>
      <c r="I234" s="12" t="n"/>
      <c r="J234" s="13">
        <f>IF(OR(A234="",COUNT(H234)=0,COUNT(Z234)=0),"",ROUND(Z234-H234,2))</f>
        <v/>
      </c>
      <c r="K234" s="15">
        <f>IF(COUNT(J234)=0,"",IF(Z234=0,"n.a.",J234/Z234))</f>
        <v/>
      </c>
      <c r="L234" s="14">
        <f>IF(OR(A234="",COUNT(H234)=0,COUNT(Y234)=0),"",ROUND(H234*(1+Y234),2))</f>
        <v/>
      </c>
      <c r="M234" s="10" t="n"/>
      <c r="N234" s="10" t="n"/>
      <c r="O234" s="10" t="n"/>
      <c r="P234" s="10" t="n"/>
      <c r="Q234" s="20" t="n"/>
      <c r="R234" s="10" t="n"/>
      <c r="S234" s="10" t="n"/>
      <c r="T234" s="18" t="n"/>
      <c r="U234" s="18" t="n"/>
      <c r="V234" s="10" t="n"/>
      <c r="W234" s="10" t="n"/>
      <c r="X234" s="19">
        <f>IF(OR(A234="",COUNT(U234)=0,COUNT(AI234)=0),"",U234+AI234)</f>
        <v/>
      </c>
      <c r="Y234" s="16" t="n"/>
      <c r="Z234" s="12" t="n"/>
      <c r="AA234" s="17">
        <f>IF(COUNT(J234)=0,"",IF(H234=0,"n.a.",J234/H234))</f>
        <v/>
      </c>
      <c r="AB234" s="12" t="n"/>
      <c r="AC234" s="12" t="n"/>
      <c r="AD234" s="12" t="n"/>
      <c r="AE234" s="13">
        <f>IF(OR(COUNT(J234)=0,COUNT(AB234:AD234)&lt;3),"",ROUND(J234-SUM(AB234:AD234),2))</f>
        <v/>
      </c>
      <c r="AF234" s="15">
        <f>IF(COUNT(AE234)=0,"",IF(Z234=0,"n.a.",AE234/Z234))</f>
        <v/>
      </c>
      <c r="AG234" s="12" t="n"/>
      <c r="AH234" s="14">
        <f>IF(OR(A234="",COUNT(Z234)=0,COUNT(AG234)=0),"",ROUND(Z234-AG234,2))</f>
        <v/>
      </c>
      <c r="AI234" s="21" t="n"/>
      <c r="AJ234" s="11">
        <f>IF(A234="","",IF(COUNT(I234)=0,"Enter approved NTE",IF(COUNT(Z234)&gt;0,IF(Z234&gt;I234,"Invoice exceeds NTE","Invoice within NTE"),IF(COUNT(L234)=0,"Enter quote inputs",IF(L234&gt;I234,"Quote exceeds NTE","Quote within NTE")))))</f>
        <v/>
      </c>
      <c r="AK234" s="11">
        <f>IF(A234="","",IF(COUNT(H234)=0,"Enter direct cost",IF(COUNT(Z234)=0,"Enter invoice revenue",IF(COUNT(AB234:AD234)&lt;3,"Enter expenses (0 if none)","Complete"))))</f>
        <v/>
      </c>
      <c r="AL234" s="11">
        <f>IF(A234="","",IF(NOT(AND(COUNT(AH234)=1,N(AH234)&gt;0.004,V234&lt;&gt;"Void",V234&lt;&gt;"Not invoiced",V234&lt;&gt;"Draft")),"",IF(COUNT(X234)=0,"No due date",IF(TODAY()-X234&lt;=0,"Not yet due",IF(TODAY()-X234&lt;=30,"1-30 days",IF(TODAY()-X234&lt;=60,"31-60 days",IF(TODAY()-X234&lt;=90,"61-90 days","Over 90 days")))))))</f>
        <v/>
      </c>
      <c r="AM234" s="49">
        <f>IF(OR(AL234="",AL234="No due date"),"",MAX(TODAY()-X234,0))</f>
        <v/>
      </c>
      <c r="AN234" s="49">
        <f>IF(AL234="","",IF(COUNT(X234)=0,-100000,TODAY()-X234))</f>
        <v/>
      </c>
      <c r="AO234" s="49">
        <f>IF(AN234="","",COUNTIF(AN$11:AN$1010,"&gt;"&amp;AN234)+COUNTIF(AN$11:AN234,AN234))</f>
        <v/>
      </c>
      <c r="AP234" s="49">
        <f>IF(OR(A234="",B234=""),"",IF(COUNTIF(B$11:B234,B234)=1,MAX(AP$10:AP233)+1,""))</f>
        <v/>
      </c>
    </row>
    <row r="235" ht="24" customHeight="1">
      <c r="A235" s="20" t="n"/>
      <c r="B235" s="10" t="n"/>
      <c r="C235" s="10" t="n"/>
      <c r="D235" s="10" t="n"/>
      <c r="E235" s="10" t="n"/>
      <c r="F235" s="18" t="n"/>
      <c r="G235" s="10" t="n"/>
      <c r="H235" s="12" t="n"/>
      <c r="I235" s="12" t="n"/>
      <c r="J235" s="13">
        <f>IF(OR(A235="",COUNT(H235)=0,COUNT(Z235)=0),"",ROUND(Z235-H235,2))</f>
        <v/>
      </c>
      <c r="K235" s="15">
        <f>IF(COUNT(J235)=0,"",IF(Z235=0,"n.a.",J235/Z235))</f>
        <v/>
      </c>
      <c r="L235" s="14">
        <f>IF(OR(A235="",COUNT(H235)=0,COUNT(Y235)=0),"",ROUND(H235*(1+Y235),2))</f>
        <v/>
      </c>
      <c r="M235" s="10" t="n"/>
      <c r="N235" s="10" t="n"/>
      <c r="O235" s="10" t="n"/>
      <c r="P235" s="10" t="n"/>
      <c r="Q235" s="20" t="n"/>
      <c r="R235" s="10" t="n"/>
      <c r="S235" s="10" t="n"/>
      <c r="T235" s="18" t="n"/>
      <c r="U235" s="18" t="n"/>
      <c r="V235" s="10" t="n"/>
      <c r="W235" s="10" t="n"/>
      <c r="X235" s="19">
        <f>IF(OR(A235="",COUNT(U235)=0,COUNT(AI235)=0),"",U235+AI235)</f>
        <v/>
      </c>
      <c r="Y235" s="16" t="n"/>
      <c r="Z235" s="12" t="n"/>
      <c r="AA235" s="17">
        <f>IF(COUNT(J235)=0,"",IF(H235=0,"n.a.",J235/H235))</f>
        <v/>
      </c>
      <c r="AB235" s="12" t="n"/>
      <c r="AC235" s="12" t="n"/>
      <c r="AD235" s="12" t="n"/>
      <c r="AE235" s="13">
        <f>IF(OR(COUNT(J235)=0,COUNT(AB235:AD235)&lt;3),"",ROUND(J235-SUM(AB235:AD235),2))</f>
        <v/>
      </c>
      <c r="AF235" s="15">
        <f>IF(COUNT(AE235)=0,"",IF(Z235=0,"n.a.",AE235/Z235))</f>
        <v/>
      </c>
      <c r="AG235" s="12" t="n"/>
      <c r="AH235" s="14">
        <f>IF(OR(A235="",COUNT(Z235)=0,COUNT(AG235)=0),"",ROUND(Z235-AG235,2))</f>
        <v/>
      </c>
      <c r="AI235" s="21" t="n"/>
      <c r="AJ235" s="11">
        <f>IF(A235="","",IF(COUNT(I235)=0,"Enter approved NTE",IF(COUNT(Z235)&gt;0,IF(Z235&gt;I235,"Invoice exceeds NTE","Invoice within NTE"),IF(COUNT(L235)=0,"Enter quote inputs",IF(L235&gt;I235,"Quote exceeds NTE","Quote within NTE")))))</f>
        <v/>
      </c>
      <c r="AK235" s="11">
        <f>IF(A235="","",IF(COUNT(H235)=0,"Enter direct cost",IF(COUNT(Z235)=0,"Enter invoice revenue",IF(COUNT(AB235:AD235)&lt;3,"Enter expenses (0 if none)","Complete"))))</f>
        <v/>
      </c>
      <c r="AL235" s="11">
        <f>IF(A235="","",IF(NOT(AND(COUNT(AH235)=1,N(AH235)&gt;0.004,V235&lt;&gt;"Void",V235&lt;&gt;"Not invoiced",V235&lt;&gt;"Draft")),"",IF(COUNT(X235)=0,"No due date",IF(TODAY()-X235&lt;=0,"Not yet due",IF(TODAY()-X235&lt;=30,"1-30 days",IF(TODAY()-X235&lt;=60,"31-60 days",IF(TODAY()-X235&lt;=90,"61-90 days","Over 90 days")))))))</f>
        <v/>
      </c>
      <c r="AM235" s="49">
        <f>IF(OR(AL235="",AL235="No due date"),"",MAX(TODAY()-X235,0))</f>
        <v/>
      </c>
      <c r="AN235" s="49">
        <f>IF(AL235="","",IF(COUNT(X235)=0,-100000,TODAY()-X235))</f>
        <v/>
      </c>
      <c r="AO235" s="49">
        <f>IF(AN235="","",COUNTIF(AN$11:AN$1010,"&gt;"&amp;AN235)+COUNTIF(AN$11:AN235,AN235))</f>
        <v/>
      </c>
      <c r="AP235" s="49">
        <f>IF(OR(A235="",B235=""),"",IF(COUNTIF(B$11:B235,B235)=1,MAX(AP$10:AP234)+1,""))</f>
        <v/>
      </c>
    </row>
    <row r="236" ht="24" customHeight="1">
      <c r="A236" s="20" t="n"/>
      <c r="B236" s="10" t="n"/>
      <c r="C236" s="10" t="n"/>
      <c r="D236" s="10" t="n"/>
      <c r="E236" s="10" t="n"/>
      <c r="F236" s="18" t="n"/>
      <c r="G236" s="10" t="n"/>
      <c r="H236" s="12" t="n"/>
      <c r="I236" s="12" t="n"/>
      <c r="J236" s="13">
        <f>IF(OR(A236="",COUNT(H236)=0,COUNT(Z236)=0),"",ROUND(Z236-H236,2))</f>
        <v/>
      </c>
      <c r="K236" s="15">
        <f>IF(COUNT(J236)=0,"",IF(Z236=0,"n.a.",J236/Z236))</f>
        <v/>
      </c>
      <c r="L236" s="14">
        <f>IF(OR(A236="",COUNT(H236)=0,COUNT(Y236)=0),"",ROUND(H236*(1+Y236),2))</f>
        <v/>
      </c>
      <c r="M236" s="10" t="n"/>
      <c r="N236" s="10" t="n"/>
      <c r="O236" s="10" t="n"/>
      <c r="P236" s="10" t="n"/>
      <c r="Q236" s="20" t="n"/>
      <c r="R236" s="10" t="n"/>
      <c r="S236" s="10" t="n"/>
      <c r="T236" s="18" t="n"/>
      <c r="U236" s="18" t="n"/>
      <c r="V236" s="10" t="n"/>
      <c r="W236" s="10" t="n"/>
      <c r="X236" s="19">
        <f>IF(OR(A236="",COUNT(U236)=0,COUNT(AI236)=0),"",U236+AI236)</f>
        <v/>
      </c>
      <c r="Y236" s="16" t="n"/>
      <c r="Z236" s="12" t="n"/>
      <c r="AA236" s="17">
        <f>IF(COUNT(J236)=0,"",IF(H236=0,"n.a.",J236/H236))</f>
        <v/>
      </c>
      <c r="AB236" s="12" t="n"/>
      <c r="AC236" s="12" t="n"/>
      <c r="AD236" s="12" t="n"/>
      <c r="AE236" s="13">
        <f>IF(OR(COUNT(J236)=0,COUNT(AB236:AD236)&lt;3),"",ROUND(J236-SUM(AB236:AD236),2))</f>
        <v/>
      </c>
      <c r="AF236" s="15">
        <f>IF(COUNT(AE236)=0,"",IF(Z236=0,"n.a.",AE236/Z236))</f>
        <v/>
      </c>
      <c r="AG236" s="12" t="n"/>
      <c r="AH236" s="14">
        <f>IF(OR(A236="",COUNT(Z236)=0,COUNT(AG236)=0),"",ROUND(Z236-AG236,2))</f>
        <v/>
      </c>
      <c r="AI236" s="21" t="n"/>
      <c r="AJ236" s="11">
        <f>IF(A236="","",IF(COUNT(I236)=0,"Enter approved NTE",IF(COUNT(Z236)&gt;0,IF(Z236&gt;I236,"Invoice exceeds NTE","Invoice within NTE"),IF(COUNT(L236)=0,"Enter quote inputs",IF(L236&gt;I236,"Quote exceeds NTE","Quote within NTE")))))</f>
        <v/>
      </c>
      <c r="AK236" s="11">
        <f>IF(A236="","",IF(COUNT(H236)=0,"Enter direct cost",IF(COUNT(Z236)=0,"Enter invoice revenue",IF(COUNT(AB236:AD236)&lt;3,"Enter expenses (0 if none)","Complete"))))</f>
        <v/>
      </c>
      <c r="AL236" s="11">
        <f>IF(A236="","",IF(NOT(AND(COUNT(AH236)=1,N(AH236)&gt;0.004,V236&lt;&gt;"Void",V236&lt;&gt;"Not invoiced",V236&lt;&gt;"Draft")),"",IF(COUNT(X236)=0,"No due date",IF(TODAY()-X236&lt;=0,"Not yet due",IF(TODAY()-X236&lt;=30,"1-30 days",IF(TODAY()-X236&lt;=60,"31-60 days",IF(TODAY()-X236&lt;=90,"61-90 days","Over 90 days")))))))</f>
        <v/>
      </c>
      <c r="AM236" s="49">
        <f>IF(OR(AL236="",AL236="No due date"),"",MAX(TODAY()-X236,0))</f>
        <v/>
      </c>
      <c r="AN236" s="49">
        <f>IF(AL236="","",IF(COUNT(X236)=0,-100000,TODAY()-X236))</f>
        <v/>
      </c>
      <c r="AO236" s="49">
        <f>IF(AN236="","",COUNTIF(AN$11:AN$1010,"&gt;"&amp;AN236)+COUNTIF(AN$11:AN236,AN236))</f>
        <v/>
      </c>
      <c r="AP236" s="49">
        <f>IF(OR(A236="",B236=""),"",IF(COUNTIF(B$11:B236,B236)=1,MAX(AP$10:AP235)+1,""))</f>
        <v/>
      </c>
    </row>
    <row r="237" ht="24" customHeight="1">
      <c r="A237" s="20" t="n"/>
      <c r="B237" s="10" t="n"/>
      <c r="C237" s="10" t="n"/>
      <c r="D237" s="10" t="n"/>
      <c r="E237" s="10" t="n"/>
      <c r="F237" s="18" t="n"/>
      <c r="G237" s="10" t="n"/>
      <c r="H237" s="12" t="n"/>
      <c r="I237" s="12" t="n"/>
      <c r="J237" s="13">
        <f>IF(OR(A237="",COUNT(H237)=0,COUNT(Z237)=0),"",ROUND(Z237-H237,2))</f>
        <v/>
      </c>
      <c r="K237" s="15">
        <f>IF(COUNT(J237)=0,"",IF(Z237=0,"n.a.",J237/Z237))</f>
        <v/>
      </c>
      <c r="L237" s="14">
        <f>IF(OR(A237="",COUNT(H237)=0,COUNT(Y237)=0),"",ROUND(H237*(1+Y237),2))</f>
        <v/>
      </c>
      <c r="M237" s="10" t="n"/>
      <c r="N237" s="10" t="n"/>
      <c r="O237" s="10" t="n"/>
      <c r="P237" s="10" t="n"/>
      <c r="Q237" s="20" t="n"/>
      <c r="R237" s="10" t="n"/>
      <c r="S237" s="10" t="n"/>
      <c r="T237" s="18" t="n"/>
      <c r="U237" s="18" t="n"/>
      <c r="V237" s="10" t="n"/>
      <c r="W237" s="10" t="n"/>
      <c r="X237" s="19">
        <f>IF(OR(A237="",COUNT(U237)=0,COUNT(AI237)=0),"",U237+AI237)</f>
        <v/>
      </c>
      <c r="Y237" s="16" t="n"/>
      <c r="Z237" s="12" t="n"/>
      <c r="AA237" s="17">
        <f>IF(COUNT(J237)=0,"",IF(H237=0,"n.a.",J237/H237))</f>
        <v/>
      </c>
      <c r="AB237" s="12" t="n"/>
      <c r="AC237" s="12" t="n"/>
      <c r="AD237" s="12" t="n"/>
      <c r="AE237" s="13">
        <f>IF(OR(COUNT(J237)=0,COUNT(AB237:AD237)&lt;3),"",ROUND(J237-SUM(AB237:AD237),2))</f>
        <v/>
      </c>
      <c r="AF237" s="15">
        <f>IF(COUNT(AE237)=0,"",IF(Z237=0,"n.a.",AE237/Z237))</f>
        <v/>
      </c>
      <c r="AG237" s="12" t="n"/>
      <c r="AH237" s="14">
        <f>IF(OR(A237="",COUNT(Z237)=0,COUNT(AG237)=0),"",ROUND(Z237-AG237,2))</f>
        <v/>
      </c>
      <c r="AI237" s="21" t="n"/>
      <c r="AJ237" s="11">
        <f>IF(A237="","",IF(COUNT(I237)=0,"Enter approved NTE",IF(COUNT(Z237)&gt;0,IF(Z237&gt;I237,"Invoice exceeds NTE","Invoice within NTE"),IF(COUNT(L237)=0,"Enter quote inputs",IF(L237&gt;I237,"Quote exceeds NTE","Quote within NTE")))))</f>
        <v/>
      </c>
      <c r="AK237" s="11">
        <f>IF(A237="","",IF(COUNT(H237)=0,"Enter direct cost",IF(COUNT(Z237)=0,"Enter invoice revenue",IF(COUNT(AB237:AD237)&lt;3,"Enter expenses (0 if none)","Complete"))))</f>
        <v/>
      </c>
      <c r="AL237" s="11">
        <f>IF(A237="","",IF(NOT(AND(COUNT(AH237)=1,N(AH237)&gt;0.004,V237&lt;&gt;"Void",V237&lt;&gt;"Not invoiced",V237&lt;&gt;"Draft")),"",IF(COUNT(X237)=0,"No due date",IF(TODAY()-X237&lt;=0,"Not yet due",IF(TODAY()-X237&lt;=30,"1-30 days",IF(TODAY()-X237&lt;=60,"31-60 days",IF(TODAY()-X237&lt;=90,"61-90 days","Over 90 days")))))))</f>
        <v/>
      </c>
      <c r="AM237" s="49">
        <f>IF(OR(AL237="",AL237="No due date"),"",MAX(TODAY()-X237,0))</f>
        <v/>
      </c>
      <c r="AN237" s="49">
        <f>IF(AL237="","",IF(COUNT(X237)=0,-100000,TODAY()-X237))</f>
        <v/>
      </c>
      <c r="AO237" s="49">
        <f>IF(AN237="","",COUNTIF(AN$11:AN$1010,"&gt;"&amp;AN237)+COUNTIF(AN$11:AN237,AN237))</f>
        <v/>
      </c>
      <c r="AP237" s="49">
        <f>IF(OR(A237="",B237=""),"",IF(COUNTIF(B$11:B237,B237)=1,MAX(AP$10:AP236)+1,""))</f>
        <v/>
      </c>
    </row>
    <row r="238" ht="24" customHeight="1">
      <c r="A238" s="20" t="n"/>
      <c r="B238" s="10" t="n"/>
      <c r="C238" s="10" t="n"/>
      <c r="D238" s="10" t="n"/>
      <c r="E238" s="10" t="n"/>
      <c r="F238" s="18" t="n"/>
      <c r="G238" s="10" t="n"/>
      <c r="H238" s="12" t="n"/>
      <c r="I238" s="12" t="n"/>
      <c r="J238" s="13">
        <f>IF(OR(A238="",COUNT(H238)=0,COUNT(Z238)=0),"",ROUND(Z238-H238,2))</f>
        <v/>
      </c>
      <c r="K238" s="15">
        <f>IF(COUNT(J238)=0,"",IF(Z238=0,"n.a.",J238/Z238))</f>
        <v/>
      </c>
      <c r="L238" s="14">
        <f>IF(OR(A238="",COUNT(H238)=0,COUNT(Y238)=0),"",ROUND(H238*(1+Y238),2))</f>
        <v/>
      </c>
      <c r="M238" s="10" t="n"/>
      <c r="N238" s="10" t="n"/>
      <c r="O238" s="10" t="n"/>
      <c r="P238" s="10" t="n"/>
      <c r="Q238" s="20" t="n"/>
      <c r="R238" s="10" t="n"/>
      <c r="S238" s="10" t="n"/>
      <c r="T238" s="18" t="n"/>
      <c r="U238" s="18" t="n"/>
      <c r="V238" s="10" t="n"/>
      <c r="W238" s="10" t="n"/>
      <c r="X238" s="19">
        <f>IF(OR(A238="",COUNT(U238)=0,COUNT(AI238)=0),"",U238+AI238)</f>
        <v/>
      </c>
      <c r="Y238" s="16" t="n"/>
      <c r="Z238" s="12" t="n"/>
      <c r="AA238" s="17">
        <f>IF(COUNT(J238)=0,"",IF(H238=0,"n.a.",J238/H238))</f>
        <v/>
      </c>
      <c r="AB238" s="12" t="n"/>
      <c r="AC238" s="12" t="n"/>
      <c r="AD238" s="12" t="n"/>
      <c r="AE238" s="13">
        <f>IF(OR(COUNT(J238)=0,COUNT(AB238:AD238)&lt;3),"",ROUND(J238-SUM(AB238:AD238),2))</f>
        <v/>
      </c>
      <c r="AF238" s="15">
        <f>IF(COUNT(AE238)=0,"",IF(Z238=0,"n.a.",AE238/Z238))</f>
        <v/>
      </c>
      <c r="AG238" s="12" t="n"/>
      <c r="AH238" s="14">
        <f>IF(OR(A238="",COUNT(Z238)=0,COUNT(AG238)=0),"",ROUND(Z238-AG238,2))</f>
        <v/>
      </c>
      <c r="AI238" s="21" t="n"/>
      <c r="AJ238" s="11">
        <f>IF(A238="","",IF(COUNT(I238)=0,"Enter approved NTE",IF(COUNT(Z238)&gt;0,IF(Z238&gt;I238,"Invoice exceeds NTE","Invoice within NTE"),IF(COUNT(L238)=0,"Enter quote inputs",IF(L238&gt;I238,"Quote exceeds NTE","Quote within NTE")))))</f>
        <v/>
      </c>
      <c r="AK238" s="11">
        <f>IF(A238="","",IF(COUNT(H238)=0,"Enter direct cost",IF(COUNT(Z238)=0,"Enter invoice revenue",IF(COUNT(AB238:AD238)&lt;3,"Enter expenses (0 if none)","Complete"))))</f>
        <v/>
      </c>
      <c r="AL238" s="11">
        <f>IF(A238="","",IF(NOT(AND(COUNT(AH238)=1,N(AH238)&gt;0.004,V238&lt;&gt;"Void",V238&lt;&gt;"Not invoiced",V238&lt;&gt;"Draft")),"",IF(COUNT(X238)=0,"No due date",IF(TODAY()-X238&lt;=0,"Not yet due",IF(TODAY()-X238&lt;=30,"1-30 days",IF(TODAY()-X238&lt;=60,"31-60 days",IF(TODAY()-X238&lt;=90,"61-90 days","Over 90 days")))))))</f>
        <v/>
      </c>
      <c r="AM238" s="49">
        <f>IF(OR(AL238="",AL238="No due date"),"",MAX(TODAY()-X238,0))</f>
        <v/>
      </c>
      <c r="AN238" s="49">
        <f>IF(AL238="","",IF(COUNT(X238)=0,-100000,TODAY()-X238))</f>
        <v/>
      </c>
      <c r="AO238" s="49">
        <f>IF(AN238="","",COUNTIF(AN$11:AN$1010,"&gt;"&amp;AN238)+COUNTIF(AN$11:AN238,AN238))</f>
        <v/>
      </c>
      <c r="AP238" s="49">
        <f>IF(OR(A238="",B238=""),"",IF(COUNTIF(B$11:B238,B238)=1,MAX(AP$10:AP237)+1,""))</f>
        <v/>
      </c>
    </row>
    <row r="239" ht="24" customHeight="1">
      <c r="A239" s="20" t="n"/>
      <c r="B239" s="10" t="n"/>
      <c r="C239" s="10" t="n"/>
      <c r="D239" s="10" t="n"/>
      <c r="E239" s="10" t="n"/>
      <c r="F239" s="18" t="n"/>
      <c r="G239" s="10" t="n"/>
      <c r="H239" s="12" t="n"/>
      <c r="I239" s="12" t="n"/>
      <c r="J239" s="13">
        <f>IF(OR(A239="",COUNT(H239)=0,COUNT(Z239)=0),"",ROUND(Z239-H239,2))</f>
        <v/>
      </c>
      <c r="K239" s="15">
        <f>IF(COUNT(J239)=0,"",IF(Z239=0,"n.a.",J239/Z239))</f>
        <v/>
      </c>
      <c r="L239" s="14">
        <f>IF(OR(A239="",COUNT(H239)=0,COUNT(Y239)=0),"",ROUND(H239*(1+Y239),2))</f>
        <v/>
      </c>
      <c r="M239" s="10" t="n"/>
      <c r="N239" s="10" t="n"/>
      <c r="O239" s="10" t="n"/>
      <c r="P239" s="10" t="n"/>
      <c r="Q239" s="20" t="n"/>
      <c r="R239" s="10" t="n"/>
      <c r="S239" s="10" t="n"/>
      <c r="T239" s="18" t="n"/>
      <c r="U239" s="18" t="n"/>
      <c r="V239" s="10" t="n"/>
      <c r="W239" s="10" t="n"/>
      <c r="X239" s="19">
        <f>IF(OR(A239="",COUNT(U239)=0,COUNT(AI239)=0),"",U239+AI239)</f>
        <v/>
      </c>
      <c r="Y239" s="16" t="n"/>
      <c r="Z239" s="12" t="n"/>
      <c r="AA239" s="17">
        <f>IF(COUNT(J239)=0,"",IF(H239=0,"n.a.",J239/H239))</f>
        <v/>
      </c>
      <c r="AB239" s="12" t="n"/>
      <c r="AC239" s="12" t="n"/>
      <c r="AD239" s="12" t="n"/>
      <c r="AE239" s="13">
        <f>IF(OR(COUNT(J239)=0,COUNT(AB239:AD239)&lt;3),"",ROUND(J239-SUM(AB239:AD239),2))</f>
        <v/>
      </c>
      <c r="AF239" s="15">
        <f>IF(COUNT(AE239)=0,"",IF(Z239=0,"n.a.",AE239/Z239))</f>
        <v/>
      </c>
      <c r="AG239" s="12" t="n"/>
      <c r="AH239" s="14">
        <f>IF(OR(A239="",COUNT(Z239)=0,COUNT(AG239)=0),"",ROUND(Z239-AG239,2))</f>
        <v/>
      </c>
      <c r="AI239" s="21" t="n"/>
      <c r="AJ239" s="11">
        <f>IF(A239="","",IF(COUNT(I239)=0,"Enter approved NTE",IF(COUNT(Z239)&gt;0,IF(Z239&gt;I239,"Invoice exceeds NTE","Invoice within NTE"),IF(COUNT(L239)=0,"Enter quote inputs",IF(L239&gt;I239,"Quote exceeds NTE","Quote within NTE")))))</f>
        <v/>
      </c>
      <c r="AK239" s="11">
        <f>IF(A239="","",IF(COUNT(H239)=0,"Enter direct cost",IF(COUNT(Z239)=0,"Enter invoice revenue",IF(COUNT(AB239:AD239)&lt;3,"Enter expenses (0 if none)","Complete"))))</f>
        <v/>
      </c>
      <c r="AL239" s="11">
        <f>IF(A239="","",IF(NOT(AND(COUNT(AH239)=1,N(AH239)&gt;0.004,V239&lt;&gt;"Void",V239&lt;&gt;"Not invoiced",V239&lt;&gt;"Draft")),"",IF(COUNT(X239)=0,"No due date",IF(TODAY()-X239&lt;=0,"Not yet due",IF(TODAY()-X239&lt;=30,"1-30 days",IF(TODAY()-X239&lt;=60,"31-60 days",IF(TODAY()-X239&lt;=90,"61-90 days","Over 90 days")))))))</f>
        <v/>
      </c>
      <c r="AM239" s="49">
        <f>IF(OR(AL239="",AL239="No due date"),"",MAX(TODAY()-X239,0))</f>
        <v/>
      </c>
      <c r="AN239" s="49">
        <f>IF(AL239="","",IF(COUNT(X239)=0,-100000,TODAY()-X239))</f>
        <v/>
      </c>
      <c r="AO239" s="49">
        <f>IF(AN239="","",COUNTIF(AN$11:AN$1010,"&gt;"&amp;AN239)+COUNTIF(AN$11:AN239,AN239))</f>
        <v/>
      </c>
      <c r="AP239" s="49">
        <f>IF(OR(A239="",B239=""),"",IF(COUNTIF(B$11:B239,B239)=1,MAX(AP$10:AP238)+1,""))</f>
        <v/>
      </c>
    </row>
    <row r="240" ht="24" customHeight="1">
      <c r="A240" s="20" t="n"/>
      <c r="B240" s="10" t="n"/>
      <c r="C240" s="10" t="n"/>
      <c r="D240" s="10" t="n"/>
      <c r="E240" s="10" t="n"/>
      <c r="F240" s="18" t="n"/>
      <c r="G240" s="10" t="n"/>
      <c r="H240" s="12" t="n"/>
      <c r="I240" s="12" t="n"/>
      <c r="J240" s="13">
        <f>IF(OR(A240="",COUNT(H240)=0,COUNT(Z240)=0),"",ROUND(Z240-H240,2))</f>
        <v/>
      </c>
      <c r="K240" s="15">
        <f>IF(COUNT(J240)=0,"",IF(Z240=0,"n.a.",J240/Z240))</f>
        <v/>
      </c>
      <c r="L240" s="14">
        <f>IF(OR(A240="",COUNT(H240)=0,COUNT(Y240)=0),"",ROUND(H240*(1+Y240),2))</f>
        <v/>
      </c>
      <c r="M240" s="10" t="n"/>
      <c r="N240" s="10" t="n"/>
      <c r="O240" s="10" t="n"/>
      <c r="P240" s="10" t="n"/>
      <c r="Q240" s="20" t="n"/>
      <c r="R240" s="10" t="n"/>
      <c r="S240" s="10" t="n"/>
      <c r="T240" s="18" t="n"/>
      <c r="U240" s="18" t="n"/>
      <c r="V240" s="10" t="n"/>
      <c r="W240" s="10" t="n"/>
      <c r="X240" s="19">
        <f>IF(OR(A240="",COUNT(U240)=0,COUNT(AI240)=0),"",U240+AI240)</f>
        <v/>
      </c>
      <c r="Y240" s="16" t="n"/>
      <c r="Z240" s="12" t="n"/>
      <c r="AA240" s="17">
        <f>IF(COUNT(J240)=0,"",IF(H240=0,"n.a.",J240/H240))</f>
        <v/>
      </c>
      <c r="AB240" s="12" t="n"/>
      <c r="AC240" s="12" t="n"/>
      <c r="AD240" s="12" t="n"/>
      <c r="AE240" s="13">
        <f>IF(OR(COUNT(J240)=0,COUNT(AB240:AD240)&lt;3),"",ROUND(J240-SUM(AB240:AD240),2))</f>
        <v/>
      </c>
      <c r="AF240" s="15">
        <f>IF(COUNT(AE240)=0,"",IF(Z240=0,"n.a.",AE240/Z240))</f>
        <v/>
      </c>
      <c r="AG240" s="12" t="n"/>
      <c r="AH240" s="14">
        <f>IF(OR(A240="",COUNT(Z240)=0,COUNT(AG240)=0),"",ROUND(Z240-AG240,2))</f>
        <v/>
      </c>
      <c r="AI240" s="21" t="n"/>
      <c r="AJ240" s="11">
        <f>IF(A240="","",IF(COUNT(I240)=0,"Enter approved NTE",IF(COUNT(Z240)&gt;0,IF(Z240&gt;I240,"Invoice exceeds NTE","Invoice within NTE"),IF(COUNT(L240)=0,"Enter quote inputs",IF(L240&gt;I240,"Quote exceeds NTE","Quote within NTE")))))</f>
        <v/>
      </c>
      <c r="AK240" s="11">
        <f>IF(A240="","",IF(COUNT(H240)=0,"Enter direct cost",IF(COUNT(Z240)=0,"Enter invoice revenue",IF(COUNT(AB240:AD240)&lt;3,"Enter expenses (0 if none)","Complete"))))</f>
        <v/>
      </c>
      <c r="AL240" s="11">
        <f>IF(A240="","",IF(NOT(AND(COUNT(AH240)=1,N(AH240)&gt;0.004,V240&lt;&gt;"Void",V240&lt;&gt;"Not invoiced",V240&lt;&gt;"Draft")),"",IF(COUNT(X240)=0,"No due date",IF(TODAY()-X240&lt;=0,"Not yet due",IF(TODAY()-X240&lt;=30,"1-30 days",IF(TODAY()-X240&lt;=60,"31-60 days",IF(TODAY()-X240&lt;=90,"61-90 days","Over 90 days")))))))</f>
        <v/>
      </c>
      <c r="AM240" s="49">
        <f>IF(OR(AL240="",AL240="No due date"),"",MAX(TODAY()-X240,0))</f>
        <v/>
      </c>
      <c r="AN240" s="49">
        <f>IF(AL240="","",IF(COUNT(X240)=0,-100000,TODAY()-X240))</f>
        <v/>
      </c>
      <c r="AO240" s="49">
        <f>IF(AN240="","",COUNTIF(AN$11:AN$1010,"&gt;"&amp;AN240)+COUNTIF(AN$11:AN240,AN240))</f>
        <v/>
      </c>
      <c r="AP240" s="49">
        <f>IF(OR(A240="",B240=""),"",IF(COUNTIF(B$11:B240,B240)=1,MAX(AP$10:AP239)+1,""))</f>
        <v/>
      </c>
    </row>
    <row r="241" ht="24" customHeight="1">
      <c r="A241" s="20" t="n"/>
      <c r="B241" s="10" t="n"/>
      <c r="C241" s="10" t="n"/>
      <c r="D241" s="10" t="n"/>
      <c r="E241" s="10" t="n"/>
      <c r="F241" s="18" t="n"/>
      <c r="G241" s="10" t="n"/>
      <c r="H241" s="12" t="n"/>
      <c r="I241" s="12" t="n"/>
      <c r="J241" s="13">
        <f>IF(OR(A241="",COUNT(H241)=0,COUNT(Z241)=0),"",ROUND(Z241-H241,2))</f>
        <v/>
      </c>
      <c r="K241" s="15">
        <f>IF(COUNT(J241)=0,"",IF(Z241=0,"n.a.",J241/Z241))</f>
        <v/>
      </c>
      <c r="L241" s="14">
        <f>IF(OR(A241="",COUNT(H241)=0,COUNT(Y241)=0),"",ROUND(H241*(1+Y241),2))</f>
        <v/>
      </c>
      <c r="M241" s="10" t="n"/>
      <c r="N241" s="10" t="n"/>
      <c r="O241" s="10" t="n"/>
      <c r="P241" s="10" t="n"/>
      <c r="Q241" s="20" t="n"/>
      <c r="R241" s="10" t="n"/>
      <c r="S241" s="10" t="n"/>
      <c r="T241" s="18" t="n"/>
      <c r="U241" s="18" t="n"/>
      <c r="V241" s="10" t="n"/>
      <c r="W241" s="10" t="n"/>
      <c r="X241" s="19">
        <f>IF(OR(A241="",COUNT(U241)=0,COUNT(AI241)=0),"",U241+AI241)</f>
        <v/>
      </c>
      <c r="Y241" s="16" t="n"/>
      <c r="Z241" s="12" t="n"/>
      <c r="AA241" s="17">
        <f>IF(COUNT(J241)=0,"",IF(H241=0,"n.a.",J241/H241))</f>
        <v/>
      </c>
      <c r="AB241" s="12" t="n"/>
      <c r="AC241" s="12" t="n"/>
      <c r="AD241" s="12" t="n"/>
      <c r="AE241" s="13">
        <f>IF(OR(COUNT(J241)=0,COUNT(AB241:AD241)&lt;3),"",ROUND(J241-SUM(AB241:AD241),2))</f>
        <v/>
      </c>
      <c r="AF241" s="15">
        <f>IF(COUNT(AE241)=0,"",IF(Z241=0,"n.a.",AE241/Z241))</f>
        <v/>
      </c>
      <c r="AG241" s="12" t="n"/>
      <c r="AH241" s="14">
        <f>IF(OR(A241="",COUNT(Z241)=0,COUNT(AG241)=0),"",ROUND(Z241-AG241,2))</f>
        <v/>
      </c>
      <c r="AI241" s="21" t="n"/>
      <c r="AJ241" s="11">
        <f>IF(A241="","",IF(COUNT(I241)=0,"Enter approved NTE",IF(COUNT(Z241)&gt;0,IF(Z241&gt;I241,"Invoice exceeds NTE","Invoice within NTE"),IF(COUNT(L241)=0,"Enter quote inputs",IF(L241&gt;I241,"Quote exceeds NTE","Quote within NTE")))))</f>
        <v/>
      </c>
      <c r="AK241" s="11">
        <f>IF(A241="","",IF(COUNT(H241)=0,"Enter direct cost",IF(COUNT(Z241)=0,"Enter invoice revenue",IF(COUNT(AB241:AD241)&lt;3,"Enter expenses (0 if none)","Complete"))))</f>
        <v/>
      </c>
      <c r="AL241" s="11">
        <f>IF(A241="","",IF(NOT(AND(COUNT(AH241)=1,N(AH241)&gt;0.004,V241&lt;&gt;"Void",V241&lt;&gt;"Not invoiced",V241&lt;&gt;"Draft")),"",IF(COUNT(X241)=0,"No due date",IF(TODAY()-X241&lt;=0,"Not yet due",IF(TODAY()-X241&lt;=30,"1-30 days",IF(TODAY()-X241&lt;=60,"31-60 days",IF(TODAY()-X241&lt;=90,"61-90 days","Over 90 days")))))))</f>
        <v/>
      </c>
      <c r="AM241" s="49">
        <f>IF(OR(AL241="",AL241="No due date"),"",MAX(TODAY()-X241,0))</f>
        <v/>
      </c>
      <c r="AN241" s="49">
        <f>IF(AL241="","",IF(COUNT(X241)=0,-100000,TODAY()-X241))</f>
        <v/>
      </c>
      <c r="AO241" s="49">
        <f>IF(AN241="","",COUNTIF(AN$11:AN$1010,"&gt;"&amp;AN241)+COUNTIF(AN$11:AN241,AN241))</f>
        <v/>
      </c>
      <c r="AP241" s="49">
        <f>IF(OR(A241="",B241=""),"",IF(COUNTIF(B$11:B241,B241)=1,MAX(AP$10:AP240)+1,""))</f>
        <v/>
      </c>
    </row>
    <row r="242" ht="24" customHeight="1">
      <c r="A242" s="20" t="n"/>
      <c r="B242" s="10" t="n"/>
      <c r="C242" s="10" t="n"/>
      <c r="D242" s="10" t="n"/>
      <c r="E242" s="10" t="n"/>
      <c r="F242" s="18" t="n"/>
      <c r="G242" s="10" t="n"/>
      <c r="H242" s="12" t="n"/>
      <c r="I242" s="12" t="n"/>
      <c r="J242" s="13">
        <f>IF(OR(A242="",COUNT(H242)=0,COUNT(Z242)=0),"",ROUND(Z242-H242,2))</f>
        <v/>
      </c>
      <c r="K242" s="15">
        <f>IF(COUNT(J242)=0,"",IF(Z242=0,"n.a.",J242/Z242))</f>
        <v/>
      </c>
      <c r="L242" s="14">
        <f>IF(OR(A242="",COUNT(H242)=0,COUNT(Y242)=0),"",ROUND(H242*(1+Y242),2))</f>
        <v/>
      </c>
      <c r="M242" s="10" t="n"/>
      <c r="N242" s="10" t="n"/>
      <c r="O242" s="10" t="n"/>
      <c r="P242" s="10" t="n"/>
      <c r="Q242" s="20" t="n"/>
      <c r="R242" s="10" t="n"/>
      <c r="S242" s="10" t="n"/>
      <c r="T242" s="18" t="n"/>
      <c r="U242" s="18" t="n"/>
      <c r="V242" s="10" t="n"/>
      <c r="W242" s="10" t="n"/>
      <c r="X242" s="19">
        <f>IF(OR(A242="",COUNT(U242)=0,COUNT(AI242)=0),"",U242+AI242)</f>
        <v/>
      </c>
      <c r="Y242" s="16" t="n"/>
      <c r="Z242" s="12" t="n"/>
      <c r="AA242" s="17">
        <f>IF(COUNT(J242)=0,"",IF(H242=0,"n.a.",J242/H242))</f>
        <v/>
      </c>
      <c r="AB242" s="12" t="n"/>
      <c r="AC242" s="12" t="n"/>
      <c r="AD242" s="12" t="n"/>
      <c r="AE242" s="13">
        <f>IF(OR(COUNT(J242)=0,COUNT(AB242:AD242)&lt;3),"",ROUND(J242-SUM(AB242:AD242),2))</f>
        <v/>
      </c>
      <c r="AF242" s="15">
        <f>IF(COUNT(AE242)=0,"",IF(Z242=0,"n.a.",AE242/Z242))</f>
        <v/>
      </c>
      <c r="AG242" s="12" t="n"/>
      <c r="AH242" s="14">
        <f>IF(OR(A242="",COUNT(Z242)=0,COUNT(AG242)=0),"",ROUND(Z242-AG242,2))</f>
        <v/>
      </c>
      <c r="AI242" s="21" t="n"/>
      <c r="AJ242" s="11">
        <f>IF(A242="","",IF(COUNT(I242)=0,"Enter approved NTE",IF(COUNT(Z242)&gt;0,IF(Z242&gt;I242,"Invoice exceeds NTE","Invoice within NTE"),IF(COUNT(L242)=0,"Enter quote inputs",IF(L242&gt;I242,"Quote exceeds NTE","Quote within NTE")))))</f>
        <v/>
      </c>
      <c r="AK242" s="11">
        <f>IF(A242="","",IF(COUNT(H242)=0,"Enter direct cost",IF(COUNT(Z242)=0,"Enter invoice revenue",IF(COUNT(AB242:AD242)&lt;3,"Enter expenses (0 if none)","Complete"))))</f>
        <v/>
      </c>
      <c r="AL242" s="11">
        <f>IF(A242="","",IF(NOT(AND(COUNT(AH242)=1,N(AH242)&gt;0.004,V242&lt;&gt;"Void",V242&lt;&gt;"Not invoiced",V242&lt;&gt;"Draft")),"",IF(COUNT(X242)=0,"No due date",IF(TODAY()-X242&lt;=0,"Not yet due",IF(TODAY()-X242&lt;=30,"1-30 days",IF(TODAY()-X242&lt;=60,"31-60 days",IF(TODAY()-X242&lt;=90,"61-90 days","Over 90 days")))))))</f>
        <v/>
      </c>
      <c r="AM242" s="49">
        <f>IF(OR(AL242="",AL242="No due date"),"",MAX(TODAY()-X242,0))</f>
        <v/>
      </c>
      <c r="AN242" s="49">
        <f>IF(AL242="","",IF(COUNT(X242)=0,-100000,TODAY()-X242))</f>
        <v/>
      </c>
      <c r="AO242" s="49">
        <f>IF(AN242="","",COUNTIF(AN$11:AN$1010,"&gt;"&amp;AN242)+COUNTIF(AN$11:AN242,AN242))</f>
        <v/>
      </c>
      <c r="AP242" s="49">
        <f>IF(OR(A242="",B242=""),"",IF(COUNTIF(B$11:B242,B242)=1,MAX(AP$10:AP241)+1,""))</f>
        <v/>
      </c>
    </row>
    <row r="243" ht="24" customHeight="1">
      <c r="A243" s="20" t="n"/>
      <c r="B243" s="10" t="n"/>
      <c r="C243" s="10" t="n"/>
      <c r="D243" s="10" t="n"/>
      <c r="E243" s="10" t="n"/>
      <c r="F243" s="18" t="n"/>
      <c r="G243" s="10" t="n"/>
      <c r="H243" s="12" t="n"/>
      <c r="I243" s="12" t="n"/>
      <c r="J243" s="13">
        <f>IF(OR(A243="",COUNT(H243)=0,COUNT(Z243)=0),"",ROUND(Z243-H243,2))</f>
        <v/>
      </c>
      <c r="K243" s="15">
        <f>IF(COUNT(J243)=0,"",IF(Z243=0,"n.a.",J243/Z243))</f>
        <v/>
      </c>
      <c r="L243" s="14">
        <f>IF(OR(A243="",COUNT(H243)=0,COUNT(Y243)=0),"",ROUND(H243*(1+Y243),2))</f>
        <v/>
      </c>
      <c r="M243" s="10" t="n"/>
      <c r="N243" s="10" t="n"/>
      <c r="O243" s="10" t="n"/>
      <c r="P243" s="10" t="n"/>
      <c r="Q243" s="20" t="n"/>
      <c r="R243" s="10" t="n"/>
      <c r="S243" s="10" t="n"/>
      <c r="T243" s="18" t="n"/>
      <c r="U243" s="18" t="n"/>
      <c r="V243" s="10" t="n"/>
      <c r="W243" s="10" t="n"/>
      <c r="X243" s="19">
        <f>IF(OR(A243="",COUNT(U243)=0,COUNT(AI243)=0),"",U243+AI243)</f>
        <v/>
      </c>
      <c r="Y243" s="16" t="n"/>
      <c r="Z243" s="12" t="n"/>
      <c r="AA243" s="17">
        <f>IF(COUNT(J243)=0,"",IF(H243=0,"n.a.",J243/H243))</f>
        <v/>
      </c>
      <c r="AB243" s="12" t="n"/>
      <c r="AC243" s="12" t="n"/>
      <c r="AD243" s="12" t="n"/>
      <c r="AE243" s="13">
        <f>IF(OR(COUNT(J243)=0,COUNT(AB243:AD243)&lt;3),"",ROUND(J243-SUM(AB243:AD243),2))</f>
        <v/>
      </c>
      <c r="AF243" s="15">
        <f>IF(COUNT(AE243)=0,"",IF(Z243=0,"n.a.",AE243/Z243))</f>
        <v/>
      </c>
      <c r="AG243" s="12" t="n"/>
      <c r="AH243" s="14">
        <f>IF(OR(A243="",COUNT(Z243)=0,COUNT(AG243)=0),"",ROUND(Z243-AG243,2))</f>
        <v/>
      </c>
      <c r="AI243" s="21" t="n"/>
      <c r="AJ243" s="11">
        <f>IF(A243="","",IF(COUNT(I243)=0,"Enter approved NTE",IF(COUNT(Z243)&gt;0,IF(Z243&gt;I243,"Invoice exceeds NTE","Invoice within NTE"),IF(COUNT(L243)=0,"Enter quote inputs",IF(L243&gt;I243,"Quote exceeds NTE","Quote within NTE")))))</f>
        <v/>
      </c>
      <c r="AK243" s="11">
        <f>IF(A243="","",IF(COUNT(H243)=0,"Enter direct cost",IF(COUNT(Z243)=0,"Enter invoice revenue",IF(COUNT(AB243:AD243)&lt;3,"Enter expenses (0 if none)","Complete"))))</f>
        <v/>
      </c>
      <c r="AL243" s="11">
        <f>IF(A243="","",IF(NOT(AND(COUNT(AH243)=1,N(AH243)&gt;0.004,V243&lt;&gt;"Void",V243&lt;&gt;"Not invoiced",V243&lt;&gt;"Draft")),"",IF(COUNT(X243)=0,"No due date",IF(TODAY()-X243&lt;=0,"Not yet due",IF(TODAY()-X243&lt;=30,"1-30 days",IF(TODAY()-X243&lt;=60,"31-60 days",IF(TODAY()-X243&lt;=90,"61-90 days","Over 90 days")))))))</f>
        <v/>
      </c>
      <c r="AM243" s="49">
        <f>IF(OR(AL243="",AL243="No due date"),"",MAX(TODAY()-X243,0))</f>
        <v/>
      </c>
      <c r="AN243" s="49">
        <f>IF(AL243="","",IF(COUNT(X243)=0,-100000,TODAY()-X243))</f>
        <v/>
      </c>
      <c r="AO243" s="49">
        <f>IF(AN243="","",COUNTIF(AN$11:AN$1010,"&gt;"&amp;AN243)+COUNTIF(AN$11:AN243,AN243))</f>
        <v/>
      </c>
      <c r="AP243" s="49">
        <f>IF(OR(A243="",B243=""),"",IF(COUNTIF(B$11:B243,B243)=1,MAX(AP$10:AP242)+1,""))</f>
        <v/>
      </c>
    </row>
    <row r="244" ht="24" customHeight="1">
      <c r="A244" s="20" t="n"/>
      <c r="B244" s="10" t="n"/>
      <c r="C244" s="10" t="n"/>
      <c r="D244" s="10" t="n"/>
      <c r="E244" s="10" t="n"/>
      <c r="F244" s="18" t="n"/>
      <c r="G244" s="10" t="n"/>
      <c r="H244" s="12" t="n"/>
      <c r="I244" s="12" t="n"/>
      <c r="J244" s="13">
        <f>IF(OR(A244="",COUNT(H244)=0,COUNT(Z244)=0),"",ROUND(Z244-H244,2))</f>
        <v/>
      </c>
      <c r="K244" s="15">
        <f>IF(COUNT(J244)=0,"",IF(Z244=0,"n.a.",J244/Z244))</f>
        <v/>
      </c>
      <c r="L244" s="14">
        <f>IF(OR(A244="",COUNT(H244)=0,COUNT(Y244)=0),"",ROUND(H244*(1+Y244),2))</f>
        <v/>
      </c>
      <c r="M244" s="10" t="n"/>
      <c r="N244" s="10" t="n"/>
      <c r="O244" s="10" t="n"/>
      <c r="P244" s="10" t="n"/>
      <c r="Q244" s="20" t="n"/>
      <c r="R244" s="10" t="n"/>
      <c r="S244" s="10" t="n"/>
      <c r="T244" s="18" t="n"/>
      <c r="U244" s="18" t="n"/>
      <c r="V244" s="10" t="n"/>
      <c r="W244" s="10" t="n"/>
      <c r="X244" s="19">
        <f>IF(OR(A244="",COUNT(U244)=0,COUNT(AI244)=0),"",U244+AI244)</f>
        <v/>
      </c>
      <c r="Y244" s="16" t="n"/>
      <c r="Z244" s="12" t="n"/>
      <c r="AA244" s="17">
        <f>IF(COUNT(J244)=0,"",IF(H244=0,"n.a.",J244/H244))</f>
        <v/>
      </c>
      <c r="AB244" s="12" t="n"/>
      <c r="AC244" s="12" t="n"/>
      <c r="AD244" s="12" t="n"/>
      <c r="AE244" s="13">
        <f>IF(OR(COUNT(J244)=0,COUNT(AB244:AD244)&lt;3),"",ROUND(J244-SUM(AB244:AD244),2))</f>
        <v/>
      </c>
      <c r="AF244" s="15">
        <f>IF(COUNT(AE244)=0,"",IF(Z244=0,"n.a.",AE244/Z244))</f>
        <v/>
      </c>
      <c r="AG244" s="12" t="n"/>
      <c r="AH244" s="14">
        <f>IF(OR(A244="",COUNT(Z244)=0,COUNT(AG244)=0),"",ROUND(Z244-AG244,2))</f>
        <v/>
      </c>
      <c r="AI244" s="21" t="n"/>
      <c r="AJ244" s="11">
        <f>IF(A244="","",IF(COUNT(I244)=0,"Enter approved NTE",IF(COUNT(Z244)&gt;0,IF(Z244&gt;I244,"Invoice exceeds NTE","Invoice within NTE"),IF(COUNT(L244)=0,"Enter quote inputs",IF(L244&gt;I244,"Quote exceeds NTE","Quote within NTE")))))</f>
        <v/>
      </c>
      <c r="AK244" s="11">
        <f>IF(A244="","",IF(COUNT(H244)=0,"Enter direct cost",IF(COUNT(Z244)=0,"Enter invoice revenue",IF(COUNT(AB244:AD244)&lt;3,"Enter expenses (0 if none)","Complete"))))</f>
        <v/>
      </c>
      <c r="AL244" s="11">
        <f>IF(A244="","",IF(NOT(AND(COUNT(AH244)=1,N(AH244)&gt;0.004,V244&lt;&gt;"Void",V244&lt;&gt;"Not invoiced",V244&lt;&gt;"Draft")),"",IF(COUNT(X244)=0,"No due date",IF(TODAY()-X244&lt;=0,"Not yet due",IF(TODAY()-X244&lt;=30,"1-30 days",IF(TODAY()-X244&lt;=60,"31-60 days",IF(TODAY()-X244&lt;=90,"61-90 days","Over 90 days")))))))</f>
        <v/>
      </c>
      <c r="AM244" s="49">
        <f>IF(OR(AL244="",AL244="No due date"),"",MAX(TODAY()-X244,0))</f>
        <v/>
      </c>
      <c r="AN244" s="49">
        <f>IF(AL244="","",IF(COUNT(X244)=0,-100000,TODAY()-X244))</f>
        <v/>
      </c>
      <c r="AO244" s="49">
        <f>IF(AN244="","",COUNTIF(AN$11:AN$1010,"&gt;"&amp;AN244)+COUNTIF(AN$11:AN244,AN244))</f>
        <v/>
      </c>
      <c r="AP244" s="49">
        <f>IF(OR(A244="",B244=""),"",IF(COUNTIF(B$11:B244,B244)=1,MAX(AP$10:AP243)+1,""))</f>
        <v/>
      </c>
    </row>
    <row r="245" ht="24" customHeight="1">
      <c r="A245" s="20" t="n"/>
      <c r="B245" s="10" t="n"/>
      <c r="C245" s="10" t="n"/>
      <c r="D245" s="10" t="n"/>
      <c r="E245" s="10" t="n"/>
      <c r="F245" s="18" t="n"/>
      <c r="G245" s="10" t="n"/>
      <c r="H245" s="12" t="n"/>
      <c r="I245" s="12" t="n"/>
      <c r="J245" s="13">
        <f>IF(OR(A245="",COUNT(H245)=0,COUNT(Z245)=0),"",ROUND(Z245-H245,2))</f>
        <v/>
      </c>
      <c r="K245" s="15">
        <f>IF(COUNT(J245)=0,"",IF(Z245=0,"n.a.",J245/Z245))</f>
        <v/>
      </c>
      <c r="L245" s="14">
        <f>IF(OR(A245="",COUNT(H245)=0,COUNT(Y245)=0),"",ROUND(H245*(1+Y245),2))</f>
        <v/>
      </c>
      <c r="M245" s="10" t="n"/>
      <c r="N245" s="10" t="n"/>
      <c r="O245" s="10" t="n"/>
      <c r="P245" s="10" t="n"/>
      <c r="Q245" s="20" t="n"/>
      <c r="R245" s="10" t="n"/>
      <c r="S245" s="10" t="n"/>
      <c r="T245" s="18" t="n"/>
      <c r="U245" s="18" t="n"/>
      <c r="V245" s="10" t="n"/>
      <c r="W245" s="10" t="n"/>
      <c r="X245" s="19">
        <f>IF(OR(A245="",COUNT(U245)=0,COUNT(AI245)=0),"",U245+AI245)</f>
        <v/>
      </c>
      <c r="Y245" s="16" t="n"/>
      <c r="Z245" s="12" t="n"/>
      <c r="AA245" s="17">
        <f>IF(COUNT(J245)=0,"",IF(H245=0,"n.a.",J245/H245))</f>
        <v/>
      </c>
      <c r="AB245" s="12" t="n"/>
      <c r="AC245" s="12" t="n"/>
      <c r="AD245" s="12" t="n"/>
      <c r="AE245" s="13">
        <f>IF(OR(COUNT(J245)=0,COUNT(AB245:AD245)&lt;3),"",ROUND(J245-SUM(AB245:AD245),2))</f>
        <v/>
      </c>
      <c r="AF245" s="15">
        <f>IF(COUNT(AE245)=0,"",IF(Z245=0,"n.a.",AE245/Z245))</f>
        <v/>
      </c>
      <c r="AG245" s="12" t="n"/>
      <c r="AH245" s="14">
        <f>IF(OR(A245="",COUNT(Z245)=0,COUNT(AG245)=0),"",ROUND(Z245-AG245,2))</f>
        <v/>
      </c>
      <c r="AI245" s="21" t="n"/>
      <c r="AJ245" s="11">
        <f>IF(A245="","",IF(COUNT(I245)=0,"Enter approved NTE",IF(COUNT(Z245)&gt;0,IF(Z245&gt;I245,"Invoice exceeds NTE","Invoice within NTE"),IF(COUNT(L245)=0,"Enter quote inputs",IF(L245&gt;I245,"Quote exceeds NTE","Quote within NTE")))))</f>
        <v/>
      </c>
      <c r="AK245" s="11">
        <f>IF(A245="","",IF(COUNT(H245)=0,"Enter direct cost",IF(COUNT(Z245)=0,"Enter invoice revenue",IF(COUNT(AB245:AD245)&lt;3,"Enter expenses (0 if none)","Complete"))))</f>
        <v/>
      </c>
      <c r="AL245" s="11">
        <f>IF(A245="","",IF(NOT(AND(COUNT(AH245)=1,N(AH245)&gt;0.004,V245&lt;&gt;"Void",V245&lt;&gt;"Not invoiced",V245&lt;&gt;"Draft")),"",IF(COUNT(X245)=0,"No due date",IF(TODAY()-X245&lt;=0,"Not yet due",IF(TODAY()-X245&lt;=30,"1-30 days",IF(TODAY()-X245&lt;=60,"31-60 days",IF(TODAY()-X245&lt;=90,"61-90 days","Over 90 days")))))))</f>
        <v/>
      </c>
      <c r="AM245" s="49">
        <f>IF(OR(AL245="",AL245="No due date"),"",MAX(TODAY()-X245,0))</f>
        <v/>
      </c>
      <c r="AN245" s="49">
        <f>IF(AL245="","",IF(COUNT(X245)=0,-100000,TODAY()-X245))</f>
        <v/>
      </c>
      <c r="AO245" s="49">
        <f>IF(AN245="","",COUNTIF(AN$11:AN$1010,"&gt;"&amp;AN245)+COUNTIF(AN$11:AN245,AN245))</f>
        <v/>
      </c>
      <c r="AP245" s="49">
        <f>IF(OR(A245="",B245=""),"",IF(COUNTIF(B$11:B245,B245)=1,MAX(AP$10:AP244)+1,""))</f>
        <v/>
      </c>
    </row>
    <row r="246" ht="24" customHeight="1">
      <c r="A246" s="20" t="n"/>
      <c r="B246" s="10" t="n"/>
      <c r="C246" s="10" t="n"/>
      <c r="D246" s="10" t="n"/>
      <c r="E246" s="10" t="n"/>
      <c r="F246" s="18" t="n"/>
      <c r="G246" s="10" t="n"/>
      <c r="H246" s="12" t="n"/>
      <c r="I246" s="12" t="n"/>
      <c r="J246" s="13">
        <f>IF(OR(A246="",COUNT(H246)=0,COUNT(Z246)=0),"",ROUND(Z246-H246,2))</f>
        <v/>
      </c>
      <c r="K246" s="15">
        <f>IF(COUNT(J246)=0,"",IF(Z246=0,"n.a.",J246/Z246))</f>
        <v/>
      </c>
      <c r="L246" s="14">
        <f>IF(OR(A246="",COUNT(H246)=0,COUNT(Y246)=0),"",ROUND(H246*(1+Y246),2))</f>
        <v/>
      </c>
      <c r="M246" s="10" t="n"/>
      <c r="N246" s="10" t="n"/>
      <c r="O246" s="10" t="n"/>
      <c r="P246" s="10" t="n"/>
      <c r="Q246" s="20" t="n"/>
      <c r="R246" s="10" t="n"/>
      <c r="S246" s="10" t="n"/>
      <c r="T246" s="18" t="n"/>
      <c r="U246" s="18" t="n"/>
      <c r="V246" s="10" t="n"/>
      <c r="W246" s="10" t="n"/>
      <c r="X246" s="19">
        <f>IF(OR(A246="",COUNT(U246)=0,COUNT(AI246)=0),"",U246+AI246)</f>
        <v/>
      </c>
      <c r="Y246" s="16" t="n"/>
      <c r="Z246" s="12" t="n"/>
      <c r="AA246" s="17">
        <f>IF(COUNT(J246)=0,"",IF(H246=0,"n.a.",J246/H246))</f>
        <v/>
      </c>
      <c r="AB246" s="12" t="n"/>
      <c r="AC246" s="12" t="n"/>
      <c r="AD246" s="12" t="n"/>
      <c r="AE246" s="13">
        <f>IF(OR(COUNT(J246)=0,COUNT(AB246:AD246)&lt;3),"",ROUND(J246-SUM(AB246:AD246),2))</f>
        <v/>
      </c>
      <c r="AF246" s="15">
        <f>IF(COUNT(AE246)=0,"",IF(Z246=0,"n.a.",AE246/Z246))</f>
        <v/>
      </c>
      <c r="AG246" s="12" t="n"/>
      <c r="AH246" s="14">
        <f>IF(OR(A246="",COUNT(Z246)=0,COUNT(AG246)=0),"",ROUND(Z246-AG246,2))</f>
        <v/>
      </c>
      <c r="AI246" s="21" t="n"/>
      <c r="AJ246" s="11">
        <f>IF(A246="","",IF(COUNT(I246)=0,"Enter approved NTE",IF(COUNT(Z246)&gt;0,IF(Z246&gt;I246,"Invoice exceeds NTE","Invoice within NTE"),IF(COUNT(L246)=0,"Enter quote inputs",IF(L246&gt;I246,"Quote exceeds NTE","Quote within NTE")))))</f>
        <v/>
      </c>
      <c r="AK246" s="11">
        <f>IF(A246="","",IF(COUNT(H246)=0,"Enter direct cost",IF(COUNT(Z246)=0,"Enter invoice revenue",IF(COUNT(AB246:AD246)&lt;3,"Enter expenses (0 if none)","Complete"))))</f>
        <v/>
      </c>
      <c r="AL246" s="11">
        <f>IF(A246="","",IF(NOT(AND(COUNT(AH246)=1,N(AH246)&gt;0.004,V246&lt;&gt;"Void",V246&lt;&gt;"Not invoiced",V246&lt;&gt;"Draft")),"",IF(COUNT(X246)=0,"No due date",IF(TODAY()-X246&lt;=0,"Not yet due",IF(TODAY()-X246&lt;=30,"1-30 days",IF(TODAY()-X246&lt;=60,"31-60 days",IF(TODAY()-X246&lt;=90,"61-90 days","Over 90 days")))))))</f>
        <v/>
      </c>
      <c r="AM246" s="49">
        <f>IF(OR(AL246="",AL246="No due date"),"",MAX(TODAY()-X246,0))</f>
        <v/>
      </c>
      <c r="AN246" s="49">
        <f>IF(AL246="","",IF(COUNT(X246)=0,-100000,TODAY()-X246))</f>
        <v/>
      </c>
      <c r="AO246" s="49">
        <f>IF(AN246="","",COUNTIF(AN$11:AN$1010,"&gt;"&amp;AN246)+COUNTIF(AN$11:AN246,AN246))</f>
        <v/>
      </c>
      <c r="AP246" s="49">
        <f>IF(OR(A246="",B246=""),"",IF(COUNTIF(B$11:B246,B246)=1,MAX(AP$10:AP245)+1,""))</f>
        <v/>
      </c>
    </row>
    <row r="247" ht="24" customHeight="1">
      <c r="A247" s="20" t="n"/>
      <c r="B247" s="10" t="n"/>
      <c r="C247" s="10" t="n"/>
      <c r="D247" s="10" t="n"/>
      <c r="E247" s="10" t="n"/>
      <c r="F247" s="18" t="n"/>
      <c r="G247" s="10" t="n"/>
      <c r="H247" s="12" t="n"/>
      <c r="I247" s="12" t="n"/>
      <c r="J247" s="13">
        <f>IF(OR(A247="",COUNT(H247)=0,COUNT(Z247)=0),"",ROUND(Z247-H247,2))</f>
        <v/>
      </c>
      <c r="K247" s="15">
        <f>IF(COUNT(J247)=0,"",IF(Z247=0,"n.a.",J247/Z247))</f>
        <v/>
      </c>
      <c r="L247" s="14">
        <f>IF(OR(A247="",COUNT(H247)=0,COUNT(Y247)=0),"",ROUND(H247*(1+Y247),2))</f>
        <v/>
      </c>
      <c r="M247" s="10" t="n"/>
      <c r="N247" s="10" t="n"/>
      <c r="O247" s="10" t="n"/>
      <c r="P247" s="10" t="n"/>
      <c r="Q247" s="20" t="n"/>
      <c r="R247" s="10" t="n"/>
      <c r="S247" s="10" t="n"/>
      <c r="T247" s="18" t="n"/>
      <c r="U247" s="18" t="n"/>
      <c r="V247" s="10" t="n"/>
      <c r="W247" s="10" t="n"/>
      <c r="X247" s="19">
        <f>IF(OR(A247="",COUNT(U247)=0,COUNT(AI247)=0),"",U247+AI247)</f>
        <v/>
      </c>
      <c r="Y247" s="16" t="n"/>
      <c r="Z247" s="12" t="n"/>
      <c r="AA247" s="17">
        <f>IF(COUNT(J247)=0,"",IF(H247=0,"n.a.",J247/H247))</f>
        <v/>
      </c>
      <c r="AB247" s="12" t="n"/>
      <c r="AC247" s="12" t="n"/>
      <c r="AD247" s="12" t="n"/>
      <c r="AE247" s="13">
        <f>IF(OR(COUNT(J247)=0,COUNT(AB247:AD247)&lt;3),"",ROUND(J247-SUM(AB247:AD247),2))</f>
        <v/>
      </c>
      <c r="AF247" s="15">
        <f>IF(COUNT(AE247)=0,"",IF(Z247=0,"n.a.",AE247/Z247))</f>
        <v/>
      </c>
      <c r="AG247" s="12" t="n"/>
      <c r="AH247" s="14">
        <f>IF(OR(A247="",COUNT(Z247)=0,COUNT(AG247)=0),"",ROUND(Z247-AG247,2))</f>
        <v/>
      </c>
      <c r="AI247" s="21" t="n"/>
      <c r="AJ247" s="11">
        <f>IF(A247="","",IF(COUNT(I247)=0,"Enter approved NTE",IF(COUNT(Z247)&gt;0,IF(Z247&gt;I247,"Invoice exceeds NTE","Invoice within NTE"),IF(COUNT(L247)=0,"Enter quote inputs",IF(L247&gt;I247,"Quote exceeds NTE","Quote within NTE")))))</f>
        <v/>
      </c>
      <c r="AK247" s="11">
        <f>IF(A247="","",IF(COUNT(H247)=0,"Enter direct cost",IF(COUNT(Z247)=0,"Enter invoice revenue",IF(COUNT(AB247:AD247)&lt;3,"Enter expenses (0 if none)","Complete"))))</f>
        <v/>
      </c>
      <c r="AL247" s="11">
        <f>IF(A247="","",IF(NOT(AND(COUNT(AH247)=1,N(AH247)&gt;0.004,V247&lt;&gt;"Void",V247&lt;&gt;"Not invoiced",V247&lt;&gt;"Draft")),"",IF(COUNT(X247)=0,"No due date",IF(TODAY()-X247&lt;=0,"Not yet due",IF(TODAY()-X247&lt;=30,"1-30 days",IF(TODAY()-X247&lt;=60,"31-60 days",IF(TODAY()-X247&lt;=90,"61-90 days","Over 90 days")))))))</f>
        <v/>
      </c>
      <c r="AM247" s="49">
        <f>IF(OR(AL247="",AL247="No due date"),"",MAX(TODAY()-X247,0))</f>
        <v/>
      </c>
      <c r="AN247" s="49">
        <f>IF(AL247="","",IF(COUNT(X247)=0,-100000,TODAY()-X247))</f>
        <v/>
      </c>
      <c r="AO247" s="49">
        <f>IF(AN247="","",COUNTIF(AN$11:AN$1010,"&gt;"&amp;AN247)+COUNTIF(AN$11:AN247,AN247))</f>
        <v/>
      </c>
      <c r="AP247" s="49">
        <f>IF(OR(A247="",B247=""),"",IF(COUNTIF(B$11:B247,B247)=1,MAX(AP$10:AP246)+1,""))</f>
        <v/>
      </c>
    </row>
    <row r="248" ht="24" customHeight="1">
      <c r="A248" s="20" t="n"/>
      <c r="B248" s="10" t="n"/>
      <c r="C248" s="10" t="n"/>
      <c r="D248" s="10" t="n"/>
      <c r="E248" s="10" t="n"/>
      <c r="F248" s="18" t="n"/>
      <c r="G248" s="10" t="n"/>
      <c r="H248" s="12" t="n"/>
      <c r="I248" s="12" t="n"/>
      <c r="J248" s="13">
        <f>IF(OR(A248="",COUNT(H248)=0,COUNT(Z248)=0),"",ROUND(Z248-H248,2))</f>
        <v/>
      </c>
      <c r="K248" s="15">
        <f>IF(COUNT(J248)=0,"",IF(Z248=0,"n.a.",J248/Z248))</f>
        <v/>
      </c>
      <c r="L248" s="14">
        <f>IF(OR(A248="",COUNT(H248)=0,COUNT(Y248)=0),"",ROUND(H248*(1+Y248),2))</f>
        <v/>
      </c>
      <c r="M248" s="10" t="n"/>
      <c r="N248" s="10" t="n"/>
      <c r="O248" s="10" t="n"/>
      <c r="P248" s="10" t="n"/>
      <c r="Q248" s="20" t="n"/>
      <c r="R248" s="10" t="n"/>
      <c r="S248" s="10" t="n"/>
      <c r="T248" s="18" t="n"/>
      <c r="U248" s="18" t="n"/>
      <c r="V248" s="10" t="n"/>
      <c r="W248" s="10" t="n"/>
      <c r="X248" s="19">
        <f>IF(OR(A248="",COUNT(U248)=0,COUNT(AI248)=0),"",U248+AI248)</f>
        <v/>
      </c>
      <c r="Y248" s="16" t="n"/>
      <c r="Z248" s="12" t="n"/>
      <c r="AA248" s="17">
        <f>IF(COUNT(J248)=0,"",IF(H248=0,"n.a.",J248/H248))</f>
        <v/>
      </c>
      <c r="AB248" s="12" t="n"/>
      <c r="AC248" s="12" t="n"/>
      <c r="AD248" s="12" t="n"/>
      <c r="AE248" s="13">
        <f>IF(OR(COUNT(J248)=0,COUNT(AB248:AD248)&lt;3),"",ROUND(J248-SUM(AB248:AD248),2))</f>
        <v/>
      </c>
      <c r="AF248" s="15">
        <f>IF(COUNT(AE248)=0,"",IF(Z248=0,"n.a.",AE248/Z248))</f>
        <v/>
      </c>
      <c r="AG248" s="12" t="n"/>
      <c r="AH248" s="14">
        <f>IF(OR(A248="",COUNT(Z248)=0,COUNT(AG248)=0),"",ROUND(Z248-AG248,2))</f>
        <v/>
      </c>
      <c r="AI248" s="21" t="n"/>
      <c r="AJ248" s="11">
        <f>IF(A248="","",IF(COUNT(I248)=0,"Enter approved NTE",IF(COUNT(Z248)&gt;0,IF(Z248&gt;I248,"Invoice exceeds NTE","Invoice within NTE"),IF(COUNT(L248)=0,"Enter quote inputs",IF(L248&gt;I248,"Quote exceeds NTE","Quote within NTE")))))</f>
        <v/>
      </c>
      <c r="AK248" s="11">
        <f>IF(A248="","",IF(COUNT(H248)=0,"Enter direct cost",IF(COUNT(Z248)=0,"Enter invoice revenue",IF(COUNT(AB248:AD248)&lt;3,"Enter expenses (0 if none)","Complete"))))</f>
        <v/>
      </c>
      <c r="AL248" s="11">
        <f>IF(A248="","",IF(NOT(AND(COUNT(AH248)=1,N(AH248)&gt;0.004,V248&lt;&gt;"Void",V248&lt;&gt;"Not invoiced",V248&lt;&gt;"Draft")),"",IF(COUNT(X248)=0,"No due date",IF(TODAY()-X248&lt;=0,"Not yet due",IF(TODAY()-X248&lt;=30,"1-30 days",IF(TODAY()-X248&lt;=60,"31-60 days",IF(TODAY()-X248&lt;=90,"61-90 days","Over 90 days")))))))</f>
        <v/>
      </c>
      <c r="AM248" s="49">
        <f>IF(OR(AL248="",AL248="No due date"),"",MAX(TODAY()-X248,0))</f>
        <v/>
      </c>
      <c r="AN248" s="49">
        <f>IF(AL248="","",IF(COUNT(X248)=0,-100000,TODAY()-X248))</f>
        <v/>
      </c>
      <c r="AO248" s="49">
        <f>IF(AN248="","",COUNTIF(AN$11:AN$1010,"&gt;"&amp;AN248)+COUNTIF(AN$11:AN248,AN248))</f>
        <v/>
      </c>
      <c r="AP248" s="49">
        <f>IF(OR(A248="",B248=""),"",IF(COUNTIF(B$11:B248,B248)=1,MAX(AP$10:AP247)+1,""))</f>
        <v/>
      </c>
    </row>
    <row r="249" ht="24" customHeight="1">
      <c r="A249" s="20" t="n"/>
      <c r="B249" s="10" t="n"/>
      <c r="C249" s="10" t="n"/>
      <c r="D249" s="10" t="n"/>
      <c r="E249" s="10" t="n"/>
      <c r="F249" s="18" t="n"/>
      <c r="G249" s="10" t="n"/>
      <c r="H249" s="12" t="n"/>
      <c r="I249" s="12" t="n"/>
      <c r="J249" s="13">
        <f>IF(OR(A249="",COUNT(H249)=0,COUNT(Z249)=0),"",ROUND(Z249-H249,2))</f>
        <v/>
      </c>
      <c r="K249" s="15">
        <f>IF(COUNT(J249)=0,"",IF(Z249=0,"n.a.",J249/Z249))</f>
        <v/>
      </c>
      <c r="L249" s="14">
        <f>IF(OR(A249="",COUNT(H249)=0,COUNT(Y249)=0),"",ROUND(H249*(1+Y249),2))</f>
        <v/>
      </c>
      <c r="M249" s="10" t="n"/>
      <c r="N249" s="10" t="n"/>
      <c r="O249" s="10" t="n"/>
      <c r="P249" s="10" t="n"/>
      <c r="Q249" s="20" t="n"/>
      <c r="R249" s="10" t="n"/>
      <c r="S249" s="10" t="n"/>
      <c r="T249" s="18" t="n"/>
      <c r="U249" s="18" t="n"/>
      <c r="V249" s="10" t="n"/>
      <c r="W249" s="10" t="n"/>
      <c r="X249" s="19">
        <f>IF(OR(A249="",COUNT(U249)=0,COUNT(AI249)=0),"",U249+AI249)</f>
        <v/>
      </c>
      <c r="Y249" s="16" t="n"/>
      <c r="Z249" s="12" t="n"/>
      <c r="AA249" s="17">
        <f>IF(COUNT(J249)=0,"",IF(H249=0,"n.a.",J249/H249))</f>
        <v/>
      </c>
      <c r="AB249" s="12" t="n"/>
      <c r="AC249" s="12" t="n"/>
      <c r="AD249" s="12" t="n"/>
      <c r="AE249" s="13">
        <f>IF(OR(COUNT(J249)=0,COUNT(AB249:AD249)&lt;3),"",ROUND(J249-SUM(AB249:AD249),2))</f>
        <v/>
      </c>
      <c r="AF249" s="15">
        <f>IF(COUNT(AE249)=0,"",IF(Z249=0,"n.a.",AE249/Z249))</f>
        <v/>
      </c>
      <c r="AG249" s="12" t="n"/>
      <c r="AH249" s="14">
        <f>IF(OR(A249="",COUNT(Z249)=0,COUNT(AG249)=0),"",ROUND(Z249-AG249,2))</f>
        <v/>
      </c>
      <c r="AI249" s="21" t="n"/>
      <c r="AJ249" s="11">
        <f>IF(A249="","",IF(COUNT(I249)=0,"Enter approved NTE",IF(COUNT(Z249)&gt;0,IF(Z249&gt;I249,"Invoice exceeds NTE","Invoice within NTE"),IF(COUNT(L249)=0,"Enter quote inputs",IF(L249&gt;I249,"Quote exceeds NTE","Quote within NTE")))))</f>
        <v/>
      </c>
      <c r="AK249" s="11">
        <f>IF(A249="","",IF(COUNT(H249)=0,"Enter direct cost",IF(COUNT(Z249)=0,"Enter invoice revenue",IF(COUNT(AB249:AD249)&lt;3,"Enter expenses (0 if none)","Complete"))))</f>
        <v/>
      </c>
      <c r="AL249" s="11">
        <f>IF(A249="","",IF(NOT(AND(COUNT(AH249)=1,N(AH249)&gt;0.004,V249&lt;&gt;"Void",V249&lt;&gt;"Not invoiced",V249&lt;&gt;"Draft")),"",IF(COUNT(X249)=0,"No due date",IF(TODAY()-X249&lt;=0,"Not yet due",IF(TODAY()-X249&lt;=30,"1-30 days",IF(TODAY()-X249&lt;=60,"31-60 days",IF(TODAY()-X249&lt;=90,"61-90 days","Over 90 days")))))))</f>
        <v/>
      </c>
      <c r="AM249" s="49">
        <f>IF(OR(AL249="",AL249="No due date"),"",MAX(TODAY()-X249,0))</f>
        <v/>
      </c>
      <c r="AN249" s="49">
        <f>IF(AL249="","",IF(COUNT(X249)=0,-100000,TODAY()-X249))</f>
        <v/>
      </c>
      <c r="AO249" s="49">
        <f>IF(AN249="","",COUNTIF(AN$11:AN$1010,"&gt;"&amp;AN249)+COUNTIF(AN$11:AN249,AN249))</f>
        <v/>
      </c>
      <c r="AP249" s="49">
        <f>IF(OR(A249="",B249=""),"",IF(COUNTIF(B$11:B249,B249)=1,MAX(AP$10:AP248)+1,""))</f>
        <v/>
      </c>
    </row>
    <row r="250" ht="24" customHeight="1">
      <c r="A250" s="20" t="n"/>
      <c r="B250" s="10" t="n"/>
      <c r="C250" s="10" t="n"/>
      <c r="D250" s="10" t="n"/>
      <c r="E250" s="10" t="n"/>
      <c r="F250" s="18" t="n"/>
      <c r="G250" s="10" t="n"/>
      <c r="H250" s="12" t="n"/>
      <c r="I250" s="12" t="n"/>
      <c r="J250" s="13">
        <f>IF(OR(A250="",COUNT(H250)=0,COUNT(Z250)=0),"",ROUND(Z250-H250,2))</f>
        <v/>
      </c>
      <c r="K250" s="15">
        <f>IF(COUNT(J250)=0,"",IF(Z250=0,"n.a.",J250/Z250))</f>
        <v/>
      </c>
      <c r="L250" s="14">
        <f>IF(OR(A250="",COUNT(H250)=0,COUNT(Y250)=0),"",ROUND(H250*(1+Y250),2))</f>
        <v/>
      </c>
      <c r="M250" s="10" t="n"/>
      <c r="N250" s="10" t="n"/>
      <c r="O250" s="10" t="n"/>
      <c r="P250" s="10" t="n"/>
      <c r="Q250" s="20" t="n"/>
      <c r="R250" s="10" t="n"/>
      <c r="S250" s="10" t="n"/>
      <c r="T250" s="18" t="n"/>
      <c r="U250" s="18" t="n"/>
      <c r="V250" s="10" t="n"/>
      <c r="W250" s="10" t="n"/>
      <c r="X250" s="19">
        <f>IF(OR(A250="",COUNT(U250)=0,COUNT(AI250)=0),"",U250+AI250)</f>
        <v/>
      </c>
      <c r="Y250" s="16" t="n"/>
      <c r="Z250" s="12" t="n"/>
      <c r="AA250" s="17">
        <f>IF(COUNT(J250)=0,"",IF(H250=0,"n.a.",J250/H250))</f>
        <v/>
      </c>
      <c r="AB250" s="12" t="n"/>
      <c r="AC250" s="12" t="n"/>
      <c r="AD250" s="12" t="n"/>
      <c r="AE250" s="13">
        <f>IF(OR(COUNT(J250)=0,COUNT(AB250:AD250)&lt;3),"",ROUND(J250-SUM(AB250:AD250),2))</f>
        <v/>
      </c>
      <c r="AF250" s="15">
        <f>IF(COUNT(AE250)=0,"",IF(Z250=0,"n.a.",AE250/Z250))</f>
        <v/>
      </c>
      <c r="AG250" s="12" t="n"/>
      <c r="AH250" s="14">
        <f>IF(OR(A250="",COUNT(Z250)=0,COUNT(AG250)=0),"",ROUND(Z250-AG250,2))</f>
        <v/>
      </c>
      <c r="AI250" s="21" t="n"/>
      <c r="AJ250" s="11">
        <f>IF(A250="","",IF(COUNT(I250)=0,"Enter approved NTE",IF(COUNT(Z250)&gt;0,IF(Z250&gt;I250,"Invoice exceeds NTE","Invoice within NTE"),IF(COUNT(L250)=0,"Enter quote inputs",IF(L250&gt;I250,"Quote exceeds NTE","Quote within NTE")))))</f>
        <v/>
      </c>
      <c r="AK250" s="11">
        <f>IF(A250="","",IF(COUNT(H250)=0,"Enter direct cost",IF(COUNT(Z250)=0,"Enter invoice revenue",IF(COUNT(AB250:AD250)&lt;3,"Enter expenses (0 if none)","Complete"))))</f>
        <v/>
      </c>
      <c r="AL250" s="11">
        <f>IF(A250="","",IF(NOT(AND(COUNT(AH250)=1,N(AH250)&gt;0.004,V250&lt;&gt;"Void",V250&lt;&gt;"Not invoiced",V250&lt;&gt;"Draft")),"",IF(COUNT(X250)=0,"No due date",IF(TODAY()-X250&lt;=0,"Not yet due",IF(TODAY()-X250&lt;=30,"1-30 days",IF(TODAY()-X250&lt;=60,"31-60 days",IF(TODAY()-X250&lt;=90,"61-90 days","Over 90 days")))))))</f>
        <v/>
      </c>
      <c r="AM250" s="49">
        <f>IF(OR(AL250="",AL250="No due date"),"",MAX(TODAY()-X250,0))</f>
        <v/>
      </c>
      <c r="AN250" s="49">
        <f>IF(AL250="","",IF(COUNT(X250)=0,-100000,TODAY()-X250))</f>
        <v/>
      </c>
      <c r="AO250" s="49">
        <f>IF(AN250="","",COUNTIF(AN$11:AN$1010,"&gt;"&amp;AN250)+COUNTIF(AN$11:AN250,AN250))</f>
        <v/>
      </c>
      <c r="AP250" s="49">
        <f>IF(OR(A250="",B250=""),"",IF(COUNTIF(B$11:B250,B250)=1,MAX(AP$10:AP249)+1,""))</f>
        <v/>
      </c>
    </row>
    <row r="251" ht="24" customHeight="1">
      <c r="A251" s="20" t="n"/>
      <c r="B251" s="10" t="n"/>
      <c r="C251" s="10" t="n"/>
      <c r="D251" s="10" t="n"/>
      <c r="E251" s="10" t="n"/>
      <c r="F251" s="18" t="n"/>
      <c r="G251" s="10" t="n"/>
      <c r="H251" s="12" t="n"/>
      <c r="I251" s="12" t="n"/>
      <c r="J251" s="13">
        <f>IF(OR(A251="",COUNT(H251)=0,COUNT(Z251)=0),"",ROUND(Z251-H251,2))</f>
        <v/>
      </c>
      <c r="K251" s="15">
        <f>IF(COUNT(J251)=0,"",IF(Z251=0,"n.a.",J251/Z251))</f>
        <v/>
      </c>
      <c r="L251" s="14">
        <f>IF(OR(A251="",COUNT(H251)=0,COUNT(Y251)=0),"",ROUND(H251*(1+Y251),2))</f>
        <v/>
      </c>
      <c r="M251" s="10" t="n"/>
      <c r="N251" s="10" t="n"/>
      <c r="O251" s="10" t="n"/>
      <c r="P251" s="10" t="n"/>
      <c r="Q251" s="20" t="n"/>
      <c r="R251" s="10" t="n"/>
      <c r="S251" s="10" t="n"/>
      <c r="T251" s="18" t="n"/>
      <c r="U251" s="18" t="n"/>
      <c r="V251" s="10" t="n"/>
      <c r="W251" s="10" t="n"/>
      <c r="X251" s="19">
        <f>IF(OR(A251="",COUNT(U251)=0,COUNT(AI251)=0),"",U251+AI251)</f>
        <v/>
      </c>
      <c r="Y251" s="16" t="n"/>
      <c r="Z251" s="12" t="n"/>
      <c r="AA251" s="17">
        <f>IF(COUNT(J251)=0,"",IF(H251=0,"n.a.",J251/H251))</f>
        <v/>
      </c>
      <c r="AB251" s="12" t="n"/>
      <c r="AC251" s="12" t="n"/>
      <c r="AD251" s="12" t="n"/>
      <c r="AE251" s="13">
        <f>IF(OR(COUNT(J251)=0,COUNT(AB251:AD251)&lt;3),"",ROUND(J251-SUM(AB251:AD251),2))</f>
        <v/>
      </c>
      <c r="AF251" s="15">
        <f>IF(COUNT(AE251)=0,"",IF(Z251=0,"n.a.",AE251/Z251))</f>
        <v/>
      </c>
      <c r="AG251" s="12" t="n"/>
      <c r="AH251" s="14">
        <f>IF(OR(A251="",COUNT(Z251)=0,COUNT(AG251)=0),"",ROUND(Z251-AG251,2))</f>
        <v/>
      </c>
      <c r="AI251" s="21" t="n"/>
      <c r="AJ251" s="11">
        <f>IF(A251="","",IF(COUNT(I251)=0,"Enter approved NTE",IF(COUNT(Z251)&gt;0,IF(Z251&gt;I251,"Invoice exceeds NTE","Invoice within NTE"),IF(COUNT(L251)=0,"Enter quote inputs",IF(L251&gt;I251,"Quote exceeds NTE","Quote within NTE")))))</f>
        <v/>
      </c>
      <c r="AK251" s="11">
        <f>IF(A251="","",IF(COUNT(H251)=0,"Enter direct cost",IF(COUNT(Z251)=0,"Enter invoice revenue",IF(COUNT(AB251:AD251)&lt;3,"Enter expenses (0 if none)","Complete"))))</f>
        <v/>
      </c>
      <c r="AL251" s="11">
        <f>IF(A251="","",IF(NOT(AND(COUNT(AH251)=1,N(AH251)&gt;0.004,V251&lt;&gt;"Void",V251&lt;&gt;"Not invoiced",V251&lt;&gt;"Draft")),"",IF(COUNT(X251)=0,"No due date",IF(TODAY()-X251&lt;=0,"Not yet due",IF(TODAY()-X251&lt;=30,"1-30 days",IF(TODAY()-X251&lt;=60,"31-60 days",IF(TODAY()-X251&lt;=90,"61-90 days","Over 90 days")))))))</f>
        <v/>
      </c>
      <c r="AM251" s="49">
        <f>IF(OR(AL251="",AL251="No due date"),"",MAX(TODAY()-X251,0))</f>
        <v/>
      </c>
      <c r="AN251" s="49">
        <f>IF(AL251="","",IF(COUNT(X251)=0,-100000,TODAY()-X251))</f>
        <v/>
      </c>
      <c r="AO251" s="49">
        <f>IF(AN251="","",COUNTIF(AN$11:AN$1010,"&gt;"&amp;AN251)+COUNTIF(AN$11:AN251,AN251))</f>
        <v/>
      </c>
      <c r="AP251" s="49">
        <f>IF(OR(A251="",B251=""),"",IF(COUNTIF(B$11:B251,B251)=1,MAX(AP$10:AP250)+1,""))</f>
        <v/>
      </c>
    </row>
    <row r="252" ht="24" customHeight="1">
      <c r="A252" s="20" t="n"/>
      <c r="B252" s="10" t="n"/>
      <c r="C252" s="10" t="n"/>
      <c r="D252" s="10" t="n"/>
      <c r="E252" s="10" t="n"/>
      <c r="F252" s="18" t="n"/>
      <c r="G252" s="10" t="n"/>
      <c r="H252" s="12" t="n"/>
      <c r="I252" s="12" t="n"/>
      <c r="J252" s="13">
        <f>IF(OR(A252="",COUNT(H252)=0,COUNT(Z252)=0),"",ROUND(Z252-H252,2))</f>
        <v/>
      </c>
      <c r="K252" s="15">
        <f>IF(COUNT(J252)=0,"",IF(Z252=0,"n.a.",J252/Z252))</f>
        <v/>
      </c>
      <c r="L252" s="14">
        <f>IF(OR(A252="",COUNT(H252)=0,COUNT(Y252)=0),"",ROUND(H252*(1+Y252),2))</f>
        <v/>
      </c>
      <c r="M252" s="10" t="n"/>
      <c r="N252" s="10" t="n"/>
      <c r="O252" s="10" t="n"/>
      <c r="P252" s="10" t="n"/>
      <c r="Q252" s="20" t="n"/>
      <c r="R252" s="10" t="n"/>
      <c r="S252" s="10" t="n"/>
      <c r="T252" s="18" t="n"/>
      <c r="U252" s="18" t="n"/>
      <c r="V252" s="10" t="n"/>
      <c r="W252" s="10" t="n"/>
      <c r="X252" s="19">
        <f>IF(OR(A252="",COUNT(U252)=0,COUNT(AI252)=0),"",U252+AI252)</f>
        <v/>
      </c>
      <c r="Y252" s="16" t="n"/>
      <c r="Z252" s="12" t="n"/>
      <c r="AA252" s="17">
        <f>IF(COUNT(J252)=0,"",IF(H252=0,"n.a.",J252/H252))</f>
        <v/>
      </c>
      <c r="AB252" s="12" t="n"/>
      <c r="AC252" s="12" t="n"/>
      <c r="AD252" s="12" t="n"/>
      <c r="AE252" s="13">
        <f>IF(OR(COUNT(J252)=0,COUNT(AB252:AD252)&lt;3),"",ROUND(J252-SUM(AB252:AD252),2))</f>
        <v/>
      </c>
      <c r="AF252" s="15">
        <f>IF(COUNT(AE252)=0,"",IF(Z252=0,"n.a.",AE252/Z252))</f>
        <v/>
      </c>
      <c r="AG252" s="12" t="n"/>
      <c r="AH252" s="14">
        <f>IF(OR(A252="",COUNT(Z252)=0,COUNT(AG252)=0),"",ROUND(Z252-AG252,2))</f>
        <v/>
      </c>
      <c r="AI252" s="21" t="n"/>
      <c r="AJ252" s="11">
        <f>IF(A252="","",IF(COUNT(I252)=0,"Enter approved NTE",IF(COUNT(Z252)&gt;0,IF(Z252&gt;I252,"Invoice exceeds NTE","Invoice within NTE"),IF(COUNT(L252)=0,"Enter quote inputs",IF(L252&gt;I252,"Quote exceeds NTE","Quote within NTE")))))</f>
        <v/>
      </c>
      <c r="AK252" s="11">
        <f>IF(A252="","",IF(COUNT(H252)=0,"Enter direct cost",IF(COUNT(Z252)=0,"Enter invoice revenue",IF(COUNT(AB252:AD252)&lt;3,"Enter expenses (0 if none)","Complete"))))</f>
        <v/>
      </c>
      <c r="AL252" s="11">
        <f>IF(A252="","",IF(NOT(AND(COUNT(AH252)=1,N(AH252)&gt;0.004,V252&lt;&gt;"Void",V252&lt;&gt;"Not invoiced",V252&lt;&gt;"Draft")),"",IF(COUNT(X252)=0,"No due date",IF(TODAY()-X252&lt;=0,"Not yet due",IF(TODAY()-X252&lt;=30,"1-30 days",IF(TODAY()-X252&lt;=60,"31-60 days",IF(TODAY()-X252&lt;=90,"61-90 days","Over 90 days")))))))</f>
        <v/>
      </c>
      <c r="AM252" s="49">
        <f>IF(OR(AL252="",AL252="No due date"),"",MAX(TODAY()-X252,0))</f>
        <v/>
      </c>
      <c r="AN252" s="49">
        <f>IF(AL252="","",IF(COUNT(X252)=0,-100000,TODAY()-X252))</f>
        <v/>
      </c>
      <c r="AO252" s="49">
        <f>IF(AN252="","",COUNTIF(AN$11:AN$1010,"&gt;"&amp;AN252)+COUNTIF(AN$11:AN252,AN252))</f>
        <v/>
      </c>
      <c r="AP252" s="49">
        <f>IF(OR(A252="",B252=""),"",IF(COUNTIF(B$11:B252,B252)=1,MAX(AP$10:AP251)+1,""))</f>
        <v/>
      </c>
    </row>
    <row r="253" ht="24" customHeight="1">
      <c r="A253" s="20" t="n"/>
      <c r="B253" s="10" t="n"/>
      <c r="C253" s="10" t="n"/>
      <c r="D253" s="10" t="n"/>
      <c r="E253" s="10" t="n"/>
      <c r="F253" s="18" t="n"/>
      <c r="G253" s="10" t="n"/>
      <c r="H253" s="12" t="n"/>
      <c r="I253" s="12" t="n"/>
      <c r="J253" s="13">
        <f>IF(OR(A253="",COUNT(H253)=0,COUNT(Z253)=0),"",ROUND(Z253-H253,2))</f>
        <v/>
      </c>
      <c r="K253" s="15">
        <f>IF(COUNT(J253)=0,"",IF(Z253=0,"n.a.",J253/Z253))</f>
        <v/>
      </c>
      <c r="L253" s="14">
        <f>IF(OR(A253="",COUNT(H253)=0,COUNT(Y253)=0),"",ROUND(H253*(1+Y253),2))</f>
        <v/>
      </c>
      <c r="M253" s="10" t="n"/>
      <c r="N253" s="10" t="n"/>
      <c r="O253" s="10" t="n"/>
      <c r="P253" s="10" t="n"/>
      <c r="Q253" s="20" t="n"/>
      <c r="R253" s="10" t="n"/>
      <c r="S253" s="10" t="n"/>
      <c r="T253" s="18" t="n"/>
      <c r="U253" s="18" t="n"/>
      <c r="V253" s="10" t="n"/>
      <c r="W253" s="10" t="n"/>
      <c r="X253" s="19">
        <f>IF(OR(A253="",COUNT(U253)=0,COUNT(AI253)=0),"",U253+AI253)</f>
        <v/>
      </c>
      <c r="Y253" s="16" t="n"/>
      <c r="Z253" s="12" t="n"/>
      <c r="AA253" s="17">
        <f>IF(COUNT(J253)=0,"",IF(H253=0,"n.a.",J253/H253))</f>
        <v/>
      </c>
      <c r="AB253" s="12" t="n"/>
      <c r="AC253" s="12" t="n"/>
      <c r="AD253" s="12" t="n"/>
      <c r="AE253" s="13">
        <f>IF(OR(COUNT(J253)=0,COUNT(AB253:AD253)&lt;3),"",ROUND(J253-SUM(AB253:AD253),2))</f>
        <v/>
      </c>
      <c r="AF253" s="15">
        <f>IF(COUNT(AE253)=0,"",IF(Z253=0,"n.a.",AE253/Z253))</f>
        <v/>
      </c>
      <c r="AG253" s="12" t="n"/>
      <c r="AH253" s="14">
        <f>IF(OR(A253="",COUNT(Z253)=0,COUNT(AG253)=0),"",ROUND(Z253-AG253,2))</f>
        <v/>
      </c>
      <c r="AI253" s="21" t="n"/>
      <c r="AJ253" s="11">
        <f>IF(A253="","",IF(COUNT(I253)=0,"Enter approved NTE",IF(COUNT(Z253)&gt;0,IF(Z253&gt;I253,"Invoice exceeds NTE","Invoice within NTE"),IF(COUNT(L253)=0,"Enter quote inputs",IF(L253&gt;I253,"Quote exceeds NTE","Quote within NTE")))))</f>
        <v/>
      </c>
      <c r="AK253" s="11">
        <f>IF(A253="","",IF(COUNT(H253)=0,"Enter direct cost",IF(COUNT(Z253)=0,"Enter invoice revenue",IF(COUNT(AB253:AD253)&lt;3,"Enter expenses (0 if none)","Complete"))))</f>
        <v/>
      </c>
      <c r="AL253" s="11">
        <f>IF(A253="","",IF(NOT(AND(COUNT(AH253)=1,N(AH253)&gt;0.004,V253&lt;&gt;"Void",V253&lt;&gt;"Not invoiced",V253&lt;&gt;"Draft")),"",IF(COUNT(X253)=0,"No due date",IF(TODAY()-X253&lt;=0,"Not yet due",IF(TODAY()-X253&lt;=30,"1-30 days",IF(TODAY()-X253&lt;=60,"31-60 days",IF(TODAY()-X253&lt;=90,"61-90 days","Over 90 days")))))))</f>
        <v/>
      </c>
      <c r="AM253" s="49">
        <f>IF(OR(AL253="",AL253="No due date"),"",MAX(TODAY()-X253,0))</f>
        <v/>
      </c>
      <c r="AN253" s="49">
        <f>IF(AL253="","",IF(COUNT(X253)=0,-100000,TODAY()-X253))</f>
        <v/>
      </c>
      <c r="AO253" s="49">
        <f>IF(AN253="","",COUNTIF(AN$11:AN$1010,"&gt;"&amp;AN253)+COUNTIF(AN$11:AN253,AN253))</f>
        <v/>
      </c>
      <c r="AP253" s="49">
        <f>IF(OR(A253="",B253=""),"",IF(COUNTIF(B$11:B253,B253)=1,MAX(AP$10:AP252)+1,""))</f>
        <v/>
      </c>
    </row>
    <row r="254" ht="24" customHeight="1">
      <c r="A254" s="20" t="n"/>
      <c r="B254" s="10" t="n"/>
      <c r="C254" s="10" t="n"/>
      <c r="D254" s="10" t="n"/>
      <c r="E254" s="10" t="n"/>
      <c r="F254" s="18" t="n"/>
      <c r="G254" s="10" t="n"/>
      <c r="H254" s="12" t="n"/>
      <c r="I254" s="12" t="n"/>
      <c r="J254" s="13">
        <f>IF(OR(A254="",COUNT(H254)=0,COUNT(Z254)=0),"",ROUND(Z254-H254,2))</f>
        <v/>
      </c>
      <c r="K254" s="15">
        <f>IF(COUNT(J254)=0,"",IF(Z254=0,"n.a.",J254/Z254))</f>
        <v/>
      </c>
      <c r="L254" s="14">
        <f>IF(OR(A254="",COUNT(H254)=0,COUNT(Y254)=0),"",ROUND(H254*(1+Y254),2))</f>
        <v/>
      </c>
      <c r="M254" s="10" t="n"/>
      <c r="N254" s="10" t="n"/>
      <c r="O254" s="10" t="n"/>
      <c r="P254" s="10" t="n"/>
      <c r="Q254" s="20" t="n"/>
      <c r="R254" s="10" t="n"/>
      <c r="S254" s="10" t="n"/>
      <c r="T254" s="18" t="n"/>
      <c r="U254" s="18" t="n"/>
      <c r="V254" s="10" t="n"/>
      <c r="W254" s="10" t="n"/>
      <c r="X254" s="19">
        <f>IF(OR(A254="",COUNT(U254)=0,COUNT(AI254)=0),"",U254+AI254)</f>
        <v/>
      </c>
      <c r="Y254" s="16" t="n"/>
      <c r="Z254" s="12" t="n"/>
      <c r="AA254" s="17">
        <f>IF(COUNT(J254)=0,"",IF(H254=0,"n.a.",J254/H254))</f>
        <v/>
      </c>
      <c r="AB254" s="12" t="n"/>
      <c r="AC254" s="12" t="n"/>
      <c r="AD254" s="12" t="n"/>
      <c r="AE254" s="13">
        <f>IF(OR(COUNT(J254)=0,COUNT(AB254:AD254)&lt;3),"",ROUND(J254-SUM(AB254:AD254),2))</f>
        <v/>
      </c>
      <c r="AF254" s="15">
        <f>IF(COUNT(AE254)=0,"",IF(Z254=0,"n.a.",AE254/Z254))</f>
        <v/>
      </c>
      <c r="AG254" s="12" t="n"/>
      <c r="AH254" s="14">
        <f>IF(OR(A254="",COUNT(Z254)=0,COUNT(AG254)=0),"",ROUND(Z254-AG254,2))</f>
        <v/>
      </c>
      <c r="AI254" s="21" t="n"/>
      <c r="AJ254" s="11">
        <f>IF(A254="","",IF(COUNT(I254)=0,"Enter approved NTE",IF(COUNT(Z254)&gt;0,IF(Z254&gt;I254,"Invoice exceeds NTE","Invoice within NTE"),IF(COUNT(L254)=0,"Enter quote inputs",IF(L254&gt;I254,"Quote exceeds NTE","Quote within NTE")))))</f>
        <v/>
      </c>
      <c r="AK254" s="11">
        <f>IF(A254="","",IF(COUNT(H254)=0,"Enter direct cost",IF(COUNT(Z254)=0,"Enter invoice revenue",IF(COUNT(AB254:AD254)&lt;3,"Enter expenses (0 if none)","Complete"))))</f>
        <v/>
      </c>
      <c r="AL254" s="11">
        <f>IF(A254="","",IF(NOT(AND(COUNT(AH254)=1,N(AH254)&gt;0.004,V254&lt;&gt;"Void",V254&lt;&gt;"Not invoiced",V254&lt;&gt;"Draft")),"",IF(COUNT(X254)=0,"No due date",IF(TODAY()-X254&lt;=0,"Not yet due",IF(TODAY()-X254&lt;=30,"1-30 days",IF(TODAY()-X254&lt;=60,"31-60 days",IF(TODAY()-X254&lt;=90,"61-90 days","Over 90 days")))))))</f>
        <v/>
      </c>
      <c r="AM254" s="49">
        <f>IF(OR(AL254="",AL254="No due date"),"",MAX(TODAY()-X254,0))</f>
        <v/>
      </c>
      <c r="AN254" s="49">
        <f>IF(AL254="","",IF(COUNT(X254)=0,-100000,TODAY()-X254))</f>
        <v/>
      </c>
      <c r="AO254" s="49">
        <f>IF(AN254="","",COUNTIF(AN$11:AN$1010,"&gt;"&amp;AN254)+COUNTIF(AN$11:AN254,AN254))</f>
        <v/>
      </c>
      <c r="AP254" s="49">
        <f>IF(OR(A254="",B254=""),"",IF(COUNTIF(B$11:B254,B254)=1,MAX(AP$10:AP253)+1,""))</f>
        <v/>
      </c>
    </row>
    <row r="255" ht="24" customHeight="1">
      <c r="A255" s="20" t="n"/>
      <c r="B255" s="10" t="n"/>
      <c r="C255" s="10" t="n"/>
      <c r="D255" s="10" t="n"/>
      <c r="E255" s="10" t="n"/>
      <c r="F255" s="18" t="n"/>
      <c r="G255" s="10" t="n"/>
      <c r="H255" s="12" t="n"/>
      <c r="I255" s="12" t="n"/>
      <c r="J255" s="13">
        <f>IF(OR(A255="",COUNT(H255)=0,COUNT(Z255)=0),"",ROUND(Z255-H255,2))</f>
        <v/>
      </c>
      <c r="K255" s="15">
        <f>IF(COUNT(J255)=0,"",IF(Z255=0,"n.a.",J255/Z255))</f>
        <v/>
      </c>
      <c r="L255" s="14">
        <f>IF(OR(A255="",COUNT(H255)=0,COUNT(Y255)=0),"",ROUND(H255*(1+Y255),2))</f>
        <v/>
      </c>
      <c r="M255" s="10" t="n"/>
      <c r="N255" s="10" t="n"/>
      <c r="O255" s="10" t="n"/>
      <c r="P255" s="10" t="n"/>
      <c r="Q255" s="20" t="n"/>
      <c r="R255" s="10" t="n"/>
      <c r="S255" s="10" t="n"/>
      <c r="T255" s="18" t="n"/>
      <c r="U255" s="18" t="n"/>
      <c r="V255" s="10" t="n"/>
      <c r="W255" s="10" t="n"/>
      <c r="X255" s="19">
        <f>IF(OR(A255="",COUNT(U255)=0,COUNT(AI255)=0),"",U255+AI255)</f>
        <v/>
      </c>
      <c r="Y255" s="16" t="n"/>
      <c r="Z255" s="12" t="n"/>
      <c r="AA255" s="17">
        <f>IF(COUNT(J255)=0,"",IF(H255=0,"n.a.",J255/H255))</f>
        <v/>
      </c>
      <c r="AB255" s="12" t="n"/>
      <c r="AC255" s="12" t="n"/>
      <c r="AD255" s="12" t="n"/>
      <c r="AE255" s="13">
        <f>IF(OR(COUNT(J255)=0,COUNT(AB255:AD255)&lt;3),"",ROUND(J255-SUM(AB255:AD255),2))</f>
        <v/>
      </c>
      <c r="AF255" s="15">
        <f>IF(COUNT(AE255)=0,"",IF(Z255=0,"n.a.",AE255/Z255))</f>
        <v/>
      </c>
      <c r="AG255" s="12" t="n"/>
      <c r="AH255" s="14">
        <f>IF(OR(A255="",COUNT(Z255)=0,COUNT(AG255)=0),"",ROUND(Z255-AG255,2))</f>
        <v/>
      </c>
      <c r="AI255" s="21" t="n"/>
      <c r="AJ255" s="11">
        <f>IF(A255="","",IF(COUNT(I255)=0,"Enter approved NTE",IF(COUNT(Z255)&gt;0,IF(Z255&gt;I255,"Invoice exceeds NTE","Invoice within NTE"),IF(COUNT(L255)=0,"Enter quote inputs",IF(L255&gt;I255,"Quote exceeds NTE","Quote within NTE")))))</f>
        <v/>
      </c>
      <c r="AK255" s="11">
        <f>IF(A255="","",IF(COUNT(H255)=0,"Enter direct cost",IF(COUNT(Z255)=0,"Enter invoice revenue",IF(COUNT(AB255:AD255)&lt;3,"Enter expenses (0 if none)","Complete"))))</f>
        <v/>
      </c>
      <c r="AL255" s="11">
        <f>IF(A255="","",IF(NOT(AND(COUNT(AH255)=1,N(AH255)&gt;0.004,V255&lt;&gt;"Void",V255&lt;&gt;"Not invoiced",V255&lt;&gt;"Draft")),"",IF(COUNT(X255)=0,"No due date",IF(TODAY()-X255&lt;=0,"Not yet due",IF(TODAY()-X255&lt;=30,"1-30 days",IF(TODAY()-X255&lt;=60,"31-60 days",IF(TODAY()-X255&lt;=90,"61-90 days","Over 90 days")))))))</f>
        <v/>
      </c>
      <c r="AM255" s="49">
        <f>IF(OR(AL255="",AL255="No due date"),"",MAX(TODAY()-X255,0))</f>
        <v/>
      </c>
      <c r="AN255" s="49">
        <f>IF(AL255="","",IF(COUNT(X255)=0,-100000,TODAY()-X255))</f>
        <v/>
      </c>
      <c r="AO255" s="49">
        <f>IF(AN255="","",COUNTIF(AN$11:AN$1010,"&gt;"&amp;AN255)+COUNTIF(AN$11:AN255,AN255))</f>
        <v/>
      </c>
      <c r="AP255" s="49">
        <f>IF(OR(A255="",B255=""),"",IF(COUNTIF(B$11:B255,B255)=1,MAX(AP$10:AP254)+1,""))</f>
        <v/>
      </c>
    </row>
    <row r="256" ht="24" customHeight="1">
      <c r="A256" s="20" t="n"/>
      <c r="B256" s="10" t="n"/>
      <c r="C256" s="10" t="n"/>
      <c r="D256" s="10" t="n"/>
      <c r="E256" s="10" t="n"/>
      <c r="F256" s="18" t="n"/>
      <c r="G256" s="10" t="n"/>
      <c r="H256" s="12" t="n"/>
      <c r="I256" s="12" t="n"/>
      <c r="J256" s="13">
        <f>IF(OR(A256="",COUNT(H256)=0,COUNT(Z256)=0),"",ROUND(Z256-H256,2))</f>
        <v/>
      </c>
      <c r="K256" s="15">
        <f>IF(COUNT(J256)=0,"",IF(Z256=0,"n.a.",J256/Z256))</f>
        <v/>
      </c>
      <c r="L256" s="14">
        <f>IF(OR(A256="",COUNT(H256)=0,COUNT(Y256)=0),"",ROUND(H256*(1+Y256),2))</f>
        <v/>
      </c>
      <c r="M256" s="10" t="n"/>
      <c r="N256" s="10" t="n"/>
      <c r="O256" s="10" t="n"/>
      <c r="P256" s="10" t="n"/>
      <c r="Q256" s="20" t="n"/>
      <c r="R256" s="10" t="n"/>
      <c r="S256" s="10" t="n"/>
      <c r="T256" s="18" t="n"/>
      <c r="U256" s="18" t="n"/>
      <c r="V256" s="10" t="n"/>
      <c r="W256" s="10" t="n"/>
      <c r="X256" s="19">
        <f>IF(OR(A256="",COUNT(U256)=0,COUNT(AI256)=0),"",U256+AI256)</f>
        <v/>
      </c>
      <c r="Y256" s="16" t="n"/>
      <c r="Z256" s="12" t="n"/>
      <c r="AA256" s="17">
        <f>IF(COUNT(J256)=0,"",IF(H256=0,"n.a.",J256/H256))</f>
        <v/>
      </c>
      <c r="AB256" s="12" t="n"/>
      <c r="AC256" s="12" t="n"/>
      <c r="AD256" s="12" t="n"/>
      <c r="AE256" s="13">
        <f>IF(OR(COUNT(J256)=0,COUNT(AB256:AD256)&lt;3),"",ROUND(J256-SUM(AB256:AD256),2))</f>
        <v/>
      </c>
      <c r="AF256" s="15">
        <f>IF(COUNT(AE256)=0,"",IF(Z256=0,"n.a.",AE256/Z256))</f>
        <v/>
      </c>
      <c r="AG256" s="12" t="n"/>
      <c r="AH256" s="14">
        <f>IF(OR(A256="",COUNT(Z256)=0,COUNT(AG256)=0),"",ROUND(Z256-AG256,2))</f>
        <v/>
      </c>
      <c r="AI256" s="21" t="n"/>
      <c r="AJ256" s="11">
        <f>IF(A256="","",IF(COUNT(I256)=0,"Enter approved NTE",IF(COUNT(Z256)&gt;0,IF(Z256&gt;I256,"Invoice exceeds NTE","Invoice within NTE"),IF(COUNT(L256)=0,"Enter quote inputs",IF(L256&gt;I256,"Quote exceeds NTE","Quote within NTE")))))</f>
        <v/>
      </c>
      <c r="AK256" s="11">
        <f>IF(A256="","",IF(COUNT(H256)=0,"Enter direct cost",IF(COUNT(Z256)=0,"Enter invoice revenue",IF(COUNT(AB256:AD256)&lt;3,"Enter expenses (0 if none)","Complete"))))</f>
        <v/>
      </c>
      <c r="AL256" s="11">
        <f>IF(A256="","",IF(NOT(AND(COUNT(AH256)=1,N(AH256)&gt;0.004,V256&lt;&gt;"Void",V256&lt;&gt;"Not invoiced",V256&lt;&gt;"Draft")),"",IF(COUNT(X256)=0,"No due date",IF(TODAY()-X256&lt;=0,"Not yet due",IF(TODAY()-X256&lt;=30,"1-30 days",IF(TODAY()-X256&lt;=60,"31-60 days",IF(TODAY()-X256&lt;=90,"61-90 days","Over 90 days")))))))</f>
        <v/>
      </c>
      <c r="AM256" s="49">
        <f>IF(OR(AL256="",AL256="No due date"),"",MAX(TODAY()-X256,0))</f>
        <v/>
      </c>
      <c r="AN256" s="49">
        <f>IF(AL256="","",IF(COUNT(X256)=0,-100000,TODAY()-X256))</f>
        <v/>
      </c>
      <c r="AO256" s="49">
        <f>IF(AN256="","",COUNTIF(AN$11:AN$1010,"&gt;"&amp;AN256)+COUNTIF(AN$11:AN256,AN256))</f>
        <v/>
      </c>
      <c r="AP256" s="49">
        <f>IF(OR(A256="",B256=""),"",IF(COUNTIF(B$11:B256,B256)=1,MAX(AP$10:AP255)+1,""))</f>
        <v/>
      </c>
    </row>
    <row r="257" ht="24" customHeight="1">
      <c r="A257" s="20" t="n"/>
      <c r="B257" s="10" t="n"/>
      <c r="C257" s="10" t="n"/>
      <c r="D257" s="10" t="n"/>
      <c r="E257" s="10" t="n"/>
      <c r="F257" s="18" t="n"/>
      <c r="G257" s="10" t="n"/>
      <c r="H257" s="12" t="n"/>
      <c r="I257" s="12" t="n"/>
      <c r="J257" s="13">
        <f>IF(OR(A257="",COUNT(H257)=0,COUNT(Z257)=0),"",ROUND(Z257-H257,2))</f>
        <v/>
      </c>
      <c r="K257" s="15">
        <f>IF(COUNT(J257)=0,"",IF(Z257=0,"n.a.",J257/Z257))</f>
        <v/>
      </c>
      <c r="L257" s="14">
        <f>IF(OR(A257="",COUNT(H257)=0,COUNT(Y257)=0),"",ROUND(H257*(1+Y257),2))</f>
        <v/>
      </c>
      <c r="M257" s="10" t="n"/>
      <c r="N257" s="10" t="n"/>
      <c r="O257" s="10" t="n"/>
      <c r="P257" s="10" t="n"/>
      <c r="Q257" s="20" t="n"/>
      <c r="R257" s="10" t="n"/>
      <c r="S257" s="10" t="n"/>
      <c r="T257" s="18" t="n"/>
      <c r="U257" s="18" t="n"/>
      <c r="V257" s="10" t="n"/>
      <c r="W257" s="10" t="n"/>
      <c r="X257" s="19">
        <f>IF(OR(A257="",COUNT(U257)=0,COUNT(AI257)=0),"",U257+AI257)</f>
        <v/>
      </c>
      <c r="Y257" s="16" t="n"/>
      <c r="Z257" s="12" t="n"/>
      <c r="AA257" s="17">
        <f>IF(COUNT(J257)=0,"",IF(H257=0,"n.a.",J257/H257))</f>
        <v/>
      </c>
      <c r="AB257" s="12" t="n"/>
      <c r="AC257" s="12" t="n"/>
      <c r="AD257" s="12" t="n"/>
      <c r="AE257" s="13">
        <f>IF(OR(COUNT(J257)=0,COUNT(AB257:AD257)&lt;3),"",ROUND(J257-SUM(AB257:AD257),2))</f>
        <v/>
      </c>
      <c r="AF257" s="15">
        <f>IF(COUNT(AE257)=0,"",IF(Z257=0,"n.a.",AE257/Z257))</f>
        <v/>
      </c>
      <c r="AG257" s="12" t="n"/>
      <c r="AH257" s="14">
        <f>IF(OR(A257="",COUNT(Z257)=0,COUNT(AG257)=0),"",ROUND(Z257-AG257,2))</f>
        <v/>
      </c>
      <c r="AI257" s="21" t="n"/>
      <c r="AJ257" s="11">
        <f>IF(A257="","",IF(COUNT(I257)=0,"Enter approved NTE",IF(COUNT(Z257)&gt;0,IF(Z257&gt;I257,"Invoice exceeds NTE","Invoice within NTE"),IF(COUNT(L257)=0,"Enter quote inputs",IF(L257&gt;I257,"Quote exceeds NTE","Quote within NTE")))))</f>
        <v/>
      </c>
      <c r="AK257" s="11">
        <f>IF(A257="","",IF(COUNT(H257)=0,"Enter direct cost",IF(COUNT(Z257)=0,"Enter invoice revenue",IF(COUNT(AB257:AD257)&lt;3,"Enter expenses (0 if none)","Complete"))))</f>
        <v/>
      </c>
      <c r="AL257" s="11">
        <f>IF(A257="","",IF(NOT(AND(COUNT(AH257)=1,N(AH257)&gt;0.004,V257&lt;&gt;"Void",V257&lt;&gt;"Not invoiced",V257&lt;&gt;"Draft")),"",IF(COUNT(X257)=0,"No due date",IF(TODAY()-X257&lt;=0,"Not yet due",IF(TODAY()-X257&lt;=30,"1-30 days",IF(TODAY()-X257&lt;=60,"31-60 days",IF(TODAY()-X257&lt;=90,"61-90 days","Over 90 days")))))))</f>
        <v/>
      </c>
      <c r="AM257" s="49">
        <f>IF(OR(AL257="",AL257="No due date"),"",MAX(TODAY()-X257,0))</f>
        <v/>
      </c>
      <c r="AN257" s="49">
        <f>IF(AL257="","",IF(COUNT(X257)=0,-100000,TODAY()-X257))</f>
        <v/>
      </c>
      <c r="AO257" s="49">
        <f>IF(AN257="","",COUNTIF(AN$11:AN$1010,"&gt;"&amp;AN257)+COUNTIF(AN$11:AN257,AN257))</f>
        <v/>
      </c>
      <c r="AP257" s="49">
        <f>IF(OR(A257="",B257=""),"",IF(COUNTIF(B$11:B257,B257)=1,MAX(AP$10:AP256)+1,""))</f>
        <v/>
      </c>
    </row>
    <row r="258" ht="24" customHeight="1">
      <c r="A258" s="20" t="n"/>
      <c r="B258" s="10" t="n"/>
      <c r="C258" s="10" t="n"/>
      <c r="D258" s="10" t="n"/>
      <c r="E258" s="10" t="n"/>
      <c r="F258" s="18" t="n"/>
      <c r="G258" s="10" t="n"/>
      <c r="H258" s="12" t="n"/>
      <c r="I258" s="12" t="n"/>
      <c r="J258" s="13">
        <f>IF(OR(A258="",COUNT(H258)=0,COUNT(Z258)=0),"",ROUND(Z258-H258,2))</f>
        <v/>
      </c>
      <c r="K258" s="15">
        <f>IF(COUNT(J258)=0,"",IF(Z258=0,"n.a.",J258/Z258))</f>
        <v/>
      </c>
      <c r="L258" s="14">
        <f>IF(OR(A258="",COUNT(H258)=0,COUNT(Y258)=0),"",ROUND(H258*(1+Y258),2))</f>
        <v/>
      </c>
      <c r="M258" s="10" t="n"/>
      <c r="N258" s="10" t="n"/>
      <c r="O258" s="10" t="n"/>
      <c r="P258" s="10" t="n"/>
      <c r="Q258" s="20" t="n"/>
      <c r="R258" s="10" t="n"/>
      <c r="S258" s="10" t="n"/>
      <c r="T258" s="18" t="n"/>
      <c r="U258" s="18" t="n"/>
      <c r="V258" s="10" t="n"/>
      <c r="W258" s="10" t="n"/>
      <c r="X258" s="19">
        <f>IF(OR(A258="",COUNT(U258)=0,COUNT(AI258)=0),"",U258+AI258)</f>
        <v/>
      </c>
      <c r="Y258" s="16" t="n"/>
      <c r="Z258" s="12" t="n"/>
      <c r="AA258" s="17">
        <f>IF(COUNT(J258)=0,"",IF(H258=0,"n.a.",J258/H258))</f>
        <v/>
      </c>
      <c r="AB258" s="12" t="n"/>
      <c r="AC258" s="12" t="n"/>
      <c r="AD258" s="12" t="n"/>
      <c r="AE258" s="13">
        <f>IF(OR(COUNT(J258)=0,COUNT(AB258:AD258)&lt;3),"",ROUND(J258-SUM(AB258:AD258),2))</f>
        <v/>
      </c>
      <c r="AF258" s="15">
        <f>IF(COUNT(AE258)=0,"",IF(Z258=0,"n.a.",AE258/Z258))</f>
        <v/>
      </c>
      <c r="AG258" s="12" t="n"/>
      <c r="AH258" s="14">
        <f>IF(OR(A258="",COUNT(Z258)=0,COUNT(AG258)=0),"",ROUND(Z258-AG258,2))</f>
        <v/>
      </c>
      <c r="AI258" s="21" t="n"/>
      <c r="AJ258" s="11">
        <f>IF(A258="","",IF(COUNT(I258)=0,"Enter approved NTE",IF(COUNT(Z258)&gt;0,IF(Z258&gt;I258,"Invoice exceeds NTE","Invoice within NTE"),IF(COUNT(L258)=0,"Enter quote inputs",IF(L258&gt;I258,"Quote exceeds NTE","Quote within NTE")))))</f>
        <v/>
      </c>
      <c r="AK258" s="11">
        <f>IF(A258="","",IF(COUNT(H258)=0,"Enter direct cost",IF(COUNT(Z258)=0,"Enter invoice revenue",IF(COUNT(AB258:AD258)&lt;3,"Enter expenses (0 if none)","Complete"))))</f>
        <v/>
      </c>
      <c r="AL258" s="11">
        <f>IF(A258="","",IF(NOT(AND(COUNT(AH258)=1,N(AH258)&gt;0.004,V258&lt;&gt;"Void",V258&lt;&gt;"Not invoiced",V258&lt;&gt;"Draft")),"",IF(COUNT(X258)=0,"No due date",IF(TODAY()-X258&lt;=0,"Not yet due",IF(TODAY()-X258&lt;=30,"1-30 days",IF(TODAY()-X258&lt;=60,"31-60 days",IF(TODAY()-X258&lt;=90,"61-90 days","Over 90 days")))))))</f>
        <v/>
      </c>
      <c r="AM258" s="49">
        <f>IF(OR(AL258="",AL258="No due date"),"",MAX(TODAY()-X258,0))</f>
        <v/>
      </c>
      <c r="AN258" s="49">
        <f>IF(AL258="","",IF(COUNT(X258)=0,-100000,TODAY()-X258))</f>
        <v/>
      </c>
      <c r="AO258" s="49">
        <f>IF(AN258="","",COUNTIF(AN$11:AN$1010,"&gt;"&amp;AN258)+COUNTIF(AN$11:AN258,AN258))</f>
        <v/>
      </c>
      <c r="AP258" s="49">
        <f>IF(OR(A258="",B258=""),"",IF(COUNTIF(B$11:B258,B258)=1,MAX(AP$10:AP257)+1,""))</f>
        <v/>
      </c>
    </row>
    <row r="259" ht="24" customHeight="1">
      <c r="A259" s="20" t="n"/>
      <c r="B259" s="10" t="n"/>
      <c r="C259" s="10" t="n"/>
      <c r="D259" s="10" t="n"/>
      <c r="E259" s="10" t="n"/>
      <c r="F259" s="18" t="n"/>
      <c r="G259" s="10" t="n"/>
      <c r="H259" s="12" t="n"/>
      <c r="I259" s="12" t="n"/>
      <c r="J259" s="13">
        <f>IF(OR(A259="",COUNT(H259)=0,COUNT(Z259)=0),"",ROUND(Z259-H259,2))</f>
        <v/>
      </c>
      <c r="K259" s="15">
        <f>IF(COUNT(J259)=0,"",IF(Z259=0,"n.a.",J259/Z259))</f>
        <v/>
      </c>
      <c r="L259" s="14">
        <f>IF(OR(A259="",COUNT(H259)=0,COUNT(Y259)=0),"",ROUND(H259*(1+Y259),2))</f>
        <v/>
      </c>
      <c r="M259" s="10" t="n"/>
      <c r="N259" s="10" t="n"/>
      <c r="O259" s="10" t="n"/>
      <c r="P259" s="10" t="n"/>
      <c r="Q259" s="20" t="n"/>
      <c r="R259" s="10" t="n"/>
      <c r="S259" s="10" t="n"/>
      <c r="T259" s="18" t="n"/>
      <c r="U259" s="18" t="n"/>
      <c r="V259" s="10" t="n"/>
      <c r="W259" s="10" t="n"/>
      <c r="X259" s="19">
        <f>IF(OR(A259="",COUNT(U259)=0,COUNT(AI259)=0),"",U259+AI259)</f>
        <v/>
      </c>
      <c r="Y259" s="16" t="n"/>
      <c r="Z259" s="12" t="n"/>
      <c r="AA259" s="17">
        <f>IF(COUNT(J259)=0,"",IF(H259=0,"n.a.",J259/H259))</f>
        <v/>
      </c>
      <c r="AB259" s="12" t="n"/>
      <c r="AC259" s="12" t="n"/>
      <c r="AD259" s="12" t="n"/>
      <c r="AE259" s="13">
        <f>IF(OR(COUNT(J259)=0,COUNT(AB259:AD259)&lt;3),"",ROUND(J259-SUM(AB259:AD259),2))</f>
        <v/>
      </c>
      <c r="AF259" s="15">
        <f>IF(COUNT(AE259)=0,"",IF(Z259=0,"n.a.",AE259/Z259))</f>
        <v/>
      </c>
      <c r="AG259" s="12" t="n"/>
      <c r="AH259" s="14">
        <f>IF(OR(A259="",COUNT(Z259)=0,COUNT(AG259)=0),"",ROUND(Z259-AG259,2))</f>
        <v/>
      </c>
      <c r="AI259" s="21" t="n"/>
      <c r="AJ259" s="11">
        <f>IF(A259="","",IF(COUNT(I259)=0,"Enter approved NTE",IF(COUNT(Z259)&gt;0,IF(Z259&gt;I259,"Invoice exceeds NTE","Invoice within NTE"),IF(COUNT(L259)=0,"Enter quote inputs",IF(L259&gt;I259,"Quote exceeds NTE","Quote within NTE")))))</f>
        <v/>
      </c>
      <c r="AK259" s="11">
        <f>IF(A259="","",IF(COUNT(H259)=0,"Enter direct cost",IF(COUNT(Z259)=0,"Enter invoice revenue",IF(COUNT(AB259:AD259)&lt;3,"Enter expenses (0 if none)","Complete"))))</f>
        <v/>
      </c>
      <c r="AL259" s="11">
        <f>IF(A259="","",IF(NOT(AND(COUNT(AH259)=1,N(AH259)&gt;0.004,V259&lt;&gt;"Void",V259&lt;&gt;"Not invoiced",V259&lt;&gt;"Draft")),"",IF(COUNT(X259)=0,"No due date",IF(TODAY()-X259&lt;=0,"Not yet due",IF(TODAY()-X259&lt;=30,"1-30 days",IF(TODAY()-X259&lt;=60,"31-60 days",IF(TODAY()-X259&lt;=90,"61-90 days","Over 90 days")))))))</f>
        <v/>
      </c>
      <c r="AM259" s="49">
        <f>IF(OR(AL259="",AL259="No due date"),"",MAX(TODAY()-X259,0))</f>
        <v/>
      </c>
      <c r="AN259" s="49">
        <f>IF(AL259="","",IF(COUNT(X259)=0,-100000,TODAY()-X259))</f>
        <v/>
      </c>
      <c r="AO259" s="49">
        <f>IF(AN259="","",COUNTIF(AN$11:AN$1010,"&gt;"&amp;AN259)+COUNTIF(AN$11:AN259,AN259))</f>
        <v/>
      </c>
      <c r="AP259" s="49">
        <f>IF(OR(A259="",B259=""),"",IF(COUNTIF(B$11:B259,B259)=1,MAX(AP$10:AP258)+1,""))</f>
        <v/>
      </c>
    </row>
    <row r="260" ht="24" customHeight="1">
      <c r="A260" s="20" t="n"/>
      <c r="B260" s="10" t="n"/>
      <c r="C260" s="10" t="n"/>
      <c r="D260" s="10" t="n"/>
      <c r="E260" s="10" t="n"/>
      <c r="F260" s="18" t="n"/>
      <c r="G260" s="10" t="n"/>
      <c r="H260" s="12" t="n"/>
      <c r="I260" s="12" t="n"/>
      <c r="J260" s="13">
        <f>IF(OR(A260="",COUNT(H260)=0,COUNT(Z260)=0),"",ROUND(Z260-H260,2))</f>
        <v/>
      </c>
      <c r="K260" s="15">
        <f>IF(COUNT(J260)=0,"",IF(Z260=0,"n.a.",J260/Z260))</f>
        <v/>
      </c>
      <c r="L260" s="14">
        <f>IF(OR(A260="",COUNT(H260)=0,COUNT(Y260)=0),"",ROUND(H260*(1+Y260),2))</f>
        <v/>
      </c>
      <c r="M260" s="10" t="n"/>
      <c r="N260" s="10" t="n"/>
      <c r="O260" s="10" t="n"/>
      <c r="P260" s="10" t="n"/>
      <c r="Q260" s="20" t="n"/>
      <c r="R260" s="10" t="n"/>
      <c r="S260" s="10" t="n"/>
      <c r="T260" s="18" t="n"/>
      <c r="U260" s="18" t="n"/>
      <c r="V260" s="10" t="n"/>
      <c r="W260" s="10" t="n"/>
      <c r="X260" s="19">
        <f>IF(OR(A260="",COUNT(U260)=0,COUNT(AI260)=0),"",U260+AI260)</f>
        <v/>
      </c>
      <c r="Y260" s="16" t="n"/>
      <c r="Z260" s="12" t="n"/>
      <c r="AA260" s="17">
        <f>IF(COUNT(J260)=0,"",IF(H260=0,"n.a.",J260/H260))</f>
        <v/>
      </c>
      <c r="AB260" s="12" t="n"/>
      <c r="AC260" s="12" t="n"/>
      <c r="AD260" s="12" t="n"/>
      <c r="AE260" s="13">
        <f>IF(OR(COUNT(J260)=0,COUNT(AB260:AD260)&lt;3),"",ROUND(J260-SUM(AB260:AD260),2))</f>
        <v/>
      </c>
      <c r="AF260" s="15">
        <f>IF(COUNT(AE260)=0,"",IF(Z260=0,"n.a.",AE260/Z260))</f>
        <v/>
      </c>
      <c r="AG260" s="12" t="n"/>
      <c r="AH260" s="14">
        <f>IF(OR(A260="",COUNT(Z260)=0,COUNT(AG260)=0),"",ROUND(Z260-AG260,2))</f>
        <v/>
      </c>
      <c r="AI260" s="21" t="n"/>
      <c r="AJ260" s="11">
        <f>IF(A260="","",IF(COUNT(I260)=0,"Enter approved NTE",IF(COUNT(Z260)&gt;0,IF(Z260&gt;I260,"Invoice exceeds NTE","Invoice within NTE"),IF(COUNT(L260)=0,"Enter quote inputs",IF(L260&gt;I260,"Quote exceeds NTE","Quote within NTE")))))</f>
        <v/>
      </c>
      <c r="AK260" s="11">
        <f>IF(A260="","",IF(COUNT(H260)=0,"Enter direct cost",IF(COUNT(Z260)=0,"Enter invoice revenue",IF(COUNT(AB260:AD260)&lt;3,"Enter expenses (0 if none)","Complete"))))</f>
        <v/>
      </c>
      <c r="AL260" s="11">
        <f>IF(A260="","",IF(NOT(AND(COUNT(AH260)=1,N(AH260)&gt;0.004,V260&lt;&gt;"Void",V260&lt;&gt;"Not invoiced",V260&lt;&gt;"Draft")),"",IF(COUNT(X260)=0,"No due date",IF(TODAY()-X260&lt;=0,"Not yet due",IF(TODAY()-X260&lt;=30,"1-30 days",IF(TODAY()-X260&lt;=60,"31-60 days",IF(TODAY()-X260&lt;=90,"61-90 days","Over 90 days")))))))</f>
        <v/>
      </c>
      <c r="AM260" s="49">
        <f>IF(OR(AL260="",AL260="No due date"),"",MAX(TODAY()-X260,0))</f>
        <v/>
      </c>
      <c r="AN260" s="49">
        <f>IF(AL260="","",IF(COUNT(X260)=0,-100000,TODAY()-X260))</f>
        <v/>
      </c>
      <c r="AO260" s="49">
        <f>IF(AN260="","",COUNTIF(AN$11:AN$1010,"&gt;"&amp;AN260)+COUNTIF(AN$11:AN260,AN260))</f>
        <v/>
      </c>
      <c r="AP260" s="49">
        <f>IF(OR(A260="",B260=""),"",IF(COUNTIF(B$11:B260,B260)=1,MAX(AP$10:AP259)+1,""))</f>
        <v/>
      </c>
    </row>
    <row r="261" ht="24" customHeight="1">
      <c r="A261" s="20" t="n"/>
      <c r="B261" s="10" t="n"/>
      <c r="C261" s="10" t="n"/>
      <c r="D261" s="10" t="n"/>
      <c r="E261" s="10" t="n"/>
      <c r="F261" s="18" t="n"/>
      <c r="G261" s="10" t="n"/>
      <c r="H261" s="12" t="n"/>
      <c r="I261" s="12" t="n"/>
      <c r="J261" s="13">
        <f>IF(OR(A261="",COUNT(H261)=0,COUNT(Z261)=0),"",ROUND(Z261-H261,2))</f>
        <v/>
      </c>
      <c r="K261" s="15">
        <f>IF(COUNT(J261)=0,"",IF(Z261=0,"n.a.",J261/Z261))</f>
        <v/>
      </c>
      <c r="L261" s="14">
        <f>IF(OR(A261="",COUNT(H261)=0,COUNT(Y261)=0),"",ROUND(H261*(1+Y261),2))</f>
        <v/>
      </c>
      <c r="M261" s="10" t="n"/>
      <c r="N261" s="10" t="n"/>
      <c r="O261" s="10" t="n"/>
      <c r="P261" s="10" t="n"/>
      <c r="Q261" s="20" t="n"/>
      <c r="R261" s="10" t="n"/>
      <c r="S261" s="10" t="n"/>
      <c r="T261" s="18" t="n"/>
      <c r="U261" s="18" t="n"/>
      <c r="V261" s="10" t="n"/>
      <c r="W261" s="10" t="n"/>
      <c r="X261" s="19">
        <f>IF(OR(A261="",COUNT(U261)=0,COUNT(AI261)=0),"",U261+AI261)</f>
        <v/>
      </c>
      <c r="Y261" s="16" t="n"/>
      <c r="Z261" s="12" t="n"/>
      <c r="AA261" s="17">
        <f>IF(COUNT(J261)=0,"",IF(H261=0,"n.a.",J261/H261))</f>
        <v/>
      </c>
      <c r="AB261" s="12" t="n"/>
      <c r="AC261" s="12" t="n"/>
      <c r="AD261" s="12" t="n"/>
      <c r="AE261" s="13">
        <f>IF(OR(COUNT(J261)=0,COUNT(AB261:AD261)&lt;3),"",ROUND(J261-SUM(AB261:AD261),2))</f>
        <v/>
      </c>
      <c r="AF261" s="15">
        <f>IF(COUNT(AE261)=0,"",IF(Z261=0,"n.a.",AE261/Z261))</f>
        <v/>
      </c>
      <c r="AG261" s="12" t="n"/>
      <c r="AH261" s="14">
        <f>IF(OR(A261="",COUNT(Z261)=0,COUNT(AG261)=0),"",ROUND(Z261-AG261,2))</f>
        <v/>
      </c>
      <c r="AI261" s="21" t="n"/>
      <c r="AJ261" s="11">
        <f>IF(A261="","",IF(COUNT(I261)=0,"Enter approved NTE",IF(COUNT(Z261)&gt;0,IF(Z261&gt;I261,"Invoice exceeds NTE","Invoice within NTE"),IF(COUNT(L261)=0,"Enter quote inputs",IF(L261&gt;I261,"Quote exceeds NTE","Quote within NTE")))))</f>
        <v/>
      </c>
      <c r="AK261" s="11">
        <f>IF(A261="","",IF(COUNT(H261)=0,"Enter direct cost",IF(COUNT(Z261)=0,"Enter invoice revenue",IF(COUNT(AB261:AD261)&lt;3,"Enter expenses (0 if none)","Complete"))))</f>
        <v/>
      </c>
      <c r="AL261" s="11">
        <f>IF(A261="","",IF(NOT(AND(COUNT(AH261)=1,N(AH261)&gt;0.004,V261&lt;&gt;"Void",V261&lt;&gt;"Not invoiced",V261&lt;&gt;"Draft")),"",IF(COUNT(X261)=0,"No due date",IF(TODAY()-X261&lt;=0,"Not yet due",IF(TODAY()-X261&lt;=30,"1-30 days",IF(TODAY()-X261&lt;=60,"31-60 days",IF(TODAY()-X261&lt;=90,"61-90 days","Over 90 days")))))))</f>
        <v/>
      </c>
      <c r="AM261" s="49">
        <f>IF(OR(AL261="",AL261="No due date"),"",MAX(TODAY()-X261,0))</f>
        <v/>
      </c>
      <c r="AN261" s="49">
        <f>IF(AL261="","",IF(COUNT(X261)=0,-100000,TODAY()-X261))</f>
        <v/>
      </c>
      <c r="AO261" s="49">
        <f>IF(AN261="","",COUNTIF(AN$11:AN$1010,"&gt;"&amp;AN261)+COUNTIF(AN$11:AN261,AN261))</f>
        <v/>
      </c>
      <c r="AP261" s="49">
        <f>IF(OR(A261="",B261=""),"",IF(COUNTIF(B$11:B261,B261)=1,MAX(AP$10:AP260)+1,""))</f>
        <v/>
      </c>
    </row>
    <row r="262" ht="24" customHeight="1">
      <c r="A262" s="20" t="n"/>
      <c r="B262" s="10" t="n"/>
      <c r="C262" s="10" t="n"/>
      <c r="D262" s="10" t="n"/>
      <c r="E262" s="10" t="n"/>
      <c r="F262" s="18" t="n"/>
      <c r="G262" s="10" t="n"/>
      <c r="H262" s="12" t="n"/>
      <c r="I262" s="12" t="n"/>
      <c r="J262" s="13">
        <f>IF(OR(A262="",COUNT(H262)=0,COUNT(Z262)=0),"",ROUND(Z262-H262,2))</f>
        <v/>
      </c>
      <c r="K262" s="15">
        <f>IF(COUNT(J262)=0,"",IF(Z262=0,"n.a.",J262/Z262))</f>
        <v/>
      </c>
      <c r="L262" s="14">
        <f>IF(OR(A262="",COUNT(H262)=0,COUNT(Y262)=0),"",ROUND(H262*(1+Y262),2))</f>
        <v/>
      </c>
      <c r="M262" s="10" t="n"/>
      <c r="N262" s="10" t="n"/>
      <c r="O262" s="10" t="n"/>
      <c r="P262" s="10" t="n"/>
      <c r="Q262" s="20" t="n"/>
      <c r="R262" s="10" t="n"/>
      <c r="S262" s="10" t="n"/>
      <c r="T262" s="18" t="n"/>
      <c r="U262" s="18" t="n"/>
      <c r="V262" s="10" t="n"/>
      <c r="W262" s="10" t="n"/>
      <c r="X262" s="19">
        <f>IF(OR(A262="",COUNT(U262)=0,COUNT(AI262)=0),"",U262+AI262)</f>
        <v/>
      </c>
      <c r="Y262" s="16" t="n"/>
      <c r="Z262" s="12" t="n"/>
      <c r="AA262" s="17">
        <f>IF(COUNT(J262)=0,"",IF(H262=0,"n.a.",J262/H262))</f>
        <v/>
      </c>
      <c r="AB262" s="12" t="n"/>
      <c r="AC262" s="12" t="n"/>
      <c r="AD262" s="12" t="n"/>
      <c r="AE262" s="13">
        <f>IF(OR(COUNT(J262)=0,COUNT(AB262:AD262)&lt;3),"",ROUND(J262-SUM(AB262:AD262),2))</f>
        <v/>
      </c>
      <c r="AF262" s="15">
        <f>IF(COUNT(AE262)=0,"",IF(Z262=0,"n.a.",AE262/Z262))</f>
        <v/>
      </c>
      <c r="AG262" s="12" t="n"/>
      <c r="AH262" s="14">
        <f>IF(OR(A262="",COUNT(Z262)=0,COUNT(AG262)=0),"",ROUND(Z262-AG262,2))</f>
        <v/>
      </c>
      <c r="AI262" s="21" t="n"/>
      <c r="AJ262" s="11">
        <f>IF(A262="","",IF(COUNT(I262)=0,"Enter approved NTE",IF(COUNT(Z262)&gt;0,IF(Z262&gt;I262,"Invoice exceeds NTE","Invoice within NTE"),IF(COUNT(L262)=0,"Enter quote inputs",IF(L262&gt;I262,"Quote exceeds NTE","Quote within NTE")))))</f>
        <v/>
      </c>
      <c r="AK262" s="11">
        <f>IF(A262="","",IF(COUNT(H262)=0,"Enter direct cost",IF(COUNT(Z262)=0,"Enter invoice revenue",IF(COUNT(AB262:AD262)&lt;3,"Enter expenses (0 if none)","Complete"))))</f>
        <v/>
      </c>
      <c r="AL262" s="11">
        <f>IF(A262="","",IF(NOT(AND(COUNT(AH262)=1,N(AH262)&gt;0.004,V262&lt;&gt;"Void",V262&lt;&gt;"Not invoiced",V262&lt;&gt;"Draft")),"",IF(COUNT(X262)=0,"No due date",IF(TODAY()-X262&lt;=0,"Not yet due",IF(TODAY()-X262&lt;=30,"1-30 days",IF(TODAY()-X262&lt;=60,"31-60 days",IF(TODAY()-X262&lt;=90,"61-90 days","Over 90 days")))))))</f>
        <v/>
      </c>
      <c r="AM262" s="49">
        <f>IF(OR(AL262="",AL262="No due date"),"",MAX(TODAY()-X262,0))</f>
        <v/>
      </c>
      <c r="AN262" s="49">
        <f>IF(AL262="","",IF(COUNT(X262)=0,-100000,TODAY()-X262))</f>
        <v/>
      </c>
      <c r="AO262" s="49">
        <f>IF(AN262="","",COUNTIF(AN$11:AN$1010,"&gt;"&amp;AN262)+COUNTIF(AN$11:AN262,AN262))</f>
        <v/>
      </c>
      <c r="AP262" s="49">
        <f>IF(OR(A262="",B262=""),"",IF(COUNTIF(B$11:B262,B262)=1,MAX(AP$10:AP261)+1,""))</f>
        <v/>
      </c>
    </row>
    <row r="263" ht="24" customHeight="1">
      <c r="A263" s="20" t="n"/>
      <c r="B263" s="10" t="n"/>
      <c r="C263" s="10" t="n"/>
      <c r="D263" s="10" t="n"/>
      <c r="E263" s="10" t="n"/>
      <c r="F263" s="18" t="n"/>
      <c r="G263" s="10" t="n"/>
      <c r="H263" s="12" t="n"/>
      <c r="I263" s="12" t="n"/>
      <c r="J263" s="13">
        <f>IF(OR(A263="",COUNT(H263)=0,COUNT(Z263)=0),"",ROUND(Z263-H263,2))</f>
        <v/>
      </c>
      <c r="K263" s="15">
        <f>IF(COUNT(J263)=0,"",IF(Z263=0,"n.a.",J263/Z263))</f>
        <v/>
      </c>
      <c r="L263" s="14">
        <f>IF(OR(A263="",COUNT(H263)=0,COUNT(Y263)=0),"",ROUND(H263*(1+Y263),2))</f>
        <v/>
      </c>
      <c r="M263" s="10" t="n"/>
      <c r="N263" s="10" t="n"/>
      <c r="O263" s="10" t="n"/>
      <c r="P263" s="10" t="n"/>
      <c r="Q263" s="20" t="n"/>
      <c r="R263" s="10" t="n"/>
      <c r="S263" s="10" t="n"/>
      <c r="T263" s="18" t="n"/>
      <c r="U263" s="18" t="n"/>
      <c r="V263" s="10" t="n"/>
      <c r="W263" s="10" t="n"/>
      <c r="X263" s="19">
        <f>IF(OR(A263="",COUNT(U263)=0,COUNT(AI263)=0),"",U263+AI263)</f>
        <v/>
      </c>
      <c r="Y263" s="16" t="n"/>
      <c r="Z263" s="12" t="n"/>
      <c r="AA263" s="17">
        <f>IF(COUNT(J263)=0,"",IF(H263=0,"n.a.",J263/H263))</f>
        <v/>
      </c>
      <c r="AB263" s="12" t="n"/>
      <c r="AC263" s="12" t="n"/>
      <c r="AD263" s="12" t="n"/>
      <c r="AE263" s="13">
        <f>IF(OR(COUNT(J263)=0,COUNT(AB263:AD263)&lt;3),"",ROUND(J263-SUM(AB263:AD263),2))</f>
        <v/>
      </c>
      <c r="AF263" s="15">
        <f>IF(COUNT(AE263)=0,"",IF(Z263=0,"n.a.",AE263/Z263))</f>
        <v/>
      </c>
      <c r="AG263" s="12" t="n"/>
      <c r="AH263" s="14">
        <f>IF(OR(A263="",COUNT(Z263)=0,COUNT(AG263)=0),"",ROUND(Z263-AG263,2))</f>
        <v/>
      </c>
      <c r="AI263" s="21" t="n"/>
      <c r="AJ263" s="11">
        <f>IF(A263="","",IF(COUNT(I263)=0,"Enter approved NTE",IF(COUNT(Z263)&gt;0,IF(Z263&gt;I263,"Invoice exceeds NTE","Invoice within NTE"),IF(COUNT(L263)=0,"Enter quote inputs",IF(L263&gt;I263,"Quote exceeds NTE","Quote within NTE")))))</f>
        <v/>
      </c>
      <c r="AK263" s="11">
        <f>IF(A263="","",IF(COUNT(H263)=0,"Enter direct cost",IF(COUNT(Z263)=0,"Enter invoice revenue",IF(COUNT(AB263:AD263)&lt;3,"Enter expenses (0 if none)","Complete"))))</f>
        <v/>
      </c>
      <c r="AL263" s="11">
        <f>IF(A263="","",IF(NOT(AND(COUNT(AH263)=1,N(AH263)&gt;0.004,V263&lt;&gt;"Void",V263&lt;&gt;"Not invoiced",V263&lt;&gt;"Draft")),"",IF(COUNT(X263)=0,"No due date",IF(TODAY()-X263&lt;=0,"Not yet due",IF(TODAY()-X263&lt;=30,"1-30 days",IF(TODAY()-X263&lt;=60,"31-60 days",IF(TODAY()-X263&lt;=90,"61-90 days","Over 90 days")))))))</f>
        <v/>
      </c>
      <c r="AM263" s="49">
        <f>IF(OR(AL263="",AL263="No due date"),"",MAX(TODAY()-X263,0))</f>
        <v/>
      </c>
      <c r="AN263" s="49">
        <f>IF(AL263="","",IF(COUNT(X263)=0,-100000,TODAY()-X263))</f>
        <v/>
      </c>
      <c r="AO263" s="49">
        <f>IF(AN263="","",COUNTIF(AN$11:AN$1010,"&gt;"&amp;AN263)+COUNTIF(AN$11:AN263,AN263))</f>
        <v/>
      </c>
      <c r="AP263" s="49">
        <f>IF(OR(A263="",B263=""),"",IF(COUNTIF(B$11:B263,B263)=1,MAX(AP$10:AP262)+1,""))</f>
        <v/>
      </c>
    </row>
    <row r="264" ht="24" customHeight="1">
      <c r="A264" s="20" t="n"/>
      <c r="B264" s="10" t="n"/>
      <c r="C264" s="10" t="n"/>
      <c r="D264" s="10" t="n"/>
      <c r="E264" s="10" t="n"/>
      <c r="F264" s="18" t="n"/>
      <c r="G264" s="10" t="n"/>
      <c r="H264" s="12" t="n"/>
      <c r="I264" s="12" t="n"/>
      <c r="J264" s="13">
        <f>IF(OR(A264="",COUNT(H264)=0,COUNT(Z264)=0),"",ROUND(Z264-H264,2))</f>
        <v/>
      </c>
      <c r="K264" s="15">
        <f>IF(COUNT(J264)=0,"",IF(Z264=0,"n.a.",J264/Z264))</f>
        <v/>
      </c>
      <c r="L264" s="14">
        <f>IF(OR(A264="",COUNT(H264)=0,COUNT(Y264)=0),"",ROUND(H264*(1+Y264),2))</f>
        <v/>
      </c>
      <c r="M264" s="10" t="n"/>
      <c r="N264" s="10" t="n"/>
      <c r="O264" s="10" t="n"/>
      <c r="P264" s="10" t="n"/>
      <c r="Q264" s="20" t="n"/>
      <c r="R264" s="10" t="n"/>
      <c r="S264" s="10" t="n"/>
      <c r="T264" s="18" t="n"/>
      <c r="U264" s="18" t="n"/>
      <c r="V264" s="10" t="n"/>
      <c r="W264" s="10" t="n"/>
      <c r="X264" s="19">
        <f>IF(OR(A264="",COUNT(U264)=0,COUNT(AI264)=0),"",U264+AI264)</f>
        <v/>
      </c>
      <c r="Y264" s="16" t="n"/>
      <c r="Z264" s="12" t="n"/>
      <c r="AA264" s="17">
        <f>IF(COUNT(J264)=0,"",IF(H264=0,"n.a.",J264/H264))</f>
        <v/>
      </c>
      <c r="AB264" s="12" t="n"/>
      <c r="AC264" s="12" t="n"/>
      <c r="AD264" s="12" t="n"/>
      <c r="AE264" s="13">
        <f>IF(OR(COUNT(J264)=0,COUNT(AB264:AD264)&lt;3),"",ROUND(J264-SUM(AB264:AD264),2))</f>
        <v/>
      </c>
      <c r="AF264" s="15">
        <f>IF(COUNT(AE264)=0,"",IF(Z264=0,"n.a.",AE264/Z264))</f>
        <v/>
      </c>
      <c r="AG264" s="12" t="n"/>
      <c r="AH264" s="14">
        <f>IF(OR(A264="",COUNT(Z264)=0,COUNT(AG264)=0),"",ROUND(Z264-AG264,2))</f>
        <v/>
      </c>
      <c r="AI264" s="21" t="n"/>
      <c r="AJ264" s="11">
        <f>IF(A264="","",IF(COUNT(I264)=0,"Enter approved NTE",IF(COUNT(Z264)&gt;0,IF(Z264&gt;I264,"Invoice exceeds NTE","Invoice within NTE"),IF(COUNT(L264)=0,"Enter quote inputs",IF(L264&gt;I264,"Quote exceeds NTE","Quote within NTE")))))</f>
        <v/>
      </c>
      <c r="AK264" s="11">
        <f>IF(A264="","",IF(COUNT(H264)=0,"Enter direct cost",IF(COUNT(Z264)=0,"Enter invoice revenue",IF(COUNT(AB264:AD264)&lt;3,"Enter expenses (0 if none)","Complete"))))</f>
        <v/>
      </c>
      <c r="AL264" s="11">
        <f>IF(A264="","",IF(NOT(AND(COUNT(AH264)=1,N(AH264)&gt;0.004,V264&lt;&gt;"Void",V264&lt;&gt;"Not invoiced",V264&lt;&gt;"Draft")),"",IF(COUNT(X264)=0,"No due date",IF(TODAY()-X264&lt;=0,"Not yet due",IF(TODAY()-X264&lt;=30,"1-30 days",IF(TODAY()-X264&lt;=60,"31-60 days",IF(TODAY()-X264&lt;=90,"61-90 days","Over 90 days")))))))</f>
        <v/>
      </c>
      <c r="AM264" s="49">
        <f>IF(OR(AL264="",AL264="No due date"),"",MAX(TODAY()-X264,0))</f>
        <v/>
      </c>
      <c r="AN264" s="49">
        <f>IF(AL264="","",IF(COUNT(X264)=0,-100000,TODAY()-X264))</f>
        <v/>
      </c>
      <c r="AO264" s="49">
        <f>IF(AN264="","",COUNTIF(AN$11:AN$1010,"&gt;"&amp;AN264)+COUNTIF(AN$11:AN264,AN264))</f>
        <v/>
      </c>
      <c r="AP264" s="49">
        <f>IF(OR(A264="",B264=""),"",IF(COUNTIF(B$11:B264,B264)=1,MAX(AP$10:AP263)+1,""))</f>
        <v/>
      </c>
    </row>
    <row r="265" ht="24" customHeight="1">
      <c r="A265" s="20" t="n"/>
      <c r="B265" s="10" t="n"/>
      <c r="C265" s="10" t="n"/>
      <c r="D265" s="10" t="n"/>
      <c r="E265" s="10" t="n"/>
      <c r="F265" s="18" t="n"/>
      <c r="G265" s="10" t="n"/>
      <c r="H265" s="12" t="n"/>
      <c r="I265" s="12" t="n"/>
      <c r="J265" s="13">
        <f>IF(OR(A265="",COUNT(H265)=0,COUNT(Z265)=0),"",ROUND(Z265-H265,2))</f>
        <v/>
      </c>
      <c r="K265" s="15">
        <f>IF(COUNT(J265)=0,"",IF(Z265=0,"n.a.",J265/Z265))</f>
        <v/>
      </c>
      <c r="L265" s="14">
        <f>IF(OR(A265="",COUNT(H265)=0,COUNT(Y265)=0),"",ROUND(H265*(1+Y265),2))</f>
        <v/>
      </c>
      <c r="M265" s="10" t="n"/>
      <c r="N265" s="10" t="n"/>
      <c r="O265" s="10" t="n"/>
      <c r="P265" s="10" t="n"/>
      <c r="Q265" s="20" t="n"/>
      <c r="R265" s="10" t="n"/>
      <c r="S265" s="10" t="n"/>
      <c r="T265" s="18" t="n"/>
      <c r="U265" s="18" t="n"/>
      <c r="V265" s="10" t="n"/>
      <c r="W265" s="10" t="n"/>
      <c r="X265" s="19">
        <f>IF(OR(A265="",COUNT(U265)=0,COUNT(AI265)=0),"",U265+AI265)</f>
        <v/>
      </c>
      <c r="Y265" s="16" t="n"/>
      <c r="Z265" s="12" t="n"/>
      <c r="AA265" s="17">
        <f>IF(COUNT(J265)=0,"",IF(H265=0,"n.a.",J265/H265))</f>
        <v/>
      </c>
      <c r="AB265" s="12" t="n"/>
      <c r="AC265" s="12" t="n"/>
      <c r="AD265" s="12" t="n"/>
      <c r="AE265" s="13">
        <f>IF(OR(COUNT(J265)=0,COUNT(AB265:AD265)&lt;3),"",ROUND(J265-SUM(AB265:AD265),2))</f>
        <v/>
      </c>
      <c r="AF265" s="15">
        <f>IF(COUNT(AE265)=0,"",IF(Z265=0,"n.a.",AE265/Z265))</f>
        <v/>
      </c>
      <c r="AG265" s="12" t="n"/>
      <c r="AH265" s="14">
        <f>IF(OR(A265="",COUNT(Z265)=0,COUNT(AG265)=0),"",ROUND(Z265-AG265,2))</f>
        <v/>
      </c>
      <c r="AI265" s="21" t="n"/>
      <c r="AJ265" s="11">
        <f>IF(A265="","",IF(COUNT(I265)=0,"Enter approved NTE",IF(COUNT(Z265)&gt;0,IF(Z265&gt;I265,"Invoice exceeds NTE","Invoice within NTE"),IF(COUNT(L265)=0,"Enter quote inputs",IF(L265&gt;I265,"Quote exceeds NTE","Quote within NTE")))))</f>
        <v/>
      </c>
      <c r="AK265" s="11">
        <f>IF(A265="","",IF(COUNT(H265)=0,"Enter direct cost",IF(COUNT(Z265)=0,"Enter invoice revenue",IF(COUNT(AB265:AD265)&lt;3,"Enter expenses (0 if none)","Complete"))))</f>
        <v/>
      </c>
      <c r="AL265" s="11">
        <f>IF(A265="","",IF(NOT(AND(COUNT(AH265)=1,N(AH265)&gt;0.004,V265&lt;&gt;"Void",V265&lt;&gt;"Not invoiced",V265&lt;&gt;"Draft")),"",IF(COUNT(X265)=0,"No due date",IF(TODAY()-X265&lt;=0,"Not yet due",IF(TODAY()-X265&lt;=30,"1-30 days",IF(TODAY()-X265&lt;=60,"31-60 days",IF(TODAY()-X265&lt;=90,"61-90 days","Over 90 days")))))))</f>
        <v/>
      </c>
      <c r="AM265" s="49">
        <f>IF(OR(AL265="",AL265="No due date"),"",MAX(TODAY()-X265,0))</f>
        <v/>
      </c>
      <c r="AN265" s="49">
        <f>IF(AL265="","",IF(COUNT(X265)=0,-100000,TODAY()-X265))</f>
        <v/>
      </c>
      <c r="AO265" s="49">
        <f>IF(AN265="","",COUNTIF(AN$11:AN$1010,"&gt;"&amp;AN265)+COUNTIF(AN$11:AN265,AN265))</f>
        <v/>
      </c>
      <c r="AP265" s="49">
        <f>IF(OR(A265="",B265=""),"",IF(COUNTIF(B$11:B265,B265)=1,MAX(AP$10:AP264)+1,""))</f>
        <v/>
      </c>
    </row>
    <row r="266" ht="24" customHeight="1">
      <c r="A266" s="20" t="n"/>
      <c r="B266" s="10" t="n"/>
      <c r="C266" s="10" t="n"/>
      <c r="D266" s="10" t="n"/>
      <c r="E266" s="10" t="n"/>
      <c r="F266" s="18" t="n"/>
      <c r="G266" s="10" t="n"/>
      <c r="H266" s="12" t="n"/>
      <c r="I266" s="12" t="n"/>
      <c r="J266" s="13">
        <f>IF(OR(A266="",COUNT(H266)=0,COUNT(Z266)=0),"",ROUND(Z266-H266,2))</f>
        <v/>
      </c>
      <c r="K266" s="15">
        <f>IF(COUNT(J266)=0,"",IF(Z266=0,"n.a.",J266/Z266))</f>
        <v/>
      </c>
      <c r="L266" s="14">
        <f>IF(OR(A266="",COUNT(H266)=0,COUNT(Y266)=0),"",ROUND(H266*(1+Y266),2))</f>
        <v/>
      </c>
      <c r="M266" s="10" t="n"/>
      <c r="N266" s="10" t="n"/>
      <c r="O266" s="10" t="n"/>
      <c r="P266" s="10" t="n"/>
      <c r="Q266" s="20" t="n"/>
      <c r="R266" s="10" t="n"/>
      <c r="S266" s="10" t="n"/>
      <c r="T266" s="18" t="n"/>
      <c r="U266" s="18" t="n"/>
      <c r="V266" s="10" t="n"/>
      <c r="W266" s="10" t="n"/>
      <c r="X266" s="19">
        <f>IF(OR(A266="",COUNT(U266)=0,COUNT(AI266)=0),"",U266+AI266)</f>
        <v/>
      </c>
      <c r="Y266" s="16" t="n"/>
      <c r="Z266" s="12" t="n"/>
      <c r="AA266" s="17">
        <f>IF(COUNT(J266)=0,"",IF(H266=0,"n.a.",J266/H266))</f>
        <v/>
      </c>
      <c r="AB266" s="12" t="n"/>
      <c r="AC266" s="12" t="n"/>
      <c r="AD266" s="12" t="n"/>
      <c r="AE266" s="13">
        <f>IF(OR(COUNT(J266)=0,COUNT(AB266:AD266)&lt;3),"",ROUND(J266-SUM(AB266:AD266),2))</f>
        <v/>
      </c>
      <c r="AF266" s="15">
        <f>IF(COUNT(AE266)=0,"",IF(Z266=0,"n.a.",AE266/Z266))</f>
        <v/>
      </c>
      <c r="AG266" s="12" t="n"/>
      <c r="AH266" s="14">
        <f>IF(OR(A266="",COUNT(Z266)=0,COUNT(AG266)=0),"",ROUND(Z266-AG266,2))</f>
        <v/>
      </c>
      <c r="AI266" s="21" t="n"/>
      <c r="AJ266" s="11">
        <f>IF(A266="","",IF(COUNT(I266)=0,"Enter approved NTE",IF(COUNT(Z266)&gt;0,IF(Z266&gt;I266,"Invoice exceeds NTE","Invoice within NTE"),IF(COUNT(L266)=0,"Enter quote inputs",IF(L266&gt;I266,"Quote exceeds NTE","Quote within NTE")))))</f>
        <v/>
      </c>
      <c r="AK266" s="11">
        <f>IF(A266="","",IF(COUNT(H266)=0,"Enter direct cost",IF(COUNT(Z266)=0,"Enter invoice revenue",IF(COUNT(AB266:AD266)&lt;3,"Enter expenses (0 if none)","Complete"))))</f>
        <v/>
      </c>
      <c r="AL266" s="11">
        <f>IF(A266="","",IF(NOT(AND(COUNT(AH266)=1,N(AH266)&gt;0.004,V266&lt;&gt;"Void",V266&lt;&gt;"Not invoiced",V266&lt;&gt;"Draft")),"",IF(COUNT(X266)=0,"No due date",IF(TODAY()-X266&lt;=0,"Not yet due",IF(TODAY()-X266&lt;=30,"1-30 days",IF(TODAY()-X266&lt;=60,"31-60 days",IF(TODAY()-X266&lt;=90,"61-90 days","Over 90 days")))))))</f>
        <v/>
      </c>
      <c r="AM266" s="49">
        <f>IF(OR(AL266="",AL266="No due date"),"",MAX(TODAY()-X266,0))</f>
        <v/>
      </c>
      <c r="AN266" s="49">
        <f>IF(AL266="","",IF(COUNT(X266)=0,-100000,TODAY()-X266))</f>
        <v/>
      </c>
      <c r="AO266" s="49">
        <f>IF(AN266="","",COUNTIF(AN$11:AN$1010,"&gt;"&amp;AN266)+COUNTIF(AN$11:AN266,AN266))</f>
        <v/>
      </c>
      <c r="AP266" s="49">
        <f>IF(OR(A266="",B266=""),"",IF(COUNTIF(B$11:B266,B266)=1,MAX(AP$10:AP265)+1,""))</f>
        <v/>
      </c>
    </row>
    <row r="267" ht="24" customHeight="1">
      <c r="A267" s="20" t="n"/>
      <c r="B267" s="10" t="n"/>
      <c r="C267" s="10" t="n"/>
      <c r="D267" s="10" t="n"/>
      <c r="E267" s="10" t="n"/>
      <c r="F267" s="18" t="n"/>
      <c r="G267" s="10" t="n"/>
      <c r="H267" s="12" t="n"/>
      <c r="I267" s="12" t="n"/>
      <c r="J267" s="13">
        <f>IF(OR(A267="",COUNT(H267)=0,COUNT(Z267)=0),"",ROUND(Z267-H267,2))</f>
        <v/>
      </c>
      <c r="K267" s="15">
        <f>IF(COUNT(J267)=0,"",IF(Z267=0,"n.a.",J267/Z267))</f>
        <v/>
      </c>
      <c r="L267" s="14">
        <f>IF(OR(A267="",COUNT(H267)=0,COUNT(Y267)=0),"",ROUND(H267*(1+Y267),2))</f>
        <v/>
      </c>
      <c r="M267" s="10" t="n"/>
      <c r="N267" s="10" t="n"/>
      <c r="O267" s="10" t="n"/>
      <c r="P267" s="10" t="n"/>
      <c r="Q267" s="20" t="n"/>
      <c r="R267" s="10" t="n"/>
      <c r="S267" s="10" t="n"/>
      <c r="T267" s="18" t="n"/>
      <c r="U267" s="18" t="n"/>
      <c r="V267" s="10" t="n"/>
      <c r="W267" s="10" t="n"/>
      <c r="X267" s="19">
        <f>IF(OR(A267="",COUNT(U267)=0,COUNT(AI267)=0),"",U267+AI267)</f>
        <v/>
      </c>
      <c r="Y267" s="16" t="n"/>
      <c r="Z267" s="12" t="n"/>
      <c r="AA267" s="17">
        <f>IF(COUNT(J267)=0,"",IF(H267=0,"n.a.",J267/H267))</f>
        <v/>
      </c>
      <c r="AB267" s="12" t="n"/>
      <c r="AC267" s="12" t="n"/>
      <c r="AD267" s="12" t="n"/>
      <c r="AE267" s="13">
        <f>IF(OR(COUNT(J267)=0,COUNT(AB267:AD267)&lt;3),"",ROUND(J267-SUM(AB267:AD267),2))</f>
        <v/>
      </c>
      <c r="AF267" s="15">
        <f>IF(COUNT(AE267)=0,"",IF(Z267=0,"n.a.",AE267/Z267))</f>
        <v/>
      </c>
      <c r="AG267" s="12" t="n"/>
      <c r="AH267" s="14">
        <f>IF(OR(A267="",COUNT(Z267)=0,COUNT(AG267)=0),"",ROUND(Z267-AG267,2))</f>
        <v/>
      </c>
      <c r="AI267" s="21" t="n"/>
      <c r="AJ267" s="11">
        <f>IF(A267="","",IF(COUNT(I267)=0,"Enter approved NTE",IF(COUNT(Z267)&gt;0,IF(Z267&gt;I267,"Invoice exceeds NTE","Invoice within NTE"),IF(COUNT(L267)=0,"Enter quote inputs",IF(L267&gt;I267,"Quote exceeds NTE","Quote within NTE")))))</f>
        <v/>
      </c>
      <c r="AK267" s="11">
        <f>IF(A267="","",IF(COUNT(H267)=0,"Enter direct cost",IF(COUNT(Z267)=0,"Enter invoice revenue",IF(COUNT(AB267:AD267)&lt;3,"Enter expenses (0 if none)","Complete"))))</f>
        <v/>
      </c>
      <c r="AL267" s="11">
        <f>IF(A267="","",IF(NOT(AND(COUNT(AH267)=1,N(AH267)&gt;0.004,V267&lt;&gt;"Void",V267&lt;&gt;"Not invoiced",V267&lt;&gt;"Draft")),"",IF(COUNT(X267)=0,"No due date",IF(TODAY()-X267&lt;=0,"Not yet due",IF(TODAY()-X267&lt;=30,"1-30 days",IF(TODAY()-X267&lt;=60,"31-60 days",IF(TODAY()-X267&lt;=90,"61-90 days","Over 90 days")))))))</f>
        <v/>
      </c>
      <c r="AM267" s="49">
        <f>IF(OR(AL267="",AL267="No due date"),"",MAX(TODAY()-X267,0))</f>
        <v/>
      </c>
      <c r="AN267" s="49">
        <f>IF(AL267="","",IF(COUNT(X267)=0,-100000,TODAY()-X267))</f>
        <v/>
      </c>
      <c r="AO267" s="49">
        <f>IF(AN267="","",COUNTIF(AN$11:AN$1010,"&gt;"&amp;AN267)+COUNTIF(AN$11:AN267,AN267))</f>
        <v/>
      </c>
      <c r="AP267" s="49">
        <f>IF(OR(A267="",B267=""),"",IF(COUNTIF(B$11:B267,B267)=1,MAX(AP$10:AP266)+1,""))</f>
        <v/>
      </c>
    </row>
    <row r="268" ht="24" customHeight="1">
      <c r="A268" s="20" t="n"/>
      <c r="B268" s="10" t="n"/>
      <c r="C268" s="10" t="n"/>
      <c r="D268" s="10" t="n"/>
      <c r="E268" s="10" t="n"/>
      <c r="F268" s="18" t="n"/>
      <c r="G268" s="10" t="n"/>
      <c r="H268" s="12" t="n"/>
      <c r="I268" s="12" t="n"/>
      <c r="J268" s="13">
        <f>IF(OR(A268="",COUNT(H268)=0,COUNT(Z268)=0),"",ROUND(Z268-H268,2))</f>
        <v/>
      </c>
      <c r="K268" s="15">
        <f>IF(COUNT(J268)=0,"",IF(Z268=0,"n.a.",J268/Z268))</f>
        <v/>
      </c>
      <c r="L268" s="14">
        <f>IF(OR(A268="",COUNT(H268)=0,COUNT(Y268)=0),"",ROUND(H268*(1+Y268),2))</f>
        <v/>
      </c>
      <c r="M268" s="10" t="n"/>
      <c r="N268" s="10" t="n"/>
      <c r="O268" s="10" t="n"/>
      <c r="P268" s="10" t="n"/>
      <c r="Q268" s="20" t="n"/>
      <c r="R268" s="10" t="n"/>
      <c r="S268" s="10" t="n"/>
      <c r="T268" s="18" t="n"/>
      <c r="U268" s="18" t="n"/>
      <c r="V268" s="10" t="n"/>
      <c r="W268" s="10" t="n"/>
      <c r="X268" s="19">
        <f>IF(OR(A268="",COUNT(U268)=0,COUNT(AI268)=0),"",U268+AI268)</f>
        <v/>
      </c>
      <c r="Y268" s="16" t="n"/>
      <c r="Z268" s="12" t="n"/>
      <c r="AA268" s="17">
        <f>IF(COUNT(J268)=0,"",IF(H268=0,"n.a.",J268/H268))</f>
        <v/>
      </c>
      <c r="AB268" s="12" t="n"/>
      <c r="AC268" s="12" t="n"/>
      <c r="AD268" s="12" t="n"/>
      <c r="AE268" s="13">
        <f>IF(OR(COUNT(J268)=0,COUNT(AB268:AD268)&lt;3),"",ROUND(J268-SUM(AB268:AD268),2))</f>
        <v/>
      </c>
      <c r="AF268" s="15">
        <f>IF(COUNT(AE268)=0,"",IF(Z268=0,"n.a.",AE268/Z268))</f>
        <v/>
      </c>
      <c r="AG268" s="12" t="n"/>
      <c r="AH268" s="14">
        <f>IF(OR(A268="",COUNT(Z268)=0,COUNT(AG268)=0),"",ROUND(Z268-AG268,2))</f>
        <v/>
      </c>
      <c r="AI268" s="21" t="n"/>
      <c r="AJ268" s="11">
        <f>IF(A268="","",IF(COUNT(I268)=0,"Enter approved NTE",IF(COUNT(Z268)&gt;0,IF(Z268&gt;I268,"Invoice exceeds NTE","Invoice within NTE"),IF(COUNT(L268)=0,"Enter quote inputs",IF(L268&gt;I268,"Quote exceeds NTE","Quote within NTE")))))</f>
        <v/>
      </c>
      <c r="AK268" s="11">
        <f>IF(A268="","",IF(COUNT(H268)=0,"Enter direct cost",IF(COUNT(Z268)=0,"Enter invoice revenue",IF(COUNT(AB268:AD268)&lt;3,"Enter expenses (0 if none)","Complete"))))</f>
        <v/>
      </c>
      <c r="AL268" s="11">
        <f>IF(A268="","",IF(NOT(AND(COUNT(AH268)=1,N(AH268)&gt;0.004,V268&lt;&gt;"Void",V268&lt;&gt;"Not invoiced",V268&lt;&gt;"Draft")),"",IF(COUNT(X268)=0,"No due date",IF(TODAY()-X268&lt;=0,"Not yet due",IF(TODAY()-X268&lt;=30,"1-30 days",IF(TODAY()-X268&lt;=60,"31-60 days",IF(TODAY()-X268&lt;=90,"61-90 days","Over 90 days")))))))</f>
        <v/>
      </c>
      <c r="AM268" s="49">
        <f>IF(OR(AL268="",AL268="No due date"),"",MAX(TODAY()-X268,0))</f>
        <v/>
      </c>
      <c r="AN268" s="49">
        <f>IF(AL268="","",IF(COUNT(X268)=0,-100000,TODAY()-X268))</f>
        <v/>
      </c>
      <c r="AO268" s="49">
        <f>IF(AN268="","",COUNTIF(AN$11:AN$1010,"&gt;"&amp;AN268)+COUNTIF(AN$11:AN268,AN268))</f>
        <v/>
      </c>
      <c r="AP268" s="49">
        <f>IF(OR(A268="",B268=""),"",IF(COUNTIF(B$11:B268,B268)=1,MAX(AP$10:AP267)+1,""))</f>
        <v/>
      </c>
    </row>
    <row r="269" ht="24" customHeight="1">
      <c r="A269" s="20" t="n"/>
      <c r="B269" s="10" t="n"/>
      <c r="C269" s="10" t="n"/>
      <c r="D269" s="10" t="n"/>
      <c r="E269" s="10" t="n"/>
      <c r="F269" s="18" t="n"/>
      <c r="G269" s="10" t="n"/>
      <c r="H269" s="12" t="n"/>
      <c r="I269" s="12" t="n"/>
      <c r="J269" s="13">
        <f>IF(OR(A269="",COUNT(H269)=0,COUNT(Z269)=0),"",ROUND(Z269-H269,2))</f>
        <v/>
      </c>
      <c r="K269" s="15">
        <f>IF(COUNT(J269)=0,"",IF(Z269=0,"n.a.",J269/Z269))</f>
        <v/>
      </c>
      <c r="L269" s="14">
        <f>IF(OR(A269="",COUNT(H269)=0,COUNT(Y269)=0),"",ROUND(H269*(1+Y269),2))</f>
        <v/>
      </c>
      <c r="M269" s="10" t="n"/>
      <c r="N269" s="10" t="n"/>
      <c r="O269" s="10" t="n"/>
      <c r="P269" s="10" t="n"/>
      <c r="Q269" s="20" t="n"/>
      <c r="R269" s="10" t="n"/>
      <c r="S269" s="10" t="n"/>
      <c r="T269" s="18" t="n"/>
      <c r="U269" s="18" t="n"/>
      <c r="V269" s="10" t="n"/>
      <c r="W269" s="10" t="n"/>
      <c r="X269" s="19">
        <f>IF(OR(A269="",COUNT(U269)=0,COUNT(AI269)=0),"",U269+AI269)</f>
        <v/>
      </c>
      <c r="Y269" s="16" t="n"/>
      <c r="Z269" s="12" t="n"/>
      <c r="AA269" s="17">
        <f>IF(COUNT(J269)=0,"",IF(H269=0,"n.a.",J269/H269))</f>
        <v/>
      </c>
      <c r="AB269" s="12" t="n"/>
      <c r="AC269" s="12" t="n"/>
      <c r="AD269" s="12" t="n"/>
      <c r="AE269" s="13">
        <f>IF(OR(COUNT(J269)=0,COUNT(AB269:AD269)&lt;3),"",ROUND(J269-SUM(AB269:AD269),2))</f>
        <v/>
      </c>
      <c r="AF269" s="15">
        <f>IF(COUNT(AE269)=0,"",IF(Z269=0,"n.a.",AE269/Z269))</f>
        <v/>
      </c>
      <c r="AG269" s="12" t="n"/>
      <c r="AH269" s="14">
        <f>IF(OR(A269="",COUNT(Z269)=0,COUNT(AG269)=0),"",ROUND(Z269-AG269,2))</f>
        <v/>
      </c>
      <c r="AI269" s="21" t="n"/>
      <c r="AJ269" s="11">
        <f>IF(A269="","",IF(COUNT(I269)=0,"Enter approved NTE",IF(COUNT(Z269)&gt;0,IF(Z269&gt;I269,"Invoice exceeds NTE","Invoice within NTE"),IF(COUNT(L269)=0,"Enter quote inputs",IF(L269&gt;I269,"Quote exceeds NTE","Quote within NTE")))))</f>
        <v/>
      </c>
      <c r="AK269" s="11">
        <f>IF(A269="","",IF(COUNT(H269)=0,"Enter direct cost",IF(COUNT(Z269)=0,"Enter invoice revenue",IF(COUNT(AB269:AD269)&lt;3,"Enter expenses (0 if none)","Complete"))))</f>
        <v/>
      </c>
      <c r="AL269" s="11">
        <f>IF(A269="","",IF(NOT(AND(COUNT(AH269)=1,N(AH269)&gt;0.004,V269&lt;&gt;"Void",V269&lt;&gt;"Not invoiced",V269&lt;&gt;"Draft")),"",IF(COUNT(X269)=0,"No due date",IF(TODAY()-X269&lt;=0,"Not yet due",IF(TODAY()-X269&lt;=30,"1-30 days",IF(TODAY()-X269&lt;=60,"31-60 days",IF(TODAY()-X269&lt;=90,"61-90 days","Over 90 days")))))))</f>
        <v/>
      </c>
      <c r="AM269" s="49">
        <f>IF(OR(AL269="",AL269="No due date"),"",MAX(TODAY()-X269,0))</f>
        <v/>
      </c>
      <c r="AN269" s="49">
        <f>IF(AL269="","",IF(COUNT(X269)=0,-100000,TODAY()-X269))</f>
        <v/>
      </c>
      <c r="AO269" s="49">
        <f>IF(AN269="","",COUNTIF(AN$11:AN$1010,"&gt;"&amp;AN269)+COUNTIF(AN$11:AN269,AN269))</f>
        <v/>
      </c>
      <c r="AP269" s="49">
        <f>IF(OR(A269="",B269=""),"",IF(COUNTIF(B$11:B269,B269)=1,MAX(AP$10:AP268)+1,""))</f>
        <v/>
      </c>
    </row>
    <row r="270" ht="24" customHeight="1">
      <c r="A270" s="20" t="n"/>
      <c r="B270" s="10" t="n"/>
      <c r="C270" s="10" t="n"/>
      <c r="D270" s="10" t="n"/>
      <c r="E270" s="10" t="n"/>
      <c r="F270" s="18" t="n"/>
      <c r="G270" s="10" t="n"/>
      <c r="H270" s="12" t="n"/>
      <c r="I270" s="12" t="n"/>
      <c r="J270" s="13">
        <f>IF(OR(A270="",COUNT(H270)=0,COUNT(Z270)=0),"",ROUND(Z270-H270,2))</f>
        <v/>
      </c>
      <c r="K270" s="15">
        <f>IF(COUNT(J270)=0,"",IF(Z270=0,"n.a.",J270/Z270))</f>
        <v/>
      </c>
      <c r="L270" s="14">
        <f>IF(OR(A270="",COUNT(H270)=0,COUNT(Y270)=0),"",ROUND(H270*(1+Y270),2))</f>
        <v/>
      </c>
      <c r="M270" s="10" t="n"/>
      <c r="N270" s="10" t="n"/>
      <c r="O270" s="10" t="n"/>
      <c r="P270" s="10" t="n"/>
      <c r="Q270" s="20" t="n"/>
      <c r="R270" s="10" t="n"/>
      <c r="S270" s="10" t="n"/>
      <c r="T270" s="18" t="n"/>
      <c r="U270" s="18" t="n"/>
      <c r="V270" s="10" t="n"/>
      <c r="W270" s="10" t="n"/>
      <c r="X270" s="19">
        <f>IF(OR(A270="",COUNT(U270)=0,COUNT(AI270)=0),"",U270+AI270)</f>
        <v/>
      </c>
      <c r="Y270" s="16" t="n"/>
      <c r="Z270" s="12" t="n"/>
      <c r="AA270" s="17">
        <f>IF(COUNT(J270)=0,"",IF(H270=0,"n.a.",J270/H270))</f>
        <v/>
      </c>
      <c r="AB270" s="12" t="n"/>
      <c r="AC270" s="12" t="n"/>
      <c r="AD270" s="12" t="n"/>
      <c r="AE270" s="13">
        <f>IF(OR(COUNT(J270)=0,COUNT(AB270:AD270)&lt;3),"",ROUND(J270-SUM(AB270:AD270),2))</f>
        <v/>
      </c>
      <c r="AF270" s="15">
        <f>IF(COUNT(AE270)=0,"",IF(Z270=0,"n.a.",AE270/Z270))</f>
        <v/>
      </c>
      <c r="AG270" s="12" t="n"/>
      <c r="AH270" s="14">
        <f>IF(OR(A270="",COUNT(Z270)=0,COUNT(AG270)=0),"",ROUND(Z270-AG270,2))</f>
        <v/>
      </c>
      <c r="AI270" s="21" t="n"/>
      <c r="AJ270" s="11">
        <f>IF(A270="","",IF(COUNT(I270)=0,"Enter approved NTE",IF(COUNT(Z270)&gt;0,IF(Z270&gt;I270,"Invoice exceeds NTE","Invoice within NTE"),IF(COUNT(L270)=0,"Enter quote inputs",IF(L270&gt;I270,"Quote exceeds NTE","Quote within NTE")))))</f>
        <v/>
      </c>
      <c r="AK270" s="11">
        <f>IF(A270="","",IF(COUNT(H270)=0,"Enter direct cost",IF(COUNT(Z270)=0,"Enter invoice revenue",IF(COUNT(AB270:AD270)&lt;3,"Enter expenses (0 if none)","Complete"))))</f>
        <v/>
      </c>
      <c r="AL270" s="11">
        <f>IF(A270="","",IF(NOT(AND(COUNT(AH270)=1,N(AH270)&gt;0.004,V270&lt;&gt;"Void",V270&lt;&gt;"Not invoiced",V270&lt;&gt;"Draft")),"",IF(COUNT(X270)=0,"No due date",IF(TODAY()-X270&lt;=0,"Not yet due",IF(TODAY()-X270&lt;=30,"1-30 days",IF(TODAY()-X270&lt;=60,"31-60 days",IF(TODAY()-X270&lt;=90,"61-90 days","Over 90 days")))))))</f>
        <v/>
      </c>
      <c r="AM270" s="49">
        <f>IF(OR(AL270="",AL270="No due date"),"",MAX(TODAY()-X270,0))</f>
        <v/>
      </c>
      <c r="AN270" s="49">
        <f>IF(AL270="","",IF(COUNT(X270)=0,-100000,TODAY()-X270))</f>
        <v/>
      </c>
      <c r="AO270" s="49">
        <f>IF(AN270="","",COUNTIF(AN$11:AN$1010,"&gt;"&amp;AN270)+COUNTIF(AN$11:AN270,AN270))</f>
        <v/>
      </c>
      <c r="AP270" s="49">
        <f>IF(OR(A270="",B270=""),"",IF(COUNTIF(B$11:B270,B270)=1,MAX(AP$10:AP269)+1,""))</f>
        <v/>
      </c>
    </row>
    <row r="271" ht="24" customHeight="1">
      <c r="A271" s="20" t="n"/>
      <c r="B271" s="10" t="n"/>
      <c r="C271" s="10" t="n"/>
      <c r="D271" s="10" t="n"/>
      <c r="E271" s="10" t="n"/>
      <c r="F271" s="18" t="n"/>
      <c r="G271" s="10" t="n"/>
      <c r="H271" s="12" t="n"/>
      <c r="I271" s="12" t="n"/>
      <c r="J271" s="13">
        <f>IF(OR(A271="",COUNT(H271)=0,COUNT(Z271)=0),"",ROUND(Z271-H271,2))</f>
        <v/>
      </c>
      <c r="K271" s="15">
        <f>IF(COUNT(J271)=0,"",IF(Z271=0,"n.a.",J271/Z271))</f>
        <v/>
      </c>
      <c r="L271" s="14">
        <f>IF(OR(A271="",COUNT(H271)=0,COUNT(Y271)=0),"",ROUND(H271*(1+Y271),2))</f>
        <v/>
      </c>
      <c r="M271" s="10" t="n"/>
      <c r="N271" s="10" t="n"/>
      <c r="O271" s="10" t="n"/>
      <c r="P271" s="10" t="n"/>
      <c r="Q271" s="20" t="n"/>
      <c r="R271" s="10" t="n"/>
      <c r="S271" s="10" t="n"/>
      <c r="T271" s="18" t="n"/>
      <c r="U271" s="18" t="n"/>
      <c r="V271" s="10" t="n"/>
      <c r="W271" s="10" t="n"/>
      <c r="X271" s="19">
        <f>IF(OR(A271="",COUNT(U271)=0,COUNT(AI271)=0),"",U271+AI271)</f>
        <v/>
      </c>
      <c r="Y271" s="16" t="n"/>
      <c r="Z271" s="12" t="n"/>
      <c r="AA271" s="17">
        <f>IF(COUNT(J271)=0,"",IF(H271=0,"n.a.",J271/H271))</f>
        <v/>
      </c>
      <c r="AB271" s="12" t="n"/>
      <c r="AC271" s="12" t="n"/>
      <c r="AD271" s="12" t="n"/>
      <c r="AE271" s="13">
        <f>IF(OR(COUNT(J271)=0,COUNT(AB271:AD271)&lt;3),"",ROUND(J271-SUM(AB271:AD271),2))</f>
        <v/>
      </c>
      <c r="AF271" s="15">
        <f>IF(COUNT(AE271)=0,"",IF(Z271=0,"n.a.",AE271/Z271))</f>
        <v/>
      </c>
      <c r="AG271" s="12" t="n"/>
      <c r="AH271" s="14">
        <f>IF(OR(A271="",COUNT(Z271)=0,COUNT(AG271)=0),"",ROUND(Z271-AG271,2))</f>
        <v/>
      </c>
      <c r="AI271" s="21" t="n"/>
      <c r="AJ271" s="11">
        <f>IF(A271="","",IF(COUNT(I271)=0,"Enter approved NTE",IF(COUNT(Z271)&gt;0,IF(Z271&gt;I271,"Invoice exceeds NTE","Invoice within NTE"),IF(COUNT(L271)=0,"Enter quote inputs",IF(L271&gt;I271,"Quote exceeds NTE","Quote within NTE")))))</f>
        <v/>
      </c>
      <c r="AK271" s="11">
        <f>IF(A271="","",IF(COUNT(H271)=0,"Enter direct cost",IF(COUNT(Z271)=0,"Enter invoice revenue",IF(COUNT(AB271:AD271)&lt;3,"Enter expenses (0 if none)","Complete"))))</f>
        <v/>
      </c>
      <c r="AL271" s="11">
        <f>IF(A271="","",IF(NOT(AND(COUNT(AH271)=1,N(AH271)&gt;0.004,V271&lt;&gt;"Void",V271&lt;&gt;"Not invoiced",V271&lt;&gt;"Draft")),"",IF(COUNT(X271)=0,"No due date",IF(TODAY()-X271&lt;=0,"Not yet due",IF(TODAY()-X271&lt;=30,"1-30 days",IF(TODAY()-X271&lt;=60,"31-60 days",IF(TODAY()-X271&lt;=90,"61-90 days","Over 90 days")))))))</f>
        <v/>
      </c>
      <c r="AM271" s="49">
        <f>IF(OR(AL271="",AL271="No due date"),"",MAX(TODAY()-X271,0))</f>
        <v/>
      </c>
      <c r="AN271" s="49">
        <f>IF(AL271="","",IF(COUNT(X271)=0,-100000,TODAY()-X271))</f>
        <v/>
      </c>
      <c r="AO271" s="49">
        <f>IF(AN271="","",COUNTIF(AN$11:AN$1010,"&gt;"&amp;AN271)+COUNTIF(AN$11:AN271,AN271))</f>
        <v/>
      </c>
      <c r="AP271" s="49">
        <f>IF(OR(A271="",B271=""),"",IF(COUNTIF(B$11:B271,B271)=1,MAX(AP$10:AP270)+1,""))</f>
        <v/>
      </c>
    </row>
    <row r="272" ht="24" customHeight="1">
      <c r="A272" s="20" t="n"/>
      <c r="B272" s="10" t="n"/>
      <c r="C272" s="10" t="n"/>
      <c r="D272" s="10" t="n"/>
      <c r="E272" s="10" t="n"/>
      <c r="F272" s="18" t="n"/>
      <c r="G272" s="10" t="n"/>
      <c r="H272" s="12" t="n"/>
      <c r="I272" s="12" t="n"/>
      <c r="J272" s="13">
        <f>IF(OR(A272="",COUNT(H272)=0,COUNT(Z272)=0),"",ROUND(Z272-H272,2))</f>
        <v/>
      </c>
      <c r="K272" s="15">
        <f>IF(COUNT(J272)=0,"",IF(Z272=0,"n.a.",J272/Z272))</f>
        <v/>
      </c>
      <c r="L272" s="14">
        <f>IF(OR(A272="",COUNT(H272)=0,COUNT(Y272)=0),"",ROUND(H272*(1+Y272),2))</f>
        <v/>
      </c>
      <c r="M272" s="10" t="n"/>
      <c r="N272" s="10" t="n"/>
      <c r="O272" s="10" t="n"/>
      <c r="P272" s="10" t="n"/>
      <c r="Q272" s="20" t="n"/>
      <c r="R272" s="10" t="n"/>
      <c r="S272" s="10" t="n"/>
      <c r="T272" s="18" t="n"/>
      <c r="U272" s="18" t="n"/>
      <c r="V272" s="10" t="n"/>
      <c r="W272" s="10" t="n"/>
      <c r="X272" s="19">
        <f>IF(OR(A272="",COUNT(U272)=0,COUNT(AI272)=0),"",U272+AI272)</f>
        <v/>
      </c>
      <c r="Y272" s="16" t="n"/>
      <c r="Z272" s="12" t="n"/>
      <c r="AA272" s="17">
        <f>IF(COUNT(J272)=0,"",IF(H272=0,"n.a.",J272/H272))</f>
        <v/>
      </c>
      <c r="AB272" s="12" t="n"/>
      <c r="AC272" s="12" t="n"/>
      <c r="AD272" s="12" t="n"/>
      <c r="AE272" s="13">
        <f>IF(OR(COUNT(J272)=0,COUNT(AB272:AD272)&lt;3),"",ROUND(J272-SUM(AB272:AD272),2))</f>
        <v/>
      </c>
      <c r="AF272" s="15">
        <f>IF(COUNT(AE272)=0,"",IF(Z272=0,"n.a.",AE272/Z272))</f>
        <v/>
      </c>
      <c r="AG272" s="12" t="n"/>
      <c r="AH272" s="14">
        <f>IF(OR(A272="",COUNT(Z272)=0,COUNT(AG272)=0),"",ROUND(Z272-AG272,2))</f>
        <v/>
      </c>
      <c r="AI272" s="21" t="n"/>
      <c r="AJ272" s="11">
        <f>IF(A272="","",IF(COUNT(I272)=0,"Enter approved NTE",IF(COUNT(Z272)&gt;0,IF(Z272&gt;I272,"Invoice exceeds NTE","Invoice within NTE"),IF(COUNT(L272)=0,"Enter quote inputs",IF(L272&gt;I272,"Quote exceeds NTE","Quote within NTE")))))</f>
        <v/>
      </c>
      <c r="AK272" s="11">
        <f>IF(A272="","",IF(COUNT(H272)=0,"Enter direct cost",IF(COUNT(Z272)=0,"Enter invoice revenue",IF(COUNT(AB272:AD272)&lt;3,"Enter expenses (0 if none)","Complete"))))</f>
        <v/>
      </c>
      <c r="AL272" s="11">
        <f>IF(A272="","",IF(NOT(AND(COUNT(AH272)=1,N(AH272)&gt;0.004,V272&lt;&gt;"Void",V272&lt;&gt;"Not invoiced",V272&lt;&gt;"Draft")),"",IF(COUNT(X272)=0,"No due date",IF(TODAY()-X272&lt;=0,"Not yet due",IF(TODAY()-X272&lt;=30,"1-30 days",IF(TODAY()-X272&lt;=60,"31-60 days",IF(TODAY()-X272&lt;=90,"61-90 days","Over 90 days")))))))</f>
        <v/>
      </c>
      <c r="AM272" s="49">
        <f>IF(OR(AL272="",AL272="No due date"),"",MAX(TODAY()-X272,0))</f>
        <v/>
      </c>
      <c r="AN272" s="49">
        <f>IF(AL272="","",IF(COUNT(X272)=0,-100000,TODAY()-X272))</f>
        <v/>
      </c>
      <c r="AO272" s="49">
        <f>IF(AN272="","",COUNTIF(AN$11:AN$1010,"&gt;"&amp;AN272)+COUNTIF(AN$11:AN272,AN272))</f>
        <v/>
      </c>
      <c r="AP272" s="49">
        <f>IF(OR(A272="",B272=""),"",IF(COUNTIF(B$11:B272,B272)=1,MAX(AP$10:AP271)+1,""))</f>
        <v/>
      </c>
    </row>
    <row r="273" ht="24" customHeight="1">
      <c r="A273" s="20" t="n"/>
      <c r="B273" s="10" t="n"/>
      <c r="C273" s="10" t="n"/>
      <c r="D273" s="10" t="n"/>
      <c r="E273" s="10" t="n"/>
      <c r="F273" s="18" t="n"/>
      <c r="G273" s="10" t="n"/>
      <c r="H273" s="12" t="n"/>
      <c r="I273" s="12" t="n"/>
      <c r="J273" s="13">
        <f>IF(OR(A273="",COUNT(H273)=0,COUNT(Z273)=0),"",ROUND(Z273-H273,2))</f>
        <v/>
      </c>
      <c r="K273" s="15">
        <f>IF(COUNT(J273)=0,"",IF(Z273=0,"n.a.",J273/Z273))</f>
        <v/>
      </c>
      <c r="L273" s="14">
        <f>IF(OR(A273="",COUNT(H273)=0,COUNT(Y273)=0),"",ROUND(H273*(1+Y273),2))</f>
        <v/>
      </c>
      <c r="M273" s="10" t="n"/>
      <c r="N273" s="10" t="n"/>
      <c r="O273" s="10" t="n"/>
      <c r="P273" s="10" t="n"/>
      <c r="Q273" s="20" t="n"/>
      <c r="R273" s="10" t="n"/>
      <c r="S273" s="10" t="n"/>
      <c r="T273" s="18" t="n"/>
      <c r="U273" s="18" t="n"/>
      <c r="V273" s="10" t="n"/>
      <c r="W273" s="10" t="n"/>
      <c r="X273" s="19">
        <f>IF(OR(A273="",COUNT(U273)=0,COUNT(AI273)=0),"",U273+AI273)</f>
        <v/>
      </c>
      <c r="Y273" s="16" t="n"/>
      <c r="Z273" s="12" t="n"/>
      <c r="AA273" s="17">
        <f>IF(COUNT(J273)=0,"",IF(H273=0,"n.a.",J273/H273))</f>
        <v/>
      </c>
      <c r="AB273" s="12" t="n"/>
      <c r="AC273" s="12" t="n"/>
      <c r="AD273" s="12" t="n"/>
      <c r="AE273" s="13">
        <f>IF(OR(COUNT(J273)=0,COUNT(AB273:AD273)&lt;3),"",ROUND(J273-SUM(AB273:AD273),2))</f>
        <v/>
      </c>
      <c r="AF273" s="15">
        <f>IF(COUNT(AE273)=0,"",IF(Z273=0,"n.a.",AE273/Z273))</f>
        <v/>
      </c>
      <c r="AG273" s="12" t="n"/>
      <c r="AH273" s="14">
        <f>IF(OR(A273="",COUNT(Z273)=0,COUNT(AG273)=0),"",ROUND(Z273-AG273,2))</f>
        <v/>
      </c>
      <c r="AI273" s="21" t="n"/>
      <c r="AJ273" s="11">
        <f>IF(A273="","",IF(COUNT(I273)=0,"Enter approved NTE",IF(COUNT(Z273)&gt;0,IF(Z273&gt;I273,"Invoice exceeds NTE","Invoice within NTE"),IF(COUNT(L273)=0,"Enter quote inputs",IF(L273&gt;I273,"Quote exceeds NTE","Quote within NTE")))))</f>
        <v/>
      </c>
      <c r="AK273" s="11">
        <f>IF(A273="","",IF(COUNT(H273)=0,"Enter direct cost",IF(COUNT(Z273)=0,"Enter invoice revenue",IF(COUNT(AB273:AD273)&lt;3,"Enter expenses (0 if none)","Complete"))))</f>
        <v/>
      </c>
      <c r="AL273" s="11">
        <f>IF(A273="","",IF(NOT(AND(COUNT(AH273)=1,N(AH273)&gt;0.004,V273&lt;&gt;"Void",V273&lt;&gt;"Not invoiced",V273&lt;&gt;"Draft")),"",IF(COUNT(X273)=0,"No due date",IF(TODAY()-X273&lt;=0,"Not yet due",IF(TODAY()-X273&lt;=30,"1-30 days",IF(TODAY()-X273&lt;=60,"31-60 days",IF(TODAY()-X273&lt;=90,"61-90 days","Over 90 days")))))))</f>
        <v/>
      </c>
      <c r="AM273" s="49">
        <f>IF(OR(AL273="",AL273="No due date"),"",MAX(TODAY()-X273,0))</f>
        <v/>
      </c>
      <c r="AN273" s="49">
        <f>IF(AL273="","",IF(COUNT(X273)=0,-100000,TODAY()-X273))</f>
        <v/>
      </c>
      <c r="AO273" s="49">
        <f>IF(AN273="","",COUNTIF(AN$11:AN$1010,"&gt;"&amp;AN273)+COUNTIF(AN$11:AN273,AN273))</f>
        <v/>
      </c>
      <c r="AP273" s="49">
        <f>IF(OR(A273="",B273=""),"",IF(COUNTIF(B$11:B273,B273)=1,MAX(AP$10:AP272)+1,""))</f>
        <v/>
      </c>
    </row>
    <row r="274" ht="24" customHeight="1">
      <c r="A274" s="20" t="n"/>
      <c r="B274" s="10" t="n"/>
      <c r="C274" s="10" t="n"/>
      <c r="D274" s="10" t="n"/>
      <c r="E274" s="10" t="n"/>
      <c r="F274" s="18" t="n"/>
      <c r="G274" s="10" t="n"/>
      <c r="H274" s="12" t="n"/>
      <c r="I274" s="12" t="n"/>
      <c r="J274" s="13">
        <f>IF(OR(A274="",COUNT(H274)=0,COUNT(Z274)=0),"",ROUND(Z274-H274,2))</f>
        <v/>
      </c>
      <c r="K274" s="15">
        <f>IF(COUNT(J274)=0,"",IF(Z274=0,"n.a.",J274/Z274))</f>
        <v/>
      </c>
      <c r="L274" s="14">
        <f>IF(OR(A274="",COUNT(H274)=0,COUNT(Y274)=0),"",ROUND(H274*(1+Y274),2))</f>
        <v/>
      </c>
      <c r="M274" s="10" t="n"/>
      <c r="N274" s="10" t="n"/>
      <c r="O274" s="10" t="n"/>
      <c r="P274" s="10" t="n"/>
      <c r="Q274" s="20" t="n"/>
      <c r="R274" s="10" t="n"/>
      <c r="S274" s="10" t="n"/>
      <c r="T274" s="18" t="n"/>
      <c r="U274" s="18" t="n"/>
      <c r="V274" s="10" t="n"/>
      <c r="W274" s="10" t="n"/>
      <c r="X274" s="19">
        <f>IF(OR(A274="",COUNT(U274)=0,COUNT(AI274)=0),"",U274+AI274)</f>
        <v/>
      </c>
      <c r="Y274" s="16" t="n"/>
      <c r="Z274" s="12" t="n"/>
      <c r="AA274" s="17">
        <f>IF(COUNT(J274)=0,"",IF(H274=0,"n.a.",J274/H274))</f>
        <v/>
      </c>
      <c r="AB274" s="12" t="n"/>
      <c r="AC274" s="12" t="n"/>
      <c r="AD274" s="12" t="n"/>
      <c r="AE274" s="13">
        <f>IF(OR(COUNT(J274)=0,COUNT(AB274:AD274)&lt;3),"",ROUND(J274-SUM(AB274:AD274),2))</f>
        <v/>
      </c>
      <c r="AF274" s="15">
        <f>IF(COUNT(AE274)=0,"",IF(Z274=0,"n.a.",AE274/Z274))</f>
        <v/>
      </c>
      <c r="AG274" s="12" t="n"/>
      <c r="AH274" s="14">
        <f>IF(OR(A274="",COUNT(Z274)=0,COUNT(AG274)=0),"",ROUND(Z274-AG274,2))</f>
        <v/>
      </c>
      <c r="AI274" s="21" t="n"/>
      <c r="AJ274" s="11">
        <f>IF(A274="","",IF(COUNT(I274)=0,"Enter approved NTE",IF(COUNT(Z274)&gt;0,IF(Z274&gt;I274,"Invoice exceeds NTE","Invoice within NTE"),IF(COUNT(L274)=0,"Enter quote inputs",IF(L274&gt;I274,"Quote exceeds NTE","Quote within NTE")))))</f>
        <v/>
      </c>
      <c r="AK274" s="11">
        <f>IF(A274="","",IF(COUNT(H274)=0,"Enter direct cost",IF(COUNT(Z274)=0,"Enter invoice revenue",IF(COUNT(AB274:AD274)&lt;3,"Enter expenses (0 if none)","Complete"))))</f>
        <v/>
      </c>
      <c r="AL274" s="11">
        <f>IF(A274="","",IF(NOT(AND(COUNT(AH274)=1,N(AH274)&gt;0.004,V274&lt;&gt;"Void",V274&lt;&gt;"Not invoiced",V274&lt;&gt;"Draft")),"",IF(COUNT(X274)=0,"No due date",IF(TODAY()-X274&lt;=0,"Not yet due",IF(TODAY()-X274&lt;=30,"1-30 days",IF(TODAY()-X274&lt;=60,"31-60 days",IF(TODAY()-X274&lt;=90,"61-90 days","Over 90 days")))))))</f>
        <v/>
      </c>
      <c r="AM274" s="49">
        <f>IF(OR(AL274="",AL274="No due date"),"",MAX(TODAY()-X274,0))</f>
        <v/>
      </c>
      <c r="AN274" s="49">
        <f>IF(AL274="","",IF(COUNT(X274)=0,-100000,TODAY()-X274))</f>
        <v/>
      </c>
      <c r="AO274" s="49">
        <f>IF(AN274="","",COUNTIF(AN$11:AN$1010,"&gt;"&amp;AN274)+COUNTIF(AN$11:AN274,AN274))</f>
        <v/>
      </c>
      <c r="AP274" s="49">
        <f>IF(OR(A274="",B274=""),"",IF(COUNTIF(B$11:B274,B274)=1,MAX(AP$10:AP273)+1,""))</f>
        <v/>
      </c>
    </row>
    <row r="275" ht="24" customHeight="1">
      <c r="A275" s="20" t="n"/>
      <c r="B275" s="10" t="n"/>
      <c r="C275" s="10" t="n"/>
      <c r="D275" s="10" t="n"/>
      <c r="E275" s="10" t="n"/>
      <c r="F275" s="18" t="n"/>
      <c r="G275" s="10" t="n"/>
      <c r="H275" s="12" t="n"/>
      <c r="I275" s="12" t="n"/>
      <c r="J275" s="13">
        <f>IF(OR(A275="",COUNT(H275)=0,COUNT(Z275)=0),"",ROUND(Z275-H275,2))</f>
        <v/>
      </c>
      <c r="K275" s="15">
        <f>IF(COUNT(J275)=0,"",IF(Z275=0,"n.a.",J275/Z275))</f>
        <v/>
      </c>
      <c r="L275" s="14">
        <f>IF(OR(A275="",COUNT(H275)=0,COUNT(Y275)=0),"",ROUND(H275*(1+Y275),2))</f>
        <v/>
      </c>
      <c r="M275" s="10" t="n"/>
      <c r="N275" s="10" t="n"/>
      <c r="O275" s="10" t="n"/>
      <c r="P275" s="10" t="n"/>
      <c r="Q275" s="20" t="n"/>
      <c r="R275" s="10" t="n"/>
      <c r="S275" s="10" t="n"/>
      <c r="T275" s="18" t="n"/>
      <c r="U275" s="18" t="n"/>
      <c r="V275" s="10" t="n"/>
      <c r="W275" s="10" t="n"/>
      <c r="X275" s="19">
        <f>IF(OR(A275="",COUNT(U275)=0,COUNT(AI275)=0),"",U275+AI275)</f>
        <v/>
      </c>
      <c r="Y275" s="16" t="n"/>
      <c r="Z275" s="12" t="n"/>
      <c r="AA275" s="17">
        <f>IF(COUNT(J275)=0,"",IF(H275=0,"n.a.",J275/H275))</f>
        <v/>
      </c>
      <c r="AB275" s="12" t="n"/>
      <c r="AC275" s="12" t="n"/>
      <c r="AD275" s="12" t="n"/>
      <c r="AE275" s="13">
        <f>IF(OR(COUNT(J275)=0,COUNT(AB275:AD275)&lt;3),"",ROUND(J275-SUM(AB275:AD275),2))</f>
        <v/>
      </c>
      <c r="AF275" s="15">
        <f>IF(COUNT(AE275)=0,"",IF(Z275=0,"n.a.",AE275/Z275))</f>
        <v/>
      </c>
      <c r="AG275" s="12" t="n"/>
      <c r="AH275" s="14">
        <f>IF(OR(A275="",COUNT(Z275)=0,COUNT(AG275)=0),"",ROUND(Z275-AG275,2))</f>
        <v/>
      </c>
      <c r="AI275" s="21" t="n"/>
      <c r="AJ275" s="11">
        <f>IF(A275="","",IF(COUNT(I275)=0,"Enter approved NTE",IF(COUNT(Z275)&gt;0,IF(Z275&gt;I275,"Invoice exceeds NTE","Invoice within NTE"),IF(COUNT(L275)=0,"Enter quote inputs",IF(L275&gt;I275,"Quote exceeds NTE","Quote within NTE")))))</f>
        <v/>
      </c>
      <c r="AK275" s="11">
        <f>IF(A275="","",IF(COUNT(H275)=0,"Enter direct cost",IF(COUNT(Z275)=0,"Enter invoice revenue",IF(COUNT(AB275:AD275)&lt;3,"Enter expenses (0 if none)","Complete"))))</f>
        <v/>
      </c>
      <c r="AL275" s="11">
        <f>IF(A275="","",IF(NOT(AND(COUNT(AH275)=1,N(AH275)&gt;0.004,V275&lt;&gt;"Void",V275&lt;&gt;"Not invoiced",V275&lt;&gt;"Draft")),"",IF(COUNT(X275)=0,"No due date",IF(TODAY()-X275&lt;=0,"Not yet due",IF(TODAY()-X275&lt;=30,"1-30 days",IF(TODAY()-X275&lt;=60,"31-60 days",IF(TODAY()-X275&lt;=90,"61-90 days","Over 90 days")))))))</f>
        <v/>
      </c>
      <c r="AM275" s="49">
        <f>IF(OR(AL275="",AL275="No due date"),"",MAX(TODAY()-X275,0))</f>
        <v/>
      </c>
      <c r="AN275" s="49">
        <f>IF(AL275="","",IF(COUNT(X275)=0,-100000,TODAY()-X275))</f>
        <v/>
      </c>
      <c r="AO275" s="49">
        <f>IF(AN275="","",COUNTIF(AN$11:AN$1010,"&gt;"&amp;AN275)+COUNTIF(AN$11:AN275,AN275))</f>
        <v/>
      </c>
      <c r="AP275" s="49">
        <f>IF(OR(A275="",B275=""),"",IF(COUNTIF(B$11:B275,B275)=1,MAX(AP$10:AP274)+1,""))</f>
        <v/>
      </c>
    </row>
    <row r="276" ht="24" customHeight="1">
      <c r="A276" s="20" t="n"/>
      <c r="B276" s="10" t="n"/>
      <c r="C276" s="10" t="n"/>
      <c r="D276" s="10" t="n"/>
      <c r="E276" s="10" t="n"/>
      <c r="F276" s="18" t="n"/>
      <c r="G276" s="10" t="n"/>
      <c r="H276" s="12" t="n"/>
      <c r="I276" s="12" t="n"/>
      <c r="J276" s="13">
        <f>IF(OR(A276="",COUNT(H276)=0,COUNT(Z276)=0),"",ROUND(Z276-H276,2))</f>
        <v/>
      </c>
      <c r="K276" s="15">
        <f>IF(COUNT(J276)=0,"",IF(Z276=0,"n.a.",J276/Z276))</f>
        <v/>
      </c>
      <c r="L276" s="14">
        <f>IF(OR(A276="",COUNT(H276)=0,COUNT(Y276)=0),"",ROUND(H276*(1+Y276),2))</f>
        <v/>
      </c>
      <c r="M276" s="10" t="n"/>
      <c r="N276" s="10" t="n"/>
      <c r="O276" s="10" t="n"/>
      <c r="P276" s="10" t="n"/>
      <c r="Q276" s="20" t="n"/>
      <c r="R276" s="10" t="n"/>
      <c r="S276" s="10" t="n"/>
      <c r="T276" s="18" t="n"/>
      <c r="U276" s="18" t="n"/>
      <c r="V276" s="10" t="n"/>
      <c r="W276" s="10" t="n"/>
      <c r="X276" s="19">
        <f>IF(OR(A276="",COUNT(U276)=0,COUNT(AI276)=0),"",U276+AI276)</f>
        <v/>
      </c>
      <c r="Y276" s="16" t="n"/>
      <c r="Z276" s="12" t="n"/>
      <c r="AA276" s="17">
        <f>IF(COUNT(J276)=0,"",IF(H276=0,"n.a.",J276/H276))</f>
        <v/>
      </c>
      <c r="AB276" s="12" t="n"/>
      <c r="AC276" s="12" t="n"/>
      <c r="AD276" s="12" t="n"/>
      <c r="AE276" s="13">
        <f>IF(OR(COUNT(J276)=0,COUNT(AB276:AD276)&lt;3),"",ROUND(J276-SUM(AB276:AD276),2))</f>
        <v/>
      </c>
      <c r="AF276" s="15">
        <f>IF(COUNT(AE276)=0,"",IF(Z276=0,"n.a.",AE276/Z276))</f>
        <v/>
      </c>
      <c r="AG276" s="12" t="n"/>
      <c r="AH276" s="14">
        <f>IF(OR(A276="",COUNT(Z276)=0,COUNT(AG276)=0),"",ROUND(Z276-AG276,2))</f>
        <v/>
      </c>
      <c r="AI276" s="21" t="n"/>
      <c r="AJ276" s="11">
        <f>IF(A276="","",IF(COUNT(I276)=0,"Enter approved NTE",IF(COUNT(Z276)&gt;0,IF(Z276&gt;I276,"Invoice exceeds NTE","Invoice within NTE"),IF(COUNT(L276)=0,"Enter quote inputs",IF(L276&gt;I276,"Quote exceeds NTE","Quote within NTE")))))</f>
        <v/>
      </c>
      <c r="AK276" s="11">
        <f>IF(A276="","",IF(COUNT(H276)=0,"Enter direct cost",IF(COUNT(Z276)=0,"Enter invoice revenue",IF(COUNT(AB276:AD276)&lt;3,"Enter expenses (0 if none)","Complete"))))</f>
        <v/>
      </c>
      <c r="AL276" s="11">
        <f>IF(A276="","",IF(NOT(AND(COUNT(AH276)=1,N(AH276)&gt;0.004,V276&lt;&gt;"Void",V276&lt;&gt;"Not invoiced",V276&lt;&gt;"Draft")),"",IF(COUNT(X276)=0,"No due date",IF(TODAY()-X276&lt;=0,"Not yet due",IF(TODAY()-X276&lt;=30,"1-30 days",IF(TODAY()-X276&lt;=60,"31-60 days",IF(TODAY()-X276&lt;=90,"61-90 days","Over 90 days")))))))</f>
        <v/>
      </c>
      <c r="AM276" s="49">
        <f>IF(OR(AL276="",AL276="No due date"),"",MAX(TODAY()-X276,0))</f>
        <v/>
      </c>
      <c r="AN276" s="49">
        <f>IF(AL276="","",IF(COUNT(X276)=0,-100000,TODAY()-X276))</f>
        <v/>
      </c>
      <c r="AO276" s="49">
        <f>IF(AN276="","",COUNTIF(AN$11:AN$1010,"&gt;"&amp;AN276)+COUNTIF(AN$11:AN276,AN276))</f>
        <v/>
      </c>
      <c r="AP276" s="49">
        <f>IF(OR(A276="",B276=""),"",IF(COUNTIF(B$11:B276,B276)=1,MAX(AP$10:AP275)+1,""))</f>
        <v/>
      </c>
    </row>
    <row r="277" ht="24" customHeight="1">
      <c r="A277" s="20" t="n"/>
      <c r="B277" s="10" t="n"/>
      <c r="C277" s="10" t="n"/>
      <c r="D277" s="10" t="n"/>
      <c r="E277" s="10" t="n"/>
      <c r="F277" s="18" t="n"/>
      <c r="G277" s="10" t="n"/>
      <c r="H277" s="12" t="n"/>
      <c r="I277" s="12" t="n"/>
      <c r="J277" s="13">
        <f>IF(OR(A277="",COUNT(H277)=0,COUNT(Z277)=0),"",ROUND(Z277-H277,2))</f>
        <v/>
      </c>
      <c r="K277" s="15">
        <f>IF(COUNT(J277)=0,"",IF(Z277=0,"n.a.",J277/Z277))</f>
        <v/>
      </c>
      <c r="L277" s="14">
        <f>IF(OR(A277="",COUNT(H277)=0,COUNT(Y277)=0),"",ROUND(H277*(1+Y277),2))</f>
        <v/>
      </c>
      <c r="M277" s="10" t="n"/>
      <c r="N277" s="10" t="n"/>
      <c r="O277" s="10" t="n"/>
      <c r="P277" s="10" t="n"/>
      <c r="Q277" s="20" t="n"/>
      <c r="R277" s="10" t="n"/>
      <c r="S277" s="10" t="n"/>
      <c r="T277" s="18" t="n"/>
      <c r="U277" s="18" t="n"/>
      <c r="V277" s="10" t="n"/>
      <c r="W277" s="10" t="n"/>
      <c r="X277" s="19">
        <f>IF(OR(A277="",COUNT(U277)=0,COUNT(AI277)=0),"",U277+AI277)</f>
        <v/>
      </c>
      <c r="Y277" s="16" t="n"/>
      <c r="Z277" s="12" t="n"/>
      <c r="AA277" s="17">
        <f>IF(COUNT(J277)=0,"",IF(H277=0,"n.a.",J277/H277))</f>
        <v/>
      </c>
      <c r="AB277" s="12" t="n"/>
      <c r="AC277" s="12" t="n"/>
      <c r="AD277" s="12" t="n"/>
      <c r="AE277" s="13">
        <f>IF(OR(COUNT(J277)=0,COUNT(AB277:AD277)&lt;3),"",ROUND(J277-SUM(AB277:AD277),2))</f>
        <v/>
      </c>
      <c r="AF277" s="15">
        <f>IF(COUNT(AE277)=0,"",IF(Z277=0,"n.a.",AE277/Z277))</f>
        <v/>
      </c>
      <c r="AG277" s="12" t="n"/>
      <c r="AH277" s="14">
        <f>IF(OR(A277="",COUNT(Z277)=0,COUNT(AG277)=0),"",ROUND(Z277-AG277,2))</f>
        <v/>
      </c>
      <c r="AI277" s="21" t="n"/>
      <c r="AJ277" s="11">
        <f>IF(A277="","",IF(COUNT(I277)=0,"Enter approved NTE",IF(COUNT(Z277)&gt;0,IF(Z277&gt;I277,"Invoice exceeds NTE","Invoice within NTE"),IF(COUNT(L277)=0,"Enter quote inputs",IF(L277&gt;I277,"Quote exceeds NTE","Quote within NTE")))))</f>
        <v/>
      </c>
      <c r="AK277" s="11">
        <f>IF(A277="","",IF(COUNT(H277)=0,"Enter direct cost",IF(COUNT(Z277)=0,"Enter invoice revenue",IF(COUNT(AB277:AD277)&lt;3,"Enter expenses (0 if none)","Complete"))))</f>
        <v/>
      </c>
      <c r="AL277" s="11">
        <f>IF(A277="","",IF(NOT(AND(COUNT(AH277)=1,N(AH277)&gt;0.004,V277&lt;&gt;"Void",V277&lt;&gt;"Not invoiced",V277&lt;&gt;"Draft")),"",IF(COUNT(X277)=0,"No due date",IF(TODAY()-X277&lt;=0,"Not yet due",IF(TODAY()-X277&lt;=30,"1-30 days",IF(TODAY()-X277&lt;=60,"31-60 days",IF(TODAY()-X277&lt;=90,"61-90 days","Over 90 days")))))))</f>
        <v/>
      </c>
      <c r="AM277" s="49">
        <f>IF(OR(AL277="",AL277="No due date"),"",MAX(TODAY()-X277,0))</f>
        <v/>
      </c>
      <c r="AN277" s="49">
        <f>IF(AL277="","",IF(COUNT(X277)=0,-100000,TODAY()-X277))</f>
        <v/>
      </c>
      <c r="AO277" s="49">
        <f>IF(AN277="","",COUNTIF(AN$11:AN$1010,"&gt;"&amp;AN277)+COUNTIF(AN$11:AN277,AN277))</f>
        <v/>
      </c>
      <c r="AP277" s="49">
        <f>IF(OR(A277="",B277=""),"",IF(COUNTIF(B$11:B277,B277)=1,MAX(AP$10:AP276)+1,""))</f>
        <v/>
      </c>
    </row>
    <row r="278" ht="24" customHeight="1">
      <c r="A278" s="20" t="n"/>
      <c r="B278" s="10" t="n"/>
      <c r="C278" s="10" t="n"/>
      <c r="D278" s="10" t="n"/>
      <c r="E278" s="10" t="n"/>
      <c r="F278" s="18" t="n"/>
      <c r="G278" s="10" t="n"/>
      <c r="H278" s="12" t="n"/>
      <c r="I278" s="12" t="n"/>
      <c r="J278" s="13">
        <f>IF(OR(A278="",COUNT(H278)=0,COUNT(Z278)=0),"",ROUND(Z278-H278,2))</f>
        <v/>
      </c>
      <c r="K278" s="15">
        <f>IF(COUNT(J278)=0,"",IF(Z278=0,"n.a.",J278/Z278))</f>
        <v/>
      </c>
      <c r="L278" s="14">
        <f>IF(OR(A278="",COUNT(H278)=0,COUNT(Y278)=0),"",ROUND(H278*(1+Y278),2))</f>
        <v/>
      </c>
      <c r="M278" s="10" t="n"/>
      <c r="N278" s="10" t="n"/>
      <c r="O278" s="10" t="n"/>
      <c r="P278" s="10" t="n"/>
      <c r="Q278" s="20" t="n"/>
      <c r="R278" s="10" t="n"/>
      <c r="S278" s="10" t="n"/>
      <c r="T278" s="18" t="n"/>
      <c r="U278" s="18" t="n"/>
      <c r="V278" s="10" t="n"/>
      <c r="W278" s="10" t="n"/>
      <c r="X278" s="19">
        <f>IF(OR(A278="",COUNT(U278)=0,COUNT(AI278)=0),"",U278+AI278)</f>
        <v/>
      </c>
      <c r="Y278" s="16" t="n"/>
      <c r="Z278" s="12" t="n"/>
      <c r="AA278" s="17">
        <f>IF(COUNT(J278)=0,"",IF(H278=0,"n.a.",J278/H278))</f>
        <v/>
      </c>
      <c r="AB278" s="12" t="n"/>
      <c r="AC278" s="12" t="n"/>
      <c r="AD278" s="12" t="n"/>
      <c r="AE278" s="13">
        <f>IF(OR(COUNT(J278)=0,COUNT(AB278:AD278)&lt;3),"",ROUND(J278-SUM(AB278:AD278),2))</f>
        <v/>
      </c>
      <c r="AF278" s="15">
        <f>IF(COUNT(AE278)=0,"",IF(Z278=0,"n.a.",AE278/Z278))</f>
        <v/>
      </c>
      <c r="AG278" s="12" t="n"/>
      <c r="AH278" s="14">
        <f>IF(OR(A278="",COUNT(Z278)=0,COUNT(AG278)=0),"",ROUND(Z278-AG278,2))</f>
        <v/>
      </c>
      <c r="AI278" s="21" t="n"/>
      <c r="AJ278" s="11">
        <f>IF(A278="","",IF(COUNT(I278)=0,"Enter approved NTE",IF(COUNT(Z278)&gt;0,IF(Z278&gt;I278,"Invoice exceeds NTE","Invoice within NTE"),IF(COUNT(L278)=0,"Enter quote inputs",IF(L278&gt;I278,"Quote exceeds NTE","Quote within NTE")))))</f>
        <v/>
      </c>
      <c r="AK278" s="11">
        <f>IF(A278="","",IF(COUNT(H278)=0,"Enter direct cost",IF(COUNT(Z278)=0,"Enter invoice revenue",IF(COUNT(AB278:AD278)&lt;3,"Enter expenses (0 if none)","Complete"))))</f>
        <v/>
      </c>
      <c r="AL278" s="11">
        <f>IF(A278="","",IF(NOT(AND(COUNT(AH278)=1,N(AH278)&gt;0.004,V278&lt;&gt;"Void",V278&lt;&gt;"Not invoiced",V278&lt;&gt;"Draft")),"",IF(COUNT(X278)=0,"No due date",IF(TODAY()-X278&lt;=0,"Not yet due",IF(TODAY()-X278&lt;=30,"1-30 days",IF(TODAY()-X278&lt;=60,"31-60 days",IF(TODAY()-X278&lt;=90,"61-90 days","Over 90 days")))))))</f>
        <v/>
      </c>
      <c r="AM278" s="49">
        <f>IF(OR(AL278="",AL278="No due date"),"",MAX(TODAY()-X278,0))</f>
        <v/>
      </c>
      <c r="AN278" s="49">
        <f>IF(AL278="","",IF(COUNT(X278)=0,-100000,TODAY()-X278))</f>
        <v/>
      </c>
      <c r="AO278" s="49">
        <f>IF(AN278="","",COUNTIF(AN$11:AN$1010,"&gt;"&amp;AN278)+COUNTIF(AN$11:AN278,AN278))</f>
        <v/>
      </c>
      <c r="AP278" s="49">
        <f>IF(OR(A278="",B278=""),"",IF(COUNTIF(B$11:B278,B278)=1,MAX(AP$10:AP277)+1,""))</f>
        <v/>
      </c>
    </row>
    <row r="279" ht="24" customHeight="1">
      <c r="A279" s="20" t="n"/>
      <c r="B279" s="10" t="n"/>
      <c r="C279" s="10" t="n"/>
      <c r="D279" s="10" t="n"/>
      <c r="E279" s="10" t="n"/>
      <c r="F279" s="18" t="n"/>
      <c r="G279" s="10" t="n"/>
      <c r="H279" s="12" t="n"/>
      <c r="I279" s="12" t="n"/>
      <c r="J279" s="13">
        <f>IF(OR(A279="",COUNT(H279)=0,COUNT(Z279)=0),"",ROUND(Z279-H279,2))</f>
        <v/>
      </c>
      <c r="K279" s="15">
        <f>IF(COUNT(J279)=0,"",IF(Z279=0,"n.a.",J279/Z279))</f>
        <v/>
      </c>
      <c r="L279" s="14">
        <f>IF(OR(A279="",COUNT(H279)=0,COUNT(Y279)=0),"",ROUND(H279*(1+Y279),2))</f>
        <v/>
      </c>
      <c r="M279" s="10" t="n"/>
      <c r="N279" s="10" t="n"/>
      <c r="O279" s="10" t="n"/>
      <c r="P279" s="10" t="n"/>
      <c r="Q279" s="20" t="n"/>
      <c r="R279" s="10" t="n"/>
      <c r="S279" s="10" t="n"/>
      <c r="T279" s="18" t="n"/>
      <c r="U279" s="18" t="n"/>
      <c r="V279" s="10" t="n"/>
      <c r="W279" s="10" t="n"/>
      <c r="X279" s="19">
        <f>IF(OR(A279="",COUNT(U279)=0,COUNT(AI279)=0),"",U279+AI279)</f>
        <v/>
      </c>
      <c r="Y279" s="16" t="n"/>
      <c r="Z279" s="12" t="n"/>
      <c r="AA279" s="17">
        <f>IF(COUNT(J279)=0,"",IF(H279=0,"n.a.",J279/H279))</f>
        <v/>
      </c>
      <c r="AB279" s="12" t="n"/>
      <c r="AC279" s="12" t="n"/>
      <c r="AD279" s="12" t="n"/>
      <c r="AE279" s="13">
        <f>IF(OR(COUNT(J279)=0,COUNT(AB279:AD279)&lt;3),"",ROUND(J279-SUM(AB279:AD279),2))</f>
        <v/>
      </c>
      <c r="AF279" s="15">
        <f>IF(COUNT(AE279)=0,"",IF(Z279=0,"n.a.",AE279/Z279))</f>
        <v/>
      </c>
      <c r="AG279" s="12" t="n"/>
      <c r="AH279" s="14">
        <f>IF(OR(A279="",COUNT(Z279)=0,COUNT(AG279)=0),"",ROUND(Z279-AG279,2))</f>
        <v/>
      </c>
      <c r="AI279" s="21" t="n"/>
      <c r="AJ279" s="11">
        <f>IF(A279="","",IF(COUNT(I279)=0,"Enter approved NTE",IF(COUNT(Z279)&gt;0,IF(Z279&gt;I279,"Invoice exceeds NTE","Invoice within NTE"),IF(COUNT(L279)=0,"Enter quote inputs",IF(L279&gt;I279,"Quote exceeds NTE","Quote within NTE")))))</f>
        <v/>
      </c>
      <c r="AK279" s="11">
        <f>IF(A279="","",IF(COUNT(H279)=0,"Enter direct cost",IF(COUNT(Z279)=0,"Enter invoice revenue",IF(COUNT(AB279:AD279)&lt;3,"Enter expenses (0 if none)","Complete"))))</f>
        <v/>
      </c>
      <c r="AL279" s="11">
        <f>IF(A279="","",IF(NOT(AND(COUNT(AH279)=1,N(AH279)&gt;0.004,V279&lt;&gt;"Void",V279&lt;&gt;"Not invoiced",V279&lt;&gt;"Draft")),"",IF(COUNT(X279)=0,"No due date",IF(TODAY()-X279&lt;=0,"Not yet due",IF(TODAY()-X279&lt;=30,"1-30 days",IF(TODAY()-X279&lt;=60,"31-60 days",IF(TODAY()-X279&lt;=90,"61-90 days","Over 90 days")))))))</f>
        <v/>
      </c>
      <c r="AM279" s="49">
        <f>IF(OR(AL279="",AL279="No due date"),"",MAX(TODAY()-X279,0))</f>
        <v/>
      </c>
      <c r="AN279" s="49">
        <f>IF(AL279="","",IF(COUNT(X279)=0,-100000,TODAY()-X279))</f>
        <v/>
      </c>
      <c r="AO279" s="49">
        <f>IF(AN279="","",COUNTIF(AN$11:AN$1010,"&gt;"&amp;AN279)+COUNTIF(AN$11:AN279,AN279))</f>
        <v/>
      </c>
      <c r="AP279" s="49">
        <f>IF(OR(A279="",B279=""),"",IF(COUNTIF(B$11:B279,B279)=1,MAX(AP$10:AP278)+1,""))</f>
        <v/>
      </c>
    </row>
    <row r="280" ht="24" customHeight="1">
      <c r="A280" s="20" t="n"/>
      <c r="B280" s="10" t="n"/>
      <c r="C280" s="10" t="n"/>
      <c r="D280" s="10" t="n"/>
      <c r="E280" s="10" t="n"/>
      <c r="F280" s="18" t="n"/>
      <c r="G280" s="10" t="n"/>
      <c r="H280" s="12" t="n"/>
      <c r="I280" s="12" t="n"/>
      <c r="J280" s="13">
        <f>IF(OR(A280="",COUNT(H280)=0,COUNT(Z280)=0),"",ROUND(Z280-H280,2))</f>
        <v/>
      </c>
      <c r="K280" s="15">
        <f>IF(COUNT(J280)=0,"",IF(Z280=0,"n.a.",J280/Z280))</f>
        <v/>
      </c>
      <c r="L280" s="14">
        <f>IF(OR(A280="",COUNT(H280)=0,COUNT(Y280)=0),"",ROUND(H280*(1+Y280),2))</f>
        <v/>
      </c>
      <c r="M280" s="10" t="n"/>
      <c r="N280" s="10" t="n"/>
      <c r="O280" s="10" t="n"/>
      <c r="P280" s="10" t="n"/>
      <c r="Q280" s="20" t="n"/>
      <c r="R280" s="10" t="n"/>
      <c r="S280" s="10" t="n"/>
      <c r="T280" s="18" t="n"/>
      <c r="U280" s="18" t="n"/>
      <c r="V280" s="10" t="n"/>
      <c r="W280" s="10" t="n"/>
      <c r="X280" s="19">
        <f>IF(OR(A280="",COUNT(U280)=0,COUNT(AI280)=0),"",U280+AI280)</f>
        <v/>
      </c>
      <c r="Y280" s="16" t="n"/>
      <c r="Z280" s="12" t="n"/>
      <c r="AA280" s="17">
        <f>IF(COUNT(J280)=0,"",IF(H280=0,"n.a.",J280/H280))</f>
        <v/>
      </c>
      <c r="AB280" s="12" t="n"/>
      <c r="AC280" s="12" t="n"/>
      <c r="AD280" s="12" t="n"/>
      <c r="AE280" s="13">
        <f>IF(OR(COUNT(J280)=0,COUNT(AB280:AD280)&lt;3),"",ROUND(J280-SUM(AB280:AD280),2))</f>
        <v/>
      </c>
      <c r="AF280" s="15">
        <f>IF(COUNT(AE280)=0,"",IF(Z280=0,"n.a.",AE280/Z280))</f>
        <v/>
      </c>
      <c r="AG280" s="12" t="n"/>
      <c r="AH280" s="14">
        <f>IF(OR(A280="",COUNT(Z280)=0,COUNT(AG280)=0),"",ROUND(Z280-AG280,2))</f>
        <v/>
      </c>
      <c r="AI280" s="21" t="n"/>
      <c r="AJ280" s="11">
        <f>IF(A280="","",IF(COUNT(I280)=0,"Enter approved NTE",IF(COUNT(Z280)&gt;0,IF(Z280&gt;I280,"Invoice exceeds NTE","Invoice within NTE"),IF(COUNT(L280)=0,"Enter quote inputs",IF(L280&gt;I280,"Quote exceeds NTE","Quote within NTE")))))</f>
        <v/>
      </c>
      <c r="AK280" s="11">
        <f>IF(A280="","",IF(COUNT(H280)=0,"Enter direct cost",IF(COUNT(Z280)=0,"Enter invoice revenue",IF(COUNT(AB280:AD280)&lt;3,"Enter expenses (0 if none)","Complete"))))</f>
        <v/>
      </c>
      <c r="AL280" s="11">
        <f>IF(A280="","",IF(NOT(AND(COUNT(AH280)=1,N(AH280)&gt;0.004,V280&lt;&gt;"Void",V280&lt;&gt;"Not invoiced",V280&lt;&gt;"Draft")),"",IF(COUNT(X280)=0,"No due date",IF(TODAY()-X280&lt;=0,"Not yet due",IF(TODAY()-X280&lt;=30,"1-30 days",IF(TODAY()-X280&lt;=60,"31-60 days",IF(TODAY()-X280&lt;=90,"61-90 days","Over 90 days")))))))</f>
        <v/>
      </c>
      <c r="AM280" s="49">
        <f>IF(OR(AL280="",AL280="No due date"),"",MAX(TODAY()-X280,0))</f>
        <v/>
      </c>
      <c r="AN280" s="49">
        <f>IF(AL280="","",IF(COUNT(X280)=0,-100000,TODAY()-X280))</f>
        <v/>
      </c>
      <c r="AO280" s="49">
        <f>IF(AN280="","",COUNTIF(AN$11:AN$1010,"&gt;"&amp;AN280)+COUNTIF(AN$11:AN280,AN280))</f>
        <v/>
      </c>
      <c r="AP280" s="49">
        <f>IF(OR(A280="",B280=""),"",IF(COUNTIF(B$11:B280,B280)=1,MAX(AP$10:AP279)+1,""))</f>
        <v/>
      </c>
    </row>
    <row r="281" ht="24" customHeight="1">
      <c r="A281" s="20" t="n"/>
      <c r="B281" s="10" t="n"/>
      <c r="C281" s="10" t="n"/>
      <c r="D281" s="10" t="n"/>
      <c r="E281" s="10" t="n"/>
      <c r="F281" s="18" t="n"/>
      <c r="G281" s="10" t="n"/>
      <c r="H281" s="12" t="n"/>
      <c r="I281" s="12" t="n"/>
      <c r="J281" s="13">
        <f>IF(OR(A281="",COUNT(H281)=0,COUNT(Z281)=0),"",ROUND(Z281-H281,2))</f>
        <v/>
      </c>
      <c r="K281" s="15">
        <f>IF(COUNT(J281)=0,"",IF(Z281=0,"n.a.",J281/Z281))</f>
        <v/>
      </c>
      <c r="L281" s="14">
        <f>IF(OR(A281="",COUNT(H281)=0,COUNT(Y281)=0),"",ROUND(H281*(1+Y281),2))</f>
        <v/>
      </c>
      <c r="M281" s="10" t="n"/>
      <c r="N281" s="10" t="n"/>
      <c r="O281" s="10" t="n"/>
      <c r="P281" s="10" t="n"/>
      <c r="Q281" s="20" t="n"/>
      <c r="R281" s="10" t="n"/>
      <c r="S281" s="10" t="n"/>
      <c r="T281" s="18" t="n"/>
      <c r="U281" s="18" t="n"/>
      <c r="V281" s="10" t="n"/>
      <c r="W281" s="10" t="n"/>
      <c r="X281" s="19">
        <f>IF(OR(A281="",COUNT(U281)=0,COUNT(AI281)=0),"",U281+AI281)</f>
        <v/>
      </c>
      <c r="Y281" s="16" t="n"/>
      <c r="Z281" s="12" t="n"/>
      <c r="AA281" s="17">
        <f>IF(COUNT(J281)=0,"",IF(H281=0,"n.a.",J281/H281))</f>
        <v/>
      </c>
      <c r="AB281" s="12" t="n"/>
      <c r="AC281" s="12" t="n"/>
      <c r="AD281" s="12" t="n"/>
      <c r="AE281" s="13">
        <f>IF(OR(COUNT(J281)=0,COUNT(AB281:AD281)&lt;3),"",ROUND(J281-SUM(AB281:AD281),2))</f>
        <v/>
      </c>
      <c r="AF281" s="15">
        <f>IF(COUNT(AE281)=0,"",IF(Z281=0,"n.a.",AE281/Z281))</f>
        <v/>
      </c>
      <c r="AG281" s="12" t="n"/>
      <c r="AH281" s="14">
        <f>IF(OR(A281="",COUNT(Z281)=0,COUNT(AG281)=0),"",ROUND(Z281-AG281,2))</f>
        <v/>
      </c>
      <c r="AI281" s="21" t="n"/>
      <c r="AJ281" s="11">
        <f>IF(A281="","",IF(COUNT(I281)=0,"Enter approved NTE",IF(COUNT(Z281)&gt;0,IF(Z281&gt;I281,"Invoice exceeds NTE","Invoice within NTE"),IF(COUNT(L281)=0,"Enter quote inputs",IF(L281&gt;I281,"Quote exceeds NTE","Quote within NTE")))))</f>
        <v/>
      </c>
      <c r="AK281" s="11">
        <f>IF(A281="","",IF(COUNT(H281)=0,"Enter direct cost",IF(COUNT(Z281)=0,"Enter invoice revenue",IF(COUNT(AB281:AD281)&lt;3,"Enter expenses (0 if none)","Complete"))))</f>
        <v/>
      </c>
      <c r="AL281" s="11">
        <f>IF(A281="","",IF(NOT(AND(COUNT(AH281)=1,N(AH281)&gt;0.004,V281&lt;&gt;"Void",V281&lt;&gt;"Not invoiced",V281&lt;&gt;"Draft")),"",IF(COUNT(X281)=0,"No due date",IF(TODAY()-X281&lt;=0,"Not yet due",IF(TODAY()-X281&lt;=30,"1-30 days",IF(TODAY()-X281&lt;=60,"31-60 days",IF(TODAY()-X281&lt;=90,"61-90 days","Over 90 days")))))))</f>
        <v/>
      </c>
      <c r="AM281" s="49">
        <f>IF(OR(AL281="",AL281="No due date"),"",MAX(TODAY()-X281,0))</f>
        <v/>
      </c>
      <c r="AN281" s="49">
        <f>IF(AL281="","",IF(COUNT(X281)=0,-100000,TODAY()-X281))</f>
        <v/>
      </c>
      <c r="AO281" s="49">
        <f>IF(AN281="","",COUNTIF(AN$11:AN$1010,"&gt;"&amp;AN281)+COUNTIF(AN$11:AN281,AN281))</f>
        <v/>
      </c>
      <c r="AP281" s="49">
        <f>IF(OR(A281="",B281=""),"",IF(COUNTIF(B$11:B281,B281)=1,MAX(AP$10:AP280)+1,""))</f>
        <v/>
      </c>
    </row>
    <row r="282" ht="24" customHeight="1">
      <c r="A282" s="20" t="n"/>
      <c r="B282" s="10" t="n"/>
      <c r="C282" s="10" t="n"/>
      <c r="D282" s="10" t="n"/>
      <c r="E282" s="10" t="n"/>
      <c r="F282" s="18" t="n"/>
      <c r="G282" s="10" t="n"/>
      <c r="H282" s="12" t="n"/>
      <c r="I282" s="12" t="n"/>
      <c r="J282" s="13">
        <f>IF(OR(A282="",COUNT(H282)=0,COUNT(Z282)=0),"",ROUND(Z282-H282,2))</f>
        <v/>
      </c>
      <c r="K282" s="15">
        <f>IF(COUNT(J282)=0,"",IF(Z282=0,"n.a.",J282/Z282))</f>
        <v/>
      </c>
      <c r="L282" s="14">
        <f>IF(OR(A282="",COUNT(H282)=0,COUNT(Y282)=0),"",ROUND(H282*(1+Y282),2))</f>
        <v/>
      </c>
      <c r="M282" s="10" t="n"/>
      <c r="N282" s="10" t="n"/>
      <c r="O282" s="10" t="n"/>
      <c r="P282" s="10" t="n"/>
      <c r="Q282" s="20" t="n"/>
      <c r="R282" s="10" t="n"/>
      <c r="S282" s="10" t="n"/>
      <c r="T282" s="18" t="n"/>
      <c r="U282" s="18" t="n"/>
      <c r="V282" s="10" t="n"/>
      <c r="W282" s="10" t="n"/>
      <c r="X282" s="19">
        <f>IF(OR(A282="",COUNT(U282)=0,COUNT(AI282)=0),"",U282+AI282)</f>
        <v/>
      </c>
      <c r="Y282" s="16" t="n"/>
      <c r="Z282" s="12" t="n"/>
      <c r="AA282" s="17">
        <f>IF(COUNT(J282)=0,"",IF(H282=0,"n.a.",J282/H282))</f>
        <v/>
      </c>
      <c r="AB282" s="12" t="n"/>
      <c r="AC282" s="12" t="n"/>
      <c r="AD282" s="12" t="n"/>
      <c r="AE282" s="13">
        <f>IF(OR(COUNT(J282)=0,COUNT(AB282:AD282)&lt;3),"",ROUND(J282-SUM(AB282:AD282),2))</f>
        <v/>
      </c>
      <c r="AF282" s="15">
        <f>IF(COUNT(AE282)=0,"",IF(Z282=0,"n.a.",AE282/Z282))</f>
        <v/>
      </c>
      <c r="AG282" s="12" t="n"/>
      <c r="AH282" s="14">
        <f>IF(OR(A282="",COUNT(Z282)=0,COUNT(AG282)=0),"",ROUND(Z282-AG282,2))</f>
        <v/>
      </c>
      <c r="AI282" s="21" t="n"/>
      <c r="AJ282" s="11">
        <f>IF(A282="","",IF(COUNT(I282)=0,"Enter approved NTE",IF(COUNT(Z282)&gt;0,IF(Z282&gt;I282,"Invoice exceeds NTE","Invoice within NTE"),IF(COUNT(L282)=0,"Enter quote inputs",IF(L282&gt;I282,"Quote exceeds NTE","Quote within NTE")))))</f>
        <v/>
      </c>
      <c r="AK282" s="11">
        <f>IF(A282="","",IF(COUNT(H282)=0,"Enter direct cost",IF(COUNT(Z282)=0,"Enter invoice revenue",IF(COUNT(AB282:AD282)&lt;3,"Enter expenses (0 if none)","Complete"))))</f>
        <v/>
      </c>
      <c r="AL282" s="11">
        <f>IF(A282="","",IF(NOT(AND(COUNT(AH282)=1,N(AH282)&gt;0.004,V282&lt;&gt;"Void",V282&lt;&gt;"Not invoiced",V282&lt;&gt;"Draft")),"",IF(COUNT(X282)=0,"No due date",IF(TODAY()-X282&lt;=0,"Not yet due",IF(TODAY()-X282&lt;=30,"1-30 days",IF(TODAY()-X282&lt;=60,"31-60 days",IF(TODAY()-X282&lt;=90,"61-90 days","Over 90 days")))))))</f>
        <v/>
      </c>
      <c r="AM282" s="49">
        <f>IF(OR(AL282="",AL282="No due date"),"",MAX(TODAY()-X282,0))</f>
        <v/>
      </c>
      <c r="AN282" s="49">
        <f>IF(AL282="","",IF(COUNT(X282)=0,-100000,TODAY()-X282))</f>
        <v/>
      </c>
      <c r="AO282" s="49">
        <f>IF(AN282="","",COUNTIF(AN$11:AN$1010,"&gt;"&amp;AN282)+COUNTIF(AN$11:AN282,AN282))</f>
        <v/>
      </c>
      <c r="AP282" s="49">
        <f>IF(OR(A282="",B282=""),"",IF(COUNTIF(B$11:B282,B282)=1,MAX(AP$10:AP281)+1,""))</f>
        <v/>
      </c>
    </row>
    <row r="283" ht="24" customHeight="1">
      <c r="A283" s="20" t="n"/>
      <c r="B283" s="10" t="n"/>
      <c r="C283" s="10" t="n"/>
      <c r="D283" s="10" t="n"/>
      <c r="E283" s="10" t="n"/>
      <c r="F283" s="18" t="n"/>
      <c r="G283" s="10" t="n"/>
      <c r="H283" s="12" t="n"/>
      <c r="I283" s="12" t="n"/>
      <c r="J283" s="13">
        <f>IF(OR(A283="",COUNT(H283)=0,COUNT(Z283)=0),"",ROUND(Z283-H283,2))</f>
        <v/>
      </c>
      <c r="K283" s="15">
        <f>IF(COUNT(J283)=0,"",IF(Z283=0,"n.a.",J283/Z283))</f>
        <v/>
      </c>
      <c r="L283" s="14">
        <f>IF(OR(A283="",COUNT(H283)=0,COUNT(Y283)=0),"",ROUND(H283*(1+Y283),2))</f>
        <v/>
      </c>
      <c r="M283" s="10" t="n"/>
      <c r="N283" s="10" t="n"/>
      <c r="O283" s="10" t="n"/>
      <c r="P283" s="10" t="n"/>
      <c r="Q283" s="20" t="n"/>
      <c r="R283" s="10" t="n"/>
      <c r="S283" s="10" t="n"/>
      <c r="T283" s="18" t="n"/>
      <c r="U283" s="18" t="n"/>
      <c r="V283" s="10" t="n"/>
      <c r="W283" s="10" t="n"/>
      <c r="X283" s="19">
        <f>IF(OR(A283="",COUNT(U283)=0,COUNT(AI283)=0),"",U283+AI283)</f>
        <v/>
      </c>
      <c r="Y283" s="16" t="n"/>
      <c r="Z283" s="12" t="n"/>
      <c r="AA283" s="17">
        <f>IF(COUNT(J283)=0,"",IF(H283=0,"n.a.",J283/H283))</f>
        <v/>
      </c>
      <c r="AB283" s="12" t="n"/>
      <c r="AC283" s="12" t="n"/>
      <c r="AD283" s="12" t="n"/>
      <c r="AE283" s="13">
        <f>IF(OR(COUNT(J283)=0,COUNT(AB283:AD283)&lt;3),"",ROUND(J283-SUM(AB283:AD283),2))</f>
        <v/>
      </c>
      <c r="AF283" s="15">
        <f>IF(COUNT(AE283)=0,"",IF(Z283=0,"n.a.",AE283/Z283))</f>
        <v/>
      </c>
      <c r="AG283" s="12" t="n"/>
      <c r="AH283" s="14">
        <f>IF(OR(A283="",COUNT(Z283)=0,COUNT(AG283)=0),"",ROUND(Z283-AG283,2))</f>
        <v/>
      </c>
      <c r="AI283" s="21" t="n"/>
      <c r="AJ283" s="11">
        <f>IF(A283="","",IF(COUNT(I283)=0,"Enter approved NTE",IF(COUNT(Z283)&gt;0,IF(Z283&gt;I283,"Invoice exceeds NTE","Invoice within NTE"),IF(COUNT(L283)=0,"Enter quote inputs",IF(L283&gt;I283,"Quote exceeds NTE","Quote within NTE")))))</f>
        <v/>
      </c>
      <c r="AK283" s="11">
        <f>IF(A283="","",IF(COUNT(H283)=0,"Enter direct cost",IF(COUNT(Z283)=0,"Enter invoice revenue",IF(COUNT(AB283:AD283)&lt;3,"Enter expenses (0 if none)","Complete"))))</f>
        <v/>
      </c>
      <c r="AL283" s="11">
        <f>IF(A283="","",IF(NOT(AND(COUNT(AH283)=1,N(AH283)&gt;0.004,V283&lt;&gt;"Void",V283&lt;&gt;"Not invoiced",V283&lt;&gt;"Draft")),"",IF(COUNT(X283)=0,"No due date",IF(TODAY()-X283&lt;=0,"Not yet due",IF(TODAY()-X283&lt;=30,"1-30 days",IF(TODAY()-X283&lt;=60,"31-60 days",IF(TODAY()-X283&lt;=90,"61-90 days","Over 90 days")))))))</f>
        <v/>
      </c>
      <c r="AM283" s="49">
        <f>IF(OR(AL283="",AL283="No due date"),"",MAX(TODAY()-X283,0))</f>
        <v/>
      </c>
      <c r="AN283" s="49">
        <f>IF(AL283="","",IF(COUNT(X283)=0,-100000,TODAY()-X283))</f>
        <v/>
      </c>
      <c r="AO283" s="49">
        <f>IF(AN283="","",COUNTIF(AN$11:AN$1010,"&gt;"&amp;AN283)+COUNTIF(AN$11:AN283,AN283))</f>
        <v/>
      </c>
      <c r="AP283" s="49">
        <f>IF(OR(A283="",B283=""),"",IF(COUNTIF(B$11:B283,B283)=1,MAX(AP$10:AP282)+1,""))</f>
        <v/>
      </c>
    </row>
    <row r="284" ht="24" customHeight="1">
      <c r="A284" s="20" t="n"/>
      <c r="B284" s="10" t="n"/>
      <c r="C284" s="10" t="n"/>
      <c r="D284" s="10" t="n"/>
      <c r="E284" s="10" t="n"/>
      <c r="F284" s="18" t="n"/>
      <c r="G284" s="10" t="n"/>
      <c r="H284" s="12" t="n"/>
      <c r="I284" s="12" t="n"/>
      <c r="J284" s="13">
        <f>IF(OR(A284="",COUNT(H284)=0,COUNT(Z284)=0),"",ROUND(Z284-H284,2))</f>
        <v/>
      </c>
      <c r="K284" s="15">
        <f>IF(COUNT(J284)=0,"",IF(Z284=0,"n.a.",J284/Z284))</f>
        <v/>
      </c>
      <c r="L284" s="14">
        <f>IF(OR(A284="",COUNT(H284)=0,COUNT(Y284)=0),"",ROUND(H284*(1+Y284),2))</f>
        <v/>
      </c>
      <c r="M284" s="10" t="n"/>
      <c r="N284" s="10" t="n"/>
      <c r="O284" s="10" t="n"/>
      <c r="P284" s="10" t="n"/>
      <c r="Q284" s="20" t="n"/>
      <c r="R284" s="10" t="n"/>
      <c r="S284" s="10" t="n"/>
      <c r="T284" s="18" t="n"/>
      <c r="U284" s="18" t="n"/>
      <c r="V284" s="10" t="n"/>
      <c r="W284" s="10" t="n"/>
      <c r="X284" s="19">
        <f>IF(OR(A284="",COUNT(U284)=0,COUNT(AI284)=0),"",U284+AI284)</f>
        <v/>
      </c>
      <c r="Y284" s="16" t="n"/>
      <c r="Z284" s="12" t="n"/>
      <c r="AA284" s="17">
        <f>IF(COUNT(J284)=0,"",IF(H284=0,"n.a.",J284/H284))</f>
        <v/>
      </c>
      <c r="AB284" s="12" t="n"/>
      <c r="AC284" s="12" t="n"/>
      <c r="AD284" s="12" t="n"/>
      <c r="AE284" s="13">
        <f>IF(OR(COUNT(J284)=0,COUNT(AB284:AD284)&lt;3),"",ROUND(J284-SUM(AB284:AD284),2))</f>
        <v/>
      </c>
      <c r="AF284" s="15">
        <f>IF(COUNT(AE284)=0,"",IF(Z284=0,"n.a.",AE284/Z284))</f>
        <v/>
      </c>
      <c r="AG284" s="12" t="n"/>
      <c r="AH284" s="14">
        <f>IF(OR(A284="",COUNT(Z284)=0,COUNT(AG284)=0),"",ROUND(Z284-AG284,2))</f>
        <v/>
      </c>
      <c r="AI284" s="21" t="n"/>
      <c r="AJ284" s="11">
        <f>IF(A284="","",IF(COUNT(I284)=0,"Enter approved NTE",IF(COUNT(Z284)&gt;0,IF(Z284&gt;I284,"Invoice exceeds NTE","Invoice within NTE"),IF(COUNT(L284)=0,"Enter quote inputs",IF(L284&gt;I284,"Quote exceeds NTE","Quote within NTE")))))</f>
        <v/>
      </c>
      <c r="AK284" s="11">
        <f>IF(A284="","",IF(COUNT(H284)=0,"Enter direct cost",IF(COUNT(Z284)=0,"Enter invoice revenue",IF(COUNT(AB284:AD284)&lt;3,"Enter expenses (0 if none)","Complete"))))</f>
        <v/>
      </c>
      <c r="AL284" s="11">
        <f>IF(A284="","",IF(NOT(AND(COUNT(AH284)=1,N(AH284)&gt;0.004,V284&lt;&gt;"Void",V284&lt;&gt;"Not invoiced",V284&lt;&gt;"Draft")),"",IF(COUNT(X284)=0,"No due date",IF(TODAY()-X284&lt;=0,"Not yet due",IF(TODAY()-X284&lt;=30,"1-30 days",IF(TODAY()-X284&lt;=60,"31-60 days",IF(TODAY()-X284&lt;=90,"61-90 days","Over 90 days")))))))</f>
        <v/>
      </c>
      <c r="AM284" s="49">
        <f>IF(OR(AL284="",AL284="No due date"),"",MAX(TODAY()-X284,0))</f>
        <v/>
      </c>
      <c r="AN284" s="49">
        <f>IF(AL284="","",IF(COUNT(X284)=0,-100000,TODAY()-X284))</f>
        <v/>
      </c>
      <c r="AO284" s="49">
        <f>IF(AN284="","",COUNTIF(AN$11:AN$1010,"&gt;"&amp;AN284)+COUNTIF(AN$11:AN284,AN284))</f>
        <v/>
      </c>
      <c r="AP284" s="49">
        <f>IF(OR(A284="",B284=""),"",IF(COUNTIF(B$11:B284,B284)=1,MAX(AP$10:AP283)+1,""))</f>
        <v/>
      </c>
    </row>
    <row r="285" ht="24" customHeight="1">
      <c r="A285" s="20" t="n"/>
      <c r="B285" s="10" t="n"/>
      <c r="C285" s="10" t="n"/>
      <c r="D285" s="10" t="n"/>
      <c r="E285" s="10" t="n"/>
      <c r="F285" s="18" t="n"/>
      <c r="G285" s="10" t="n"/>
      <c r="H285" s="12" t="n"/>
      <c r="I285" s="12" t="n"/>
      <c r="J285" s="13">
        <f>IF(OR(A285="",COUNT(H285)=0,COUNT(Z285)=0),"",ROUND(Z285-H285,2))</f>
        <v/>
      </c>
      <c r="K285" s="15">
        <f>IF(COUNT(J285)=0,"",IF(Z285=0,"n.a.",J285/Z285))</f>
        <v/>
      </c>
      <c r="L285" s="14">
        <f>IF(OR(A285="",COUNT(H285)=0,COUNT(Y285)=0),"",ROUND(H285*(1+Y285),2))</f>
        <v/>
      </c>
      <c r="M285" s="10" t="n"/>
      <c r="N285" s="10" t="n"/>
      <c r="O285" s="10" t="n"/>
      <c r="P285" s="10" t="n"/>
      <c r="Q285" s="20" t="n"/>
      <c r="R285" s="10" t="n"/>
      <c r="S285" s="10" t="n"/>
      <c r="T285" s="18" t="n"/>
      <c r="U285" s="18" t="n"/>
      <c r="V285" s="10" t="n"/>
      <c r="W285" s="10" t="n"/>
      <c r="X285" s="19">
        <f>IF(OR(A285="",COUNT(U285)=0,COUNT(AI285)=0),"",U285+AI285)</f>
        <v/>
      </c>
      <c r="Y285" s="16" t="n"/>
      <c r="Z285" s="12" t="n"/>
      <c r="AA285" s="17">
        <f>IF(COUNT(J285)=0,"",IF(H285=0,"n.a.",J285/H285))</f>
        <v/>
      </c>
      <c r="AB285" s="12" t="n"/>
      <c r="AC285" s="12" t="n"/>
      <c r="AD285" s="12" t="n"/>
      <c r="AE285" s="13">
        <f>IF(OR(COUNT(J285)=0,COUNT(AB285:AD285)&lt;3),"",ROUND(J285-SUM(AB285:AD285),2))</f>
        <v/>
      </c>
      <c r="AF285" s="15">
        <f>IF(COUNT(AE285)=0,"",IF(Z285=0,"n.a.",AE285/Z285))</f>
        <v/>
      </c>
      <c r="AG285" s="12" t="n"/>
      <c r="AH285" s="14">
        <f>IF(OR(A285="",COUNT(Z285)=0,COUNT(AG285)=0),"",ROUND(Z285-AG285,2))</f>
        <v/>
      </c>
      <c r="AI285" s="21" t="n"/>
      <c r="AJ285" s="11">
        <f>IF(A285="","",IF(COUNT(I285)=0,"Enter approved NTE",IF(COUNT(Z285)&gt;0,IF(Z285&gt;I285,"Invoice exceeds NTE","Invoice within NTE"),IF(COUNT(L285)=0,"Enter quote inputs",IF(L285&gt;I285,"Quote exceeds NTE","Quote within NTE")))))</f>
        <v/>
      </c>
      <c r="AK285" s="11">
        <f>IF(A285="","",IF(COUNT(H285)=0,"Enter direct cost",IF(COUNT(Z285)=0,"Enter invoice revenue",IF(COUNT(AB285:AD285)&lt;3,"Enter expenses (0 if none)","Complete"))))</f>
        <v/>
      </c>
      <c r="AL285" s="11">
        <f>IF(A285="","",IF(NOT(AND(COUNT(AH285)=1,N(AH285)&gt;0.004,V285&lt;&gt;"Void",V285&lt;&gt;"Not invoiced",V285&lt;&gt;"Draft")),"",IF(COUNT(X285)=0,"No due date",IF(TODAY()-X285&lt;=0,"Not yet due",IF(TODAY()-X285&lt;=30,"1-30 days",IF(TODAY()-X285&lt;=60,"31-60 days",IF(TODAY()-X285&lt;=90,"61-90 days","Over 90 days")))))))</f>
        <v/>
      </c>
      <c r="AM285" s="49">
        <f>IF(OR(AL285="",AL285="No due date"),"",MAX(TODAY()-X285,0))</f>
        <v/>
      </c>
      <c r="AN285" s="49">
        <f>IF(AL285="","",IF(COUNT(X285)=0,-100000,TODAY()-X285))</f>
        <v/>
      </c>
      <c r="AO285" s="49">
        <f>IF(AN285="","",COUNTIF(AN$11:AN$1010,"&gt;"&amp;AN285)+COUNTIF(AN$11:AN285,AN285))</f>
        <v/>
      </c>
      <c r="AP285" s="49">
        <f>IF(OR(A285="",B285=""),"",IF(COUNTIF(B$11:B285,B285)=1,MAX(AP$10:AP284)+1,""))</f>
        <v/>
      </c>
    </row>
    <row r="286" ht="24" customHeight="1">
      <c r="A286" s="20" t="n"/>
      <c r="B286" s="10" t="n"/>
      <c r="C286" s="10" t="n"/>
      <c r="D286" s="10" t="n"/>
      <c r="E286" s="10" t="n"/>
      <c r="F286" s="18" t="n"/>
      <c r="G286" s="10" t="n"/>
      <c r="H286" s="12" t="n"/>
      <c r="I286" s="12" t="n"/>
      <c r="J286" s="13">
        <f>IF(OR(A286="",COUNT(H286)=0,COUNT(Z286)=0),"",ROUND(Z286-H286,2))</f>
        <v/>
      </c>
      <c r="K286" s="15">
        <f>IF(COUNT(J286)=0,"",IF(Z286=0,"n.a.",J286/Z286))</f>
        <v/>
      </c>
      <c r="L286" s="14">
        <f>IF(OR(A286="",COUNT(H286)=0,COUNT(Y286)=0),"",ROUND(H286*(1+Y286),2))</f>
        <v/>
      </c>
      <c r="M286" s="10" t="n"/>
      <c r="N286" s="10" t="n"/>
      <c r="O286" s="10" t="n"/>
      <c r="P286" s="10" t="n"/>
      <c r="Q286" s="20" t="n"/>
      <c r="R286" s="10" t="n"/>
      <c r="S286" s="10" t="n"/>
      <c r="T286" s="18" t="n"/>
      <c r="U286" s="18" t="n"/>
      <c r="V286" s="10" t="n"/>
      <c r="W286" s="10" t="n"/>
      <c r="X286" s="19">
        <f>IF(OR(A286="",COUNT(U286)=0,COUNT(AI286)=0),"",U286+AI286)</f>
        <v/>
      </c>
      <c r="Y286" s="16" t="n"/>
      <c r="Z286" s="12" t="n"/>
      <c r="AA286" s="17">
        <f>IF(COUNT(J286)=0,"",IF(H286=0,"n.a.",J286/H286))</f>
        <v/>
      </c>
      <c r="AB286" s="12" t="n"/>
      <c r="AC286" s="12" t="n"/>
      <c r="AD286" s="12" t="n"/>
      <c r="AE286" s="13">
        <f>IF(OR(COUNT(J286)=0,COUNT(AB286:AD286)&lt;3),"",ROUND(J286-SUM(AB286:AD286),2))</f>
        <v/>
      </c>
      <c r="AF286" s="15">
        <f>IF(COUNT(AE286)=0,"",IF(Z286=0,"n.a.",AE286/Z286))</f>
        <v/>
      </c>
      <c r="AG286" s="12" t="n"/>
      <c r="AH286" s="14">
        <f>IF(OR(A286="",COUNT(Z286)=0,COUNT(AG286)=0),"",ROUND(Z286-AG286,2))</f>
        <v/>
      </c>
      <c r="AI286" s="21" t="n"/>
      <c r="AJ286" s="11">
        <f>IF(A286="","",IF(COUNT(I286)=0,"Enter approved NTE",IF(COUNT(Z286)&gt;0,IF(Z286&gt;I286,"Invoice exceeds NTE","Invoice within NTE"),IF(COUNT(L286)=0,"Enter quote inputs",IF(L286&gt;I286,"Quote exceeds NTE","Quote within NTE")))))</f>
        <v/>
      </c>
      <c r="AK286" s="11">
        <f>IF(A286="","",IF(COUNT(H286)=0,"Enter direct cost",IF(COUNT(Z286)=0,"Enter invoice revenue",IF(COUNT(AB286:AD286)&lt;3,"Enter expenses (0 if none)","Complete"))))</f>
        <v/>
      </c>
      <c r="AL286" s="11">
        <f>IF(A286="","",IF(NOT(AND(COUNT(AH286)=1,N(AH286)&gt;0.004,V286&lt;&gt;"Void",V286&lt;&gt;"Not invoiced",V286&lt;&gt;"Draft")),"",IF(COUNT(X286)=0,"No due date",IF(TODAY()-X286&lt;=0,"Not yet due",IF(TODAY()-X286&lt;=30,"1-30 days",IF(TODAY()-X286&lt;=60,"31-60 days",IF(TODAY()-X286&lt;=90,"61-90 days","Over 90 days")))))))</f>
        <v/>
      </c>
      <c r="AM286" s="49">
        <f>IF(OR(AL286="",AL286="No due date"),"",MAX(TODAY()-X286,0))</f>
        <v/>
      </c>
      <c r="AN286" s="49">
        <f>IF(AL286="","",IF(COUNT(X286)=0,-100000,TODAY()-X286))</f>
        <v/>
      </c>
      <c r="AO286" s="49">
        <f>IF(AN286="","",COUNTIF(AN$11:AN$1010,"&gt;"&amp;AN286)+COUNTIF(AN$11:AN286,AN286))</f>
        <v/>
      </c>
      <c r="AP286" s="49">
        <f>IF(OR(A286="",B286=""),"",IF(COUNTIF(B$11:B286,B286)=1,MAX(AP$10:AP285)+1,""))</f>
        <v/>
      </c>
    </row>
    <row r="287" ht="24" customHeight="1">
      <c r="A287" s="20" t="n"/>
      <c r="B287" s="10" t="n"/>
      <c r="C287" s="10" t="n"/>
      <c r="D287" s="10" t="n"/>
      <c r="E287" s="10" t="n"/>
      <c r="F287" s="18" t="n"/>
      <c r="G287" s="10" t="n"/>
      <c r="H287" s="12" t="n"/>
      <c r="I287" s="12" t="n"/>
      <c r="J287" s="13">
        <f>IF(OR(A287="",COUNT(H287)=0,COUNT(Z287)=0),"",ROUND(Z287-H287,2))</f>
        <v/>
      </c>
      <c r="K287" s="15">
        <f>IF(COUNT(J287)=0,"",IF(Z287=0,"n.a.",J287/Z287))</f>
        <v/>
      </c>
      <c r="L287" s="14">
        <f>IF(OR(A287="",COUNT(H287)=0,COUNT(Y287)=0),"",ROUND(H287*(1+Y287),2))</f>
        <v/>
      </c>
      <c r="M287" s="10" t="n"/>
      <c r="N287" s="10" t="n"/>
      <c r="O287" s="10" t="n"/>
      <c r="P287" s="10" t="n"/>
      <c r="Q287" s="20" t="n"/>
      <c r="R287" s="10" t="n"/>
      <c r="S287" s="10" t="n"/>
      <c r="T287" s="18" t="n"/>
      <c r="U287" s="18" t="n"/>
      <c r="V287" s="10" t="n"/>
      <c r="W287" s="10" t="n"/>
      <c r="X287" s="19">
        <f>IF(OR(A287="",COUNT(U287)=0,COUNT(AI287)=0),"",U287+AI287)</f>
        <v/>
      </c>
      <c r="Y287" s="16" t="n"/>
      <c r="Z287" s="12" t="n"/>
      <c r="AA287" s="17">
        <f>IF(COUNT(J287)=0,"",IF(H287=0,"n.a.",J287/H287))</f>
        <v/>
      </c>
      <c r="AB287" s="12" t="n"/>
      <c r="AC287" s="12" t="n"/>
      <c r="AD287" s="12" t="n"/>
      <c r="AE287" s="13">
        <f>IF(OR(COUNT(J287)=0,COUNT(AB287:AD287)&lt;3),"",ROUND(J287-SUM(AB287:AD287),2))</f>
        <v/>
      </c>
      <c r="AF287" s="15">
        <f>IF(COUNT(AE287)=0,"",IF(Z287=0,"n.a.",AE287/Z287))</f>
        <v/>
      </c>
      <c r="AG287" s="12" t="n"/>
      <c r="AH287" s="14">
        <f>IF(OR(A287="",COUNT(Z287)=0,COUNT(AG287)=0),"",ROUND(Z287-AG287,2))</f>
        <v/>
      </c>
      <c r="AI287" s="21" t="n"/>
      <c r="AJ287" s="11">
        <f>IF(A287="","",IF(COUNT(I287)=0,"Enter approved NTE",IF(COUNT(Z287)&gt;0,IF(Z287&gt;I287,"Invoice exceeds NTE","Invoice within NTE"),IF(COUNT(L287)=0,"Enter quote inputs",IF(L287&gt;I287,"Quote exceeds NTE","Quote within NTE")))))</f>
        <v/>
      </c>
      <c r="AK287" s="11">
        <f>IF(A287="","",IF(COUNT(H287)=0,"Enter direct cost",IF(COUNT(Z287)=0,"Enter invoice revenue",IF(COUNT(AB287:AD287)&lt;3,"Enter expenses (0 if none)","Complete"))))</f>
        <v/>
      </c>
      <c r="AL287" s="11">
        <f>IF(A287="","",IF(NOT(AND(COUNT(AH287)=1,N(AH287)&gt;0.004,V287&lt;&gt;"Void",V287&lt;&gt;"Not invoiced",V287&lt;&gt;"Draft")),"",IF(COUNT(X287)=0,"No due date",IF(TODAY()-X287&lt;=0,"Not yet due",IF(TODAY()-X287&lt;=30,"1-30 days",IF(TODAY()-X287&lt;=60,"31-60 days",IF(TODAY()-X287&lt;=90,"61-90 days","Over 90 days")))))))</f>
        <v/>
      </c>
      <c r="AM287" s="49">
        <f>IF(OR(AL287="",AL287="No due date"),"",MAX(TODAY()-X287,0))</f>
        <v/>
      </c>
      <c r="AN287" s="49">
        <f>IF(AL287="","",IF(COUNT(X287)=0,-100000,TODAY()-X287))</f>
        <v/>
      </c>
      <c r="AO287" s="49">
        <f>IF(AN287="","",COUNTIF(AN$11:AN$1010,"&gt;"&amp;AN287)+COUNTIF(AN$11:AN287,AN287))</f>
        <v/>
      </c>
      <c r="AP287" s="49">
        <f>IF(OR(A287="",B287=""),"",IF(COUNTIF(B$11:B287,B287)=1,MAX(AP$10:AP286)+1,""))</f>
        <v/>
      </c>
    </row>
    <row r="288" ht="24" customHeight="1">
      <c r="A288" s="20" t="n"/>
      <c r="B288" s="10" t="n"/>
      <c r="C288" s="10" t="n"/>
      <c r="D288" s="10" t="n"/>
      <c r="E288" s="10" t="n"/>
      <c r="F288" s="18" t="n"/>
      <c r="G288" s="10" t="n"/>
      <c r="H288" s="12" t="n"/>
      <c r="I288" s="12" t="n"/>
      <c r="J288" s="13">
        <f>IF(OR(A288="",COUNT(H288)=0,COUNT(Z288)=0),"",ROUND(Z288-H288,2))</f>
        <v/>
      </c>
      <c r="K288" s="15">
        <f>IF(COUNT(J288)=0,"",IF(Z288=0,"n.a.",J288/Z288))</f>
        <v/>
      </c>
      <c r="L288" s="14">
        <f>IF(OR(A288="",COUNT(H288)=0,COUNT(Y288)=0),"",ROUND(H288*(1+Y288),2))</f>
        <v/>
      </c>
      <c r="M288" s="10" t="n"/>
      <c r="N288" s="10" t="n"/>
      <c r="O288" s="10" t="n"/>
      <c r="P288" s="10" t="n"/>
      <c r="Q288" s="20" t="n"/>
      <c r="R288" s="10" t="n"/>
      <c r="S288" s="10" t="n"/>
      <c r="T288" s="18" t="n"/>
      <c r="U288" s="18" t="n"/>
      <c r="V288" s="10" t="n"/>
      <c r="W288" s="10" t="n"/>
      <c r="X288" s="19">
        <f>IF(OR(A288="",COUNT(U288)=0,COUNT(AI288)=0),"",U288+AI288)</f>
        <v/>
      </c>
      <c r="Y288" s="16" t="n"/>
      <c r="Z288" s="12" t="n"/>
      <c r="AA288" s="17">
        <f>IF(COUNT(J288)=0,"",IF(H288=0,"n.a.",J288/H288))</f>
        <v/>
      </c>
      <c r="AB288" s="12" t="n"/>
      <c r="AC288" s="12" t="n"/>
      <c r="AD288" s="12" t="n"/>
      <c r="AE288" s="13">
        <f>IF(OR(COUNT(J288)=0,COUNT(AB288:AD288)&lt;3),"",ROUND(J288-SUM(AB288:AD288),2))</f>
        <v/>
      </c>
      <c r="AF288" s="15">
        <f>IF(COUNT(AE288)=0,"",IF(Z288=0,"n.a.",AE288/Z288))</f>
        <v/>
      </c>
      <c r="AG288" s="12" t="n"/>
      <c r="AH288" s="14">
        <f>IF(OR(A288="",COUNT(Z288)=0,COUNT(AG288)=0),"",ROUND(Z288-AG288,2))</f>
        <v/>
      </c>
      <c r="AI288" s="21" t="n"/>
      <c r="AJ288" s="11">
        <f>IF(A288="","",IF(COUNT(I288)=0,"Enter approved NTE",IF(COUNT(Z288)&gt;0,IF(Z288&gt;I288,"Invoice exceeds NTE","Invoice within NTE"),IF(COUNT(L288)=0,"Enter quote inputs",IF(L288&gt;I288,"Quote exceeds NTE","Quote within NTE")))))</f>
        <v/>
      </c>
      <c r="AK288" s="11">
        <f>IF(A288="","",IF(COUNT(H288)=0,"Enter direct cost",IF(COUNT(Z288)=0,"Enter invoice revenue",IF(COUNT(AB288:AD288)&lt;3,"Enter expenses (0 if none)","Complete"))))</f>
        <v/>
      </c>
      <c r="AL288" s="11">
        <f>IF(A288="","",IF(NOT(AND(COUNT(AH288)=1,N(AH288)&gt;0.004,V288&lt;&gt;"Void",V288&lt;&gt;"Not invoiced",V288&lt;&gt;"Draft")),"",IF(COUNT(X288)=0,"No due date",IF(TODAY()-X288&lt;=0,"Not yet due",IF(TODAY()-X288&lt;=30,"1-30 days",IF(TODAY()-X288&lt;=60,"31-60 days",IF(TODAY()-X288&lt;=90,"61-90 days","Over 90 days")))))))</f>
        <v/>
      </c>
      <c r="AM288" s="49">
        <f>IF(OR(AL288="",AL288="No due date"),"",MAX(TODAY()-X288,0))</f>
        <v/>
      </c>
      <c r="AN288" s="49">
        <f>IF(AL288="","",IF(COUNT(X288)=0,-100000,TODAY()-X288))</f>
        <v/>
      </c>
      <c r="AO288" s="49">
        <f>IF(AN288="","",COUNTIF(AN$11:AN$1010,"&gt;"&amp;AN288)+COUNTIF(AN$11:AN288,AN288))</f>
        <v/>
      </c>
      <c r="AP288" s="49">
        <f>IF(OR(A288="",B288=""),"",IF(COUNTIF(B$11:B288,B288)=1,MAX(AP$10:AP287)+1,""))</f>
        <v/>
      </c>
    </row>
    <row r="289" ht="24" customHeight="1">
      <c r="A289" s="20" t="n"/>
      <c r="B289" s="10" t="n"/>
      <c r="C289" s="10" t="n"/>
      <c r="D289" s="10" t="n"/>
      <c r="E289" s="10" t="n"/>
      <c r="F289" s="18" t="n"/>
      <c r="G289" s="10" t="n"/>
      <c r="H289" s="12" t="n"/>
      <c r="I289" s="12" t="n"/>
      <c r="J289" s="13">
        <f>IF(OR(A289="",COUNT(H289)=0,COUNT(Z289)=0),"",ROUND(Z289-H289,2))</f>
        <v/>
      </c>
      <c r="K289" s="15">
        <f>IF(COUNT(J289)=0,"",IF(Z289=0,"n.a.",J289/Z289))</f>
        <v/>
      </c>
      <c r="L289" s="14">
        <f>IF(OR(A289="",COUNT(H289)=0,COUNT(Y289)=0),"",ROUND(H289*(1+Y289),2))</f>
        <v/>
      </c>
      <c r="M289" s="10" t="n"/>
      <c r="N289" s="10" t="n"/>
      <c r="O289" s="10" t="n"/>
      <c r="P289" s="10" t="n"/>
      <c r="Q289" s="20" t="n"/>
      <c r="R289" s="10" t="n"/>
      <c r="S289" s="10" t="n"/>
      <c r="T289" s="18" t="n"/>
      <c r="U289" s="18" t="n"/>
      <c r="V289" s="10" t="n"/>
      <c r="W289" s="10" t="n"/>
      <c r="X289" s="19">
        <f>IF(OR(A289="",COUNT(U289)=0,COUNT(AI289)=0),"",U289+AI289)</f>
        <v/>
      </c>
      <c r="Y289" s="16" t="n"/>
      <c r="Z289" s="12" t="n"/>
      <c r="AA289" s="17">
        <f>IF(COUNT(J289)=0,"",IF(H289=0,"n.a.",J289/H289))</f>
        <v/>
      </c>
      <c r="AB289" s="12" t="n"/>
      <c r="AC289" s="12" t="n"/>
      <c r="AD289" s="12" t="n"/>
      <c r="AE289" s="13">
        <f>IF(OR(COUNT(J289)=0,COUNT(AB289:AD289)&lt;3),"",ROUND(J289-SUM(AB289:AD289),2))</f>
        <v/>
      </c>
      <c r="AF289" s="15">
        <f>IF(COUNT(AE289)=0,"",IF(Z289=0,"n.a.",AE289/Z289))</f>
        <v/>
      </c>
      <c r="AG289" s="12" t="n"/>
      <c r="AH289" s="14">
        <f>IF(OR(A289="",COUNT(Z289)=0,COUNT(AG289)=0),"",ROUND(Z289-AG289,2))</f>
        <v/>
      </c>
      <c r="AI289" s="21" t="n"/>
      <c r="AJ289" s="11">
        <f>IF(A289="","",IF(COUNT(I289)=0,"Enter approved NTE",IF(COUNT(Z289)&gt;0,IF(Z289&gt;I289,"Invoice exceeds NTE","Invoice within NTE"),IF(COUNT(L289)=0,"Enter quote inputs",IF(L289&gt;I289,"Quote exceeds NTE","Quote within NTE")))))</f>
        <v/>
      </c>
      <c r="AK289" s="11">
        <f>IF(A289="","",IF(COUNT(H289)=0,"Enter direct cost",IF(COUNT(Z289)=0,"Enter invoice revenue",IF(COUNT(AB289:AD289)&lt;3,"Enter expenses (0 if none)","Complete"))))</f>
        <v/>
      </c>
      <c r="AL289" s="11">
        <f>IF(A289="","",IF(NOT(AND(COUNT(AH289)=1,N(AH289)&gt;0.004,V289&lt;&gt;"Void",V289&lt;&gt;"Not invoiced",V289&lt;&gt;"Draft")),"",IF(COUNT(X289)=0,"No due date",IF(TODAY()-X289&lt;=0,"Not yet due",IF(TODAY()-X289&lt;=30,"1-30 days",IF(TODAY()-X289&lt;=60,"31-60 days",IF(TODAY()-X289&lt;=90,"61-90 days","Over 90 days")))))))</f>
        <v/>
      </c>
      <c r="AM289" s="49">
        <f>IF(OR(AL289="",AL289="No due date"),"",MAX(TODAY()-X289,0))</f>
        <v/>
      </c>
      <c r="AN289" s="49">
        <f>IF(AL289="","",IF(COUNT(X289)=0,-100000,TODAY()-X289))</f>
        <v/>
      </c>
      <c r="AO289" s="49">
        <f>IF(AN289="","",COUNTIF(AN$11:AN$1010,"&gt;"&amp;AN289)+COUNTIF(AN$11:AN289,AN289))</f>
        <v/>
      </c>
      <c r="AP289" s="49">
        <f>IF(OR(A289="",B289=""),"",IF(COUNTIF(B$11:B289,B289)=1,MAX(AP$10:AP288)+1,""))</f>
        <v/>
      </c>
    </row>
    <row r="290" ht="24" customHeight="1">
      <c r="A290" s="20" t="n"/>
      <c r="B290" s="10" t="n"/>
      <c r="C290" s="10" t="n"/>
      <c r="D290" s="10" t="n"/>
      <c r="E290" s="10" t="n"/>
      <c r="F290" s="18" t="n"/>
      <c r="G290" s="10" t="n"/>
      <c r="H290" s="12" t="n"/>
      <c r="I290" s="12" t="n"/>
      <c r="J290" s="13">
        <f>IF(OR(A290="",COUNT(H290)=0,COUNT(Z290)=0),"",ROUND(Z290-H290,2))</f>
        <v/>
      </c>
      <c r="K290" s="15">
        <f>IF(COUNT(J290)=0,"",IF(Z290=0,"n.a.",J290/Z290))</f>
        <v/>
      </c>
      <c r="L290" s="14">
        <f>IF(OR(A290="",COUNT(H290)=0,COUNT(Y290)=0),"",ROUND(H290*(1+Y290),2))</f>
        <v/>
      </c>
      <c r="M290" s="10" t="n"/>
      <c r="N290" s="10" t="n"/>
      <c r="O290" s="10" t="n"/>
      <c r="P290" s="10" t="n"/>
      <c r="Q290" s="20" t="n"/>
      <c r="R290" s="10" t="n"/>
      <c r="S290" s="10" t="n"/>
      <c r="T290" s="18" t="n"/>
      <c r="U290" s="18" t="n"/>
      <c r="V290" s="10" t="n"/>
      <c r="W290" s="10" t="n"/>
      <c r="X290" s="19">
        <f>IF(OR(A290="",COUNT(U290)=0,COUNT(AI290)=0),"",U290+AI290)</f>
        <v/>
      </c>
      <c r="Y290" s="16" t="n"/>
      <c r="Z290" s="12" t="n"/>
      <c r="AA290" s="17">
        <f>IF(COUNT(J290)=0,"",IF(H290=0,"n.a.",J290/H290))</f>
        <v/>
      </c>
      <c r="AB290" s="12" t="n"/>
      <c r="AC290" s="12" t="n"/>
      <c r="AD290" s="12" t="n"/>
      <c r="AE290" s="13">
        <f>IF(OR(COUNT(J290)=0,COUNT(AB290:AD290)&lt;3),"",ROUND(J290-SUM(AB290:AD290),2))</f>
        <v/>
      </c>
      <c r="AF290" s="15">
        <f>IF(COUNT(AE290)=0,"",IF(Z290=0,"n.a.",AE290/Z290))</f>
        <v/>
      </c>
      <c r="AG290" s="12" t="n"/>
      <c r="AH290" s="14">
        <f>IF(OR(A290="",COUNT(Z290)=0,COUNT(AG290)=0),"",ROUND(Z290-AG290,2))</f>
        <v/>
      </c>
      <c r="AI290" s="21" t="n"/>
      <c r="AJ290" s="11">
        <f>IF(A290="","",IF(COUNT(I290)=0,"Enter approved NTE",IF(COUNT(Z290)&gt;0,IF(Z290&gt;I290,"Invoice exceeds NTE","Invoice within NTE"),IF(COUNT(L290)=0,"Enter quote inputs",IF(L290&gt;I290,"Quote exceeds NTE","Quote within NTE")))))</f>
        <v/>
      </c>
      <c r="AK290" s="11">
        <f>IF(A290="","",IF(COUNT(H290)=0,"Enter direct cost",IF(COUNT(Z290)=0,"Enter invoice revenue",IF(COUNT(AB290:AD290)&lt;3,"Enter expenses (0 if none)","Complete"))))</f>
        <v/>
      </c>
      <c r="AL290" s="11">
        <f>IF(A290="","",IF(NOT(AND(COUNT(AH290)=1,N(AH290)&gt;0.004,V290&lt;&gt;"Void",V290&lt;&gt;"Not invoiced",V290&lt;&gt;"Draft")),"",IF(COUNT(X290)=0,"No due date",IF(TODAY()-X290&lt;=0,"Not yet due",IF(TODAY()-X290&lt;=30,"1-30 days",IF(TODAY()-X290&lt;=60,"31-60 days",IF(TODAY()-X290&lt;=90,"61-90 days","Over 90 days")))))))</f>
        <v/>
      </c>
      <c r="AM290" s="49">
        <f>IF(OR(AL290="",AL290="No due date"),"",MAX(TODAY()-X290,0))</f>
        <v/>
      </c>
      <c r="AN290" s="49">
        <f>IF(AL290="","",IF(COUNT(X290)=0,-100000,TODAY()-X290))</f>
        <v/>
      </c>
      <c r="AO290" s="49">
        <f>IF(AN290="","",COUNTIF(AN$11:AN$1010,"&gt;"&amp;AN290)+COUNTIF(AN$11:AN290,AN290))</f>
        <v/>
      </c>
      <c r="AP290" s="49">
        <f>IF(OR(A290="",B290=""),"",IF(COUNTIF(B$11:B290,B290)=1,MAX(AP$10:AP289)+1,""))</f>
        <v/>
      </c>
    </row>
    <row r="291" ht="24" customHeight="1">
      <c r="A291" s="20" t="n"/>
      <c r="B291" s="10" t="n"/>
      <c r="C291" s="10" t="n"/>
      <c r="D291" s="10" t="n"/>
      <c r="E291" s="10" t="n"/>
      <c r="F291" s="18" t="n"/>
      <c r="G291" s="10" t="n"/>
      <c r="H291" s="12" t="n"/>
      <c r="I291" s="12" t="n"/>
      <c r="J291" s="13">
        <f>IF(OR(A291="",COUNT(H291)=0,COUNT(Z291)=0),"",ROUND(Z291-H291,2))</f>
        <v/>
      </c>
      <c r="K291" s="15">
        <f>IF(COUNT(J291)=0,"",IF(Z291=0,"n.a.",J291/Z291))</f>
        <v/>
      </c>
      <c r="L291" s="14">
        <f>IF(OR(A291="",COUNT(H291)=0,COUNT(Y291)=0),"",ROUND(H291*(1+Y291),2))</f>
        <v/>
      </c>
      <c r="M291" s="10" t="n"/>
      <c r="N291" s="10" t="n"/>
      <c r="O291" s="10" t="n"/>
      <c r="P291" s="10" t="n"/>
      <c r="Q291" s="20" t="n"/>
      <c r="R291" s="10" t="n"/>
      <c r="S291" s="10" t="n"/>
      <c r="T291" s="18" t="n"/>
      <c r="U291" s="18" t="n"/>
      <c r="V291" s="10" t="n"/>
      <c r="W291" s="10" t="n"/>
      <c r="X291" s="19">
        <f>IF(OR(A291="",COUNT(U291)=0,COUNT(AI291)=0),"",U291+AI291)</f>
        <v/>
      </c>
      <c r="Y291" s="16" t="n"/>
      <c r="Z291" s="12" t="n"/>
      <c r="AA291" s="17">
        <f>IF(COUNT(J291)=0,"",IF(H291=0,"n.a.",J291/H291))</f>
        <v/>
      </c>
      <c r="AB291" s="12" t="n"/>
      <c r="AC291" s="12" t="n"/>
      <c r="AD291" s="12" t="n"/>
      <c r="AE291" s="13">
        <f>IF(OR(COUNT(J291)=0,COUNT(AB291:AD291)&lt;3),"",ROUND(J291-SUM(AB291:AD291),2))</f>
        <v/>
      </c>
      <c r="AF291" s="15">
        <f>IF(COUNT(AE291)=0,"",IF(Z291=0,"n.a.",AE291/Z291))</f>
        <v/>
      </c>
      <c r="AG291" s="12" t="n"/>
      <c r="AH291" s="14">
        <f>IF(OR(A291="",COUNT(Z291)=0,COUNT(AG291)=0),"",ROUND(Z291-AG291,2))</f>
        <v/>
      </c>
      <c r="AI291" s="21" t="n"/>
      <c r="AJ291" s="11">
        <f>IF(A291="","",IF(COUNT(I291)=0,"Enter approved NTE",IF(COUNT(Z291)&gt;0,IF(Z291&gt;I291,"Invoice exceeds NTE","Invoice within NTE"),IF(COUNT(L291)=0,"Enter quote inputs",IF(L291&gt;I291,"Quote exceeds NTE","Quote within NTE")))))</f>
        <v/>
      </c>
      <c r="AK291" s="11">
        <f>IF(A291="","",IF(COUNT(H291)=0,"Enter direct cost",IF(COUNT(Z291)=0,"Enter invoice revenue",IF(COUNT(AB291:AD291)&lt;3,"Enter expenses (0 if none)","Complete"))))</f>
        <v/>
      </c>
      <c r="AL291" s="11">
        <f>IF(A291="","",IF(NOT(AND(COUNT(AH291)=1,N(AH291)&gt;0.004,V291&lt;&gt;"Void",V291&lt;&gt;"Not invoiced",V291&lt;&gt;"Draft")),"",IF(COUNT(X291)=0,"No due date",IF(TODAY()-X291&lt;=0,"Not yet due",IF(TODAY()-X291&lt;=30,"1-30 days",IF(TODAY()-X291&lt;=60,"31-60 days",IF(TODAY()-X291&lt;=90,"61-90 days","Over 90 days")))))))</f>
        <v/>
      </c>
      <c r="AM291" s="49">
        <f>IF(OR(AL291="",AL291="No due date"),"",MAX(TODAY()-X291,0))</f>
        <v/>
      </c>
      <c r="AN291" s="49">
        <f>IF(AL291="","",IF(COUNT(X291)=0,-100000,TODAY()-X291))</f>
        <v/>
      </c>
      <c r="AO291" s="49">
        <f>IF(AN291="","",COUNTIF(AN$11:AN$1010,"&gt;"&amp;AN291)+COUNTIF(AN$11:AN291,AN291))</f>
        <v/>
      </c>
      <c r="AP291" s="49">
        <f>IF(OR(A291="",B291=""),"",IF(COUNTIF(B$11:B291,B291)=1,MAX(AP$10:AP290)+1,""))</f>
        <v/>
      </c>
    </row>
    <row r="292" ht="24" customHeight="1">
      <c r="A292" s="20" t="n"/>
      <c r="B292" s="10" t="n"/>
      <c r="C292" s="10" t="n"/>
      <c r="D292" s="10" t="n"/>
      <c r="E292" s="10" t="n"/>
      <c r="F292" s="18" t="n"/>
      <c r="G292" s="10" t="n"/>
      <c r="H292" s="12" t="n"/>
      <c r="I292" s="12" t="n"/>
      <c r="J292" s="13">
        <f>IF(OR(A292="",COUNT(H292)=0,COUNT(Z292)=0),"",ROUND(Z292-H292,2))</f>
        <v/>
      </c>
      <c r="K292" s="15">
        <f>IF(COUNT(J292)=0,"",IF(Z292=0,"n.a.",J292/Z292))</f>
        <v/>
      </c>
      <c r="L292" s="14">
        <f>IF(OR(A292="",COUNT(H292)=0,COUNT(Y292)=0),"",ROUND(H292*(1+Y292),2))</f>
        <v/>
      </c>
      <c r="M292" s="10" t="n"/>
      <c r="N292" s="10" t="n"/>
      <c r="O292" s="10" t="n"/>
      <c r="P292" s="10" t="n"/>
      <c r="Q292" s="20" t="n"/>
      <c r="R292" s="10" t="n"/>
      <c r="S292" s="10" t="n"/>
      <c r="T292" s="18" t="n"/>
      <c r="U292" s="18" t="n"/>
      <c r="V292" s="10" t="n"/>
      <c r="W292" s="10" t="n"/>
      <c r="X292" s="19">
        <f>IF(OR(A292="",COUNT(U292)=0,COUNT(AI292)=0),"",U292+AI292)</f>
        <v/>
      </c>
      <c r="Y292" s="16" t="n"/>
      <c r="Z292" s="12" t="n"/>
      <c r="AA292" s="17">
        <f>IF(COUNT(J292)=0,"",IF(H292=0,"n.a.",J292/H292))</f>
        <v/>
      </c>
      <c r="AB292" s="12" t="n"/>
      <c r="AC292" s="12" t="n"/>
      <c r="AD292" s="12" t="n"/>
      <c r="AE292" s="13">
        <f>IF(OR(COUNT(J292)=0,COUNT(AB292:AD292)&lt;3),"",ROUND(J292-SUM(AB292:AD292),2))</f>
        <v/>
      </c>
      <c r="AF292" s="15">
        <f>IF(COUNT(AE292)=0,"",IF(Z292=0,"n.a.",AE292/Z292))</f>
        <v/>
      </c>
      <c r="AG292" s="12" t="n"/>
      <c r="AH292" s="14">
        <f>IF(OR(A292="",COUNT(Z292)=0,COUNT(AG292)=0),"",ROUND(Z292-AG292,2))</f>
        <v/>
      </c>
      <c r="AI292" s="21" t="n"/>
      <c r="AJ292" s="11">
        <f>IF(A292="","",IF(COUNT(I292)=0,"Enter approved NTE",IF(COUNT(Z292)&gt;0,IF(Z292&gt;I292,"Invoice exceeds NTE","Invoice within NTE"),IF(COUNT(L292)=0,"Enter quote inputs",IF(L292&gt;I292,"Quote exceeds NTE","Quote within NTE")))))</f>
        <v/>
      </c>
      <c r="AK292" s="11">
        <f>IF(A292="","",IF(COUNT(H292)=0,"Enter direct cost",IF(COUNT(Z292)=0,"Enter invoice revenue",IF(COUNT(AB292:AD292)&lt;3,"Enter expenses (0 if none)","Complete"))))</f>
        <v/>
      </c>
      <c r="AL292" s="11">
        <f>IF(A292="","",IF(NOT(AND(COUNT(AH292)=1,N(AH292)&gt;0.004,V292&lt;&gt;"Void",V292&lt;&gt;"Not invoiced",V292&lt;&gt;"Draft")),"",IF(COUNT(X292)=0,"No due date",IF(TODAY()-X292&lt;=0,"Not yet due",IF(TODAY()-X292&lt;=30,"1-30 days",IF(TODAY()-X292&lt;=60,"31-60 days",IF(TODAY()-X292&lt;=90,"61-90 days","Over 90 days")))))))</f>
        <v/>
      </c>
      <c r="AM292" s="49">
        <f>IF(OR(AL292="",AL292="No due date"),"",MAX(TODAY()-X292,0))</f>
        <v/>
      </c>
      <c r="AN292" s="49">
        <f>IF(AL292="","",IF(COUNT(X292)=0,-100000,TODAY()-X292))</f>
        <v/>
      </c>
      <c r="AO292" s="49">
        <f>IF(AN292="","",COUNTIF(AN$11:AN$1010,"&gt;"&amp;AN292)+COUNTIF(AN$11:AN292,AN292))</f>
        <v/>
      </c>
      <c r="AP292" s="49">
        <f>IF(OR(A292="",B292=""),"",IF(COUNTIF(B$11:B292,B292)=1,MAX(AP$10:AP291)+1,""))</f>
        <v/>
      </c>
    </row>
    <row r="293" ht="24" customHeight="1">
      <c r="A293" s="20" t="n"/>
      <c r="B293" s="10" t="n"/>
      <c r="C293" s="10" t="n"/>
      <c r="D293" s="10" t="n"/>
      <c r="E293" s="10" t="n"/>
      <c r="F293" s="18" t="n"/>
      <c r="G293" s="10" t="n"/>
      <c r="H293" s="12" t="n"/>
      <c r="I293" s="12" t="n"/>
      <c r="J293" s="13">
        <f>IF(OR(A293="",COUNT(H293)=0,COUNT(Z293)=0),"",ROUND(Z293-H293,2))</f>
        <v/>
      </c>
      <c r="K293" s="15">
        <f>IF(COUNT(J293)=0,"",IF(Z293=0,"n.a.",J293/Z293))</f>
        <v/>
      </c>
      <c r="L293" s="14">
        <f>IF(OR(A293="",COUNT(H293)=0,COUNT(Y293)=0),"",ROUND(H293*(1+Y293),2))</f>
        <v/>
      </c>
      <c r="M293" s="10" t="n"/>
      <c r="N293" s="10" t="n"/>
      <c r="O293" s="10" t="n"/>
      <c r="P293" s="10" t="n"/>
      <c r="Q293" s="20" t="n"/>
      <c r="R293" s="10" t="n"/>
      <c r="S293" s="10" t="n"/>
      <c r="T293" s="18" t="n"/>
      <c r="U293" s="18" t="n"/>
      <c r="V293" s="10" t="n"/>
      <c r="W293" s="10" t="n"/>
      <c r="X293" s="19">
        <f>IF(OR(A293="",COUNT(U293)=0,COUNT(AI293)=0),"",U293+AI293)</f>
        <v/>
      </c>
      <c r="Y293" s="16" t="n"/>
      <c r="Z293" s="12" t="n"/>
      <c r="AA293" s="17">
        <f>IF(COUNT(J293)=0,"",IF(H293=0,"n.a.",J293/H293))</f>
        <v/>
      </c>
      <c r="AB293" s="12" t="n"/>
      <c r="AC293" s="12" t="n"/>
      <c r="AD293" s="12" t="n"/>
      <c r="AE293" s="13">
        <f>IF(OR(COUNT(J293)=0,COUNT(AB293:AD293)&lt;3),"",ROUND(J293-SUM(AB293:AD293),2))</f>
        <v/>
      </c>
      <c r="AF293" s="15">
        <f>IF(COUNT(AE293)=0,"",IF(Z293=0,"n.a.",AE293/Z293))</f>
        <v/>
      </c>
      <c r="AG293" s="12" t="n"/>
      <c r="AH293" s="14">
        <f>IF(OR(A293="",COUNT(Z293)=0,COUNT(AG293)=0),"",ROUND(Z293-AG293,2))</f>
        <v/>
      </c>
      <c r="AI293" s="21" t="n"/>
      <c r="AJ293" s="11">
        <f>IF(A293="","",IF(COUNT(I293)=0,"Enter approved NTE",IF(COUNT(Z293)&gt;0,IF(Z293&gt;I293,"Invoice exceeds NTE","Invoice within NTE"),IF(COUNT(L293)=0,"Enter quote inputs",IF(L293&gt;I293,"Quote exceeds NTE","Quote within NTE")))))</f>
        <v/>
      </c>
      <c r="AK293" s="11">
        <f>IF(A293="","",IF(COUNT(H293)=0,"Enter direct cost",IF(COUNT(Z293)=0,"Enter invoice revenue",IF(COUNT(AB293:AD293)&lt;3,"Enter expenses (0 if none)","Complete"))))</f>
        <v/>
      </c>
      <c r="AL293" s="11">
        <f>IF(A293="","",IF(NOT(AND(COUNT(AH293)=1,N(AH293)&gt;0.004,V293&lt;&gt;"Void",V293&lt;&gt;"Not invoiced",V293&lt;&gt;"Draft")),"",IF(COUNT(X293)=0,"No due date",IF(TODAY()-X293&lt;=0,"Not yet due",IF(TODAY()-X293&lt;=30,"1-30 days",IF(TODAY()-X293&lt;=60,"31-60 days",IF(TODAY()-X293&lt;=90,"61-90 days","Over 90 days")))))))</f>
        <v/>
      </c>
      <c r="AM293" s="49">
        <f>IF(OR(AL293="",AL293="No due date"),"",MAX(TODAY()-X293,0))</f>
        <v/>
      </c>
      <c r="AN293" s="49">
        <f>IF(AL293="","",IF(COUNT(X293)=0,-100000,TODAY()-X293))</f>
        <v/>
      </c>
      <c r="AO293" s="49">
        <f>IF(AN293="","",COUNTIF(AN$11:AN$1010,"&gt;"&amp;AN293)+COUNTIF(AN$11:AN293,AN293))</f>
        <v/>
      </c>
      <c r="AP293" s="49">
        <f>IF(OR(A293="",B293=""),"",IF(COUNTIF(B$11:B293,B293)=1,MAX(AP$10:AP292)+1,""))</f>
        <v/>
      </c>
    </row>
    <row r="294" ht="24" customHeight="1">
      <c r="A294" s="20" t="n"/>
      <c r="B294" s="10" t="n"/>
      <c r="C294" s="10" t="n"/>
      <c r="D294" s="10" t="n"/>
      <c r="E294" s="10" t="n"/>
      <c r="F294" s="18" t="n"/>
      <c r="G294" s="10" t="n"/>
      <c r="H294" s="12" t="n"/>
      <c r="I294" s="12" t="n"/>
      <c r="J294" s="13">
        <f>IF(OR(A294="",COUNT(H294)=0,COUNT(Z294)=0),"",ROUND(Z294-H294,2))</f>
        <v/>
      </c>
      <c r="K294" s="15">
        <f>IF(COUNT(J294)=0,"",IF(Z294=0,"n.a.",J294/Z294))</f>
        <v/>
      </c>
      <c r="L294" s="14">
        <f>IF(OR(A294="",COUNT(H294)=0,COUNT(Y294)=0),"",ROUND(H294*(1+Y294),2))</f>
        <v/>
      </c>
      <c r="M294" s="10" t="n"/>
      <c r="N294" s="10" t="n"/>
      <c r="O294" s="10" t="n"/>
      <c r="P294" s="10" t="n"/>
      <c r="Q294" s="20" t="n"/>
      <c r="R294" s="10" t="n"/>
      <c r="S294" s="10" t="n"/>
      <c r="T294" s="18" t="n"/>
      <c r="U294" s="18" t="n"/>
      <c r="V294" s="10" t="n"/>
      <c r="W294" s="10" t="n"/>
      <c r="X294" s="19">
        <f>IF(OR(A294="",COUNT(U294)=0,COUNT(AI294)=0),"",U294+AI294)</f>
        <v/>
      </c>
      <c r="Y294" s="16" t="n"/>
      <c r="Z294" s="12" t="n"/>
      <c r="AA294" s="17">
        <f>IF(COUNT(J294)=0,"",IF(H294=0,"n.a.",J294/H294))</f>
        <v/>
      </c>
      <c r="AB294" s="12" t="n"/>
      <c r="AC294" s="12" t="n"/>
      <c r="AD294" s="12" t="n"/>
      <c r="AE294" s="13">
        <f>IF(OR(COUNT(J294)=0,COUNT(AB294:AD294)&lt;3),"",ROUND(J294-SUM(AB294:AD294),2))</f>
        <v/>
      </c>
      <c r="AF294" s="15">
        <f>IF(COUNT(AE294)=0,"",IF(Z294=0,"n.a.",AE294/Z294))</f>
        <v/>
      </c>
      <c r="AG294" s="12" t="n"/>
      <c r="AH294" s="14">
        <f>IF(OR(A294="",COUNT(Z294)=0,COUNT(AG294)=0),"",ROUND(Z294-AG294,2))</f>
        <v/>
      </c>
      <c r="AI294" s="21" t="n"/>
      <c r="AJ294" s="11">
        <f>IF(A294="","",IF(COUNT(I294)=0,"Enter approved NTE",IF(COUNT(Z294)&gt;0,IF(Z294&gt;I294,"Invoice exceeds NTE","Invoice within NTE"),IF(COUNT(L294)=0,"Enter quote inputs",IF(L294&gt;I294,"Quote exceeds NTE","Quote within NTE")))))</f>
        <v/>
      </c>
      <c r="AK294" s="11">
        <f>IF(A294="","",IF(COUNT(H294)=0,"Enter direct cost",IF(COUNT(Z294)=0,"Enter invoice revenue",IF(COUNT(AB294:AD294)&lt;3,"Enter expenses (0 if none)","Complete"))))</f>
        <v/>
      </c>
      <c r="AL294" s="11">
        <f>IF(A294="","",IF(NOT(AND(COUNT(AH294)=1,N(AH294)&gt;0.004,V294&lt;&gt;"Void",V294&lt;&gt;"Not invoiced",V294&lt;&gt;"Draft")),"",IF(COUNT(X294)=0,"No due date",IF(TODAY()-X294&lt;=0,"Not yet due",IF(TODAY()-X294&lt;=30,"1-30 days",IF(TODAY()-X294&lt;=60,"31-60 days",IF(TODAY()-X294&lt;=90,"61-90 days","Over 90 days")))))))</f>
        <v/>
      </c>
      <c r="AM294" s="49">
        <f>IF(OR(AL294="",AL294="No due date"),"",MAX(TODAY()-X294,0))</f>
        <v/>
      </c>
      <c r="AN294" s="49">
        <f>IF(AL294="","",IF(COUNT(X294)=0,-100000,TODAY()-X294))</f>
        <v/>
      </c>
      <c r="AO294" s="49">
        <f>IF(AN294="","",COUNTIF(AN$11:AN$1010,"&gt;"&amp;AN294)+COUNTIF(AN$11:AN294,AN294))</f>
        <v/>
      </c>
      <c r="AP294" s="49">
        <f>IF(OR(A294="",B294=""),"",IF(COUNTIF(B$11:B294,B294)=1,MAX(AP$10:AP293)+1,""))</f>
        <v/>
      </c>
    </row>
    <row r="295" ht="24" customHeight="1">
      <c r="A295" s="20" t="n"/>
      <c r="B295" s="10" t="n"/>
      <c r="C295" s="10" t="n"/>
      <c r="D295" s="10" t="n"/>
      <c r="E295" s="10" t="n"/>
      <c r="F295" s="18" t="n"/>
      <c r="G295" s="10" t="n"/>
      <c r="H295" s="12" t="n"/>
      <c r="I295" s="12" t="n"/>
      <c r="J295" s="13">
        <f>IF(OR(A295="",COUNT(H295)=0,COUNT(Z295)=0),"",ROUND(Z295-H295,2))</f>
        <v/>
      </c>
      <c r="K295" s="15">
        <f>IF(COUNT(J295)=0,"",IF(Z295=0,"n.a.",J295/Z295))</f>
        <v/>
      </c>
      <c r="L295" s="14">
        <f>IF(OR(A295="",COUNT(H295)=0,COUNT(Y295)=0),"",ROUND(H295*(1+Y295),2))</f>
        <v/>
      </c>
      <c r="M295" s="10" t="n"/>
      <c r="N295" s="10" t="n"/>
      <c r="O295" s="10" t="n"/>
      <c r="P295" s="10" t="n"/>
      <c r="Q295" s="20" t="n"/>
      <c r="R295" s="10" t="n"/>
      <c r="S295" s="10" t="n"/>
      <c r="T295" s="18" t="n"/>
      <c r="U295" s="18" t="n"/>
      <c r="V295" s="10" t="n"/>
      <c r="W295" s="10" t="n"/>
      <c r="X295" s="19">
        <f>IF(OR(A295="",COUNT(U295)=0,COUNT(AI295)=0),"",U295+AI295)</f>
        <v/>
      </c>
      <c r="Y295" s="16" t="n"/>
      <c r="Z295" s="12" t="n"/>
      <c r="AA295" s="17">
        <f>IF(COUNT(J295)=0,"",IF(H295=0,"n.a.",J295/H295))</f>
        <v/>
      </c>
      <c r="AB295" s="12" t="n"/>
      <c r="AC295" s="12" t="n"/>
      <c r="AD295" s="12" t="n"/>
      <c r="AE295" s="13">
        <f>IF(OR(COUNT(J295)=0,COUNT(AB295:AD295)&lt;3),"",ROUND(J295-SUM(AB295:AD295),2))</f>
        <v/>
      </c>
      <c r="AF295" s="15">
        <f>IF(COUNT(AE295)=0,"",IF(Z295=0,"n.a.",AE295/Z295))</f>
        <v/>
      </c>
      <c r="AG295" s="12" t="n"/>
      <c r="AH295" s="14">
        <f>IF(OR(A295="",COUNT(Z295)=0,COUNT(AG295)=0),"",ROUND(Z295-AG295,2))</f>
        <v/>
      </c>
      <c r="AI295" s="21" t="n"/>
      <c r="AJ295" s="11">
        <f>IF(A295="","",IF(COUNT(I295)=0,"Enter approved NTE",IF(COUNT(Z295)&gt;0,IF(Z295&gt;I295,"Invoice exceeds NTE","Invoice within NTE"),IF(COUNT(L295)=0,"Enter quote inputs",IF(L295&gt;I295,"Quote exceeds NTE","Quote within NTE")))))</f>
        <v/>
      </c>
      <c r="AK295" s="11">
        <f>IF(A295="","",IF(COUNT(H295)=0,"Enter direct cost",IF(COUNT(Z295)=0,"Enter invoice revenue",IF(COUNT(AB295:AD295)&lt;3,"Enter expenses (0 if none)","Complete"))))</f>
        <v/>
      </c>
      <c r="AL295" s="11">
        <f>IF(A295="","",IF(NOT(AND(COUNT(AH295)=1,N(AH295)&gt;0.004,V295&lt;&gt;"Void",V295&lt;&gt;"Not invoiced",V295&lt;&gt;"Draft")),"",IF(COUNT(X295)=0,"No due date",IF(TODAY()-X295&lt;=0,"Not yet due",IF(TODAY()-X295&lt;=30,"1-30 days",IF(TODAY()-X295&lt;=60,"31-60 days",IF(TODAY()-X295&lt;=90,"61-90 days","Over 90 days")))))))</f>
        <v/>
      </c>
      <c r="AM295" s="49">
        <f>IF(OR(AL295="",AL295="No due date"),"",MAX(TODAY()-X295,0))</f>
        <v/>
      </c>
      <c r="AN295" s="49">
        <f>IF(AL295="","",IF(COUNT(X295)=0,-100000,TODAY()-X295))</f>
        <v/>
      </c>
      <c r="AO295" s="49">
        <f>IF(AN295="","",COUNTIF(AN$11:AN$1010,"&gt;"&amp;AN295)+COUNTIF(AN$11:AN295,AN295))</f>
        <v/>
      </c>
      <c r="AP295" s="49">
        <f>IF(OR(A295="",B295=""),"",IF(COUNTIF(B$11:B295,B295)=1,MAX(AP$10:AP294)+1,""))</f>
        <v/>
      </c>
    </row>
    <row r="296" ht="24" customHeight="1">
      <c r="A296" s="20" t="n"/>
      <c r="B296" s="10" t="n"/>
      <c r="C296" s="10" t="n"/>
      <c r="D296" s="10" t="n"/>
      <c r="E296" s="10" t="n"/>
      <c r="F296" s="18" t="n"/>
      <c r="G296" s="10" t="n"/>
      <c r="H296" s="12" t="n"/>
      <c r="I296" s="12" t="n"/>
      <c r="J296" s="13">
        <f>IF(OR(A296="",COUNT(H296)=0,COUNT(Z296)=0),"",ROUND(Z296-H296,2))</f>
        <v/>
      </c>
      <c r="K296" s="15">
        <f>IF(COUNT(J296)=0,"",IF(Z296=0,"n.a.",J296/Z296))</f>
        <v/>
      </c>
      <c r="L296" s="14">
        <f>IF(OR(A296="",COUNT(H296)=0,COUNT(Y296)=0),"",ROUND(H296*(1+Y296),2))</f>
        <v/>
      </c>
      <c r="M296" s="10" t="n"/>
      <c r="N296" s="10" t="n"/>
      <c r="O296" s="10" t="n"/>
      <c r="P296" s="10" t="n"/>
      <c r="Q296" s="20" t="n"/>
      <c r="R296" s="10" t="n"/>
      <c r="S296" s="10" t="n"/>
      <c r="T296" s="18" t="n"/>
      <c r="U296" s="18" t="n"/>
      <c r="V296" s="10" t="n"/>
      <c r="W296" s="10" t="n"/>
      <c r="X296" s="19">
        <f>IF(OR(A296="",COUNT(U296)=0,COUNT(AI296)=0),"",U296+AI296)</f>
        <v/>
      </c>
      <c r="Y296" s="16" t="n"/>
      <c r="Z296" s="12" t="n"/>
      <c r="AA296" s="17">
        <f>IF(COUNT(J296)=0,"",IF(H296=0,"n.a.",J296/H296))</f>
        <v/>
      </c>
      <c r="AB296" s="12" t="n"/>
      <c r="AC296" s="12" t="n"/>
      <c r="AD296" s="12" t="n"/>
      <c r="AE296" s="13">
        <f>IF(OR(COUNT(J296)=0,COUNT(AB296:AD296)&lt;3),"",ROUND(J296-SUM(AB296:AD296),2))</f>
        <v/>
      </c>
      <c r="AF296" s="15">
        <f>IF(COUNT(AE296)=0,"",IF(Z296=0,"n.a.",AE296/Z296))</f>
        <v/>
      </c>
      <c r="AG296" s="12" t="n"/>
      <c r="AH296" s="14">
        <f>IF(OR(A296="",COUNT(Z296)=0,COUNT(AG296)=0),"",ROUND(Z296-AG296,2))</f>
        <v/>
      </c>
      <c r="AI296" s="21" t="n"/>
      <c r="AJ296" s="11">
        <f>IF(A296="","",IF(COUNT(I296)=0,"Enter approved NTE",IF(COUNT(Z296)&gt;0,IF(Z296&gt;I296,"Invoice exceeds NTE","Invoice within NTE"),IF(COUNT(L296)=0,"Enter quote inputs",IF(L296&gt;I296,"Quote exceeds NTE","Quote within NTE")))))</f>
        <v/>
      </c>
      <c r="AK296" s="11">
        <f>IF(A296="","",IF(COUNT(H296)=0,"Enter direct cost",IF(COUNT(Z296)=0,"Enter invoice revenue",IF(COUNT(AB296:AD296)&lt;3,"Enter expenses (0 if none)","Complete"))))</f>
        <v/>
      </c>
      <c r="AL296" s="11">
        <f>IF(A296="","",IF(NOT(AND(COUNT(AH296)=1,N(AH296)&gt;0.004,V296&lt;&gt;"Void",V296&lt;&gt;"Not invoiced",V296&lt;&gt;"Draft")),"",IF(COUNT(X296)=0,"No due date",IF(TODAY()-X296&lt;=0,"Not yet due",IF(TODAY()-X296&lt;=30,"1-30 days",IF(TODAY()-X296&lt;=60,"31-60 days",IF(TODAY()-X296&lt;=90,"61-90 days","Over 90 days")))))))</f>
        <v/>
      </c>
      <c r="AM296" s="49">
        <f>IF(OR(AL296="",AL296="No due date"),"",MAX(TODAY()-X296,0))</f>
        <v/>
      </c>
      <c r="AN296" s="49">
        <f>IF(AL296="","",IF(COUNT(X296)=0,-100000,TODAY()-X296))</f>
        <v/>
      </c>
      <c r="AO296" s="49">
        <f>IF(AN296="","",COUNTIF(AN$11:AN$1010,"&gt;"&amp;AN296)+COUNTIF(AN$11:AN296,AN296))</f>
        <v/>
      </c>
      <c r="AP296" s="49">
        <f>IF(OR(A296="",B296=""),"",IF(COUNTIF(B$11:B296,B296)=1,MAX(AP$10:AP295)+1,""))</f>
        <v/>
      </c>
    </row>
    <row r="297" ht="24" customHeight="1">
      <c r="A297" s="20" t="n"/>
      <c r="B297" s="10" t="n"/>
      <c r="C297" s="10" t="n"/>
      <c r="D297" s="10" t="n"/>
      <c r="E297" s="10" t="n"/>
      <c r="F297" s="18" t="n"/>
      <c r="G297" s="10" t="n"/>
      <c r="H297" s="12" t="n"/>
      <c r="I297" s="12" t="n"/>
      <c r="J297" s="13">
        <f>IF(OR(A297="",COUNT(H297)=0,COUNT(Z297)=0),"",ROUND(Z297-H297,2))</f>
        <v/>
      </c>
      <c r="K297" s="15">
        <f>IF(COUNT(J297)=0,"",IF(Z297=0,"n.a.",J297/Z297))</f>
        <v/>
      </c>
      <c r="L297" s="14">
        <f>IF(OR(A297="",COUNT(H297)=0,COUNT(Y297)=0),"",ROUND(H297*(1+Y297),2))</f>
        <v/>
      </c>
      <c r="M297" s="10" t="n"/>
      <c r="N297" s="10" t="n"/>
      <c r="O297" s="10" t="n"/>
      <c r="P297" s="10" t="n"/>
      <c r="Q297" s="20" t="n"/>
      <c r="R297" s="10" t="n"/>
      <c r="S297" s="10" t="n"/>
      <c r="T297" s="18" t="n"/>
      <c r="U297" s="18" t="n"/>
      <c r="V297" s="10" t="n"/>
      <c r="W297" s="10" t="n"/>
      <c r="X297" s="19">
        <f>IF(OR(A297="",COUNT(U297)=0,COUNT(AI297)=0),"",U297+AI297)</f>
        <v/>
      </c>
      <c r="Y297" s="16" t="n"/>
      <c r="Z297" s="12" t="n"/>
      <c r="AA297" s="17">
        <f>IF(COUNT(J297)=0,"",IF(H297=0,"n.a.",J297/H297))</f>
        <v/>
      </c>
      <c r="AB297" s="12" t="n"/>
      <c r="AC297" s="12" t="n"/>
      <c r="AD297" s="12" t="n"/>
      <c r="AE297" s="13">
        <f>IF(OR(COUNT(J297)=0,COUNT(AB297:AD297)&lt;3),"",ROUND(J297-SUM(AB297:AD297),2))</f>
        <v/>
      </c>
      <c r="AF297" s="15">
        <f>IF(COUNT(AE297)=0,"",IF(Z297=0,"n.a.",AE297/Z297))</f>
        <v/>
      </c>
      <c r="AG297" s="12" t="n"/>
      <c r="AH297" s="14">
        <f>IF(OR(A297="",COUNT(Z297)=0,COUNT(AG297)=0),"",ROUND(Z297-AG297,2))</f>
        <v/>
      </c>
      <c r="AI297" s="21" t="n"/>
      <c r="AJ297" s="11">
        <f>IF(A297="","",IF(COUNT(I297)=0,"Enter approved NTE",IF(COUNT(Z297)&gt;0,IF(Z297&gt;I297,"Invoice exceeds NTE","Invoice within NTE"),IF(COUNT(L297)=0,"Enter quote inputs",IF(L297&gt;I297,"Quote exceeds NTE","Quote within NTE")))))</f>
        <v/>
      </c>
      <c r="AK297" s="11">
        <f>IF(A297="","",IF(COUNT(H297)=0,"Enter direct cost",IF(COUNT(Z297)=0,"Enter invoice revenue",IF(COUNT(AB297:AD297)&lt;3,"Enter expenses (0 if none)","Complete"))))</f>
        <v/>
      </c>
      <c r="AL297" s="11">
        <f>IF(A297="","",IF(NOT(AND(COUNT(AH297)=1,N(AH297)&gt;0.004,V297&lt;&gt;"Void",V297&lt;&gt;"Not invoiced",V297&lt;&gt;"Draft")),"",IF(COUNT(X297)=0,"No due date",IF(TODAY()-X297&lt;=0,"Not yet due",IF(TODAY()-X297&lt;=30,"1-30 days",IF(TODAY()-X297&lt;=60,"31-60 days",IF(TODAY()-X297&lt;=90,"61-90 days","Over 90 days")))))))</f>
        <v/>
      </c>
      <c r="AM297" s="49">
        <f>IF(OR(AL297="",AL297="No due date"),"",MAX(TODAY()-X297,0))</f>
        <v/>
      </c>
      <c r="AN297" s="49">
        <f>IF(AL297="","",IF(COUNT(X297)=0,-100000,TODAY()-X297))</f>
        <v/>
      </c>
      <c r="AO297" s="49">
        <f>IF(AN297="","",COUNTIF(AN$11:AN$1010,"&gt;"&amp;AN297)+COUNTIF(AN$11:AN297,AN297))</f>
        <v/>
      </c>
      <c r="AP297" s="49">
        <f>IF(OR(A297="",B297=""),"",IF(COUNTIF(B$11:B297,B297)=1,MAX(AP$10:AP296)+1,""))</f>
        <v/>
      </c>
    </row>
    <row r="298" ht="24" customHeight="1">
      <c r="A298" s="20" t="n"/>
      <c r="B298" s="10" t="n"/>
      <c r="C298" s="10" t="n"/>
      <c r="D298" s="10" t="n"/>
      <c r="E298" s="10" t="n"/>
      <c r="F298" s="18" t="n"/>
      <c r="G298" s="10" t="n"/>
      <c r="H298" s="12" t="n"/>
      <c r="I298" s="12" t="n"/>
      <c r="J298" s="13">
        <f>IF(OR(A298="",COUNT(H298)=0,COUNT(Z298)=0),"",ROUND(Z298-H298,2))</f>
        <v/>
      </c>
      <c r="K298" s="15">
        <f>IF(COUNT(J298)=0,"",IF(Z298=0,"n.a.",J298/Z298))</f>
        <v/>
      </c>
      <c r="L298" s="14">
        <f>IF(OR(A298="",COUNT(H298)=0,COUNT(Y298)=0),"",ROUND(H298*(1+Y298),2))</f>
        <v/>
      </c>
      <c r="M298" s="10" t="n"/>
      <c r="N298" s="10" t="n"/>
      <c r="O298" s="10" t="n"/>
      <c r="P298" s="10" t="n"/>
      <c r="Q298" s="20" t="n"/>
      <c r="R298" s="10" t="n"/>
      <c r="S298" s="10" t="n"/>
      <c r="T298" s="18" t="n"/>
      <c r="U298" s="18" t="n"/>
      <c r="V298" s="10" t="n"/>
      <c r="W298" s="10" t="n"/>
      <c r="X298" s="19">
        <f>IF(OR(A298="",COUNT(U298)=0,COUNT(AI298)=0),"",U298+AI298)</f>
        <v/>
      </c>
      <c r="Y298" s="16" t="n"/>
      <c r="Z298" s="12" t="n"/>
      <c r="AA298" s="17">
        <f>IF(COUNT(J298)=0,"",IF(H298=0,"n.a.",J298/H298))</f>
        <v/>
      </c>
      <c r="AB298" s="12" t="n"/>
      <c r="AC298" s="12" t="n"/>
      <c r="AD298" s="12" t="n"/>
      <c r="AE298" s="13">
        <f>IF(OR(COUNT(J298)=0,COUNT(AB298:AD298)&lt;3),"",ROUND(J298-SUM(AB298:AD298),2))</f>
        <v/>
      </c>
      <c r="AF298" s="15">
        <f>IF(COUNT(AE298)=0,"",IF(Z298=0,"n.a.",AE298/Z298))</f>
        <v/>
      </c>
      <c r="AG298" s="12" t="n"/>
      <c r="AH298" s="14">
        <f>IF(OR(A298="",COUNT(Z298)=0,COUNT(AG298)=0),"",ROUND(Z298-AG298,2))</f>
        <v/>
      </c>
      <c r="AI298" s="21" t="n"/>
      <c r="AJ298" s="11">
        <f>IF(A298="","",IF(COUNT(I298)=0,"Enter approved NTE",IF(COUNT(Z298)&gt;0,IF(Z298&gt;I298,"Invoice exceeds NTE","Invoice within NTE"),IF(COUNT(L298)=0,"Enter quote inputs",IF(L298&gt;I298,"Quote exceeds NTE","Quote within NTE")))))</f>
        <v/>
      </c>
      <c r="AK298" s="11">
        <f>IF(A298="","",IF(COUNT(H298)=0,"Enter direct cost",IF(COUNT(Z298)=0,"Enter invoice revenue",IF(COUNT(AB298:AD298)&lt;3,"Enter expenses (0 if none)","Complete"))))</f>
        <v/>
      </c>
      <c r="AL298" s="11">
        <f>IF(A298="","",IF(NOT(AND(COUNT(AH298)=1,N(AH298)&gt;0.004,V298&lt;&gt;"Void",V298&lt;&gt;"Not invoiced",V298&lt;&gt;"Draft")),"",IF(COUNT(X298)=0,"No due date",IF(TODAY()-X298&lt;=0,"Not yet due",IF(TODAY()-X298&lt;=30,"1-30 days",IF(TODAY()-X298&lt;=60,"31-60 days",IF(TODAY()-X298&lt;=90,"61-90 days","Over 90 days")))))))</f>
        <v/>
      </c>
      <c r="AM298" s="49">
        <f>IF(OR(AL298="",AL298="No due date"),"",MAX(TODAY()-X298,0))</f>
        <v/>
      </c>
      <c r="AN298" s="49">
        <f>IF(AL298="","",IF(COUNT(X298)=0,-100000,TODAY()-X298))</f>
        <v/>
      </c>
      <c r="AO298" s="49">
        <f>IF(AN298="","",COUNTIF(AN$11:AN$1010,"&gt;"&amp;AN298)+COUNTIF(AN$11:AN298,AN298))</f>
        <v/>
      </c>
      <c r="AP298" s="49">
        <f>IF(OR(A298="",B298=""),"",IF(COUNTIF(B$11:B298,B298)=1,MAX(AP$10:AP297)+1,""))</f>
        <v/>
      </c>
    </row>
    <row r="299" ht="24" customHeight="1">
      <c r="A299" s="20" t="n"/>
      <c r="B299" s="10" t="n"/>
      <c r="C299" s="10" t="n"/>
      <c r="D299" s="10" t="n"/>
      <c r="E299" s="10" t="n"/>
      <c r="F299" s="18" t="n"/>
      <c r="G299" s="10" t="n"/>
      <c r="H299" s="12" t="n"/>
      <c r="I299" s="12" t="n"/>
      <c r="J299" s="13">
        <f>IF(OR(A299="",COUNT(H299)=0,COUNT(Z299)=0),"",ROUND(Z299-H299,2))</f>
        <v/>
      </c>
      <c r="K299" s="15">
        <f>IF(COUNT(J299)=0,"",IF(Z299=0,"n.a.",J299/Z299))</f>
        <v/>
      </c>
      <c r="L299" s="14">
        <f>IF(OR(A299="",COUNT(H299)=0,COUNT(Y299)=0),"",ROUND(H299*(1+Y299),2))</f>
        <v/>
      </c>
      <c r="M299" s="10" t="n"/>
      <c r="N299" s="10" t="n"/>
      <c r="O299" s="10" t="n"/>
      <c r="P299" s="10" t="n"/>
      <c r="Q299" s="20" t="n"/>
      <c r="R299" s="10" t="n"/>
      <c r="S299" s="10" t="n"/>
      <c r="T299" s="18" t="n"/>
      <c r="U299" s="18" t="n"/>
      <c r="V299" s="10" t="n"/>
      <c r="W299" s="10" t="n"/>
      <c r="X299" s="19">
        <f>IF(OR(A299="",COUNT(U299)=0,COUNT(AI299)=0),"",U299+AI299)</f>
        <v/>
      </c>
      <c r="Y299" s="16" t="n"/>
      <c r="Z299" s="12" t="n"/>
      <c r="AA299" s="17">
        <f>IF(COUNT(J299)=0,"",IF(H299=0,"n.a.",J299/H299))</f>
        <v/>
      </c>
      <c r="AB299" s="12" t="n"/>
      <c r="AC299" s="12" t="n"/>
      <c r="AD299" s="12" t="n"/>
      <c r="AE299" s="13">
        <f>IF(OR(COUNT(J299)=0,COUNT(AB299:AD299)&lt;3),"",ROUND(J299-SUM(AB299:AD299),2))</f>
        <v/>
      </c>
      <c r="AF299" s="15">
        <f>IF(COUNT(AE299)=0,"",IF(Z299=0,"n.a.",AE299/Z299))</f>
        <v/>
      </c>
      <c r="AG299" s="12" t="n"/>
      <c r="AH299" s="14">
        <f>IF(OR(A299="",COUNT(Z299)=0,COUNT(AG299)=0),"",ROUND(Z299-AG299,2))</f>
        <v/>
      </c>
      <c r="AI299" s="21" t="n"/>
      <c r="AJ299" s="11">
        <f>IF(A299="","",IF(COUNT(I299)=0,"Enter approved NTE",IF(COUNT(Z299)&gt;0,IF(Z299&gt;I299,"Invoice exceeds NTE","Invoice within NTE"),IF(COUNT(L299)=0,"Enter quote inputs",IF(L299&gt;I299,"Quote exceeds NTE","Quote within NTE")))))</f>
        <v/>
      </c>
      <c r="AK299" s="11">
        <f>IF(A299="","",IF(COUNT(H299)=0,"Enter direct cost",IF(COUNT(Z299)=0,"Enter invoice revenue",IF(COUNT(AB299:AD299)&lt;3,"Enter expenses (0 if none)","Complete"))))</f>
        <v/>
      </c>
      <c r="AL299" s="11">
        <f>IF(A299="","",IF(NOT(AND(COUNT(AH299)=1,N(AH299)&gt;0.004,V299&lt;&gt;"Void",V299&lt;&gt;"Not invoiced",V299&lt;&gt;"Draft")),"",IF(COUNT(X299)=0,"No due date",IF(TODAY()-X299&lt;=0,"Not yet due",IF(TODAY()-X299&lt;=30,"1-30 days",IF(TODAY()-X299&lt;=60,"31-60 days",IF(TODAY()-X299&lt;=90,"61-90 days","Over 90 days")))))))</f>
        <v/>
      </c>
      <c r="AM299" s="49">
        <f>IF(OR(AL299="",AL299="No due date"),"",MAX(TODAY()-X299,0))</f>
        <v/>
      </c>
      <c r="AN299" s="49">
        <f>IF(AL299="","",IF(COUNT(X299)=0,-100000,TODAY()-X299))</f>
        <v/>
      </c>
      <c r="AO299" s="49">
        <f>IF(AN299="","",COUNTIF(AN$11:AN$1010,"&gt;"&amp;AN299)+COUNTIF(AN$11:AN299,AN299))</f>
        <v/>
      </c>
      <c r="AP299" s="49">
        <f>IF(OR(A299="",B299=""),"",IF(COUNTIF(B$11:B299,B299)=1,MAX(AP$10:AP298)+1,""))</f>
        <v/>
      </c>
    </row>
    <row r="300" ht="24" customHeight="1">
      <c r="A300" s="20" t="n"/>
      <c r="B300" s="10" t="n"/>
      <c r="C300" s="10" t="n"/>
      <c r="D300" s="10" t="n"/>
      <c r="E300" s="10" t="n"/>
      <c r="F300" s="18" t="n"/>
      <c r="G300" s="10" t="n"/>
      <c r="H300" s="12" t="n"/>
      <c r="I300" s="12" t="n"/>
      <c r="J300" s="13">
        <f>IF(OR(A300="",COUNT(H300)=0,COUNT(Z300)=0),"",ROUND(Z300-H300,2))</f>
        <v/>
      </c>
      <c r="K300" s="15">
        <f>IF(COUNT(J300)=0,"",IF(Z300=0,"n.a.",J300/Z300))</f>
        <v/>
      </c>
      <c r="L300" s="14">
        <f>IF(OR(A300="",COUNT(H300)=0,COUNT(Y300)=0),"",ROUND(H300*(1+Y300),2))</f>
        <v/>
      </c>
      <c r="M300" s="10" t="n"/>
      <c r="N300" s="10" t="n"/>
      <c r="O300" s="10" t="n"/>
      <c r="P300" s="10" t="n"/>
      <c r="Q300" s="20" t="n"/>
      <c r="R300" s="10" t="n"/>
      <c r="S300" s="10" t="n"/>
      <c r="T300" s="18" t="n"/>
      <c r="U300" s="18" t="n"/>
      <c r="V300" s="10" t="n"/>
      <c r="W300" s="10" t="n"/>
      <c r="X300" s="19">
        <f>IF(OR(A300="",COUNT(U300)=0,COUNT(AI300)=0),"",U300+AI300)</f>
        <v/>
      </c>
      <c r="Y300" s="16" t="n"/>
      <c r="Z300" s="12" t="n"/>
      <c r="AA300" s="17">
        <f>IF(COUNT(J300)=0,"",IF(H300=0,"n.a.",J300/H300))</f>
        <v/>
      </c>
      <c r="AB300" s="12" t="n"/>
      <c r="AC300" s="12" t="n"/>
      <c r="AD300" s="12" t="n"/>
      <c r="AE300" s="13">
        <f>IF(OR(COUNT(J300)=0,COUNT(AB300:AD300)&lt;3),"",ROUND(J300-SUM(AB300:AD300),2))</f>
        <v/>
      </c>
      <c r="AF300" s="15">
        <f>IF(COUNT(AE300)=0,"",IF(Z300=0,"n.a.",AE300/Z300))</f>
        <v/>
      </c>
      <c r="AG300" s="12" t="n"/>
      <c r="AH300" s="14">
        <f>IF(OR(A300="",COUNT(Z300)=0,COUNT(AG300)=0),"",ROUND(Z300-AG300,2))</f>
        <v/>
      </c>
      <c r="AI300" s="21" t="n"/>
      <c r="AJ300" s="11">
        <f>IF(A300="","",IF(COUNT(I300)=0,"Enter approved NTE",IF(COUNT(Z300)&gt;0,IF(Z300&gt;I300,"Invoice exceeds NTE","Invoice within NTE"),IF(COUNT(L300)=0,"Enter quote inputs",IF(L300&gt;I300,"Quote exceeds NTE","Quote within NTE")))))</f>
        <v/>
      </c>
      <c r="AK300" s="11">
        <f>IF(A300="","",IF(COUNT(H300)=0,"Enter direct cost",IF(COUNT(Z300)=0,"Enter invoice revenue",IF(COUNT(AB300:AD300)&lt;3,"Enter expenses (0 if none)","Complete"))))</f>
        <v/>
      </c>
      <c r="AL300" s="11">
        <f>IF(A300="","",IF(NOT(AND(COUNT(AH300)=1,N(AH300)&gt;0.004,V300&lt;&gt;"Void",V300&lt;&gt;"Not invoiced",V300&lt;&gt;"Draft")),"",IF(COUNT(X300)=0,"No due date",IF(TODAY()-X300&lt;=0,"Not yet due",IF(TODAY()-X300&lt;=30,"1-30 days",IF(TODAY()-X300&lt;=60,"31-60 days",IF(TODAY()-X300&lt;=90,"61-90 days","Over 90 days")))))))</f>
        <v/>
      </c>
      <c r="AM300" s="49">
        <f>IF(OR(AL300="",AL300="No due date"),"",MAX(TODAY()-X300,0))</f>
        <v/>
      </c>
      <c r="AN300" s="49">
        <f>IF(AL300="","",IF(COUNT(X300)=0,-100000,TODAY()-X300))</f>
        <v/>
      </c>
      <c r="AO300" s="49">
        <f>IF(AN300="","",COUNTIF(AN$11:AN$1010,"&gt;"&amp;AN300)+COUNTIF(AN$11:AN300,AN300))</f>
        <v/>
      </c>
      <c r="AP300" s="49">
        <f>IF(OR(A300="",B300=""),"",IF(COUNTIF(B$11:B300,B300)=1,MAX(AP$10:AP299)+1,""))</f>
        <v/>
      </c>
    </row>
    <row r="301" ht="24" customHeight="1">
      <c r="A301" s="20" t="n"/>
      <c r="B301" s="10" t="n"/>
      <c r="C301" s="10" t="n"/>
      <c r="D301" s="10" t="n"/>
      <c r="E301" s="10" t="n"/>
      <c r="F301" s="18" t="n"/>
      <c r="G301" s="10" t="n"/>
      <c r="H301" s="12" t="n"/>
      <c r="I301" s="12" t="n"/>
      <c r="J301" s="13">
        <f>IF(OR(A301="",COUNT(H301)=0,COUNT(Z301)=0),"",ROUND(Z301-H301,2))</f>
        <v/>
      </c>
      <c r="K301" s="15">
        <f>IF(COUNT(J301)=0,"",IF(Z301=0,"n.a.",J301/Z301))</f>
        <v/>
      </c>
      <c r="L301" s="14">
        <f>IF(OR(A301="",COUNT(H301)=0,COUNT(Y301)=0),"",ROUND(H301*(1+Y301),2))</f>
        <v/>
      </c>
      <c r="M301" s="10" t="n"/>
      <c r="N301" s="10" t="n"/>
      <c r="O301" s="10" t="n"/>
      <c r="P301" s="10" t="n"/>
      <c r="Q301" s="20" t="n"/>
      <c r="R301" s="10" t="n"/>
      <c r="S301" s="10" t="n"/>
      <c r="T301" s="18" t="n"/>
      <c r="U301" s="18" t="n"/>
      <c r="V301" s="10" t="n"/>
      <c r="W301" s="10" t="n"/>
      <c r="X301" s="19">
        <f>IF(OR(A301="",COUNT(U301)=0,COUNT(AI301)=0),"",U301+AI301)</f>
        <v/>
      </c>
      <c r="Y301" s="16" t="n"/>
      <c r="Z301" s="12" t="n"/>
      <c r="AA301" s="17">
        <f>IF(COUNT(J301)=0,"",IF(H301=0,"n.a.",J301/H301))</f>
        <v/>
      </c>
      <c r="AB301" s="12" t="n"/>
      <c r="AC301" s="12" t="n"/>
      <c r="AD301" s="12" t="n"/>
      <c r="AE301" s="13">
        <f>IF(OR(COUNT(J301)=0,COUNT(AB301:AD301)&lt;3),"",ROUND(J301-SUM(AB301:AD301),2))</f>
        <v/>
      </c>
      <c r="AF301" s="15">
        <f>IF(COUNT(AE301)=0,"",IF(Z301=0,"n.a.",AE301/Z301))</f>
        <v/>
      </c>
      <c r="AG301" s="12" t="n"/>
      <c r="AH301" s="14">
        <f>IF(OR(A301="",COUNT(Z301)=0,COUNT(AG301)=0),"",ROUND(Z301-AG301,2))</f>
        <v/>
      </c>
      <c r="AI301" s="21" t="n"/>
      <c r="AJ301" s="11">
        <f>IF(A301="","",IF(COUNT(I301)=0,"Enter approved NTE",IF(COUNT(Z301)&gt;0,IF(Z301&gt;I301,"Invoice exceeds NTE","Invoice within NTE"),IF(COUNT(L301)=0,"Enter quote inputs",IF(L301&gt;I301,"Quote exceeds NTE","Quote within NTE")))))</f>
        <v/>
      </c>
      <c r="AK301" s="11">
        <f>IF(A301="","",IF(COUNT(H301)=0,"Enter direct cost",IF(COUNT(Z301)=0,"Enter invoice revenue",IF(COUNT(AB301:AD301)&lt;3,"Enter expenses (0 if none)","Complete"))))</f>
        <v/>
      </c>
      <c r="AL301" s="11">
        <f>IF(A301="","",IF(NOT(AND(COUNT(AH301)=1,N(AH301)&gt;0.004,V301&lt;&gt;"Void",V301&lt;&gt;"Not invoiced",V301&lt;&gt;"Draft")),"",IF(COUNT(X301)=0,"No due date",IF(TODAY()-X301&lt;=0,"Not yet due",IF(TODAY()-X301&lt;=30,"1-30 days",IF(TODAY()-X301&lt;=60,"31-60 days",IF(TODAY()-X301&lt;=90,"61-90 days","Over 90 days")))))))</f>
        <v/>
      </c>
      <c r="AM301" s="49">
        <f>IF(OR(AL301="",AL301="No due date"),"",MAX(TODAY()-X301,0))</f>
        <v/>
      </c>
      <c r="AN301" s="49">
        <f>IF(AL301="","",IF(COUNT(X301)=0,-100000,TODAY()-X301))</f>
        <v/>
      </c>
      <c r="AO301" s="49">
        <f>IF(AN301="","",COUNTIF(AN$11:AN$1010,"&gt;"&amp;AN301)+COUNTIF(AN$11:AN301,AN301))</f>
        <v/>
      </c>
      <c r="AP301" s="49">
        <f>IF(OR(A301="",B301=""),"",IF(COUNTIF(B$11:B301,B301)=1,MAX(AP$10:AP300)+1,""))</f>
        <v/>
      </c>
    </row>
    <row r="302" ht="24" customHeight="1">
      <c r="A302" s="20" t="n"/>
      <c r="B302" s="10" t="n"/>
      <c r="C302" s="10" t="n"/>
      <c r="D302" s="10" t="n"/>
      <c r="E302" s="10" t="n"/>
      <c r="F302" s="18" t="n"/>
      <c r="G302" s="10" t="n"/>
      <c r="H302" s="12" t="n"/>
      <c r="I302" s="12" t="n"/>
      <c r="J302" s="13">
        <f>IF(OR(A302="",COUNT(H302)=0,COUNT(Z302)=0),"",ROUND(Z302-H302,2))</f>
        <v/>
      </c>
      <c r="K302" s="15">
        <f>IF(COUNT(J302)=0,"",IF(Z302=0,"n.a.",J302/Z302))</f>
        <v/>
      </c>
      <c r="L302" s="14">
        <f>IF(OR(A302="",COUNT(H302)=0,COUNT(Y302)=0),"",ROUND(H302*(1+Y302),2))</f>
        <v/>
      </c>
      <c r="M302" s="10" t="n"/>
      <c r="N302" s="10" t="n"/>
      <c r="O302" s="10" t="n"/>
      <c r="P302" s="10" t="n"/>
      <c r="Q302" s="20" t="n"/>
      <c r="R302" s="10" t="n"/>
      <c r="S302" s="10" t="n"/>
      <c r="T302" s="18" t="n"/>
      <c r="U302" s="18" t="n"/>
      <c r="V302" s="10" t="n"/>
      <c r="W302" s="10" t="n"/>
      <c r="X302" s="19">
        <f>IF(OR(A302="",COUNT(U302)=0,COUNT(AI302)=0),"",U302+AI302)</f>
        <v/>
      </c>
      <c r="Y302" s="16" t="n"/>
      <c r="Z302" s="12" t="n"/>
      <c r="AA302" s="17">
        <f>IF(COUNT(J302)=0,"",IF(H302=0,"n.a.",J302/H302))</f>
        <v/>
      </c>
      <c r="AB302" s="12" t="n"/>
      <c r="AC302" s="12" t="n"/>
      <c r="AD302" s="12" t="n"/>
      <c r="AE302" s="13">
        <f>IF(OR(COUNT(J302)=0,COUNT(AB302:AD302)&lt;3),"",ROUND(J302-SUM(AB302:AD302),2))</f>
        <v/>
      </c>
      <c r="AF302" s="15">
        <f>IF(COUNT(AE302)=0,"",IF(Z302=0,"n.a.",AE302/Z302))</f>
        <v/>
      </c>
      <c r="AG302" s="12" t="n"/>
      <c r="AH302" s="14">
        <f>IF(OR(A302="",COUNT(Z302)=0,COUNT(AG302)=0),"",ROUND(Z302-AG302,2))</f>
        <v/>
      </c>
      <c r="AI302" s="21" t="n"/>
      <c r="AJ302" s="11">
        <f>IF(A302="","",IF(COUNT(I302)=0,"Enter approved NTE",IF(COUNT(Z302)&gt;0,IF(Z302&gt;I302,"Invoice exceeds NTE","Invoice within NTE"),IF(COUNT(L302)=0,"Enter quote inputs",IF(L302&gt;I302,"Quote exceeds NTE","Quote within NTE")))))</f>
        <v/>
      </c>
      <c r="AK302" s="11">
        <f>IF(A302="","",IF(COUNT(H302)=0,"Enter direct cost",IF(COUNT(Z302)=0,"Enter invoice revenue",IF(COUNT(AB302:AD302)&lt;3,"Enter expenses (0 if none)","Complete"))))</f>
        <v/>
      </c>
      <c r="AL302" s="11">
        <f>IF(A302="","",IF(NOT(AND(COUNT(AH302)=1,N(AH302)&gt;0.004,V302&lt;&gt;"Void",V302&lt;&gt;"Not invoiced",V302&lt;&gt;"Draft")),"",IF(COUNT(X302)=0,"No due date",IF(TODAY()-X302&lt;=0,"Not yet due",IF(TODAY()-X302&lt;=30,"1-30 days",IF(TODAY()-X302&lt;=60,"31-60 days",IF(TODAY()-X302&lt;=90,"61-90 days","Over 90 days")))))))</f>
        <v/>
      </c>
      <c r="AM302" s="49">
        <f>IF(OR(AL302="",AL302="No due date"),"",MAX(TODAY()-X302,0))</f>
        <v/>
      </c>
      <c r="AN302" s="49">
        <f>IF(AL302="","",IF(COUNT(X302)=0,-100000,TODAY()-X302))</f>
        <v/>
      </c>
      <c r="AO302" s="49">
        <f>IF(AN302="","",COUNTIF(AN$11:AN$1010,"&gt;"&amp;AN302)+COUNTIF(AN$11:AN302,AN302))</f>
        <v/>
      </c>
      <c r="AP302" s="49">
        <f>IF(OR(A302="",B302=""),"",IF(COUNTIF(B$11:B302,B302)=1,MAX(AP$10:AP301)+1,""))</f>
        <v/>
      </c>
    </row>
    <row r="303" ht="24" customHeight="1">
      <c r="A303" s="20" t="n"/>
      <c r="B303" s="10" t="n"/>
      <c r="C303" s="10" t="n"/>
      <c r="D303" s="10" t="n"/>
      <c r="E303" s="10" t="n"/>
      <c r="F303" s="18" t="n"/>
      <c r="G303" s="10" t="n"/>
      <c r="H303" s="12" t="n"/>
      <c r="I303" s="12" t="n"/>
      <c r="J303" s="13">
        <f>IF(OR(A303="",COUNT(H303)=0,COUNT(Z303)=0),"",ROUND(Z303-H303,2))</f>
        <v/>
      </c>
      <c r="K303" s="15">
        <f>IF(COUNT(J303)=0,"",IF(Z303=0,"n.a.",J303/Z303))</f>
        <v/>
      </c>
      <c r="L303" s="14">
        <f>IF(OR(A303="",COUNT(H303)=0,COUNT(Y303)=0),"",ROUND(H303*(1+Y303),2))</f>
        <v/>
      </c>
      <c r="M303" s="10" t="n"/>
      <c r="N303" s="10" t="n"/>
      <c r="O303" s="10" t="n"/>
      <c r="P303" s="10" t="n"/>
      <c r="Q303" s="20" t="n"/>
      <c r="R303" s="10" t="n"/>
      <c r="S303" s="10" t="n"/>
      <c r="T303" s="18" t="n"/>
      <c r="U303" s="18" t="n"/>
      <c r="V303" s="10" t="n"/>
      <c r="W303" s="10" t="n"/>
      <c r="X303" s="19">
        <f>IF(OR(A303="",COUNT(U303)=0,COUNT(AI303)=0),"",U303+AI303)</f>
        <v/>
      </c>
      <c r="Y303" s="16" t="n"/>
      <c r="Z303" s="12" t="n"/>
      <c r="AA303" s="17">
        <f>IF(COUNT(J303)=0,"",IF(H303=0,"n.a.",J303/H303))</f>
        <v/>
      </c>
      <c r="AB303" s="12" t="n"/>
      <c r="AC303" s="12" t="n"/>
      <c r="AD303" s="12" t="n"/>
      <c r="AE303" s="13">
        <f>IF(OR(COUNT(J303)=0,COUNT(AB303:AD303)&lt;3),"",ROUND(J303-SUM(AB303:AD303),2))</f>
        <v/>
      </c>
      <c r="AF303" s="15">
        <f>IF(COUNT(AE303)=0,"",IF(Z303=0,"n.a.",AE303/Z303))</f>
        <v/>
      </c>
      <c r="AG303" s="12" t="n"/>
      <c r="AH303" s="14">
        <f>IF(OR(A303="",COUNT(Z303)=0,COUNT(AG303)=0),"",ROUND(Z303-AG303,2))</f>
        <v/>
      </c>
      <c r="AI303" s="21" t="n"/>
      <c r="AJ303" s="11">
        <f>IF(A303="","",IF(COUNT(I303)=0,"Enter approved NTE",IF(COUNT(Z303)&gt;0,IF(Z303&gt;I303,"Invoice exceeds NTE","Invoice within NTE"),IF(COUNT(L303)=0,"Enter quote inputs",IF(L303&gt;I303,"Quote exceeds NTE","Quote within NTE")))))</f>
        <v/>
      </c>
      <c r="AK303" s="11">
        <f>IF(A303="","",IF(COUNT(H303)=0,"Enter direct cost",IF(COUNT(Z303)=0,"Enter invoice revenue",IF(COUNT(AB303:AD303)&lt;3,"Enter expenses (0 if none)","Complete"))))</f>
        <v/>
      </c>
      <c r="AL303" s="11">
        <f>IF(A303="","",IF(NOT(AND(COUNT(AH303)=1,N(AH303)&gt;0.004,V303&lt;&gt;"Void",V303&lt;&gt;"Not invoiced",V303&lt;&gt;"Draft")),"",IF(COUNT(X303)=0,"No due date",IF(TODAY()-X303&lt;=0,"Not yet due",IF(TODAY()-X303&lt;=30,"1-30 days",IF(TODAY()-X303&lt;=60,"31-60 days",IF(TODAY()-X303&lt;=90,"61-90 days","Over 90 days")))))))</f>
        <v/>
      </c>
      <c r="AM303" s="49">
        <f>IF(OR(AL303="",AL303="No due date"),"",MAX(TODAY()-X303,0))</f>
        <v/>
      </c>
      <c r="AN303" s="49">
        <f>IF(AL303="","",IF(COUNT(X303)=0,-100000,TODAY()-X303))</f>
        <v/>
      </c>
      <c r="AO303" s="49">
        <f>IF(AN303="","",COUNTIF(AN$11:AN$1010,"&gt;"&amp;AN303)+COUNTIF(AN$11:AN303,AN303))</f>
        <v/>
      </c>
      <c r="AP303" s="49">
        <f>IF(OR(A303="",B303=""),"",IF(COUNTIF(B$11:B303,B303)=1,MAX(AP$10:AP302)+1,""))</f>
        <v/>
      </c>
    </row>
    <row r="304" ht="24" customHeight="1">
      <c r="A304" s="20" t="n"/>
      <c r="B304" s="10" t="n"/>
      <c r="C304" s="10" t="n"/>
      <c r="D304" s="10" t="n"/>
      <c r="E304" s="10" t="n"/>
      <c r="F304" s="18" t="n"/>
      <c r="G304" s="10" t="n"/>
      <c r="H304" s="12" t="n"/>
      <c r="I304" s="12" t="n"/>
      <c r="J304" s="13">
        <f>IF(OR(A304="",COUNT(H304)=0,COUNT(Z304)=0),"",ROUND(Z304-H304,2))</f>
        <v/>
      </c>
      <c r="K304" s="15">
        <f>IF(COUNT(J304)=0,"",IF(Z304=0,"n.a.",J304/Z304))</f>
        <v/>
      </c>
      <c r="L304" s="14">
        <f>IF(OR(A304="",COUNT(H304)=0,COUNT(Y304)=0),"",ROUND(H304*(1+Y304),2))</f>
        <v/>
      </c>
      <c r="M304" s="10" t="n"/>
      <c r="N304" s="10" t="n"/>
      <c r="O304" s="10" t="n"/>
      <c r="P304" s="10" t="n"/>
      <c r="Q304" s="20" t="n"/>
      <c r="R304" s="10" t="n"/>
      <c r="S304" s="10" t="n"/>
      <c r="T304" s="18" t="n"/>
      <c r="U304" s="18" t="n"/>
      <c r="V304" s="10" t="n"/>
      <c r="W304" s="10" t="n"/>
      <c r="X304" s="19">
        <f>IF(OR(A304="",COUNT(U304)=0,COUNT(AI304)=0),"",U304+AI304)</f>
        <v/>
      </c>
      <c r="Y304" s="16" t="n"/>
      <c r="Z304" s="12" t="n"/>
      <c r="AA304" s="17">
        <f>IF(COUNT(J304)=0,"",IF(H304=0,"n.a.",J304/H304))</f>
        <v/>
      </c>
      <c r="AB304" s="12" t="n"/>
      <c r="AC304" s="12" t="n"/>
      <c r="AD304" s="12" t="n"/>
      <c r="AE304" s="13">
        <f>IF(OR(COUNT(J304)=0,COUNT(AB304:AD304)&lt;3),"",ROUND(J304-SUM(AB304:AD304),2))</f>
        <v/>
      </c>
      <c r="AF304" s="15">
        <f>IF(COUNT(AE304)=0,"",IF(Z304=0,"n.a.",AE304/Z304))</f>
        <v/>
      </c>
      <c r="AG304" s="12" t="n"/>
      <c r="AH304" s="14">
        <f>IF(OR(A304="",COUNT(Z304)=0,COUNT(AG304)=0),"",ROUND(Z304-AG304,2))</f>
        <v/>
      </c>
      <c r="AI304" s="21" t="n"/>
      <c r="AJ304" s="11">
        <f>IF(A304="","",IF(COUNT(I304)=0,"Enter approved NTE",IF(COUNT(Z304)&gt;0,IF(Z304&gt;I304,"Invoice exceeds NTE","Invoice within NTE"),IF(COUNT(L304)=0,"Enter quote inputs",IF(L304&gt;I304,"Quote exceeds NTE","Quote within NTE")))))</f>
        <v/>
      </c>
      <c r="AK304" s="11">
        <f>IF(A304="","",IF(COUNT(H304)=0,"Enter direct cost",IF(COUNT(Z304)=0,"Enter invoice revenue",IF(COUNT(AB304:AD304)&lt;3,"Enter expenses (0 if none)","Complete"))))</f>
        <v/>
      </c>
      <c r="AL304" s="11">
        <f>IF(A304="","",IF(NOT(AND(COUNT(AH304)=1,N(AH304)&gt;0.004,V304&lt;&gt;"Void",V304&lt;&gt;"Not invoiced",V304&lt;&gt;"Draft")),"",IF(COUNT(X304)=0,"No due date",IF(TODAY()-X304&lt;=0,"Not yet due",IF(TODAY()-X304&lt;=30,"1-30 days",IF(TODAY()-X304&lt;=60,"31-60 days",IF(TODAY()-X304&lt;=90,"61-90 days","Over 90 days")))))))</f>
        <v/>
      </c>
      <c r="AM304" s="49">
        <f>IF(OR(AL304="",AL304="No due date"),"",MAX(TODAY()-X304,0))</f>
        <v/>
      </c>
      <c r="AN304" s="49">
        <f>IF(AL304="","",IF(COUNT(X304)=0,-100000,TODAY()-X304))</f>
        <v/>
      </c>
      <c r="AO304" s="49">
        <f>IF(AN304="","",COUNTIF(AN$11:AN$1010,"&gt;"&amp;AN304)+COUNTIF(AN$11:AN304,AN304))</f>
        <v/>
      </c>
      <c r="AP304" s="49">
        <f>IF(OR(A304="",B304=""),"",IF(COUNTIF(B$11:B304,B304)=1,MAX(AP$10:AP303)+1,""))</f>
        <v/>
      </c>
    </row>
    <row r="305" ht="24" customHeight="1">
      <c r="A305" s="20" t="n"/>
      <c r="B305" s="10" t="n"/>
      <c r="C305" s="10" t="n"/>
      <c r="D305" s="10" t="n"/>
      <c r="E305" s="10" t="n"/>
      <c r="F305" s="18" t="n"/>
      <c r="G305" s="10" t="n"/>
      <c r="H305" s="12" t="n"/>
      <c r="I305" s="12" t="n"/>
      <c r="J305" s="13">
        <f>IF(OR(A305="",COUNT(H305)=0,COUNT(Z305)=0),"",ROUND(Z305-H305,2))</f>
        <v/>
      </c>
      <c r="K305" s="15">
        <f>IF(COUNT(J305)=0,"",IF(Z305=0,"n.a.",J305/Z305))</f>
        <v/>
      </c>
      <c r="L305" s="14">
        <f>IF(OR(A305="",COUNT(H305)=0,COUNT(Y305)=0),"",ROUND(H305*(1+Y305),2))</f>
        <v/>
      </c>
      <c r="M305" s="10" t="n"/>
      <c r="N305" s="10" t="n"/>
      <c r="O305" s="10" t="n"/>
      <c r="P305" s="10" t="n"/>
      <c r="Q305" s="20" t="n"/>
      <c r="R305" s="10" t="n"/>
      <c r="S305" s="10" t="n"/>
      <c r="T305" s="18" t="n"/>
      <c r="U305" s="18" t="n"/>
      <c r="V305" s="10" t="n"/>
      <c r="W305" s="10" t="n"/>
      <c r="X305" s="19">
        <f>IF(OR(A305="",COUNT(U305)=0,COUNT(AI305)=0),"",U305+AI305)</f>
        <v/>
      </c>
      <c r="Y305" s="16" t="n"/>
      <c r="Z305" s="12" t="n"/>
      <c r="AA305" s="17">
        <f>IF(COUNT(J305)=0,"",IF(H305=0,"n.a.",J305/H305))</f>
        <v/>
      </c>
      <c r="AB305" s="12" t="n"/>
      <c r="AC305" s="12" t="n"/>
      <c r="AD305" s="12" t="n"/>
      <c r="AE305" s="13">
        <f>IF(OR(COUNT(J305)=0,COUNT(AB305:AD305)&lt;3),"",ROUND(J305-SUM(AB305:AD305),2))</f>
        <v/>
      </c>
      <c r="AF305" s="15">
        <f>IF(COUNT(AE305)=0,"",IF(Z305=0,"n.a.",AE305/Z305))</f>
        <v/>
      </c>
      <c r="AG305" s="12" t="n"/>
      <c r="AH305" s="14">
        <f>IF(OR(A305="",COUNT(Z305)=0,COUNT(AG305)=0),"",ROUND(Z305-AG305,2))</f>
        <v/>
      </c>
      <c r="AI305" s="21" t="n"/>
      <c r="AJ305" s="11">
        <f>IF(A305="","",IF(COUNT(I305)=0,"Enter approved NTE",IF(COUNT(Z305)&gt;0,IF(Z305&gt;I305,"Invoice exceeds NTE","Invoice within NTE"),IF(COUNT(L305)=0,"Enter quote inputs",IF(L305&gt;I305,"Quote exceeds NTE","Quote within NTE")))))</f>
        <v/>
      </c>
      <c r="AK305" s="11">
        <f>IF(A305="","",IF(COUNT(H305)=0,"Enter direct cost",IF(COUNT(Z305)=0,"Enter invoice revenue",IF(COUNT(AB305:AD305)&lt;3,"Enter expenses (0 if none)","Complete"))))</f>
        <v/>
      </c>
      <c r="AL305" s="11">
        <f>IF(A305="","",IF(NOT(AND(COUNT(AH305)=1,N(AH305)&gt;0.004,V305&lt;&gt;"Void",V305&lt;&gt;"Not invoiced",V305&lt;&gt;"Draft")),"",IF(COUNT(X305)=0,"No due date",IF(TODAY()-X305&lt;=0,"Not yet due",IF(TODAY()-X305&lt;=30,"1-30 days",IF(TODAY()-X305&lt;=60,"31-60 days",IF(TODAY()-X305&lt;=90,"61-90 days","Over 90 days")))))))</f>
        <v/>
      </c>
      <c r="AM305" s="49">
        <f>IF(OR(AL305="",AL305="No due date"),"",MAX(TODAY()-X305,0))</f>
        <v/>
      </c>
      <c r="AN305" s="49">
        <f>IF(AL305="","",IF(COUNT(X305)=0,-100000,TODAY()-X305))</f>
        <v/>
      </c>
      <c r="AO305" s="49">
        <f>IF(AN305="","",COUNTIF(AN$11:AN$1010,"&gt;"&amp;AN305)+COUNTIF(AN$11:AN305,AN305))</f>
        <v/>
      </c>
      <c r="AP305" s="49">
        <f>IF(OR(A305="",B305=""),"",IF(COUNTIF(B$11:B305,B305)=1,MAX(AP$10:AP304)+1,""))</f>
        <v/>
      </c>
    </row>
    <row r="306" ht="24" customHeight="1">
      <c r="A306" s="20" t="n"/>
      <c r="B306" s="10" t="n"/>
      <c r="C306" s="10" t="n"/>
      <c r="D306" s="10" t="n"/>
      <c r="E306" s="10" t="n"/>
      <c r="F306" s="18" t="n"/>
      <c r="G306" s="10" t="n"/>
      <c r="H306" s="12" t="n"/>
      <c r="I306" s="12" t="n"/>
      <c r="J306" s="13">
        <f>IF(OR(A306="",COUNT(H306)=0,COUNT(Z306)=0),"",ROUND(Z306-H306,2))</f>
        <v/>
      </c>
      <c r="K306" s="15">
        <f>IF(COUNT(J306)=0,"",IF(Z306=0,"n.a.",J306/Z306))</f>
        <v/>
      </c>
      <c r="L306" s="14">
        <f>IF(OR(A306="",COUNT(H306)=0,COUNT(Y306)=0),"",ROUND(H306*(1+Y306),2))</f>
        <v/>
      </c>
      <c r="M306" s="10" t="n"/>
      <c r="N306" s="10" t="n"/>
      <c r="O306" s="10" t="n"/>
      <c r="P306" s="10" t="n"/>
      <c r="Q306" s="20" t="n"/>
      <c r="R306" s="10" t="n"/>
      <c r="S306" s="10" t="n"/>
      <c r="T306" s="18" t="n"/>
      <c r="U306" s="18" t="n"/>
      <c r="V306" s="10" t="n"/>
      <c r="W306" s="10" t="n"/>
      <c r="X306" s="19">
        <f>IF(OR(A306="",COUNT(U306)=0,COUNT(AI306)=0),"",U306+AI306)</f>
        <v/>
      </c>
      <c r="Y306" s="16" t="n"/>
      <c r="Z306" s="12" t="n"/>
      <c r="AA306" s="17">
        <f>IF(COUNT(J306)=0,"",IF(H306=0,"n.a.",J306/H306))</f>
        <v/>
      </c>
      <c r="AB306" s="12" t="n"/>
      <c r="AC306" s="12" t="n"/>
      <c r="AD306" s="12" t="n"/>
      <c r="AE306" s="13">
        <f>IF(OR(COUNT(J306)=0,COUNT(AB306:AD306)&lt;3),"",ROUND(J306-SUM(AB306:AD306),2))</f>
        <v/>
      </c>
      <c r="AF306" s="15">
        <f>IF(COUNT(AE306)=0,"",IF(Z306=0,"n.a.",AE306/Z306))</f>
        <v/>
      </c>
      <c r="AG306" s="12" t="n"/>
      <c r="AH306" s="14">
        <f>IF(OR(A306="",COUNT(Z306)=0,COUNT(AG306)=0),"",ROUND(Z306-AG306,2))</f>
        <v/>
      </c>
      <c r="AI306" s="21" t="n"/>
      <c r="AJ306" s="11">
        <f>IF(A306="","",IF(COUNT(I306)=0,"Enter approved NTE",IF(COUNT(Z306)&gt;0,IF(Z306&gt;I306,"Invoice exceeds NTE","Invoice within NTE"),IF(COUNT(L306)=0,"Enter quote inputs",IF(L306&gt;I306,"Quote exceeds NTE","Quote within NTE")))))</f>
        <v/>
      </c>
      <c r="AK306" s="11">
        <f>IF(A306="","",IF(COUNT(H306)=0,"Enter direct cost",IF(COUNT(Z306)=0,"Enter invoice revenue",IF(COUNT(AB306:AD306)&lt;3,"Enter expenses (0 if none)","Complete"))))</f>
        <v/>
      </c>
      <c r="AL306" s="11">
        <f>IF(A306="","",IF(NOT(AND(COUNT(AH306)=1,N(AH306)&gt;0.004,V306&lt;&gt;"Void",V306&lt;&gt;"Not invoiced",V306&lt;&gt;"Draft")),"",IF(COUNT(X306)=0,"No due date",IF(TODAY()-X306&lt;=0,"Not yet due",IF(TODAY()-X306&lt;=30,"1-30 days",IF(TODAY()-X306&lt;=60,"31-60 days",IF(TODAY()-X306&lt;=90,"61-90 days","Over 90 days")))))))</f>
        <v/>
      </c>
      <c r="AM306" s="49">
        <f>IF(OR(AL306="",AL306="No due date"),"",MAX(TODAY()-X306,0))</f>
        <v/>
      </c>
      <c r="AN306" s="49">
        <f>IF(AL306="","",IF(COUNT(X306)=0,-100000,TODAY()-X306))</f>
        <v/>
      </c>
      <c r="AO306" s="49">
        <f>IF(AN306="","",COUNTIF(AN$11:AN$1010,"&gt;"&amp;AN306)+COUNTIF(AN$11:AN306,AN306))</f>
        <v/>
      </c>
      <c r="AP306" s="49">
        <f>IF(OR(A306="",B306=""),"",IF(COUNTIF(B$11:B306,B306)=1,MAX(AP$10:AP305)+1,""))</f>
        <v/>
      </c>
    </row>
    <row r="307" ht="24" customHeight="1">
      <c r="A307" s="20" t="n"/>
      <c r="B307" s="10" t="n"/>
      <c r="C307" s="10" t="n"/>
      <c r="D307" s="10" t="n"/>
      <c r="E307" s="10" t="n"/>
      <c r="F307" s="18" t="n"/>
      <c r="G307" s="10" t="n"/>
      <c r="H307" s="12" t="n"/>
      <c r="I307" s="12" t="n"/>
      <c r="J307" s="13">
        <f>IF(OR(A307="",COUNT(H307)=0,COUNT(Z307)=0),"",ROUND(Z307-H307,2))</f>
        <v/>
      </c>
      <c r="K307" s="15">
        <f>IF(COUNT(J307)=0,"",IF(Z307=0,"n.a.",J307/Z307))</f>
        <v/>
      </c>
      <c r="L307" s="14">
        <f>IF(OR(A307="",COUNT(H307)=0,COUNT(Y307)=0),"",ROUND(H307*(1+Y307),2))</f>
        <v/>
      </c>
      <c r="M307" s="10" t="n"/>
      <c r="N307" s="10" t="n"/>
      <c r="O307" s="10" t="n"/>
      <c r="P307" s="10" t="n"/>
      <c r="Q307" s="20" t="n"/>
      <c r="R307" s="10" t="n"/>
      <c r="S307" s="10" t="n"/>
      <c r="T307" s="18" t="n"/>
      <c r="U307" s="18" t="n"/>
      <c r="V307" s="10" t="n"/>
      <c r="W307" s="10" t="n"/>
      <c r="X307" s="19">
        <f>IF(OR(A307="",COUNT(U307)=0,COUNT(AI307)=0),"",U307+AI307)</f>
        <v/>
      </c>
      <c r="Y307" s="16" t="n"/>
      <c r="Z307" s="12" t="n"/>
      <c r="AA307" s="17">
        <f>IF(COUNT(J307)=0,"",IF(H307=0,"n.a.",J307/H307))</f>
        <v/>
      </c>
      <c r="AB307" s="12" t="n"/>
      <c r="AC307" s="12" t="n"/>
      <c r="AD307" s="12" t="n"/>
      <c r="AE307" s="13">
        <f>IF(OR(COUNT(J307)=0,COUNT(AB307:AD307)&lt;3),"",ROUND(J307-SUM(AB307:AD307),2))</f>
        <v/>
      </c>
      <c r="AF307" s="15">
        <f>IF(COUNT(AE307)=0,"",IF(Z307=0,"n.a.",AE307/Z307))</f>
        <v/>
      </c>
      <c r="AG307" s="12" t="n"/>
      <c r="AH307" s="14">
        <f>IF(OR(A307="",COUNT(Z307)=0,COUNT(AG307)=0),"",ROUND(Z307-AG307,2))</f>
        <v/>
      </c>
      <c r="AI307" s="21" t="n"/>
      <c r="AJ307" s="11">
        <f>IF(A307="","",IF(COUNT(I307)=0,"Enter approved NTE",IF(COUNT(Z307)&gt;0,IF(Z307&gt;I307,"Invoice exceeds NTE","Invoice within NTE"),IF(COUNT(L307)=0,"Enter quote inputs",IF(L307&gt;I307,"Quote exceeds NTE","Quote within NTE")))))</f>
        <v/>
      </c>
      <c r="AK307" s="11">
        <f>IF(A307="","",IF(COUNT(H307)=0,"Enter direct cost",IF(COUNT(Z307)=0,"Enter invoice revenue",IF(COUNT(AB307:AD307)&lt;3,"Enter expenses (0 if none)","Complete"))))</f>
        <v/>
      </c>
      <c r="AL307" s="11">
        <f>IF(A307="","",IF(NOT(AND(COUNT(AH307)=1,N(AH307)&gt;0.004,V307&lt;&gt;"Void",V307&lt;&gt;"Not invoiced",V307&lt;&gt;"Draft")),"",IF(COUNT(X307)=0,"No due date",IF(TODAY()-X307&lt;=0,"Not yet due",IF(TODAY()-X307&lt;=30,"1-30 days",IF(TODAY()-X307&lt;=60,"31-60 days",IF(TODAY()-X307&lt;=90,"61-90 days","Over 90 days")))))))</f>
        <v/>
      </c>
      <c r="AM307" s="49">
        <f>IF(OR(AL307="",AL307="No due date"),"",MAX(TODAY()-X307,0))</f>
        <v/>
      </c>
      <c r="AN307" s="49">
        <f>IF(AL307="","",IF(COUNT(X307)=0,-100000,TODAY()-X307))</f>
        <v/>
      </c>
      <c r="AO307" s="49">
        <f>IF(AN307="","",COUNTIF(AN$11:AN$1010,"&gt;"&amp;AN307)+COUNTIF(AN$11:AN307,AN307))</f>
        <v/>
      </c>
      <c r="AP307" s="49">
        <f>IF(OR(A307="",B307=""),"",IF(COUNTIF(B$11:B307,B307)=1,MAX(AP$10:AP306)+1,""))</f>
        <v/>
      </c>
    </row>
    <row r="308" ht="24" customHeight="1">
      <c r="A308" s="20" t="n"/>
      <c r="B308" s="10" t="n"/>
      <c r="C308" s="10" t="n"/>
      <c r="D308" s="10" t="n"/>
      <c r="E308" s="10" t="n"/>
      <c r="F308" s="18" t="n"/>
      <c r="G308" s="10" t="n"/>
      <c r="H308" s="12" t="n"/>
      <c r="I308" s="12" t="n"/>
      <c r="J308" s="13">
        <f>IF(OR(A308="",COUNT(H308)=0,COUNT(Z308)=0),"",ROUND(Z308-H308,2))</f>
        <v/>
      </c>
      <c r="K308" s="15">
        <f>IF(COUNT(J308)=0,"",IF(Z308=0,"n.a.",J308/Z308))</f>
        <v/>
      </c>
      <c r="L308" s="14">
        <f>IF(OR(A308="",COUNT(H308)=0,COUNT(Y308)=0),"",ROUND(H308*(1+Y308),2))</f>
        <v/>
      </c>
      <c r="M308" s="10" t="n"/>
      <c r="N308" s="10" t="n"/>
      <c r="O308" s="10" t="n"/>
      <c r="P308" s="10" t="n"/>
      <c r="Q308" s="20" t="n"/>
      <c r="R308" s="10" t="n"/>
      <c r="S308" s="10" t="n"/>
      <c r="T308" s="18" t="n"/>
      <c r="U308" s="18" t="n"/>
      <c r="V308" s="10" t="n"/>
      <c r="W308" s="10" t="n"/>
      <c r="X308" s="19">
        <f>IF(OR(A308="",COUNT(U308)=0,COUNT(AI308)=0),"",U308+AI308)</f>
        <v/>
      </c>
      <c r="Y308" s="16" t="n"/>
      <c r="Z308" s="12" t="n"/>
      <c r="AA308" s="17">
        <f>IF(COUNT(J308)=0,"",IF(H308=0,"n.a.",J308/H308))</f>
        <v/>
      </c>
      <c r="AB308" s="12" t="n"/>
      <c r="AC308" s="12" t="n"/>
      <c r="AD308" s="12" t="n"/>
      <c r="AE308" s="13">
        <f>IF(OR(COUNT(J308)=0,COUNT(AB308:AD308)&lt;3),"",ROUND(J308-SUM(AB308:AD308),2))</f>
        <v/>
      </c>
      <c r="AF308" s="15">
        <f>IF(COUNT(AE308)=0,"",IF(Z308=0,"n.a.",AE308/Z308))</f>
        <v/>
      </c>
      <c r="AG308" s="12" t="n"/>
      <c r="AH308" s="14">
        <f>IF(OR(A308="",COUNT(Z308)=0,COUNT(AG308)=0),"",ROUND(Z308-AG308,2))</f>
        <v/>
      </c>
      <c r="AI308" s="21" t="n"/>
      <c r="AJ308" s="11">
        <f>IF(A308="","",IF(COUNT(I308)=0,"Enter approved NTE",IF(COUNT(Z308)&gt;0,IF(Z308&gt;I308,"Invoice exceeds NTE","Invoice within NTE"),IF(COUNT(L308)=0,"Enter quote inputs",IF(L308&gt;I308,"Quote exceeds NTE","Quote within NTE")))))</f>
        <v/>
      </c>
      <c r="AK308" s="11">
        <f>IF(A308="","",IF(COUNT(H308)=0,"Enter direct cost",IF(COUNT(Z308)=0,"Enter invoice revenue",IF(COUNT(AB308:AD308)&lt;3,"Enter expenses (0 if none)","Complete"))))</f>
        <v/>
      </c>
      <c r="AL308" s="11">
        <f>IF(A308="","",IF(NOT(AND(COUNT(AH308)=1,N(AH308)&gt;0.004,V308&lt;&gt;"Void",V308&lt;&gt;"Not invoiced",V308&lt;&gt;"Draft")),"",IF(COUNT(X308)=0,"No due date",IF(TODAY()-X308&lt;=0,"Not yet due",IF(TODAY()-X308&lt;=30,"1-30 days",IF(TODAY()-X308&lt;=60,"31-60 days",IF(TODAY()-X308&lt;=90,"61-90 days","Over 90 days")))))))</f>
        <v/>
      </c>
      <c r="AM308" s="49">
        <f>IF(OR(AL308="",AL308="No due date"),"",MAX(TODAY()-X308,0))</f>
        <v/>
      </c>
      <c r="AN308" s="49">
        <f>IF(AL308="","",IF(COUNT(X308)=0,-100000,TODAY()-X308))</f>
        <v/>
      </c>
      <c r="AO308" s="49">
        <f>IF(AN308="","",COUNTIF(AN$11:AN$1010,"&gt;"&amp;AN308)+COUNTIF(AN$11:AN308,AN308))</f>
        <v/>
      </c>
      <c r="AP308" s="49">
        <f>IF(OR(A308="",B308=""),"",IF(COUNTIF(B$11:B308,B308)=1,MAX(AP$10:AP307)+1,""))</f>
        <v/>
      </c>
    </row>
    <row r="309" ht="24" customHeight="1">
      <c r="A309" s="20" t="n"/>
      <c r="B309" s="10" t="n"/>
      <c r="C309" s="10" t="n"/>
      <c r="D309" s="10" t="n"/>
      <c r="E309" s="10" t="n"/>
      <c r="F309" s="18" t="n"/>
      <c r="G309" s="10" t="n"/>
      <c r="H309" s="12" t="n"/>
      <c r="I309" s="12" t="n"/>
      <c r="J309" s="13">
        <f>IF(OR(A309="",COUNT(H309)=0,COUNT(Z309)=0),"",ROUND(Z309-H309,2))</f>
        <v/>
      </c>
      <c r="K309" s="15">
        <f>IF(COUNT(J309)=0,"",IF(Z309=0,"n.a.",J309/Z309))</f>
        <v/>
      </c>
      <c r="L309" s="14">
        <f>IF(OR(A309="",COUNT(H309)=0,COUNT(Y309)=0),"",ROUND(H309*(1+Y309),2))</f>
        <v/>
      </c>
      <c r="M309" s="10" t="n"/>
      <c r="N309" s="10" t="n"/>
      <c r="O309" s="10" t="n"/>
      <c r="P309" s="10" t="n"/>
      <c r="Q309" s="20" t="n"/>
      <c r="R309" s="10" t="n"/>
      <c r="S309" s="10" t="n"/>
      <c r="T309" s="18" t="n"/>
      <c r="U309" s="18" t="n"/>
      <c r="V309" s="10" t="n"/>
      <c r="W309" s="10" t="n"/>
      <c r="X309" s="19">
        <f>IF(OR(A309="",COUNT(U309)=0,COUNT(AI309)=0),"",U309+AI309)</f>
        <v/>
      </c>
      <c r="Y309" s="16" t="n"/>
      <c r="Z309" s="12" t="n"/>
      <c r="AA309" s="17">
        <f>IF(COUNT(J309)=0,"",IF(H309=0,"n.a.",J309/H309))</f>
        <v/>
      </c>
      <c r="AB309" s="12" t="n"/>
      <c r="AC309" s="12" t="n"/>
      <c r="AD309" s="12" t="n"/>
      <c r="AE309" s="13">
        <f>IF(OR(COUNT(J309)=0,COUNT(AB309:AD309)&lt;3),"",ROUND(J309-SUM(AB309:AD309),2))</f>
        <v/>
      </c>
      <c r="AF309" s="15">
        <f>IF(COUNT(AE309)=0,"",IF(Z309=0,"n.a.",AE309/Z309))</f>
        <v/>
      </c>
      <c r="AG309" s="12" t="n"/>
      <c r="AH309" s="14">
        <f>IF(OR(A309="",COUNT(Z309)=0,COUNT(AG309)=0),"",ROUND(Z309-AG309,2))</f>
        <v/>
      </c>
      <c r="AI309" s="21" t="n"/>
      <c r="AJ309" s="11">
        <f>IF(A309="","",IF(COUNT(I309)=0,"Enter approved NTE",IF(COUNT(Z309)&gt;0,IF(Z309&gt;I309,"Invoice exceeds NTE","Invoice within NTE"),IF(COUNT(L309)=0,"Enter quote inputs",IF(L309&gt;I309,"Quote exceeds NTE","Quote within NTE")))))</f>
        <v/>
      </c>
      <c r="AK309" s="11">
        <f>IF(A309="","",IF(COUNT(H309)=0,"Enter direct cost",IF(COUNT(Z309)=0,"Enter invoice revenue",IF(COUNT(AB309:AD309)&lt;3,"Enter expenses (0 if none)","Complete"))))</f>
        <v/>
      </c>
      <c r="AL309" s="11">
        <f>IF(A309="","",IF(NOT(AND(COUNT(AH309)=1,N(AH309)&gt;0.004,V309&lt;&gt;"Void",V309&lt;&gt;"Not invoiced",V309&lt;&gt;"Draft")),"",IF(COUNT(X309)=0,"No due date",IF(TODAY()-X309&lt;=0,"Not yet due",IF(TODAY()-X309&lt;=30,"1-30 days",IF(TODAY()-X309&lt;=60,"31-60 days",IF(TODAY()-X309&lt;=90,"61-90 days","Over 90 days")))))))</f>
        <v/>
      </c>
      <c r="AM309" s="49">
        <f>IF(OR(AL309="",AL309="No due date"),"",MAX(TODAY()-X309,0))</f>
        <v/>
      </c>
      <c r="AN309" s="49">
        <f>IF(AL309="","",IF(COUNT(X309)=0,-100000,TODAY()-X309))</f>
        <v/>
      </c>
      <c r="AO309" s="49">
        <f>IF(AN309="","",COUNTIF(AN$11:AN$1010,"&gt;"&amp;AN309)+COUNTIF(AN$11:AN309,AN309))</f>
        <v/>
      </c>
      <c r="AP309" s="49">
        <f>IF(OR(A309="",B309=""),"",IF(COUNTIF(B$11:B309,B309)=1,MAX(AP$10:AP308)+1,""))</f>
        <v/>
      </c>
    </row>
    <row r="310" ht="24" customHeight="1">
      <c r="A310" s="20" t="n"/>
      <c r="B310" s="10" t="n"/>
      <c r="C310" s="10" t="n"/>
      <c r="D310" s="10" t="n"/>
      <c r="E310" s="10" t="n"/>
      <c r="F310" s="18" t="n"/>
      <c r="G310" s="10" t="n"/>
      <c r="H310" s="12" t="n"/>
      <c r="I310" s="12" t="n"/>
      <c r="J310" s="13">
        <f>IF(OR(A310="",COUNT(H310)=0,COUNT(Z310)=0),"",ROUND(Z310-H310,2))</f>
        <v/>
      </c>
      <c r="K310" s="15">
        <f>IF(COUNT(J310)=0,"",IF(Z310=0,"n.a.",J310/Z310))</f>
        <v/>
      </c>
      <c r="L310" s="14">
        <f>IF(OR(A310="",COUNT(H310)=0,COUNT(Y310)=0),"",ROUND(H310*(1+Y310),2))</f>
        <v/>
      </c>
      <c r="M310" s="10" t="n"/>
      <c r="N310" s="10" t="n"/>
      <c r="O310" s="10" t="n"/>
      <c r="P310" s="10" t="n"/>
      <c r="Q310" s="20" t="n"/>
      <c r="R310" s="10" t="n"/>
      <c r="S310" s="10" t="n"/>
      <c r="T310" s="18" t="n"/>
      <c r="U310" s="18" t="n"/>
      <c r="V310" s="10" t="n"/>
      <c r="W310" s="10" t="n"/>
      <c r="X310" s="19">
        <f>IF(OR(A310="",COUNT(U310)=0,COUNT(AI310)=0),"",U310+AI310)</f>
        <v/>
      </c>
      <c r="Y310" s="16" t="n"/>
      <c r="Z310" s="12" t="n"/>
      <c r="AA310" s="17">
        <f>IF(COUNT(J310)=0,"",IF(H310=0,"n.a.",J310/H310))</f>
        <v/>
      </c>
      <c r="AB310" s="12" t="n"/>
      <c r="AC310" s="12" t="n"/>
      <c r="AD310" s="12" t="n"/>
      <c r="AE310" s="13">
        <f>IF(OR(COUNT(J310)=0,COUNT(AB310:AD310)&lt;3),"",ROUND(J310-SUM(AB310:AD310),2))</f>
        <v/>
      </c>
      <c r="AF310" s="15">
        <f>IF(COUNT(AE310)=0,"",IF(Z310=0,"n.a.",AE310/Z310))</f>
        <v/>
      </c>
      <c r="AG310" s="12" t="n"/>
      <c r="AH310" s="14">
        <f>IF(OR(A310="",COUNT(Z310)=0,COUNT(AG310)=0),"",ROUND(Z310-AG310,2))</f>
        <v/>
      </c>
      <c r="AI310" s="21" t="n"/>
      <c r="AJ310" s="11">
        <f>IF(A310="","",IF(COUNT(I310)=0,"Enter approved NTE",IF(COUNT(Z310)&gt;0,IF(Z310&gt;I310,"Invoice exceeds NTE","Invoice within NTE"),IF(COUNT(L310)=0,"Enter quote inputs",IF(L310&gt;I310,"Quote exceeds NTE","Quote within NTE")))))</f>
        <v/>
      </c>
      <c r="AK310" s="11">
        <f>IF(A310="","",IF(COUNT(H310)=0,"Enter direct cost",IF(COUNT(Z310)=0,"Enter invoice revenue",IF(COUNT(AB310:AD310)&lt;3,"Enter expenses (0 if none)","Complete"))))</f>
        <v/>
      </c>
      <c r="AL310" s="11">
        <f>IF(A310="","",IF(NOT(AND(COUNT(AH310)=1,N(AH310)&gt;0.004,V310&lt;&gt;"Void",V310&lt;&gt;"Not invoiced",V310&lt;&gt;"Draft")),"",IF(COUNT(X310)=0,"No due date",IF(TODAY()-X310&lt;=0,"Not yet due",IF(TODAY()-X310&lt;=30,"1-30 days",IF(TODAY()-X310&lt;=60,"31-60 days",IF(TODAY()-X310&lt;=90,"61-90 days","Over 90 days")))))))</f>
        <v/>
      </c>
      <c r="AM310" s="49">
        <f>IF(OR(AL310="",AL310="No due date"),"",MAX(TODAY()-X310,0))</f>
        <v/>
      </c>
      <c r="AN310" s="49">
        <f>IF(AL310="","",IF(COUNT(X310)=0,-100000,TODAY()-X310))</f>
        <v/>
      </c>
      <c r="AO310" s="49">
        <f>IF(AN310="","",COUNTIF(AN$11:AN$1010,"&gt;"&amp;AN310)+COUNTIF(AN$11:AN310,AN310))</f>
        <v/>
      </c>
      <c r="AP310" s="49">
        <f>IF(OR(A310="",B310=""),"",IF(COUNTIF(B$11:B310,B310)=1,MAX(AP$10:AP309)+1,""))</f>
        <v/>
      </c>
    </row>
    <row r="311" ht="24" customHeight="1">
      <c r="A311" s="20" t="n"/>
      <c r="B311" s="10" t="n"/>
      <c r="C311" s="10" t="n"/>
      <c r="D311" s="10" t="n"/>
      <c r="E311" s="10" t="n"/>
      <c r="F311" s="18" t="n"/>
      <c r="G311" s="10" t="n"/>
      <c r="H311" s="12" t="n"/>
      <c r="I311" s="12" t="n"/>
      <c r="J311" s="13">
        <f>IF(OR(A311="",COUNT(H311)=0,COUNT(Z311)=0),"",ROUND(Z311-H311,2))</f>
        <v/>
      </c>
      <c r="K311" s="15">
        <f>IF(COUNT(J311)=0,"",IF(Z311=0,"n.a.",J311/Z311))</f>
        <v/>
      </c>
      <c r="L311" s="14">
        <f>IF(OR(A311="",COUNT(H311)=0,COUNT(Y311)=0),"",ROUND(H311*(1+Y311),2))</f>
        <v/>
      </c>
      <c r="M311" s="10" t="n"/>
      <c r="N311" s="10" t="n"/>
      <c r="O311" s="10" t="n"/>
      <c r="P311" s="10" t="n"/>
      <c r="Q311" s="20" t="n"/>
      <c r="R311" s="10" t="n"/>
      <c r="S311" s="10" t="n"/>
      <c r="T311" s="18" t="n"/>
      <c r="U311" s="18" t="n"/>
      <c r="V311" s="10" t="n"/>
      <c r="W311" s="10" t="n"/>
      <c r="X311" s="19">
        <f>IF(OR(A311="",COUNT(U311)=0,COUNT(AI311)=0),"",U311+AI311)</f>
        <v/>
      </c>
      <c r="Y311" s="16" t="n"/>
      <c r="Z311" s="12" t="n"/>
      <c r="AA311" s="17">
        <f>IF(COUNT(J311)=0,"",IF(H311=0,"n.a.",J311/H311))</f>
        <v/>
      </c>
      <c r="AB311" s="12" t="n"/>
      <c r="AC311" s="12" t="n"/>
      <c r="AD311" s="12" t="n"/>
      <c r="AE311" s="13">
        <f>IF(OR(COUNT(J311)=0,COUNT(AB311:AD311)&lt;3),"",ROUND(J311-SUM(AB311:AD311),2))</f>
        <v/>
      </c>
      <c r="AF311" s="15">
        <f>IF(COUNT(AE311)=0,"",IF(Z311=0,"n.a.",AE311/Z311))</f>
        <v/>
      </c>
      <c r="AG311" s="12" t="n"/>
      <c r="AH311" s="14">
        <f>IF(OR(A311="",COUNT(Z311)=0,COUNT(AG311)=0),"",ROUND(Z311-AG311,2))</f>
        <v/>
      </c>
      <c r="AI311" s="21" t="n"/>
      <c r="AJ311" s="11">
        <f>IF(A311="","",IF(COUNT(I311)=0,"Enter approved NTE",IF(COUNT(Z311)&gt;0,IF(Z311&gt;I311,"Invoice exceeds NTE","Invoice within NTE"),IF(COUNT(L311)=0,"Enter quote inputs",IF(L311&gt;I311,"Quote exceeds NTE","Quote within NTE")))))</f>
        <v/>
      </c>
      <c r="AK311" s="11">
        <f>IF(A311="","",IF(COUNT(H311)=0,"Enter direct cost",IF(COUNT(Z311)=0,"Enter invoice revenue",IF(COUNT(AB311:AD311)&lt;3,"Enter expenses (0 if none)","Complete"))))</f>
        <v/>
      </c>
      <c r="AL311" s="11">
        <f>IF(A311="","",IF(NOT(AND(COUNT(AH311)=1,N(AH311)&gt;0.004,V311&lt;&gt;"Void",V311&lt;&gt;"Not invoiced",V311&lt;&gt;"Draft")),"",IF(COUNT(X311)=0,"No due date",IF(TODAY()-X311&lt;=0,"Not yet due",IF(TODAY()-X311&lt;=30,"1-30 days",IF(TODAY()-X311&lt;=60,"31-60 days",IF(TODAY()-X311&lt;=90,"61-90 days","Over 90 days")))))))</f>
        <v/>
      </c>
      <c r="AM311" s="49">
        <f>IF(OR(AL311="",AL311="No due date"),"",MAX(TODAY()-X311,0))</f>
        <v/>
      </c>
      <c r="AN311" s="49">
        <f>IF(AL311="","",IF(COUNT(X311)=0,-100000,TODAY()-X311))</f>
        <v/>
      </c>
      <c r="AO311" s="49">
        <f>IF(AN311="","",COUNTIF(AN$11:AN$1010,"&gt;"&amp;AN311)+COUNTIF(AN$11:AN311,AN311))</f>
        <v/>
      </c>
      <c r="AP311" s="49">
        <f>IF(OR(A311="",B311=""),"",IF(COUNTIF(B$11:B311,B311)=1,MAX(AP$10:AP310)+1,""))</f>
        <v/>
      </c>
    </row>
    <row r="312" ht="24" customHeight="1">
      <c r="A312" s="20" t="n"/>
      <c r="B312" s="10" t="n"/>
      <c r="C312" s="10" t="n"/>
      <c r="D312" s="10" t="n"/>
      <c r="E312" s="10" t="n"/>
      <c r="F312" s="18" t="n"/>
      <c r="G312" s="10" t="n"/>
      <c r="H312" s="12" t="n"/>
      <c r="I312" s="12" t="n"/>
      <c r="J312" s="13">
        <f>IF(OR(A312="",COUNT(H312)=0,COUNT(Z312)=0),"",ROUND(Z312-H312,2))</f>
        <v/>
      </c>
      <c r="K312" s="15">
        <f>IF(COUNT(J312)=0,"",IF(Z312=0,"n.a.",J312/Z312))</f>
        <v/>
      </c>
      <c r="L312" s="14">
        <f>IF(OR(A312="",COUNT(H312)=0,COUNT(Y312)=0),"",ROUND(H312*(1+Y312),2))</f>
        <v/>
      </c>
      <c r="M312" s="10" t="n"/>
      <c r="N312" s="10" t="n"/>
      <c r="O312" s="10" t="n"/>
      <c r="P312" s="10" t="n"/>
      <c r="Q312" s="20" t="n"/>
      <c r="R312" s="10" t="n"/>
      <c r="S312" s="10" t="n"/>
      <c r="T312" s="18" t="n"/>
      <c r="U312" s="18" t="n"/>
      <c r="V312" s="10" t="n"/>
      <c r="W312" s="10" t="n"/>
      <c r="X312" s="19">
        <f>IF(OR(A312="",COUNT(U312)=0,COUNT(AI312)=0),"",U312+AI312)</f>
        <v/>
      </c>
      <c r="Y312" s="16" t="n"/>
      <c r="Z312" s="12" t="n"/>
      <c r="AA312" s="17">
        <f>IF(COUNT(J312)=0,"",IF(H312=0,"n.a.",J312/H312))</f>
        <v/>
      </c>
      <c r="AB312" s="12" t="n"/>
      <c r="AC312" s="12" t="n"/>
      <c r="AD312" s="12" t="n"/>
      <c r="AE312" s="13">
        <f>IF(OR(COUNT(J312)=0,COUNT(AB312:AD312)&lt;3),"",ROUND(J312-SUM(AB312:AD312),2))</f>
        <v/>
      </c>
      <c r="AF312" s="15">
        <f>IF(COUNT(AE312)=0,"",IF(Z312=0,"n.a.",AE312/Z312))</f>
        <v/>
      </c>
      <c r="AG312" s="12" t="n"/>
      <c r="AH312" s="14">
        <f>IF(OR(A312="",COUNT(Z312)=0,COUNT(AG312)=0),"",ROUND(Z312-AG312,2))</f>
        <v/>
      </c>
      <c r="AI312" s="21" t="n"/>
      <c r="AJ312" s="11">
        <f>IF(A312="","",IF(COUNT(I312)=0,"Enter approved NTE",IF(COUNT(Z312)&gt;0,IF(Z312&gt;I312,"Invoice exceeds NTE","Invoice within NTE"),IF(COUNT(L312)=0,"Enter quote inputs",IF(L312&gt;I312,"Quote exceeds NTE","Quote within NTE")))))</f>
        <v/>
      </c>
      <c r="AK312" s="11">
        <f>IF(A312="","",IF(COUNT(H312)=0,"Enter direct cost",IF(COUNT(Z312)=0,"Enter invoice revenue",IF(COUNT(AB312:AD312)&lt;3,"Enter expenses (0 if none)","Complete"))))</f>
        <v/>
      </c>
      <c r="AL312" s="11">
        <f>IF(A312="","",IF(NOT(AND(COUNT(AH312)=1,N(AH312)&gt;0.004,V312&lt;&gt;"Void",V312&lt;&gt;"Not invoiced",V312&lt;&gt;"Draft")),"",IF(COUNT(X312)=0,"No due date",IF(TODAY()-X312&lt;=0,"Not yet due",IF(TODAY()-X312&lt;=30,"1-30 days",IF(TODAY()-X312&lt;=60,"31-60 days",IF(TODAY()-X312&lt;=90,"61-90 days","Over 90 days")))))))</f>
        <v/>
      </c>
      <c r="AM312" s="49">
        <f>IF(OR(AL312="",AL312="No due date"),"",MAX(TODAY()-X312,0))</f>
        <v/>
      </c>
      <c r="AN312" s="49">
        <f>IF(AL312="","",IF(COUNT(X312)=0,-100000,TODAY()-X312))</f>
        <v/>
      </c>
      <c r="AO312" s="49">
        <f>IF(AN312="","",COUNTIF(AN$11:AN$1010,"&gt;"&amp;AN312)+COUNTIF(AN$11:AN312,AN312))</f>
        <v/>
      </c>
      <c r="AP312" s="49">
        <f>IF(OR(A312="",B312=""),"",IF(COUNTIF(B$11:B312,B312)=1,MAX(AP$10:AP311)+1,""))</f>
        <v/>
      </c>
    </row>
    <row r="313" ht="24" customHeight="1">
      <c r="A313" s="20" t="n"/>
      <c r="B313" s="10" t="n"/>
      <c r="C313" s="10" t="n"/>
      <c r="D313" s="10" t="n"/>
      <c r="E313" s="10" t="n"/>
      <c r="F313" s="18" t="n"/>
      <c r="G313" s="10" t="n"/>
      <c r="H313" s="12" t="n"/>
      <c r="I313" s="12" t="n"/>
      <c r="J313" s="13">
        <f>IF(OR(A313="",COUNT(H313)=0,COUNT(Z313)=0),"",ROUND(Z313-H313,2))</f>
        <v/>
      </c>
      <c r="K313" s="15">
        <f>IF(COUNT(J313)=0,"",IF(Z313=0,"n.a.",J313/Z313))</f>
        <v/>
      </c>
      <c r="L313" s="14">
        <f>IF(OR(A313="",COUNT(H313)=0,COUNT(Y313)=0),"",ROUND(H313*(1+Y313),2))</f>
        <v/>
      </c>
      <c r="M313" s="10" t="n"/>
      <c r="N313" s="10" t="n"/>
      <c r="O313" s="10" t="n"/>
      <c r="P313" s="10" t="n"/>
      <c r="Q313" s="20" t="n"/>
      <c r="R313" s="10" t="n"/>
      <c r="S313" s="10" t="n"/>
      <c r="T313" s="18" t="n"/>
      <c r="U313" s="18" t="n"/>
      <c r="V313" s="10" t="n"/>
      <c r="W313" s="10" t="n"/>
      <c r="X313" s="19">
        <f>IF(OR(A313="",COUNT(U313)=0,COUNT(AI313)=0),"",U313+AI313)</f>
        <v/>
      </c>
      <c r="Y313" s="16" t="n"/>
      <c r="Z313" s="12" t="n"/>
      <c r="AA313" s="17">
        <f>IF(COUNT(J313)=0,"",IF(H313=0,"n.a.",J313/H313))</f>
        <v/>
      </c>
      <c r="AB313" s="12" t="n"/>
      <c r="AC313" s="12" t="n"/>
      <c r="AD313" s="12" t="n"/>
      <c r="AE313" s="13">
        <f>IF(OR(COUNT(J313)=0,COUNT(AB313:AD313)&lt;3),"",ROUND(J313-SUM(AB313:AD313),2))</f>
        <v/>
      </c>
      <c r="AF313" s="15">
        <f>IF(COUNT(AE313)=0,"",IF(Z313=0,"n.a.",AE313/Z313))</f>
        <v/>
      </c>
      <c r="AG313" s="12" t="n"/>
      <c r="AH313" s="14">
        <f>IF(OR(A313="",COUNT(Z313)=0,COUNT(AG313)=0),"",ROUND(Z313-AG313,2))</f>
        <v/>
      </c>
      <c r="AI313" s="21" t="n"/>
      <c r="AJ313" s="11">
        <f>IF(A313="","",IF(COUNT(I313)=0,"Enter approved NTE",IF(COUNT(Z313)&gt;0,IF(Z313&gt;I313,"Invoice exceeds NTE","Invoice within NTE"),IF(COUNT(L313)=0,"Enter quote inputs",IF(L313&gt;I313,"Quote exceeds NTE","Quote within NTE")))))</f>
        <v/>
      </c>
      <c r="AK313" s="11">
        <f>IF(A313="","",IF(COUNT(H313)=0,"Enter direct cost",IF(COUNT(Z313)=0,"Enter invoice revenue",IF(COUNT(AB313:AD313)&lt;3,"Enter expenses (0 if none)","Complete"))))</f>
        <v/>
      </c>
      <c r="AL313" s="11">
        <f>IF(A313="","",IF(NOT(AND(COUNT(AH313)=1,N(AH313)&gt;0.004,V313&lt;&gt;"Void",V313&lt;&gt;"Not invoiced",V313&lt;&gt;"Draft")),"",IF(COUNT(X313)=0,"No due date",IF(TODAY()-X313&lt;=0,"Not yet due",IF(TODAY()-X313&lt;=30,"1-30 days",IF(TODAY()-X313&lt;=60,"31-60 days",IF(TODAY()-X313&lt;=90,"61-90 days","Over 90 days")))))))</f>
        <v/>
      </c>
      <c r="AM313" s="49">
        <f>IF(OR(AL313="",AL313="No due date"),"",MAX(TODAY()-X313,0))</f>
        <v/>
      </c>
      <c r="AN313" s="49">
        <f>IF(AL313="","",IF(COUNT(X313)=0,-100000,TODAY()-X313))</f>
        <v/>
      </c>
      <c r="AO313" s="49">
        <f>IF(AN313="","",COUNTIF(AN$11:AN$1010,"&gt;"&amp;AN313)+COUNTIF(AN$11:AN313,AN313))</f>
        <v/>
      </c>
      <c r="AP313" s="49">
        <f>IF(OR(A313="",B313=""),"",IF(COUNTIF(B$11:B313,B313)=1,MAX(AP$10:AP312)+1,""))</f>
        <v/>
      </c>
    </row>
    <row r="314" ht="24" customHeight="1">
      <c r="A314" s="20" t="n"/>
      <c r="B314" s="10" t="n"/>
      <c r="C314" s="10" t="n"/>
      <c r="D314" s="10" t="n"/>
      <c r="E314" s="10" t="n"/>
      <c r="F314" s="18" t="n"/>
      <c r="G314" s="10" t="n"/>
      <c r="H314" s="12" t="n"/>
      <c r="I314" s="12" t="n"/>
      <c r="J314" s="13">
        <f>IF(OR(A314="",COUNT(H314)=0,COUNT(Z314)=0),"",ROUND(Z314-H314,2))</f>
        <v/>
      </c>
      <c r="K314" s="15">
        <f>IF(COUNT(J314)=0,"",IF(Z314=0,"n.a.",J314/Z314))</f>
        <v/>
      </c>
      <c r="L314" s="14">
        <f>IF(OR(A314="",COUNT(H314)=0,COUNT(Y314)=0),"",ROUND(H314*(1+Y314),2))</f>
        <v/>
      </c>
      <c r="M314" s="10" t="n"/>
      <c r="N314" s="10" t="n"/>
      <c r="O314" s="10" t="n"/>
      <c r="P314" s="10" t="n"/>
      <c r="Q314" s="20" t="n"/>
      <c r="R314" s="10" t="n"/>
      <c r="S314" s="10" t="n"/>
      <c r="T314" s="18" t="n"/>
      <c r="U314" s="18" t="n"/>
      <c r="V314" s="10" t="n"/>
      <c r="W314" s="10" t="n"/>
      <c r="X314" s="19">
        <f>IF(OR(A314="",COUNT(U314)=0,COUNT(AI314)=0),"",U314+AI314)</f>
        <v/>
      </c>
      <c r="Y314" s="16" t="n"/>
      <c r="Z314" s="12" t="n"/>
      <c r="AA314" s="17">
        <f>IF(COUNT(J314)=0,"",IF(H314=0,"n.a.",J314/H314))</f>
        <v/>
      </c>
      <c r="AB314" s="12" t="n"/>
      <c r="AC314" s="12" t="n"/>
      <c r="AD314" s="12" t="n"/>
      <c r="AE314" s="13">
        <f>IF(OR(COUNT(J314)=0,COUNT(AB314:AD314)&lt;3),"",ROUND(J314-SUM(AB314:AD314),2))</f>
        <v/>
      </c>
      <c r="AF314" s="15">
        <f>IF(COUNT(AE314)=0,"",IF(Z314=0,"n.a.",AE314/Z314))</f>
        <v/>
      </c>
      <c r="AG314" s="12" t="n"/>
      <c r="AH314" s="14">
        <f>IF(OR(A314="",COUNT(Z314)=0,COUNT(AG314)=0),"",ROUND(Z314-AG314,2))</f>
        <v/>
      </c>
      <c r="AI314" s="21" t="n"/>
      <c r="AJ314" s="11">
        <f>IF(A314="","",IF(COUNT(I314)=0,"Enter approved NTE",IF(COUNT(Z314)&gt;0,IF(Z314&gt;I314,"Invoice exceeds NTE","Invoice within NTE"),IF(COUNT(L314)=0,"Enter quote inputs",IF(L314&gt;I314,"Quote exceeds NTE","Quote within NTE")))))</f>
        <v/>
      </c>
      <c r="AK314" s="11">
        <f>IF(A314="","",IF(COUNT(H314)=0,"Enter direct cost",IF(COUNT(Z314)=0,"Enter invoice revenue",IF(COUNT(AB314:AD314)&lt;3,"Enter expenses (0 if none)","Complete"))))</f>
        <v/>
      </c>
      <c r="AL314" s="11">
        <f>IF(A314="","",IF(NOT(AND(COUNT(AH314)=1,N(AH314)&gt;0.004,V314&lt;&gt;"Void",V314&lt;&gt;"Not invoiced",V314&lt;&gt;"Draft")),"",IF(COUNT(X314)=0,"No due date",IF(TODAY()-X314&lt;=0,"Not yet due",IF(TODAY()-X314&lt;=30,"1-30 days",IF(TODAY()-X314&lt;=60,"31-60 days",IF(TODAY()-X314&lt;=90,"61-90 days","Over 90 days")))))))</f>
        <v/>
      </c>
      <c r="AM314" s="49">
        <f>IF(OR(AL314="",AL314="No due date"),"",MAX(TODAY()-X314,0))</f>
        <v/>
      </c>
      <c r="AN314" s="49">
        <f>IF(AL314="","",IF(COUNT(X314)=0,-100000,TODAY()-X314))</f>
        <v/>
      </c>
      <c r="AO314" s="49">
        <f>IF(AN314="","",COUNTIF(AN$11:AN$1010,"&gt;"&amp;AN314)+COUNTIF(AN$11:AN314,AN314))</f>
        <v/>
      </c>
      <c r="AP314" s="49">
        <f>IF(OR(A314="",B314=""),"",IF(COUNTIF(B$11:B314,B314)=1,MAX(AP$10:AP313)+1,""))</f>
        <v/>
      </c>
    </row>
    <row r="315" ht="24" customHeight="1">
      <c r="A315" s="20" t="n"/>
      <c r="B315" s="10" t="n"/>
      <c r="C315" s="10" t="n"/>
      <c r="D315" s="10" t="n"/>
      <c r="E315" s="10" t="n"/>
      <c r="F315" s="18" t="n"/>
      <c r="G315" s="10" t="n"/>
      <c r="H315" s="12" t="n"/>
      <c r="I315" s="12" t="n"/>
      <c r="J315" s="13">
        <f>IF(OR(A315="",COUNT(H315)=0,COUNT(Z315)=0),"",ROUND(Z315-H315,2))</f>
        <v/>
      </c>
      <c r="K315" s="15">
        <f>IF(COUNT(J315)=0,"",IF(Z315=0,"n.a.",J315/Z315))</f>
        <v/>
      </c>
      <c r="L315" s="14">
        <f>IF(OR(A315="",COUNT(H315)=0,COUNT(Y315)=0),"",ROUND(H315*(1+Y315),2))</f>
        <v/>
      </c>
      <c r="M315" s="10" t="n"/>
      <c r="N315" s="10" t="n"/>
      <c r="O315" s="10" t="n"/>
      <c r="P315" s="10" t="n"/>
      <c r="Q315" s="20" t="n"/>
      <c r="R315" s="10" t="n"/>
      <c r="S315" s="10" t="n"/>
      <c r="T315" s="18" t="n"/>
      <c r="U315" s="18" t="n"/>
      <c r="V315" s="10" t="n"/>
      <c r="W315" s="10" t="n"/>
      <c r="X315" s="19">
        <f>IF(OR(A315="",COUNT(U315)=0,COUNT(AI315)=0),"",U315+AI315)</f>
        <v/>
      </c>
      <c r="Y315" s="16" t="n"/>
      <c r="Z315" s="12" t="n"/>
      <c r="AA315" s="17">
        <f>IF(COUNT(J315)=0,"",IF(H315=0,"n.a.",J315/H315))</f>
        <v/>
      </c>
      <c r="AB315" s="12" t="n"/>
      <c r="AC315" s="12" t="n"/>
      <c r="AD315" s="12" t="n"/>
      <c r="AE315" s="13">
        <f>IF(OR(COUNT(J315)=0,COUNT(AB315:AD315)&lt;3),"",ROUND(J315-SUM(AB315:AD315),2))</f>
        <v/>
      </c>
      <c r="AF315" s="15">
        <f>IF(COUNT(AE315)=0,"",IF(Z315=0,"n.a.",AE315/Z315))</f>
        <v/>
      </c>
      <c r="AG315" s="12" t="n"/>
      <c r="AH315" s="14">
        <f>IF(OR(A315="",COUNT(Z315)=0,COUNT(AG315)=0),"",ROUND(Z315-AG315,2))</f>
        <v/>
      </c>
      <c r="AI315" s="21" t="n"/>
      <c r="AJ315" s="11">
        <f>IF(A315="","",IF(COUNT(I315)=0,"Enter approved NTE",IF(COUNT(Z315)&gt;0,IF(Z315&gt;I315,"Invoice exceeds NTE","Invoice within NTE"),IF(COUNT(L315)=0,"Enter quote inputs",IF(L315&gt;I315,"Quote exceeds NTE","Quote within NTE")))))</f>
        <v/>
      </c>
      <c r="AK315" s="11">
        <f>IF(A315="","",IF(COUNT(H315)=0,"Enter direct cost",IF(COUNT(Z315)=0,"Enter invoice revenue",IF(COUNT(AB315:AD315)&lt;3,"Enter expenses (0 if none)","Complete"))))</f>
        <v/>
      </c>
      <c r="AL315" s="11">
        <f>IF(A315="","",IF(NOT(AND(COUNT(AH315)=1,N(AH315)&gt;0.004,V315&lt;&gt;"Void",V315&lt;&gt;"Not invoiced",V315&lt;&gt;"Draft")),"",IF(COUNT(X315)=0,"No due date",IF(TODAY()-X315&lt;=0,"Not yet due",IF(TODAY()-X315&lt;=30,"1-30 days",IF(TODAY()-X315&lt;=60,"31-60 days",IF(TODAY()-X315&lt;=90,"61-90 days","Over 90 days")))))))</f>
        <v/>
      </c>
      <c r="AM315" s="49">
        <f>IF(OR(AL315="",AL315="No due date"),"",MAX(TODAY()-X315,0))</f>
        <v/>
      </c>
      <c r="AN315" s="49">
        <f>IF(AL315="","",IF(COUNT(X315)=0,-100000,TODAY()-X315))</f>
        <v/>
      </c>
      <c r="AO315" s="49">
        <f>IF(AN315="","",COUNTIF(AN$11:AN$1010,"&gt;"&amp;AN315)+COUNTIF(AN$11:AN315,AN315))</f>
        <v/>
      </c>
      <c r="AP315" s="49">
        <f>IF(OR(A315="",B315=""),"",IF(COUNTIF(B$11:B315,B315)=1,MAX(AP$10:AP314)+1,""))</f>
        <v/>
      </c>
    </row>
    <row r="316" ht="24" customHeight="1">
      <c r="A316" s="20" t="n"/>
      <c r="B316" s="10" t="n"/>
      <c r="C316" s="10" t="n"/>
      <c r="D316" s="10" t="n"/>
      <c r="E316" s="10" t="n"/>
      <c r="F316" s="18" t="n"/>
      <c r="G316" s="10" t="n"/>
      <c r="H316" s="12" t="n"/>
      <c r="I316" s="12" t="n"/>
      <c r="J316" s="13">
        <f>IF(OR(A316="",COUNT(H316)=0,COUNT(Z316)=0),"",ROUND(Z316-H316,2))</f>
        <v/>
      </c>
      <c r="K316" s="15">
        <f>IF(COUNT(J316)=0,"",IF(Z316=0,"n.a.",J316/Z316))</f>
        <v/>
      </c>
      <c r="L316" s="14">
        <f>IF(OR(A316="",COUNT(H316)=0,COUNT(Y316)=0),"",ROUND(H316*(1+Y316),2))</f>
        <v/>
      </c>
      <c r="M316" s="10" t="n"/>
      <c r="N316" s="10" t="n"/>
      <c r="O316" s="10" t="n"/>
      <c r="P316" s="10" t="n"/>
      <c r="Q316" s="20" t="n"/>
      <c r="R316" s="10" t="n"/>
      <c r="S316" s="10" t="n"/>
      <c r="T316" s="18" t="n"/>
      <c r="U316" s="18" t="n"/>
      <c r="V316" s="10" t="n"/>
      <c r="W316" s="10" t="n"/>
      <c r="X316" s="19">
        <f>IF(OR(A316="",COUNT(U316)=0,COUNT(AI316)=0),"",U316+AI316)</f>
        <v/>
      </c>
      <c r="Y316" s="16" t="n"/>
      <c r="Z316" s="12" t="n"/>
      <c r="AA316" s="17">
        <f>IF(COUNT(J316)=0,"",IF(H316=0,"n.a.",J316/H316))</f>
        <v/>
      </c>
      <c r="AB316" s="12" t="n"/>
      <c r="AC316" s="12" t="n"/>
      <c r="AD316" s="12" t="n"/>
      <c r="AE316" s="13">
        <f>IF(OR(COUNT(J316)=0,COUNT(AB316:AD316)&lt;3),"",ROUND(J316-SUM(AB316:AD316),2))</f>
        <v/>
      </c>
      <c r="AF316" s="15">
        <f>IF(COUNT(AE316)=0,"",IF(Z316=0,"n.a.",AE316/Z316))</f>
        <v/>
      </c>
      <c r="AG316" s="12" t="n"/>
      <c r="AH316" s="14">
        <f>IF(OR(A316="",COUNT(Z316)=0,COUNT(AG316)=0),"",ROUND(Z316-AG316,2))</f>
        <v/>
      </c>
      <c r="AI316" s="21" t="n"/>
      <c r="AJ316" s="11">
        <f>IF(A316="","",IF(COUNT(I316)=0,"Enter approved NTE",IF(COUNT(Z316)&gt;0,IF(Z316&gt;I316,"Invoice exceeds NTE","Invoice within NTE"),IF(COUNT(L316)=0,"Enter quote inputs",IF(L316&gt;I316,"Quote exceeds NTE","Quote within NTE")))))</f>
        <v/>
      </c>
      <c r="AK316" s="11">
        <f>IF(A316="","",IF(COUNT(H316)=0,"Enter direct cost",IF(COUNT(Z316)=0,"Enter invoice revenue",IF(COUNT(AB316:AD316)&lt;3,"Enter expenses (0 if none)","Complete"))))</f>
        <v/>
      </c>
      <c r="AL316" s="11">
        <f>IF(A316="","",IF(NOT(AND(COUNT(AH316)=1,N(AH316)&gt;0.004,V316&lt;&gt;"Void",V316&lt;&gt;"Not invoiced",V316&lt;&gt;"Draft")),"",IF(COUNT(X316)=0,"No due date",IF(TODAY()-X316&lt;=0,"Not yet due",IF(TODAY()-X316&lt;=30,"1-30 days",IF(TODAY()-X316&lt;=60,"31-60 days",IF(TODAY()-X316&lt;=90,"61-90 days","Over 90 days")))))))</f>
        <v/>
      </c>
      <c r="AM316" s="49">
        <f>IF(OR(AL316="",AL316="No due date"),"",MAX(TODAY()-X316,0))</f>
        <v/>
      </c>
      <c r="AN316" s="49">
        <f>IF(AL316="","",IF(COUNT(X316)=0,-100000,TODAY()-X316))</f>
        <v/>
      </c>
      <c r="AO316" s="49">
        <f>IF(AN316="","",COUNTIF(AN$11:AN$1010,"&gt;"&amp;AN316)+COUNTIF(AN$11:AN316,AN316))</f>
        <v/>
      </c>
      <c r="AP316" s="49">
        <f>IF(OR(A316="",B316=""),"",IF(COUNTIF(B$11:B316,B316)=1,MAX(AP$10:AP315)+1,""))</f>
        <v/>
      </c>
    </row>
    <row r="317" ht="24" customHeight="1">
      <c r="A317" s="20" t="n"/>
      <c r="B317" s="10" t="n"/>
      <c r="C317" s="10" t="n"/>
      <c r="D317" s="10" t="n"/>
      <c r="E317" s="10" t="n"/>
      <c r="F317" s="18" t="n"/>
      <c r="G317" s="10" t="n"/>
      <c r="H317" s="12" t="n"/>
      <c r="I317" s="12" t="n"/>
      <c r="J317" s="13">
        <f>IF(OR(A317="",COUNT(H317)=0,COUNT(Z317)=0),"",ROUND(Z317-H317,2))</f>
        <v/>
      </c>
      <c r="K317" s="15">
        <f>IF(COUNT(J317)=0,"",IF(Z317=0,"n.a.",J317/Z317))</f>
        <v/>
      </c>
      <c r="L317" s="14">
        <f>IF(OR(A317="",COUNT(H317)=0,COUNT(Y317)=0),"",ROUND(H317*(1+Y317),2))</f>
        <v/>
      </c>
      <c r="M317" s="10" t="n"/>
      <c r="N317" s="10" t="n"/>
      <c r="O317" s="10" t="n"/>
      <c r="P317" s="10" t="n"/>
      <c r="Q317" s="20" t="n"/>
      <c r="R317" s="10" t="n"/>
      <c r="S317" s="10" t="n"/>
      <c r="T317" s="18" t="n"/>
      <c r="U317" s="18" t="n"/>
      <c r="V317" s="10" t="n"/>
      <c r="W317" s="10" t="n"/>
      <c r="X317" s="19">
        <f>IF(OR(A317="",COUNT(U317)=0,COUNT(AI317)=0),"",U317+AI317)</f>
        <v/>
      </c>
      <c r="Y317" s="16" t="n"/>
      <c r="Z317" s="12" t="n"/>
      <c r="AA317" s="17">
        <f>IF(COUNT(J317)=0,"",IF(H317=0,"n.a.",J317/H317))</f>
        <v/>
      </c>
      <c r="AB317" s="12" t="n"/>
      <c r="AC317" s="12" t="n"/>
      <c r="AD317" s="12" t="n"/>
      <c r="AE317" s="13">
        <f>IF(OR(COUNT(J317)=0,COUNT(AB317:AD317)&lt;3),"",ROUND(J317-SUM(AB317:AD317),2))</f>
        <v/>
      </c>
      <c r="AF317" s="15">
        <f>IF(COUNT(AE317)=0,"",IF(Z317=0,"n.a.",AE317/Z317))</f>
        <v/>
      </c>
      <c r="AG317" s="12" t="n"/>
      <c r="AH317" s="14">
        <f>IF(OR(A317="",COUNT(Z317)=0,COUNT(AG317)=0),"",ROUND(Z317-AG317,2))</f>
        <v/>
      </c>
      <c r="AI317" s="21" t="n"/>
      <c r="AJ317" s="11">
        <f>IF(A317="","",IF(COUNT(I317)=0,"Enter approved NTE",IF(COUNT(Z317)&gt;0,IF(Z317&gt;I317,"Invoice exceeds NTE","Invoice within NTE"),IF(COUNT(L317)=0,"Enter quote inputs",IF(L317&gt;I317,"Quote exceeds NTE","Quote within NTE")))))</f>
        <v/>
      </c>
      <c r="AK317" s="11">
        <f>IF(A317="","",IF(COUNT(H317)=0,"Enter direct cost",IF(COUNT(Z317)=0,"Enter invoice revenue",IF(COUNT(AB317:AD317)&lt;3,"Enter expenses (0 if none)","Complete"))))</f>
        <v/>
      </c>
      <c r="AL317" s="11">
        <f>IF(A317="","",IF(NOT(AND(COUNT(AH317)=1,N(AH317)&gt;0.004,V317&lt;&gt;"Void",V317&lt;&gt;"Not invoiced",V317&lt;&gt;"Draft")),"",IF(COUNT(X317)=0,"No due date",IF(TODAY()-X317&lt;=0,"Not yet due",IF(TODAY()-X317&lt;=30,"1-30 days",IF(TODAY()-X317&lt;=60,"31-60 days",IF(TODAY()-X317&lt;=90,"61-90 days","Over 90 days")))))))</f>
        <v/>
      </c>
      <c r="AM317" s="49">
        <f>IF(OR(AL317="",AL317="No due date"),"",MAX(TODAY()-X317,0))</f>
        <v/>
      </c>
      <c r="AN317" s="49">
        <f>IF(AL317="","",IF(COUNT(X317)=0,-100000,TODAY()-X317))</f>
        <v/>
      </c>
      <c r="AO317" s="49">
        <f>IF(AN317="","",COUNTIF(AN$11:AN$1010,"&gt;"&amp;AN317)+COUNTIF(AN$11:AN317,AN317))</f>
        <v/>
      </c>
      <c r="AP317" s="49">
        <f>IF(OR(A317="",B317=""),"",IF(COUNTIF(B$11:B317,B317)=1,MAX(AP$10:AP316)+1,""))</f>
        <v/>
      </c>
    </row>
    <row r="318" ht="24" customHeight="1">
      <c r="A318" s="20" t="n"/>
      <c r="B318" s="10" t="n"/>
      <c r="C318" s="10" t="n"/>
      <c r="D318" s="10" t="n"/>
      <c r="E318" s="10" t="n"/>
      <c r="F318" s="18" t="n"/>
      <c r="G318" s="10" t="n"/>
      <c r="H318" s="12" t="n"/>
      <c r="I318" s="12" t="n"/>
      <c r="J318" s="13">
        <f>IF(OR(A318="",COUNT(H318)=0,COUNT(Z318)=0),"",ROUND(Z318-H318,2))</f>
        <v/>
      </c>
      <c r="K318" s="15">
        <f>IF(COUNT(J318)=0,"",IF(Z318=0,"n.a.",J318/Z318))</f>
        <v/>
      </c>
      <c r="L318" s="14">
        <f>IF(OR(A318="",COUNT(H318)=0,COUNT(Y318)=0),"",ROUND(H318*(1+Y318),2))</f>
        <v/>
      </c>
      <c r="M318" s="10" t="n"/>
      <c r="N318" s="10" t="n"/>
      <c r="O318" s="10" t="n"/>
      <c r="P318" s="10" t="n"/>
      <c r="Q318" s="20" t="n"/>
      <c r="R318" s="10" t="n"/>
      <c r="S318" s="10" t="n"/>
      <c r="T318" s="18" t="n"/>
      <c r="U318" s="18" t="n"/>
      <c r="V318" s="10" t="n"/>
      <c r="W318" s="10" t="n"/>
      <c r="X318" s="19">
        <f>IF(OR(A318="",COUNT(U318)=0,COUNT(AI318)=0),"",U318+AI318)</f>
        <v/>
      </c>
      <c r="Y318" s="16" t="n"/>
      <c r="Z318" s="12" t="n"/>
      <c r="AA318" s="17">
        <f>IF(COUNT(J318)=0,"",IF(H318=0,"n.a.",J318/H318))</f>
        <v/>
      </c>
      <c r="AB318" s="12" t="n"/>
      <c r="AC318" s="12" t="n"/>
      <c r="AD318" s="12" t="n"/>
      <c r="AE318" s="13">
        <f>IF(OR(COUNT(J318)=0,COUNT(AB318:AD318)&lt;3),"",ROUND(J318-SUM(AB318:AD318),2))</f>
        <v/>
      </c>
      <c r="AF318" s="15">
        <f>IF(COUNT(AE318)=0,"",IF(Z318=0,"n.a.",AE318/Z318))</f>
        <v/>
      </c>
      <c r="AG318" s="12" t="n"/>
      <c r="AH318" s="14">
        <f>IF(OR(A318="",COUNT(Z318)=0,COUNT(AG318)=0),"",ROUND(Z318-AG318,2))</f>
        <v/>
      </c>
      <c r="AI318" s="21" t="n"/>
      <c r="AJ318" s="11">
        <f>IF(A318="","",IF(COUNT(I318)=0,"Enter approved NTE",IF(COUNT(Z318)&gt;0,IF(Z318&gt;I318,"Invoice exceeds NTE","Invoice within NTE"),IF(COUNT(L318)=0,"Enter quote inputs",IF(L318&gt;I318,"Quote exceeds NTE","Quote within NTE")))))</f>
        <v/>
      </c>
      <c r="AK318" s="11">
        <f>IF(A318="","",IF(COUNT(H318)=0,"Enter direct cost",IF(COUNT(Z318)=0,"Enter invoice revenue",IF(COUNT(AB318:AD318)&lt;3,"Enter expenses (0 if none)","Complete"))))</f>
        <v/>
      </c>
      <c r="AL318" s="11">
        <f>IF(A318="","",IF(NOT(AND(COUNT(AH318)=1,N(AH318)&gt;0.004,V318&lt;&gt;"Void",V318&lt;&gt;"Not invoiced",V318&lt;&gt;"Draft")),"",IF(COUNT(X318)=0,"No due date",IF(TODAY()-X318&lt;=0,"Not yet due",IF(TODAY()-X318&lt;=30,"1-30 days",IF(TODAY()-X318&lt;=60,"31-60 days",IF(TODAY()-X318&lt;=90,"61-90 days","Over 90 days")))))))</f>
        <v/>
      </c>
      <c r="AM318" s="49">
        <f>IF(OR(AL318="",AL318="No due date"),"",MAX(TODAY()-X318,0))</f>
        <v/>
      </c>
      <c r="AN318" s="49">
        <f>IF(AL318="","",IF(COUNT(X318)=0,-100000,TODAY()-X318))</f>
        <v/>
      </c>
      <c r="AO318" s="49">
        <f>IF(AN318="","",COUNTIF(AN$11:AN$1010,"&gt;"&amp;AN318)+COUNTIF(AN$11:AN318,AN318))</f>
        <v/>
      </c>
      <c r="AP318" s="49">
        <f>IF(OR(A318="",B318=""),"",IF(COUNTIF(B$11:B318,B318)=1,MAX(AP$10:AP317)+1,""))</f>
        <v/>
      </c>
    </row>
    <row r="319" ht="24" customHeight="1">
      <c r="A319" s="20" t="n"/>
      <c r="B319" s="10" t="n"/>
      <c r="C319" s="10" t="n"/>
      <c r="D319" s="10" t="n"/>
      <c r="E319" s="10" t="n"/>
      <c r="F319" s="18" t="n"/>
      <c r="G319" s="10" t="n"/>
      <c r="H319" s="12" t="n"/>
      <c r="I319" s="12" t="n"/>
      <c r="J319" s="13">
        <f>IF(OR(A319="",COUNT(H319)=0,COUNT(Z319)=0),"",ROUND(Z319-H319,2))</f>
        <v/>
      </c>
      <c r="K319" s="15">
        <f>IF(COUNT(J319)=0,"",IF(Z319=0,"n.a.",J319/Z319))</f>
        <v/>
      </c>
      <c r="L319" s="14">
        <f>IF(OR(A319="",COUNT(H319)=0,COUNT(Y319)=0),"",ROUND(H319*(1+Y319),2))</f>
        <v/>
      </c>
      <c r="M319" s="10" t="n"/>
      <c r="N319" s="10" t="n"/>
      <c r="O319" s="10" t="n"/>
      <c r="P319" s="10" t="n"/>
      <c r="Q319" s="20" t="n"/>
      <c r="R319" s="10" t="n"/>
      <c r="S319" s="10" t="n"/>
      <c r="T319" s="18" t="n"/>
      <c r="U319" s="18" t="n"/>
      <c r="V319" s="10" t="n"/>
      <c r="W319" s="10" t="n"/>
      <c r="X319" s="19">
        <f>IF(OR(A319="",COUNT(U319)=0,COUNT(AI319)=0),"",U319+AI319)</f>
        <v/>
      </c>
      <c r="Y319" s="16" t="n"/>
      <c r="Z319" s="12" t="n"/>
      <c r="AA319" s="17">
        <f>IF(COUNT(J319)=0,"",IF(H319=0,"n.a.",J319/H319))</f>
        <v/>
      </c>
      <c r="AB319" s="12" t="n"/>
      <c r="AC319" s="12" t="n"/>
      <c r="AD319" s="12" t="n"/>
      <c r="AE319" s="13">
        <f>IF(OR(COUNT(J319)=0,COUNT(AB319:AD319)&lt;3),"",ROUND(J319-SUM(AB319:AD319),2))</f>
        <v/>
      </c>
      <c r="AF319" s="15">
        <f>IF(COUNT(AE319)=0,"",IF(Z319=0,"n.a.",AE319/Z319))</f>
        <v/>
      </c>
      <c r="AG319" s="12" t="n"/>
      <c r="AH319" s="14">
        <f>IF(OR(A319="",COUNT(Z319)=0,COUNT(AG319)=0),"",ROUND(Z319-AG319,2))</f>
        <v/>
      </c>
      <c r="AI319" s="21" t="n"/>
      <c r="AJ319" s="11">
        <f>IF(A319="","",IF(COUNT(I319)=0,"Enter approved NTE",IF(COUNT(Z319)&gt;0,IF(Z319&gt;I319,"Invoice exceeds NTE","Invoice within NTE"),IF(COUNT(L319)=0,"Enter quote inputs",IF(L319&gt;I319,"Quote exceeds NTE","Quote within NTE")))))</f>
        <v/>
      </c>
      <c r="AK319" s="11">
        <f>IF(A319="","",IF(COUNT(H319)=0,"Enter direct cost",IF(COUNT(Z319)=0,"Enter invoice revenue",IF(COUNT(AB319:AD319)&lt;3,"Enter expenses (0 if none)","Complete"))))</f>
        <v/>
      </c>
      <c r="AL319" s="11">
        <f>IF(A319="","",IF(NOT(AND(COUNT(AH319)=1,N(AH319)&gt;0.004,V319&lt;&gt;"Void",V319&lt;&gt;"Not invoiced",V319&lt;&gt;"Draft")),"",IF(COUNT(X319)=0,"No due date",IF(TODAY()-X319&lt;=0,"Not yet due",IF(TODAY()-X319&lt;=30,"1-30 days",IF(TODAY()-X319&lt;=60,"31-60 days",IF(TODAY()-X319&lt;=90,"61-90 days","Over 90 days")))))))</f>
        <v/>
      </c>
      <c r="AM319" s="49">
        <f>IF(OR(AL319="",AL319="No due date"),"",MAX(TODAY()-X319,0))</f>
        <v/>
      </c>
      <c r="AN319" s="49">
        <f>IF(AL319="","",IF(COUNT(X319)=0,-100000,TODAY()-X319))</f>
        <v/>
      </c>
      <c r="AO319" s="49">
        <f>IF(AN319="","",COUNTIF(AN$11:AN$1010,"&gt;"&amp;AN319)+COUNTIF(AN$11:AN319,AN319))</f>
        <v/>
      </c>
      <c r="AP319" s="49">
        <f>IF(OR(A319="",B319=""),"",IF(COUNTIF(B$11:B319,B319)=1,MAX(AP$10:AP318)+1,""))</f>
        <v/>
      </c>
    </row>
    <row r="320" ht="24" customHeight="1">
      <c r="A320" s="20" t="n"/>
      <c r="B320" s="10" t="n"/>
      <c r="C320" s="10" t="n"/>
      <c r="D320" s="10" t="n"/>
      <c r="E320" s="10" t="n"/>
      <c r="F320" s="18" t="n"/>
      <c r="G320" s="10" t="n"/>
      <c r="H320" s="12" t="n"/>
      <c r="I320" s="12" t="n"/>
      <c r="J320" s="13">
        <f>IF(OR(A320="",COUNT(H320)=0,COUNT(Z320)=0),"",ROUND(Z320-H320,2))</f>
        <v/>
      </c>
      <c r="K320" s="15">
        <f>IF(COUNT(J320)=0,"",IF(Z320=0,"n.a.",J320/Z320))</f>
        <v/>
      </c>
      <c r="L320" s="14">
        <f>IF(OR(A320="",COUNT(H320)=0,COUNT(Y320)=0),"",ROUND(H320*(1+Y320),2))</f>
        <v/>
      </c>
      <c r="M320" s="10" t="n"/>
      <c r="N320" s="10" t="n"/>
      <c r="O320" s="10" t="n"/>
      <c r="P320" s="10" t="n"/>
      <c r="Q320" s="20" t="n"/>
      <c r="R320" s="10" t="n"/>
      <c r="S320" s="10" t="n"/>
      <c r="T320" s="18" t="n"/>
      <c r="U320" s="18" t="n"/>
      <c r="V320" s="10" t="n"/>
      <c r="W320" s="10" t="n"/>
      <c r="X320" s="19">
        <f>IF(OR(A320="",COUNT(U320)=0,COUNT(AI320)=0),"",U320+AI320)</f>
        <v/>
      </c>
      <c r="Y320" s="16" t="n"/>
      <c r="Z320" s="12" t="n"/>
      <c r="AA320" s="17">
        <f>IF(COUNT(J320)=0,"",IF(H320=0,"n.a.",J320/H320))</f>
        <v/>
      </c>
      <c r="AB320" s="12" t="n"/>
      <c r="AC320" s="12" t="n"/>
      <c r="AD320" s="12" t="n"/>
      <c r="AE320" s="13">
        <f>IF(OR(COUNT(J320)=0,COUNT(AB320:AD320)&lt;3),"",ROUND(J320-SUM(AB320:AD320),2))</f>
        <v/>
      </c>
      <c r="AF320" s="15">
        <f>IF(COUNT(AE320)=0,"",IF(Z320=0,"n.a.",AE320/Z320))</f>
        <v/>
      </c>
      <c r="AG320" s="12" t="n"/>
      <c r="AH320" s="14">
        <f>IF(OR(A320="",COUNT(Z320)=0,COUNT(AG320)=0),"",ROUND(Z320-AG320,2))</f>
        <v/>
      </c>
      <c r="AI320" s="21" t="n"/>
      <c r="AJ320" s="11">
        <f>IF(A320="","",IF(COUNT(I320)=0,"Enter approved NTE",IF(COUNT(Z320)&gt;0,IF(Z320&gt;I320,"Invoice exceeds NTE","Invoice within NTE"),IF(COUNT(L320)=0,"Enter quote inputs",IF(L320&gt;I320,"Quote exceeds NTE","Quote within NTE")))))</f>
        <v/>
      </c>
      <c r="AK320" s="11">
        <f>IF(A320="","",IF(COUNT(H320)=0,"Enter direct cost",IF(COUNT(Z320)=0,"Enter invoice revenue",IF(COUNT(AB320:AD320)&lt;3,"Enter expenses (0 if none)","Complete"))))</f>
        <v/>
      </c>
      <c r="AL320" s="11">
        <f>IF(A320="","",IF(NOT(AND(COUNT(AH320)=1,N(AH320)&gt;0.004,V320&lt;&gt;"Void",V320&lt;&gt;"Not invoiced",V320&lt;&gt;"Draft")),"",IF(COUNT(X320)=0,"No due date",IF(TODAY()-X320&lt;=0,"Not yet due",IF(TODAY()-X320&lt;=30,"1-30 days",IF(TODAY()-X320&lt;=60,"31-60 days",IF(TODAY()-X320&lt;=90,"61-90 days","Over 90 days")))))))</f>
        <v/>
      </c>
      <c r="AM320" s="49">
        <f>IF(OR(AL320="",AL320="No due date"),"",MAX(TODAY()-X320,0))</f>
        <v/>
      </c>
      <c r="AN320" s="49">
        <f>IF(AL320="","",IF(COUNT(X320)=0,-100000,TODAY()-X320))</f>
        <v/>
      </c>
      <c r="AO320" s="49">
        <f>IF(AN320="","",COUNTIF(AN$11:AN$1010,"&gt;"&amp;AN320)+COUNTIF(AN$11:AN320,AN320))</f>
        <v/>
      </c>
      <c r="AP320" s="49">
        <f>IF(OR(A320="",B320=""),"",IF(COUNTIF(B$11:B320,B320)=1,MAX(AP$10:AP319)+1,""))</f>
        <v/>
      </c>
    </row>
    <row r="321" ht="24" customHeight="1">
      <c r="A321" s="20" t="n"/>
      <c r="B321" s="10" t="n"/>
      <c r="C321" s="10" t="n"/>
      <c r="D321" s="10" t="n"/>
      <c r="E321" s="10" t="n"/>
      <c r="F321" s="18" t="n"/>
      <c r="G321" s="10" t="n"/>
      <c r="H321" s="12" t="n"/>
      <c r="I321" s="12" t="n"/>
      <c r="J321" s="13">
        <f>IF(OR(A321="",COUNT(H321)=0,COUNT(Z321)=0),"",ROUND(Z321-H321,2))</f>
        <v/>
      </c>
      <c r="K321" s="15">
        <f>IF(COUNT(J321)=0,"",IF(Z321=0,"n.a.",J321/Z321))</f>
        <v/>
      </c>
      <c r="L321" s="14">
        <f>IF(OR(A321="",COUNT(H321)=0,COUNT(Y321)=0),"",ROUND(H321*(1+Y321),2))</f>
        <v/>
      </c>
      <c r="M321" s="10" t="n"/>
      <c r="N321" s="10" t="n"/>
      <c r="O321" s="10" t="n"/>
      <c r="P321" s="10" t="n"/>
      <c r="Q321" s="20" t="n"/>
      <c r="R321" s="10" t="n"/>
      <c r="S321" s="10" t="n"/>
      <c r="T321" s="18" t="n"/>
      <c r="U321" s="18" t="n"/>
      <c r="V321" s="10" t="n"/>
      <c r="W321" s="10" t="n"/>
      <c r="X321" s="19">
        <f>IF(OR(A321="",COUNT(U321)=0,COUNT(AI321)=0),"",U321+AI321)</f>
        <v/>
      </c>
      <c r="Y321" s="16" t="n"/>
      <c r="Z321" s="12" t="n"/>
      <c r="AA321" s="17">
        <f>IF(COUNT(J321)=0,"",IF(H321=0,"n.a.",J321/H321))</f>
        <v/>
      </c>
      <c r="AB321" s="12" t="n"/>
      <c r="AC321" s="12" t="n"/>
      <c r="AD321" s="12" t="n"/>
      <c r="AE321" s="13">
        <f>IF(OR(COUNT(J321)=0,COUNT(AB321:AD321)&lt;3),"",ROUND(J321-SUM(AB321:AD321),2))</f>
        <v/>
      </c>
      <c r="AF321" s="15">
        <f>IF(COUNT(AE321)=0,"",IF(Z321=0,"n.a.",AE321/Z321))</f>
        <v/>
      </c>
      <c r="AG321" s="12" t="n"/>
      <c r="AH321" s="14">
        <f>IF(OR(A321="",COUNT(Z321)=0,COUNT(AG321)=0),"",ROUND(Z321-AG321,2))</f>
        <v/>
      </c>
      <c r="AI321" s="21" t="n"/>
      <c r="AJ321" s="11">
        <f>IF(A321="","",IF(COUNT(I321)=0,"Enter approved NTE",IF(COUNT(Z321)&gt;0,IF(Z321&gt;I321,"Invoice exceeds NTE","Invoice within NTE"),IF(COUNT(L321)=0,"Enter quote inputs",IF(L321&gt;I321,"Quote exceeds NTE","Quote within NTE")))))</f>
        <v/>
      </c>
      <c r="AK321" s="11">
        <f>IF(A321="","",IF(COUNT(H321)=0,"Enter direct cost",IF(COUNT(Z321)=0,"Enter invoice revenue",IF(COUNT(AB321:AD321)&lt;3,"Enter expenses (0 if none)","Complete"))))</f>
        <v/>
      </c>
      <c r="AL321" s="11">
        <f>IF(A321="","",IF(NOT(AND(COUNT(AH321)=1,N(AH321)&gt;0.004,V321&lt;&gt;"Void",V321&lt;&gt;"Not invoiced",V321&lt;&gt;"Draft")),"",IF(COUNT(X321)=0,"No due date",IF(TODAY()-X321&lt;=0,"Not yet due",IF(TODAY()-X321&lt;=30,"1-30 days",IF(TODAY()-X321&lt;=60,"31-60 days",IF(TODAY()-X321&lt;=90,"61-90 days","Over 90 days")))))))</f>
        <v/>
      </c>
      <c r="AM321" s="49">
        <f>IF(OR(AL321="",AL321="No due date"),"",MAX(TODAY()-X321,0))</f>
        <v/>
      </c>
      <c r="AN321" s="49">
        <f>IF(AL321="","",IF(COUNT(X321)=0,-100000,TODAY()-X321))</f>
        <v/>
      </c>
      <c r="AO321" s="49">
        <f>IF(AN321="","",COUNTIF(AN$11:AN$1010,"&gt;"&amp;AN321)+COUNTIF(AN$11:AN321,AN321))</f>
        <v/>
      </c>
      <c r="AP321" s="49">
        <f>IF(OR(A321="",B321=""),"",IF(COUNTIF(B$11:B321,B321)=1,MAX(AP$10:AP320)+1,""))</f>
        <v/>
      </c>
    </row>
    <row r="322" ht="24" customHeight="1">
      <c r="A322" s="20" t="n"/>
      <c r="B322" s="10" t="n"/>
      <c r="C322" s="10" t="n"/>
      <c r="D322" s="10" t="n"/>
      <c r="E322" s="10" t="n"/>
      <c r="F322" s="18" t="n"/>
      <c r="G322" s="10" t="n"/>
      <c r="H322" s="12" t="n"/>
      <c r="I322" s="12" t="n"/>
      <c r="J322" s="13">
        <f>IF(OR(A322="",COUNT(H322)=0,COUNT(Z322)=0),"",ROUND(Z322-H322,2))</f>
        <v/>
      </c>
      <c r="K322" s="15">
        <f>IF(COUNT(J322)=0,"",IF(Z322=0,"n.a.",J322/Z322))</f>
        <v/>
      </c>
      <c r="L322" s="14">
        <f>IF(OR(A322="",COUNT(H322)=0,COUNT(Y322)=0),"",ROUND(H322*(1+Y322),2))</f>
        <v/>
      </c>
      <c r="M322" s="10" t="n"/>
      <c r="N322" s="10" t="n"/>
      <c r="O322" s="10" t="n"/>
      <c r="P322" s="10" t="n"/>
      <c r="Q322" s="20" t="n"/>
      <c r="R322" s="10" t="n"/>
      <c r="S322" s="10" t="n"/>
      <c r="T322" s="18" t="n"/>
      <c r="U322" s="18" t="n"/>
      <c r="V322" s="10" t="n"/>
      <c r="W322" s="10" t="n"/>
      <c r="X322" s="19">
        <f>IF(OR(A322="",COUNT(U322)=0,COUNT(AI322)=0),"",U322+AI322)</f>
        <v/>
      </c>
      <c r="Y322" s="16" t="n"/>
      <c r="Z322" s="12" t="n"/>
      <c r="AA322" s="17">
        <f>IF(COUNT(J322)=0,"",IF(H322=0,"n.a.",J322/H322))</f>
        <v/>
      </c>
      <c r="AB322" s="12" t="n"/>
      <c r="AC322" s="12" t="n"/>
      <c r="AD322" s="12" t="n"/>
      <c r="AE322" s="13">
        <f>IF(OR(COUNT(J322)=0,COUNT(AB322:AD322)&lt;3),"",ROUND(J322-SUM(AB322:AD322),2))</f>
        <v/>
      </c>
      <c r="AF322" s="15">
        <f>IF(COUNT(AE322)=0,"",IF(Z322=0,"n.a.",AE322/Z322))</f>
        <v/>
      </c>
      <c r="AG322" s="12" t="n"/>
      <c r="AH322" s="14">
        <f>IF(OR(A322="",COUNT(Z322)=0,COUNT(AG322)=0),"",ROUND(Z322-AG322,2))</f>
        <v/>
      </c>
      <c r="AI322" s="21" t="n"/>
      <c r="AJ322" s="11">
        <f>IF(A322="","",IF(COUNT(I322)=0,"Enter approved NTE",IF(COUNT(Z322)&gt;0,IF(Z322&gt;I322,"Invoice exceeds NTE","Invoice within NTE"),IF(COUNT(L322)=0,"Enter quote inputs",IF(L322&gt;I322,"Quote exceeds NTE","Quote within NTE")))))</f>
        <v/>
      </c>
      <c r="AK322" s="11">
        <f>IF(A322="","",IF(COUNT(H322)=0,"Enter direct cost",IF(COUNT(Z322)=0,"Enter invoice revenue",IF(COUNT(AB322:AD322)&lt;3,"Enter expenses (0 if none)","Complete"))))</f>
        <v/>
      </c>
      <c r="AL322" s="11">
        <f>IF(A322="","",IF(NOT(AND(COUNT(AH322)=1,N(AH322)&gt;0.004,V322&lt;&gt;"Void",V322&lt;&gt;"Not invoiced",V322&lt;&gt;"Draft")),"",IF(COUNT(X322)=0,"No due date",IF(TODAY()-X322&lt;=0,"Not yet due",IF(TODAY()-X322&lt;=30,"1-30 days",IF(TODAY()-X322&lt;=60,"31-60 days",IF(TODAY()-X322&lt;=90,"61-90 days","Over 90 days")))))))</f>
        <v/>
      </c>
      <c r="AM322" s="49">
        <f>IF(OR(AL322="",AL322="No due date"),"",MAX(TODAY()-X322,0))</f>
        <v/>
      </c>
      <c r="AN322" s="49">
        <f>IF(AL322="","",IF(COUNT(X322)=0,-100000,TODAY()-X322))</f>
        <v/>
      </c>
      <c r="AO322" s="49">
        <f>IF(AN322="","",COUNTIF(AN$11:AN$1010,"&gt;"&amp;AN322)+COUNTIF(AN$11:AN322,AN322))</f>
        <v/>
      </c>
      <c r="AP322" s="49">
        <f>IF(OR(A322="",B322=""),"",IF(COUNTIF(B$11:B322,B322)=1,MAX(AP$10:AP321)+1,""))</f>
        <v/>
      </c>
    </row>
    <row r="323" ht="24" customHeight="1">
      <c r="A323" s="20" t="n"/>
      <c r="B323" s="10" t="n"/>
      <c r="C323" s="10" t="n"/>
      <c r="D323" s="10" t="n"/>
      <c r="E323" s="10" t="n"/>
      <c r="F323" s="18" t="n"/>
      <c r="G323" s="10" t="n"/>
      <c r="H323" s="12" t="n"/>
      <c r="I323" s="12" t="n"/>
      <c r="J323" s="13">
        <f>IF(OR(A323="",COUNT(H323)=0,COUNT(Z323)=0),"",ROUND(Z323-H323,2))</f>
        <v/>
      </c>
      <c r="K323" s="15">
        <f>IF(COUNT(J323)=0,"",IF(Z323=0,"n.a.",J323/Z323))</f>
        <v/>
      </c>
      <c r="L323" s="14">
        <f>IF(OR(A323="",COUNT(H323)=0,COUNT(Y323)=0),"",ROUND(H323*(1+Y323),2))</f>
        <v/>
      </c>
      <c r="M323" s="10" t="n"/>
      <c r="N323" s="10" t="n"/>
      <c r="O323" s="10" t="n"/>
      <c r="P323" s="10" t="n"/>
      <c r="Q323" s="20" t="n"/>
      <c r="R323" s="10" t="n"/>
      <c r="S323" s="10" t="n"/>
      <c r="T323" s="18" t="n"/>
      <c r="U323" s="18" t="n"/>
      <c r="V323" s="10" t="n"/>
      <c r="W323" s="10" t="n"/>
      <c r="X323" s="19">
        <f>IF(OR(A323="",COUNT(U323)=0,COUNT(AI323)=0),"",U323+AI323)</f>
        <v/>
      </c>
      <c r="Y323" s="16" t="n"/>
      <c r="Z323" s="12" t="n"/>
      <c r="AA323" s="17">
        <f>IF(COUNT(J323)=0,"",IF(H323=0,"n.a.",J323/H323))</f>
        <v/>
      </c>
      <c r="AB323" s="12" t="n"/>
      <c r="AC323" s="12" t="n"/>
      <c r="AD323" s="12" t="n"/>
      <c r="AE323" s="13">
        <f>IF(OR(COUNT(J323)=0,COUNT(AB323:AD323)&lt;3),"",ROUND(J323-SUM(AB323:AD323),2))</f>
        <v/>
      </c>
      <c r="AF323" s="15">
        <f>IF(COUNT(AE323)=0,"",IF(Z323=0,"n.a.",AE323/Z323))</f>
        <v/>
      </c>
      <c r="AG323" s="12" t="n"/>
      <c r="AH323" s="14">
        <f>IF(OR(A323="",COUNT(Z323)=0,COUNT(AG323)=0),"",ROUND(Z323-AG323,2))</f>
        <v/>
      </c>
      <c r="AI323" s="21" t="n"/>
      <c r="AJ323" s="11">
        <f>IF(A323="","",IF(COUNT(I323)=0,"Enter approved NTE",IF(COUNT(Z323)&gt;0,IF(Z323&gt;I323,"Invoice exceeds NTE","Invoice within NTE"),IF(COUNT(L323)=0,"Enter quote inputs",IF(L323&gt;I323,"Quote exceeds NTE","Quote within NTE")))))</f>
        <v/>
      </c>
      <c r="AK323" s="11">
        <f>IF(A323="","",IF(COUNT(H323)=0,"Enter direct cost",IF(COUNT(Z323)=0,"Enter invoice revenue",IF(COUNT(AB323:AD323)&lt;3,"Enter expenses (0 if none)","Complete"))))</f>
        <v/>
      </c>
      <c r="AL323" s="11">
        <f>IF(A323="","",IF(NOT(AND(COUNT(AH323)=1,N(AH323)&gt;0.004,V323&lt;&gt;"Void",V323&lt;&gt;"Not invoiced",V323&lt;&gt;"Draft")),"",IF(COUNT(X323)=0,"No due date",IF(TODAY()-X323&lt;=0,"Not yet due",IF(TODAY()-X323&lt;=30,"1-30 days",IF(TODAY()-X323&lt;=60,"31-60 days",IF(TODAY()-X323&lt;=90,"61-90 days","Over 90 days")))))))</f>
        <v/>
      </c>
      <c r="AM323" s="49">
        <f>IF(OR(AL323="",AL323="No due date"),"",MAX(TODAY()-X323,0))</f>
        <v/>
      </c>
      <c r="AN323" s="49">
        <f>IF(AL323="","",IF(COUNT(X323)=0,-100000,TODAY()-X323))</f>
        <v/>
      </c>
      <c r="AO323" s="49">
        <f>IF(AN323="","",COUNTIF(AN$11:AN$1010,"&gt;"&amp;AN323)+COUNTIF(AN$11:AN323,AN323))</f>
        <v/>
      </c>
      <c r="AP323" s="49">
        <f>IF(OR(A323="",B323=""),"",IF(COUNTIF(B$11:B323,B323)=1,MAX(AP$10:AP322)+1,""))</f>
        <v/>
      </c>
    </row>
    <row r="324" ht="24" customHeight="1">
      <c r="A324" s="20" t="n"/>
      <c r="B324" s="10" t="n"/>
      <c r="C324" s="10" t="n"/>
      <c r="D324" s="10" t="n"/>
      <c r="E324" s="10" t="n"/>
      <c r="F324" s="18" t="n"/>
      <c r="G324" s="10" t="n"/>
      <c r="H324" s="12" t="n"/>
      <c r="I324" s="12" t="n"/>
      <c r="J324" s="13">
        <f>IF(OR(A324="",COUNT(H324)=0,COUNT(Z324)=0),"",ROUND(Z324-H324,2))</f>
        <v/>
      </c>
      <c r="K324" s="15">
        <f>IF(COUNT(J324)=0,"",IF(Z324=0,"n.a.",J324/Z324))</f>
        <v/>
      </c>
      <c r="L324" s="14">
        <f>IF(OR(A324="",COUNT(H324)=0,COUNT(Y324)=0),"",ROUND(H324*(1+Y324),2))</f>
        <v/>
      </c>
      <c r="M324" s="10" t="n"/>
      <c r="N324" s="10" t="n"/>
      <c r="O324" s="10" t="n"/>
      <c r="P324" s="10" t="n"/>
      <c r="Q324" s="20" t="n"/>
      <c r="R324" s="10" t="n"/>
      <c r="S324" s="10" t="n"/>
      <c r="T324" s="18" t="n"/>
      <c r="U324" s="18" t="n"/>
      <c r="V324" s="10" t="n"/>
      <c r="W324" s="10" t="n"/>
      <c r="X324" s="19">
        <f>IF(OR(A324="",COUNT(U324)=0,COUNT(AI324)=0),"",U324+AI324)</f>
        <v/>
      </c>
      <c r="Y324" s="16" t="n"/>
      <c r="Z324" s="12" t="n"/>
      <c r="AA324" s="17">
        <f>IF(COUNT(J324)=0,"",IF(H324=0,"n.a.",J324/H324))</f>
        <v/>
      </c>
      <c r="AB324" s="12" t="n"/>
      <c r="AC324" s="12" t="n"/>
      <c r="AD324" s="12" t="n"/>
      <c r="AE324" s="13">
        <f>IF(OR(COUNT(J324)=0,COUNT(AB324:AD324)&lt;3),"",ROUND(J324-SUM(AB324:AD324),2))</f>
        <v/>
      </c>
      <c r="AF324" s="15">
        <f>IF(COUNT(AE324)=0,"",IF(Z324=0,"n.a.",AE324/Z324))</f>
        <v/>
      </c>
      <c r="AG324" s="12" t="n"/>
      <c r="AH324" s="14">
        <f>IF(OR(A324="",COUNT(Z324)=0,COUNT(AG324)=0),"",ROUND(Z324-AG324,2))</f>
        <v/>
      </c>
      <c r="AI324" s="21" t="n"/>
      <c r="AJ324" s="11">
        <f>IF(A324="","",IF(COUNT(I324)=0,"Enter approved NTE",IF(COUNT(Z324)&gt;0,IF(Z324&gt;I324,"Invoice exceeds NTE","Invoice within NTE"),IF(COUNT(L324)=0,"Enter quote inputs",IF(L324&gt;I324,"Quote exceeds NTE","Quote within NTE")))))</f>
        <v/>
      </c>
      <c r="AK324" s="11">
        <f>IF(A324="","",IF(COUNT(H324)=0,"Enter direct cost",IF(COUNT(Z324)=0,"Enter invoice revenue",IF(COUNT(AB324:AD324)&lt;3,"Enter expenses (0 if none)","Complete"))))</f>
        <v/>
      </c>
      <c r="AL324" s="11">
        <f>IF(A324="","",IF(NOT(AND(COUNT(AH324)=1,N(AH324)&gt;0.004,V324&lt;&gt;"Void",V324&lt;&gt;"Not invoiced",V324&lt;&gt;"Draft")),"",IF(COUNT(X324)=0,"No due date",IF(TODAY()-X324&lt;=0,"Not yet due",IF(TODAY()-X324&lt;=30,"1-30 days",IF(TODAY()-X324&lt;=60,"31-60 days",IF(TODAY()-X324&lt;=90,"61-90 days","Over 90 days")))))))</f>
        <v/>
      </c>
      <c r="AM324" s="49">
        <f>IF(OR(AL324="",AL324="No due date"),"",MAX(TODAY()-X324,0))</f>
        <v/>
      </c>
      <c r="AN324" s="49">
        <f>IF(AL324="","",IF(COUNT(X324)=0,-100000,TODAY()-X324))</f>
        <v/>
      </c>
      <c r="AO324" s="49">
        <f>IF(AN324="","",COUNTIF(AN$11:AN$1010,"&gt;"&amp;AN324)+COUNTIF(AN$11:AN324,AN324))</f>
        <v/>
      </c>
      <c r="AP324" s="49">
        <f>IF(OR(A324="",B324=""),"",IF(COUNTIF(B$11:B324,B324)=1,MAX(AP$10:AP323)+1,""))</f>
        <v/>
      </c>
    </row>
    <row r="325" ht="24" customHeight="1">
      <c r="A325" s="20" t="n"/>
      <c r="B325" s="10" t="n"/>
      <c r="C325" s="10" t="n"/>
      <c r="D325" s="10" t="n"/>
      <c r="E325" s="10" t="n"/>
      <c r="F325" s="18" t="n"/>
      <c r="G325" s="10" t="n"/>
      <c r="H325" s="12" t="n"/>
      <c r="I325" s="12" t="n"/>
      <c r="J325" s="13">
        <f>IF(OR(A325="",COUNT(H325)=0,COUNT(Z325)=0),"",ROUND(Z325-H325,2))</f>
        <v/>
      </c>
      <c r="K325" s="15">
        <f>IF(COUNT(J325)=0,"",IF(Z325=0,"n.a.",J325/Z325))</f>
        <v/>
      </c>
      <c r="L325" s="14">
        <f>IF(OR(A325="",COUNT(H325)=0,COUNT(Y325)=0),"",ROUND(H325*(1+Y325),2))</f>
        <v/>
      </c>
      <c r="M325" s="10" t="n"/>
      <c r="N325" s="10" t="n"/>
      <c r="O325" s="10" t="n"/>
      <c r="P325" s="10" t="n"/>
      <c r="Q325" s="20" t="n"/>
      <c r="R325" s="10" t="n"/>
      <c r="S325" s="10" t="n"/>
      <c r="T325" s="18" t="n"/>
      <c r="U325" s="18" t="n"/>
      <c r="V325" s="10" t="n"/>
      <c r="W325" s="10" t="n"/>
      <c r="X325" s="19">
        <f>IF(OR(A325="",COUNT(U325)=0,COUNT(AI325)=0),"",U325+AI325)</f>
        <v/>
      </c>
      <c r="Y325" s="16" t="n"/>
      <c r="Z325" s="12" t="n"/>
      <c r="AA325" s="17">
        <f>IF(COUNT(J325)=0,"",IF(H325=0,"n.a.",J325/H325))</f>
        <v/>
      </c>
      <c r="AB325" s="12" t="n"/>
      <c r="AC325" s="12" t="n"/>
      <c r="AD325" s="12" t="n"/>
      <c r="AE325" s="13">
        <f>IF(OR(COUNT(J325)=0,COUNT(AB325:AD325)&lt;3),"",ROUND(J325-SUM(AB325:AD325),2))</f>
        <v/>
      </c>
      <c r="AF325" s="15">
        <f>IF(COUNT(AE325)=0,"",IF(Z325=0,"n.a.",AE325/Z325))</f>
        <v/>
      </c>
      <c r="AG325" s="12" t="n"/>
      <c r="AH325" s="14">
        <f>IF(OR(A325="",COUNT(Z325)=0,COUNT(AG325)=0),"",ROUND(Z325-AG325,2))</f>
        <v/>
      </c>
      <c r="AI325" s="21" t="n"/>
      <c r="AJ325" s="11">
        <f>IF(A325="","",IF(COUNT(I325)=0,"Enter approved NTE",IF(COUNT(Z325)&gt;0,IF(Z325&gt;I325,"Invoice exceeds NTE","Invoice within NTE"),IF(COUNT(L325)=0,"Enter quote inputs",IF(L325&gt;I325,"Quote exceeds NTE","Quote within NTE")))))</f>
        <v/>
      </c>
      <c r="AK325" s="11">
        <f>IF(A325="","",IF(COUNT(H325)=0,"Enter direct cost",IF(COUNT(Z325)=0,"Enter invoice revenue",IF(COUNT(AB325:AD325)&lt;3,"Enter expenses (0 if none)","Complete"))))</f>
        <v/>
      </c>
      <c r="AL325" s="11">
        <f>IF(A325="","",IF(NOT(AND(COUNT(AH325)=1,N(AH325)&gt;0.004,V325&lt;&gt;"Void",V325&lt;&gt;"Not invoiced",V325&lt;&gt;"Draft")),"",IF(COUNT(X325)=0,"No due date",IF(TODAY()-X325&lt;=0,"Not yet due",IF(TODAY()-X325&lt;=30,"1-30 days",IF(TODAY()-X325&lt;=60,"31-60 days",IF(TODAY()-X325&lt;=90,"61-90 days","Over 90 days")))))))</f>
        <v/>
      </c>
      <c r="AM325" s="49">
        <f>IF(OR(AL325="",AL325="No due date"),"",MAX(TODAY()-X325,0))</f>
        <v/>
      </c>
      <c r="AN325" s="49">
        <f>IF(AL325="","",IF(COUNT(X325)=0,-100000,TODAY()-X325))</f>
        <v/>
      </c>
      <c r="AO325" s="49">
        <f>IF(AN325="","",COUNTIF(AN$11:AN$1010,"&gt;"&amp;AN325)+COUNTIF(AN$11:AN325,AN325))</f>
        <v/>
      </c>
      <c r="AP325" s="49">
        <f>IF(OR(A325="",B325=""),"",IF(COUNTIF(B$11:B325,B325)=1,MAX(AP$10:AP324)+1,""))</f>
        <v/>
      </c>
    </row>
    <row r="326" ht="24" customHeight="1">
      <c r="A326" s="20" t="n"/>
      <c r="B326" s="10" t="n"/>
      <c r="C326" s="10" t="n"/>
      <c r="D326" s="10" t="n"/>
      <c r="E326" s="10" t="n"/>
      <c r="F326" s="18" t="n"/>
      <c r="G326" s="10" t="n"/>
      <c r="H326" s="12" t="n"/>
      <c r="I326" s="12" t="n"/>
      <c r="J326" s="13">
        <f>IF(OR(A326="",COUNT(H326)=0,COUNT(Z326)=0),"",ROUND(Z326-H326,2))</f>
        <v/>
      </c>
      <c r="K326" s="15">
        <f>IF(COUNT(J326)=0,"",IF(Z326=0,"n.a.",J326/Z326))</f>
        <v/>
      </c>
      <c r="L326" s="14">
        <f>IF(OR(A326="",COUNT(H326)=0,COUNT(Y326)=0),"",ROUND(H326*(1+Y326),2))</f>
        <v/>
      </c>
      <c r="M326" s="10" t="n"/>
      <c r="N326" s="10" t="n"/>
      <c r="O326" s="10" t="n"/>
      <c r="P326" s="10" t="n"/>
      <c r="Q326" s="20" t="n"/>
      <c r="R326" s="10" t="n"/>
      <c r="S326" s="10" t="n"/>
      <c r="T326" s="18" t="n"/>
      <c r="U326" s="18" t="n"/>
      <c r="V326" s="10" t="n"/>
      <c r="W326" s="10" t="n"/>
      <c r="X326" s="19">
        <f>IF(OR(A326="",COUNT(U326)=0,COUNT(AI326)=0),"",U326+AI326)</f>
        <v/>
      </c>
      <c r="Y326" s="16" t="n"/>
      <c r="Z326" s="12" t="n"/>
      <c r="AA326" s="17">
        <f>IF(COUNT(J326)=0,"",IF(H326=0,"n.a.",J326/H326))</f>
        <v/>
      </c>
      <c r="AB326" s="12" t="n"/>
      <c r="AC326" s="12" t="n"/>
      <c r="AD326" s="12" t="n"/>
      <c r="AE326" s="13">
        <f>IF(OR(COUNT(J326)=0,COUNT(AB326:AD326)&lt;3),"",ROUND(J326-SUM(AB326:AD326),2))</f>
        <v/>
      </c>
      <c r="AF326" s="15">
        <f>IF(COUNT(AE326)=0,"",IF(Z326=0,"n.a.",AE326/Z326))</f>
        <v/>
      </c>
      <c r="AG326" s="12" t="n"/>
      <c r="AH326" s="14">
        <f>IF(OR(A326="",COUNT(Z326)=0,COUNT(AG326)=0),"",ROUND(Z326-AG326,2))</f>
        <v/>
      </c>
      <c r="AI326" s="21" t="n"/>
      <c r="AJ326" s="11">
        <f>IF(A326="","",IF(COUNT(I326)=0,"Enter approved NTE",IF(COUNT(Z326)&gt;0,IF(Z326&gt;I326,"Invoice exceeds NTE","Invoice within NTE"),IF(COUNT(L326)=0,"Enter quote inputs",IF(L326&gt;I326,"Quote exceeds NTE","Quote within NTE")))))</f>
        <v/>
      </c>
      <c r="AK326" s="11">
        <f>IF(A326="","",IF(COUNT(H326)=0,"Enter direct cost",IF(COUNT(Z326)=0,"Enter invoice revenue",IF(COUNT(AB326:AD326)&lt;3,"Enter expenses (0 if none)","Complete"))))</f>
        <v/>
      </c>
      <c r="AL326" s="11">
        <f>IF(A326="","",IF(NOT(AND(COUNT(AH326)=1,N(AH326)&gt;0.004,V326&lt;&gt;"Void",V326&lt;&gt;"Not invoiced",V326&lt;&gt;"Draft")),"",IF(COUNT(X326)=0,"No due date",IF(TODAY()-X326&lt;=0,"Not yet due",IF(TODAY()-X326&lt;=30,"1-30 days",IF(TODAY()-X326&lt;=60,"31-60 days",IF(TODAY()-X326&lt;=90,"61-90 days","Over 90 days")))))))</f>
        <v/>
      </c>
      <c r="AM326" s="49">
        <f>IF(OR(AL326="",AL326="No due date"),"",MAX(TODAY()-X326,0))</f>
        <v/>
      </c>
      <c r="AN326" s="49">
        <f>IF(AL326="","",IF(COUNT(X326)=0,-100000,TODAY()-X326))</f>
        <v/>
      </c>
      <c r="AO326" s="49">
        <f>IF(AN326="","",COUNTIF(AN$11:AN$1010,"&gt;"&amp;AN326)+COUNTIF(AN$11:AN326,AN326))</f>
        <v/>
      </c>
      <c r="AP326" s="49">
        <f>IF(OR(A326="",B326=""),"",IF(COUNTIF(B$11:B326,B326)=1,MAX(AP$10:AP325)+1,""))</f>
        <v/>
      </c>
    </row>
    <row r="327" ht="24" customHeight="1">
      <c r="A327" s="20" t="n"/>
      <c r="B327" s="10" t="n"/>
      <c r="C327" s="10" t="n"/>
      <c r="D327" s="10" t="n"/>
      <c r="E327" s="10" t="n"/>
      <c r="F327" s="18" t="n"/>
      <c r="G327" s="10" t="n"/>
      <c r="H327" s="12" t="n"/>
      <c r="I327" s="12" t="n"/>
      <c r="J327" s="13">
        <f>IF(OR(A327="",COUNT(H327)=0,COUNT(Z327)=0),"",ROUND(Z327-H327,2))</f>
        <v/>
      </c>
      <c r="K327" s="15">
        <f>IF(COUNT(J327)=0,"",IF(Z327=0,"n.a.",J327/Z327))</f>
        <v/>
      </c>
      <c r="L327" s="14">
        <f>IF(OR(A327="",COUNT(H327)=0,COUNT(Y327)=0),"",ROUND(H327*(1+Y327),2))</f>
        <v/>
      </c>
      <c r="M327" s="10" t="n"/>
      <c r="N327" s="10" t="n"/>
      <c r="O327" s="10" t="n"/>
      <c r="P327" s="10" t="n"/>
      <c r="Q327" s="20" t="n"/>
      <c r="R327" s="10" t="n"/>
      <c r="S327" s="10" t="n"/>
      <c r="T327" s="18" t="n"/>
      <c r="U327" s="18" t="n"/>
      <c r="V327" s="10" t="n"/>
      <c r="W327" s="10" t="n"/>
      <c r="X327" s="19">
        <f>IF(OR(A327="",COUNT(U327)=0,COUNT(AI327)=0),"",U327+AI327)</f>
        <v/>
      </c>
      <c r="Y327" s="16" t="n"/>
      <c r="Z327" s="12" t="n"/>
      <c r="AA327" s="17">
        <f>IF(COUNT(J327)=0,"",IF(H327=0,"n.a.",J327/H327))</f>
        <v/>
      </c>
      <c r="AB327" s="12" t="n"/>
      <c r="AC327" s="12" t="n"/>
      <c r="AD327" s="12" t="n"/>
      <c r="AE327" s="13">
        <f>IF(OR(COUNT(J327)=0,COUNT(AB327:AD327)&lt;3),"",ROUND(J327-SUM(AB327:AD327),2))</f>
        <v/>
      </c>
      <c r="AF327" s="15">
        <f>IF(COUNT(AE327)=0,"",IF(Z327=0,"n.a.",AE327/Z327))</f>
        <v/>
      </c>
      <c r="AG327" s="12" t="n"/>
      <c r="AH327" s="14">
        <f>IF(OR(A327="",COUNT(Z327)=0,COUNT(AG327)=0),"",ROUND(Z327-AG327,2))</f>
        <v/>
      </c>
      <c r="AI327" s="21" t="n"/>
      <c r="AJ327" s="11">
        <f>IF(A327="","",IF(COUNT(I327)=0,"Enter approved NTE",IF(COUNT(Z327)&gt;0,IF(Z327&gt;I327,"Invoice exceeds NTE","Invoice within NTE"),IF(COUNT(L327)=0,"Enter quote inputs",IF(L327&gt;I327,"Quote exceeds NTE","Quote within NTE")))))</f>
        <v/>
      </c>
      <c r="AK327" s="11">
        <f>IF(A327="","",IF(COUNT(H327)=0,"Enter direct cost",IF(COUNT(Z327)=0,"Enter invoice revenue",IF(COUNT(AB327:AD327)&lt;3,"Enter expenses (0 if none)","Complete"))))</f>
        <v/>
      </c>
      <c r="AL327" s="11">
        <f>IF(A327="","",IF(NOT(AND(COUNT(AH327)=1,N(AH327)&gt;0.004,V327&lt;&gt;"Void",V327&lt;&gt;"Not invoiced",V327&lt;&gt;"Draft")),"",IF(COUNT(X327)=0,"No due date",IF(TODAY()-X327&lt;=0,"Not yet due",IF(TODAY()-X327&lt;=30,"1-30 days",IF(TODAY()-X327&lt;=60,"31-60 days",IF(TODAY()-X327&lt;=90,"61-90 days","Over 90 days")))))))</f>
        <v/>
      </c>
      <c r="AM327" s="49">
        <f>IF(OR(AL327="",AL327="No due date"),"",MAX(TODAY()-X327,0))</f>
        <v/>
      </c>
      <c r="AN327" s="49">
        <f>IF(AL327="","",IF(COUNT(X327)=0,-100000,TODAY()-X327))</f>
        <v/>
      </c>
      <c r="AO327" s="49">
        <f>IF(AN327="","",COUNTIF(AN$11:AN$1010,"&gt;"&amp;AN327)+COUNTIF(AN$11:AN327,AN327))</f>
        <v/>
      </c>
      <c r="AP327" s="49">
        <f>IF(OR(A327="",B327=""),"",IF(COUNTIF(B$11:B327,B327)=1,MAX(AP$10:AP326)+1,""))</f>
        <v/>
      </c>
    </row>
    <row r="328" ht="24" customHeight="1">
      <c r="A328" s="20" t="n"/>
      <c r="B328" s="10" t="n"/>
      <c r="C328" s="10" t="n"/>
      <c r="D328" s="10" t="n"/>
      <c r="E328" s="10" t="n"/>
      <c r="F328" s="18" t="n"/>
      <c r="G328" s="10" t="n"/>
      <c r="H328" s="12" t="n"/>
      <c r="I328" s="12" t="n"/>
      <c r="J328" s="13">
        <f>IF(OR(A328="",COUNT(H328)=0,COUNT(Z328)=0),"",ROUND(Z328-H328,2))</f>
        <v/>
      </c>
      <c r="K328" s="15">
        <f>IF(COUNT(J328)=0,"",IF(Z328=0,"n.a.",J328/Z328))</f>
        <v/>
      </c>
      <c r="L328" s="14">
        <f>IF(OR(A328="",COUNT(H328)=0,COUNT(Y328)=0),"",ROUND(H328*(1+Y328),2))</f>
        <v/>
      </c>
      <c r="M328" s="10" t="n"/>
      <c r="N328" s="10" t="n"/>
      <c r="O328" s="10" t="n"/>
      <c r="P328" s="10" t="n"/>
      <c r="Q328" s="20" t="n"/>
      <c r="R328" s="10" t="n"/>
      <c r="S328" s="10" t="n"/>
      <c r="T328" s="18" t="n"/>
      <c r="U328" s="18" t="n"/>
      <c r="V328" s="10" t="n"/>
      <c r="W328" s="10" t="n"/>
      <c r="X328" s="19">
        <f>IF(OR(A328="",COUNT(U328)=0,COUNT(AI328)=0),"",U328+AI328)</f>
        <v/>
      </c>
      <c r="Y328" s="16" t="n"/>
      <c r="Z328" s="12" t="n"/>
      <c r="AA328" s="17">
        <f>IF(COUNT(J328)=0,"",IF(H328=0,"n.a.",J328/H328))</f>
        <v/>
      </c>
      <c r="AB328" s="12" t="n"/>
      <c r="AC328" s="12" t="n"/>
      <c r="AD328" s="12" t="n"/>
      <c r="AE328" s="13">
        <f>IF(OR(COUNT(J328)=0,COUNT(AB328:AD328)&lt;3),"",ROUND(J328-SUM(AB328:AD328),2))</f>
        <v/>
      </c>
      <c r="AF328" s="15">
        <f>IF(COUNT(AE328)=0,"",IF(Z328=0,"n.a.",AE328/Z328))</f>
        <v/>
      </c>
      <c r="AG328" s="12" t="n"/>
      <c r="AH328" s="14">
        <f>IF(OR(A328="",COUNT(Z328)=0,COUNT(AG328)=0),"",ROUND(Z328-AG328,2))</f>
        <v/>
      </c>
      <c r="AI328" s="21" t="n"/>
      <c r="AJ328" s="11">
        <f>IF(A328="","",IF(COUNT(I328)=0,"Enter approved NTE",IF(COUNT(Z328)&gt;0,IF(Z328&gt;I328,"Invoice exceeds NTE","Invoice within NTE"),IF(COUNT(L328)=0,"Enter quote inputs",IF(L328&gt;I328,"Quote exceeds NTE","Quote within NTE")))))</f>
        <v/>
      </c>
      <c r="AK328" s="11">
        <f>IF(A328="","",IF(COUNT(H328)=0,"Enter direct cost",IF(COUNT(Z328)=0,"Enter invoice revenue",IF(COUNT(AB328:AD328)&lt;3,"Enter expenses (0 if none)","Complete"))))</f>
        <v/>
      </c>
      <c r="AL328" s="11">
        <f>IF(A328="","",IF(NOT(AND(COUNT(AH328)=1,N(AH328)&gt;0.004,V328&lt;&gt;"Void",V328&lt;&gt;"Not invoiced",V328&lt;&gt;"Draft")),"",IF(COUNT(X328)=0,"No due date",IF(TODAY()-X328&lt;=0,"Not yet due",IF(TODAY()-X328&lt;=30,"1-30 days",IF(TODAY()-X328&lt;=60,"31-60 days",IF(TODAY()-X328&lt;=90,"61-90 days","Over 90 days")))))))</f>
        <v/>
      </c>
      <c r="AM328" s="49">
        <f>IF(OR(AL328="",AL328="No due date"),"",MAX(TODAY()-X328,0))</f>
        <v/>
      </c>
      <c r="AN328" s="49">
        <f>IF(AL328="","",IF(COUNT(X328)=0,-100000,TODAY()-X328))</f>
        <v/>
      </c>
      <c r="AO328" s="49">
        <f>IF(AN328="","",COUNTIF(AN$11:AN$1010,"&gt;"&amp;AN328)+COUNTIF(AN$11:AN328,AN328))</f>
        <v/>
      </c>
      <c r="AP328" s="49">
        <f>IF(OR(A328="",B328=""),"",IF(COUNTIF(B$11:B328,B328)=1,MAX(AP$10:AP327)+1,""))</f>
        <v/>
      </c>
    </row>
    <row r="329" ht="24" customHeight="1">
      <c r="A329" s="20" t="n"/>
      <c r="B329" s="10" t="n"/>
      <c r="C329" s="10" t="n"/>
      <c r="D329" s="10" t="n"/>
      <c r="E329" s="10" t="n"/>
      <c r="F329" s="18" t="n"/>
      <c r="G329" s="10" t="n"/>
      <c r="H329" s="12" t="n"/>
      <c r="I329" s="12" t="n"/>
      <c r="J329" s="13">
        <f>IF(OR(A329="",COUNT(H329)=0,COUNT(Z329)=0),"",ROUND(Z329-H329,2))</f>
        <v/>
      </c>
      <c r="K329" s="15">
        <f>IF(COUNT(J329)=0,"",IF(Z329=0,"n.a.",J329/Z329))</f>
        <v/>
      </c>
      <c r="L329" s="14">
        <f>IF(OR(A329="",COUNT(H329)=0,COUNT(Y329)=0),"",ROUND(H329*(1+Y329),2))</f>
        <v/>
      </c>
      <c r="M329" s="10" t="n"/>
      <c r="N329" s="10" t="n"/>
      <c r="O329" s="10" t="n"/>
      <c r="P329" s="10" t="n"/>
      <c r="Q329" s="20" t="n"/>
      <c r="R329" s="10" t="n"/>
      <c r="S329" s="10" t="n"/>
      <c r="T329" s="18" t="n"/>
      <c r="U329" s="18" t="n"/>
      <c r="V329" s="10" t="n"/>
      <c r="W329" s="10" t="n"/>
      <c r="X329" s="19">
        <f>IF(OR(A329="",COUNT(U329)=0,COUNT(AI329)=0),"",U329+AI329)</f>
        <v/>
      </c>
      <c r="Y329" s="16" t="n"/>
      <c r="Z329" s="12" t="n"/>
      <c r="AA329" s="17">
        <f>IF(COUNT(J329)=0,"",IF(H329=0,"n.a.",J329/H329))</f>
        <v/>
      </c>
      <c r="AB329" s="12" t="n"/>
      <c r="AC329" s="12" t="n"/>
      <c r="AD329" s="12" t="n"/>
      <c r="AE329" s="13">
        <f>IF(OR(COUNT(J329)=0,COUNT(AB329:AD329)&lt;3),"",ROUND(J329-SUM(AB329:AD329),2))</f>
        <v/>
      </c>
      <c r="AF329" s="15">
        <f>IF(COUNT(AE329)=0,"",IF(Z329=0,"n.a.",AE329/Z329))</f>
        <v/>
      </c>
      <c r="AG329" s="12" t="n"/>
      <c r="AH329" s="14">
        <f>IF(OR(A329="",COUNT(Z329)=0,COUNT(AG329)=0),"",ROUND(Z329-AG329,2))</f>
        <v/>
      </c>
      <c r="AI329" s="21" t="n"/>
      <c r="AJ329" s="11">
        <f>IF(A329="","",IF(COUNT(I329)=0,"Enter approved NTE",IF(COUNT(Z329)&gt;0,IF(Z329&gt;I329,"Invoice exceeds NTE","Invoice within NTE"),IF(COUNT(L329)=0,"Enter quote inputs",IF(L329&gt;I329,"Quote exceeds NTE","Quote within NTE")))))</f>
        <v/>
      </c>
      <c r="AK329" s="11">
        <f>IF(A329="","",IF(COUNT(H329)=0,"Enter direct cost",IF(COUNT(Z329)=0,"Enter invoice revenue",IF(COUNT(AB329:AD329)&lt;3,"Enter expenses (0 if none)","Complete"))))</f>
        <v/>
      </c>
      <c r="AL329" s="11">
        <f>IF(A329="","",IF(NOT(AND(COUNT(AH329)=1,N(AH329)&gt;0.004,V329&lt;&gt;"Void",V329&lt;&gt;"Not invoiced",V329&lt;&gt;"Draft")),"",IF(COUNT(X329)=0,"No due date",IF(TODAY()-X329&lt;=0,"Not yet due",IF(TODAY()-X329&lt;=30,"1-30 days",IF(TODAY()-X329&lt;=60,"31-60 days",IF(TODAY()-X329&lt;=90,"61-90 days","Over 90 days")))))))</f>
        <v/>
      </c>
      <c r="AM329" s="49">
        <f>IF(OR(AL329="",AL329="No due date"),"",MAX(TODAY()-X329,0))</f>
        <v/>
      </c>
      <c r="AN329" s="49">
        <f>IF(AL329="","",IF(COUNT(X329)=0,-100000,TODAY()-X329))</f>
        <v/>
      </c>
      <c r="AO329" s="49">
        <f>IF(AN329="","",COUNTIF(AN$11:AN$1010,"&gt;"&amp;AN329)+COUNTIF(AN$11:AN329,AN329))</f>
        <v/>
      </c>
      <c r="AP329" s="49">
        <f>IF(OR(A329="",B329=""),"",IF(COUNTIF(B$11:B329,B329)=1,MAX(AP$10:AP328)+1,""))</f>
        <v/>
      </c>
    </row>
    <row r="330" ht="24" customHeight="1">
      <c r="A330" s="20" t="n"/>
      <c r="B330" s="10" t="n"/>
      <c r="C330" s="10" t="n"/>
      <c r="D330" s="10" t="n"/>
      <c r="E330" s="10" t="n"/>
      <c r="F330" s="18" t="n"/>
      <c r="G330" s="10" t="n"/>
      <c r="H330" s="12" t="n"/>
      <c r="I330" s="12" t="n"/>
      <c r="J330" s="13">
        <f>IF(OR(A330="",COUNT(H330)=0,COUNT(Z330)=0),"",ROUND(Z330-H330,2))</f>
        <v/>
      </c>
      <c r="K330" s="15">
        <f>IF(COUNT(J330)=0,"",IF(Z330=0,"n.a.",J330/Z330))</f>
        <v/>
      </c>
      <c r="L330" s="14">
        <f>IF(OR(A330="",COUNT(H330)=0,COUNT(Y330)=0),"",ROUND(H330*(1+Y330),2))</f>
        <v/>
      </c>
      <c r="M330" s="10" t="n"/>
      <c r="N330" s="10" t="n"/>
      <c r="O330" s="10" t="n"/>
      <c r="P330" s="10" t="n"/>
      <c r="Q330" s="20" t="n"/>
      <c r="R330" s="10" t="n"/>
      <c r="S330" s="10" t="n"/>
      <c r="T330" s="18" t="n"/>
      <c r="U330" s="18" t="n"/>
      <c r="V330" s="10" t="n"/>
      <c r="W330" s="10" t="n"/>
      <c r="X330" s="19">
        <f>IF(OR(A330="",COUNT(U330)=0,COUNT(AI330)=0),"",U330+AI330)</f>
        <v/>
      </c>
      <c r="Y330" s="16" t="n"/>
      <c r="Z330" s="12" t="n"/>
      <c r="AA330" s="17">
        <f>IF(COUNT(J330)=0,"",IF(H330=0,"n.a.",J330/H330))</f>
        <v/>
      </c>
      <c r="AB330" s="12" t="n"/>
      <c r="AC330" s="12" t="n"/>
      <c r="AD330" s="12" t="n"/>
      <c r="AE330" s="13">
        <f>IF(OR(COUNT(J330)=0,COUNT(AB330:AD330)&lt;3),"",ROUND(J330-SUM(AB330:AD330),2))</f>
        <v/>
      </c>
      <c r="AF330" s="15">
        <f>IF(COUNT(AE330)=0,"",IF(Z330=0,"n.a.",AE330/Z330))</f>
        <v/>
      </c>
      <c r="AG330" s="12" t="n"/>
      <c r="AH330" s="14">
        <f>IF(OR(A330="",COUNT(Z330)=0,COUNT(AG330)=0),"",ROUND(Z330-AG330,2))</f>
        <v/>
      </c>
      <c r="AI330" s="21" t="n"/>
      <c r="AJ330" s="11">
        <f>IF(A330="","",IF(COUNT(I330)=0,"Enter approved NTE",IF(COUNT(Z330)&gt;0,IF(Z330&gt;I330,"Invoice exceeds NTE","Invoice within NTE"),IF(COUNT(L330)=0,"Enter quote inputs",IF(L330&gt;I330,"Quote exceeds NTE","Quote within NTE")))))</f>
        <v/>
      </c>
      <c r="AK330" s="11">
        <f>IF(A330="","",IF(COUNT(H330)=0,"Enter direct cost",IF(COUNT(Z330)=0,"Enter invoice revenue",IF(COUNT(AB330:AD330)&lt;3,"Enter expenses (0 if none)","Complete"))))</f>
        <v/>
      </c>
      <c r="AL330" s="11">
        <f>IF(A330="","",IF(NOT(AND(COUNT(AH330)=1,N(AH330)&gt;0.004,V330&lt;&gt;"Void",V330&lt;&gt;"Not invoiced",V330&lt;&gt;"Draft")),"",IF(COUNT(X330)=0,"No due date",IF(TODAY()-X330&lt;=0,"Not yet due",IF(TODAY()-X330&lt;=30,"1-30 days",IF(TODAY()-X330&lt;=60,"31-60 days",IF(TODAY()-X330&lt;=90,"61-90 days","Over 90 days")))))))</f>
        <v/>
      </c>
      <c r="AM330" s="49">
        <f>IF(OR(AL330="",AL330="No due date"),"",MAX(TODAY()-X330,0))</f>
        <v/>
      </c>
      <c r="AN330" s="49">
        <f>IF(AL330="","",IF(COUNT(X330)=0,-100000,TODAY()-X330))</f>
        <v/>
      </c>
      <c r="AO330" s="49">
        <f>IF(AN330="","",COUNTIF(AN$11:AN$1010,"&gt;"&amp;AN330)+COUNTIF(AN$11:AN330,AN330))</f>
        <v/>
      </c>
      <c r="AP330" s="49">
        <f>IF(OR(A330="",B330=""),"",IF(COUNTIF(B$11:B330,B330)=1,MAX(AP$10:AP329)+1,""))</f>
        <v/>
      </c>
    </row>
    <row r="331" ht="24" customHeight="1">
      <c r="A331" s="20" t="n"/>
      <c r="B331" s="10" t="n"/>
      <c r="C331" s="10" t="n"/>
      <c r="D331" s="10" t="n"/>
      <c r="E331" s="10" t="n"/>
      <c r="F331" s="18" t="n"/>
      <c r="G331" s="10" t="n"/>
      <c r="H331" s="12" t="n"/>
      <c r="I331" s="12" t="n"/>
      <c r="J331" s="13">
        <f>IF(OR(A331="",COUNT(H331)=0,COUNT(Z331)=0),"",ROUND(Z331-H331,2))</f>
        <v/>
      </c>
      <c r="K331" s="15">
        <f>IF(COUNT(J331)=0,"",IF(Z331=0,"n.a.",J331/Z331))</f>
        <v/>
      </c>
      <c r="L331" s="14">
        <f>IF(OR(A331="",COUNT(H331)=0,COUNT(Y331)=0),"",ROUND(H331*(1+Y331),2))</f>
        <v/>
      </c>
      <c r="M331" s="10" t="n"/>
      <c r="N331" s="10" t="n"/>
      <c r="O331" s="10" t="n"/>
      <c r="P331" s="10" t="n"/>
      <c r="Q331" s="20" t="n"/>
      <c r="R331" s="10" t="n"/>
      <c r="S331" s="10" t="n"/>
      <c r="T331" s="18" t="n"/>
      <c r="U331" s="18" t="n"/>
      <c r="V331" s="10" t="n"/>
      <c r="W331" s="10" t="n"/>
      <c r="X331" s="19">
        <f>IF(OR(A331="",COUNT(U331)=0,COUNT(AI331)=0),"",U331+AI331)</f>
        <v/>
      </c>
      <c r="Y331" s="16" t="n"/>
      <c r="Z331" s="12" t="n"/>
      <c r="AA331" s="17">
        <f>IF(COUNT(J331)=0,"",IF(H331=0,"n.a.",J331/H331))</f>
        <v/>
      </c>
      <c r="AB331" s="12" t="n"/>
      <c r="AC331" s="12" t="n"/>
      <c r="AD331" s="12" t="n"/>
      <c r="AE331" s="13">
        <f>IF(OR(COUNT(J331)=0,COUNT(AB331:AD331)&lt;3),"",ROUND(J331-SUM(AB331:AD331),2))</f>
        <v/>
      </c>
      <c r="AF331" s="15">
        <f>IF(COUNT(AE331)=0,"",IF(Z331=0,"n.a.",AE331/Z331))</f>
        <v/>
      </c>
      <c r="AG331" s="12" t="n"/>
      <c r="AH331" s="14">
        <f>IF(OR(A331="",COUNT(Z331)=0,COUNT(AG331)=0),"",ROUND(Z331-AG331,2))</f>
        <v/>
      </c>
      <c r="AI331" s="21" t="n"/>
      <c r="AJ331" s="11">
        <f>IF(A331="","",IF(COUNT(I331)=0,"Enter approved NTE",IF(COUNT(Z331)&gt;0,IF(Z331&gt;I331,"Invoice exceeds NTE","Invoice within NTE"),IF(COUNT(L331)=0,"Enter quote inputs",IF(L331&gt;I331,"Quote exceeds NTE","Quote within NTE")))))</f>
        <v/>
      </c>
      <c r="AK331" s="11">
        <f>IF(A331="","",IF(COUNT(H331)=0,"Enter direct cost",IF(COUNT(Z331)=0,"Enter invoice revenue",IF(COUNT(AB331:AD331)&lt;3,"Enter expenses (0 if none)","Complete"))))</f>
        <v/>
      </c>
      <c r="AL331" s="11">
        <f>IF(A331="","",IF(NOT(AND(COUNT(AH331)=1,N(AH331)&gt;0.004,V331&lt;&gt;"Void",V331&lt;&gt;"Not invoiced",V331&lt;&gt;"Draft")),"",IF(COUNT(X331)=0,"No due date",IF(TODAY()-X331&lt;=0,"Not yet due",IF(TODAY()-X331&lt;=30,"1-30 days",IF(TODAY()-X331&lt;=60,"31-60 days",IF(TODAY()-X331&lt;=90,"61-90 days","Over 90 days")))))))</f>
        <v/>
      </c>
      <c r="AM331" s="49">
        <f>IF(OR(AL331="",AL331="No due date"),"",MAX(TODAY()-X331,0))</f>
        <v/>
      </c>
      <c r="AN331" s="49">
        <f>IF(AL331="","",IF(COUNT(X331)=0,-100000,TODAY()-X331))</f>
        <v/>
      </c>
      <c r="AO331" s="49">
        <f>IF(AN331="","",COUNTIF(AN$11:AN$1010,"&gt;"&amp;AN331)+COUNTIF(AN$11:AN331,AN331))</f>
        <v/>
      </c>
      <c r="AP331" s="49">
        <f>IF(OR(A331="",B331=""),"",IF(COUNTIF(B$11:B331,B331)=1,MAX(AP$10:AP330)+1,""))</f>
        <v/>
      </c>
    </row>
    <row r="332" ht="24" customHeight="1">
      <c r="A332" s="20" t="n"/>
      <c r="B332" s="10" t="n"/>
      <c r="C332" s="10" t="n"/>
      <c r="D332" s="10" t="n"/>
      <c r="E332" s="10" t="n"/>
      <c r="F332" s="18" t="n"/>
      <c r="G332" s="10" t="n"/>
      <c r="H332" s="12" t="n"/>
      <c r="I332" s="12" t="n"/>
      <c r="J332" s="13">
        <f>IF(OR(A332="",COUNT(H332)=0,COUNT(Z332)=0),"",ROUND(Z332-H332,2))</f>
        <v/>
      </c>
      <c r="K332" s="15">
        <f>IF(COUNT(J332)=0,"",IF(Z332=0,"n.a.",J332/Z332))</f>
        <v/>
      </c>
      <c r="L332" s="14">
        <f>IF(OR(A332="",COUNT(H332)=0,COUNT(Y332)=0),"",ROUND(H332*(1+Y332),2))</f>
        <v/>
      </c>
      <c r="M332" s="10" t="n"/>
      <c r="N332" s="10" t="n"/>
      <c r="O332" s="10" t="n"/>
      <c r="P332" s="10" t="n"/>
      <c r="Q332" s="20" t="n"/>
      <c r="R332" s="10" t="n"/>
      <c r="S332" s="10" t="n"/>
      <c r="T332" s="18" t="n"/>
      <c r="U332" s="18" t="n"/>
      <c r="V332" s="10" t="n"/>
      <c r="W332" s="10" t="n"/>
      <c r="X332" s="19">
        <f>IF(OR(A332="",COUNT(U332)=0,COUNT(AI332)=0),"",U332+AI332)</f>
        <v/>
      </c>
      <c r="Y332" s="16" t="n"/>
      <c r="Z332" s="12" t="n"/>
      <c r="AA332" s="17">
        <f>IF(COUNT(J332)=0,"",IF(H332=0,"n.a.",J332/H332))</f>
        <v/>
      </c>
      <c r="AB332" s="12" t="n"/>
      <c r="AC332" s="12" t="n"/>
      <c r="AD332" s="12" t="n"/>
      <c r="AE332" s="13">
        <f>IF(OR(COUNT(J332)=0,COUNT(AB332:AD332)&lt;3),"",ROUND(J332-SUM(AB332:AD332),2))</f>
        <v/>
      </c>
      <c r="AF332" s="15">
        <f>IF(COUNT(AE332)=0,"",IF(Z332=0,"n.a.",AE332/Z332))</f>
        <v/>
      </c>
      <c r="AG332" s="12" t="n"/>
      <c r="AH332" s="14">
        <f>IF(OR(A332="",COUNT(Z332)=0,COUNT(AG332)=0),"",ROUND(Z332-AG332,2))</f>
        <v/>
      </c>
      <c r="AI332" s="21" t="n"/>
      <c r="AJ332" s="11">
        <f>IF(A332="","",IF(COUNT(I332)=0,"Enter approved NTE",IF(COUNT(Z332)&gt;0,IF(Z332&gt;I332,"Invoice exceeds NTE","Invoice within NTE"),IF(COUNT(L332)=0,"Enter quote inputs",IF(L332&gt;I332,"Quote exceeds NTE","Quote within NTE")))))</f>
        <v/>
      </c>
      <c r="AK332" s="11">
        <f>IF(A332="","",IF(COUNT(H332)=0,"Enter direct cost",IF(COUNT(Z332)=0,"Enter invoice revenue",IF(COUNT(AB332:AD332)&lt;3,"Enter expenses (0 if none)","Complete"))))</f>
        <v/>
      </c>
      <c r="AL332" s="11">
        <f>IF(A332="","",IF(NOT(AND(COUNT(AH332)=1,N(AH332)&gt;0.004,V332&lt;&gt;"Void",V332&lt;&gt;"Not invoiced",V332&lt;&gt;"Draft")),"",IF(COUNT(X332)=0,"No due date",IF(TODAY()-X332&lt;=0,"Not yet due",IF(TODAY()-X332&lt;=30,"1-30 days",IF(TODAY()-X332&lt;=60,"31-60 days",IF(TODAY()-X332&lt;=90,"61-90 days","Over 90 days")))))))</f>
        <v/>
      </c>
      <c r="AM332" s="49">
        <f>IF(OR(AL332="",AL332="No due date"),"",MAX(TODAY()-X332,0))</f>
        <v/>
      </c>
      <c r="AN332" s="49">
        <f>IF(AL332="","",IF(COUNT(X332)=0,-100000,TODAY()-X332))</f>
        <v/>
      </c>
      <c r="AO332" s="49">
        <f>IF(AN332="","",COUNTIF(AN$11:AN$1010,"&gt;"&amp;AN332)+COUNTIF(AN$11:AN332,AN332))</f>
        <v/>
      </c>
      <c r="AP332" s="49">
        <f>IF(OR(A332="",B332=""),"",IF(COUNTIF(B$11:B332,B332)=1,MAX(AP$10:AP331)+1,""))</f>
        <v/>
      </c>
    </row>
    <row r="333" ht="24" customHeight="1">
      <c r="A333" s="20" t="n"/>
      <c r="B333" s="10" t="n"/>
      <c r="C333" s="10" t="n"/>
      <c r="D333" s="10" t="n"/>
      <c r="E333" s="10" t="n"/>
      <c r="F333" s="18" t="n"/>
      <c r="G333" s="10" t="n"/>
      <c r="H333" s="12" t="n"/>
      <c r="I333" s="12" t="n"/>
      <c r="J333" s="13">
        <f>IF(OR(A333="",COUNT(H333)=0,COUNT(Z333)=0),"",ROUND(Z333-H333,2))</f>
        <v/>
      </c>
      <c r="K333" s="15">
        <f>IF(COUNT(J333)=0,"",IF(Z333=0,"n.a.",J333/Z333))</f>
        <v/>
      </c>
      <c r="L333" s="14">
        <f>IF(OR(A333="",COUNT(H333)=0,COUNT(Y333)=0),"",ROUND(H333*(1+Y333),2))</f>
        <v/>
      </c>
      <c r="M333" s="10" t="n"/>
      <c r="N333" s="10" t="n"/>
      <c r="O333" s="10" t="n"/>
      <c r="P333" s="10" t="n"/>
      <c r="Q333" s="20" t="n"/>
      <c r="R333" s="10" t="n"/>
      <c r="S333" s="10" t="n"/>
      <c r="T333" s="18" t="n"/>
      <c r="U333" s="18" t="n"/>
      <c r="V333" s="10" t="n"/>
      <c r="W333" s="10" t="n"/>
      <c r="X333" s="19">
        <f>IF(OR(A333="",COUNT(U333)=0,COUNT(AI333)=0),"",U333+AI333)</f>
        <v/>
      </c>
      <c r="Y333" s="16" t="n"/>
      <c r="Z333" s="12" t="n"/>
      <c r="AA333" s="17">
        <f>IF(COUNT(J333)=0,"",IF(H333=0,"n.a.",J333/H333))</f>
        <v/>
      </c>
      <c r="AB333" s="12" t="n"/>
      <c r="AC333" s="12" t="n"/>
      <c r="AD333" s="12" t="n"/>
      <c r="AE333" s="13">
        <f>IF(OR(COUNT(J333)=0,COUNT(AB333:AD333)&lt;3),"",ROUND(J333-SUM(AB333:AD333),2))</f>
        <v/>
      </c>
      <c r="AF333" s="15">
        <f>IF(COUNT(AE333)=0,"",IF(Z333=0,"n.a.",AE333/Z333))</f>
        <v/>
      </c>
      <c r="AG333" s="12" t="n"/>
      <c r="AH333" s="14">
        <f>IF(OR(A333="",COUNT(Z333)=0,COUNT(AG333)=0),"",ROUND(Z333-AG333,2))</f>
        <v/>
      </c>
      <c r="AI333" s="21" t="n"/>
      <c r="AJ333" s="11">
        <f>IF(A333="","",IF(COUNT(I333)=0,"Enter approved NTE",IF(COUNT(Z333)&gt;0,IF(Z333&gt;I333,"Invoice exceeds NTE","Invoice within NTE"),IF(COUNT(L333)=0,"Enter quote inputs",IF(L333&gt;I333,"Quote exceeds NTE","Quote within NTE")))))</f>
        <v/>
      </c>
      <c r="AK333" s="11">
        <f>IF(A333="","",IF(COUNT(H333)=0,"Enter direct cost",IF(COUNT(Z333)=0,"Enter invoice revenue",IF(COUNT(AB333:AD333)&lt;3,"Enter expenses (0 if none)","Complete"))))</f>
        <v/>
      </c>
      <c r="AL333" s="11">
        <f>IF(A333="","",IF(NOT(AND(COUNT(AH333)=1,N(AH333)&gt;0.004,V333&lt;&gt;"Void",V333&lt;&gt;"Not invoiced",V333&lt;&gt;"Draft")),"",IF(COUNT(X333)=0,"No due date",IF(TODAY()-X333&lt;=0,"Not yet due",IF(TODAY()-X333&lt;=30,"1-30 days",IF(TODAY()-X333&lt;=60,"31-60 days",IF(TODAY()-X333&lt;=90,"61-90 days","Over 90 days")))))))</f>
        <v/>
      </c>
      <c r="AM333" s="49">
        <f>IF(OR(AL333="",AL333="No due date"),"",MAX(TODAY()-X333,0))</f>
        <v/>
      </c>
      <c r="AN333" s="49">
        <f>IF(AL333="","",IF(COUNT(X333)=0,-100000,TODAY()-X333))</f>
        <v/>
      </c>
      <c r="AO333" s="49">
        <f>IF(AN333="","",COUNTIF(AN$11:AN$1010,"&gt;"&amp;AN333)+COUNTIF(AN$11:AN333,AN333))</f>
        <v/>
      </c>
      <c r="AP333" s="49">
        <f>IF(OR(A333="",B333=""),"",IF(COUNTIF(B$11:B333,B333)=1,MAX(AP$10:AP332)+1,""))</f>
        <v/>
      </c>
    </row>
    <row r="334" ht="24" customHeight="1">
      <c r="A334" s="20" t="n"/>
      <c r="B334" s="10" t="n"/>
      <c r="C334" s="10" t="n"/>
      <c r="D334" s="10" t="n"/>
      <c r="E334" s="10" t="n"/>
      <c r="F334" s="18" t="n"/>
      <c r="G334" s="10" t="n"/>
      <c r="H334" s="12" t="n"/>
      <c r="I334" s="12" t="n"/>
      <c r="J334" s="13">
        <f>IF(OR(A334="",COUNT(H334)=0,COUNT(Z334)=0),"",ROUND(Z334-H334,2))</f>
        <v/>
      </c>
      <c r="K334" s="15">
        <f>IF(COUNT(J334)=0,"",IF(Z334=0,"n.a.",J334/Z334))</f>
        <v/>
      </c>
      <c r="L334" s="14">
        <f>IF(OR(A334="",COUNT(H334)=0,COUNT(Y334)=0),"",ROUND(H334*(1+Y334),2))</f>
        <v/>
      </c>
      <c r="M334" s="10" t="n"/>
      <c r="N334" s="10" t="n"/>
      <c r="O334" s="10" t="n"/>
      <c r="P334" s="10" t="n"/>
      <c r="Q334" s="20" t="n"/>
      <c r="R334" s="10" t="n"/>
      <c r="S334" s="10" t="n"/>
      <c r="T334" s="18" t="n"/>
      <c r="U334" s="18" t="n"/>
      <c r="V334" s="10" t="n"/>
      <c r="W334" s="10" t="n"/>
      <c r="X334" s="19">
        <f>IF(OR(A334="",COUNT(U334)=0,COUNT(AI334)=0),"",U334+AI334)</f>
        <v/>
      </c>
      <c r="Y334" s="16" t="n"/>
      <c r="Z334" s="12" t="n"/>
      <c r="AA334" s="17">
        <f>IF(COUNT(J334)=0,"",IF(H334=0,"n.a.",J334/H334))</f>
        <v/>
      </c>
      <c r="AB334" s="12" t="n"/>
      <c r="AC334" s="12" t="n"/>
      <c r="AD334" s="12" t="n"/>
      <c r="AE334" s="13">
        <f>IF(OR(COUNT(J334)=0,COUNT(AB334:AD334)&lt;3),"",ROUND(J334-SUM(AB334:AD334),2))</f>
        <v/>
      </c>
      <c r="AF334" s="15">
        <f>IF(COUNT(AE334)=0,"",IF(Z334=0,"n.a.",AE334/Z334))</f>
        <v/>
      </c>
      <c r="AG334" s="12" t="n"/>
      <c r="AH334" s="14">
        <f>IF(OR(A334="",COUNT(Z334)=0,COUNT(AG334)=0),"",ROUND(Z334-AG334,2))</f>
        <v/>
      </c>
      <c r="AI334" s="21" t="n"/>
      <c r="AJ334" s="11">
        <f>IF(A334="","",IF(COUNT(I334)=0,"Enter approved NTE",IF(COUNT(Z334)&gt;0,IF(Z334&gt;I334,"Invoice exceeds NTE","Invoice within NTE"),IF(COUNT(L334)=0,"Enter quote inputs",IF(L334&gt;I334,"Quote exceeds NTE","Quote within NTE")))))</f>
        <v/>
      </c>
      <c r="AK334" s="11">
        <f>IF(A334="","",IF(COUNT(H334)=0,"Enter direct cost",IF(COUNT(Z334)=0,"Enter invoice revenue",IF(COUNT(AB334:AD334)&lt;3,"Enter expenses (0 if none)","Complete"))))</f>
        <v/>
      </c>
      <c r="AL334" s="11">
        <f>IF(A334="","",IF(NOT(AND(COUNT(AH334)=1,N(AH334)&gt;0.004,V334&lt;&gt;"Void",V334&lt;&gt;"Not invoiced",V334&lt;&gt;"Draft")),"",IF(COUNT(X334)=0,"No due date",IF(TODAY()-X334&lt;=0,"Not yet due",IF(TODAY()-X334&lt;=30,"1-30 days",IF(TODAY()-X334&lt;=60,"31-60 days",IF(TODAY()-X334&lt;=90,"61-90 days","Over 90 days")))))))</f>
        <v/>
      </c>
      <c r="AM334" s="49">
        <f>IF(OR(AL334="",AL334="No due date"),"",MAX(TODAY()-X334,0))</f>
        <v/>
      </c>
      <c r="AN334" s="49">
        <f>IF(AL334="","",IF(COUNT(X334)=0,-100000,TODAY()-X334))</f>
        <v/>
      </c>
      <c r="AO334" s="49">
        <f>IF(AN334="","",COUNTIF(AN$11:AN$1010,"&gt;"&amp;AN334)+COUNTIF(AN$11:AN334,AN334))</f>
        <v/>
      </c>
      <c r="AP334" s="49">
        <f>IF(OR(A334="",B334=""),"",IF(COUNTIF(B$11:B334,B334)=1,MAX(AP$10:AP333)+1,""))</f>
        <v/>
      </c>
    </row>
    <row r="335" ht="24" customHeight="1">
      <c r="A335" s="20" t="n"/>
      <c r="B335" s="10" t="n"/>
      <c r="C335" s="10" t="n"/>
      <c r="D335" s="10" t="n"/>
      <c r="E335" s="10" t="n"/>
      <c r="F335" s="18" t="n"/>
      <c r="G335" s="10" t="n"/>
      <c r="H335" s="12" t="n"/>
      <c r="I335" s="12" t="n"/>
      <c r="J335" s="13">
        <f>IF(OR(A335="",COUNT(H335)=0,COUNT(Z335)=0),"",ROUND(Z335-H335,2))</f>
        <v/>
      </c>
      <c r="K335" s="15">
        <f>IF(COUNT(J335)=0,"",IF(Z335=0,"n.a.",J335/Z335))</f>
        <v/>
      </c>
      <c r="L335" s="14">
        <f>IF(OR(A335="",COUNT(H335)=0,COUNT(Y335)=0),"",ROUND(H335*(1+Y335),2))</f>
        <v/>
      </c>
      <c r="M335" s="10" t="n"/>
      <c r="N335" s="10" t="n"/>
      <c r="O335" s="10" t="n"/>
      <c r="P335" s="10" t="n"/>
      <c r="Q335" s="20" t="n"/>
      <c r="R335" s="10" t="n"/>
      <c r="S335" s="10" t="n"/>
      <c r="T335" s="18" t="n"/>
      <c r="U335" s="18" t="n"/>
      <c r="V335" s="10" t="n"/>
      <c r="W335" s="10" t="n"/>
      <c r="X335" s="19">
        <f>IF(OR(A335="",COUNT(U335)=0,COUNT(AI335)=0),"",U335+AI335)</f>
        <v/>
      </c>
      <c r="Y335" s="16" t="n"/>
      <c r="Z335" s="12" t="n"/>
      <c r="AA335" s="17">
        <f>IF(COUNT(J335)=0,"",IF(H335=0,"n.a.",J335/H335))</f>
        <v/>
      </c>
      <c r="AB335" s="12" t="n"/>
      <c r="AC335" s="12" t="n"/>
      <c r="AD335" s="12" t="n"/>
      <c r="AE335" s="13">
        <f>IF(OR(COUNT(J335)=0,COUNT(AB335:AD335)&lt;3),"",ROUND(J335-SUM(AB335:AD335),2))</f>
        <v/>
      </c>
      <c r="AF335" s="15">
        <f>IF(COUNT(AE335)=0,"",IF(Z335=0,"n.a.",AE335/Z335))</f>
        <v/>
      </c>
      <c r="AG335" s="12" t="n"/>
      <c r="AH335" s="14">
        <f>IF(OR(A335="",COUNT(Z335)=0,COUNT(AG335)=0),"",ROUND(Z335-AG335,2))</f>
        <v/>
      </c>
      <c r="AI335" s="21" t="n"/>
      <c r="AJ335" s="11">
        <f>IF(A335="","",IF(COUNT(I335)=0,"Enter approved NTE",IF(COUNT(Z335)&gt;0,IF(Z335&gt;I335,"Invoice exceeds NTE","Invoice within NTE"),IF(COUNT(L335)=0,"Enter quote inputs",IF(L335&gt;I335,"Quote exceeds NTE","Quote within NTE")))))</f>
        <v/>
      </c>
      <c r="AK335" s="11">
        <f>IF(A335="","",IF(COUNT(H335)=0,"Enter direct cost",IF(COUNT(Z335)=0,"Enter invoice revenue",IF(COUNT(AB335:AD335)&lt;3,"Enter expenses (0 if none)","Complete"))))</f>
        <v/>
      </c>
      <c r="AL335" s="11">
        <f>IF(A335="","",IF(NOT(AND(COUNT(AH335)=1,N(AH335)&gt;0.004,V335&lt;&gt;"Void",V335&lt;&gt;"Not invoiced",V335&lt;&gt;"Draft")),"",IF(COUNT(X335)=0,"No due date",IF(TODAY()-X335&lt;=0,"Not yet due",IF(TODAY()-X335&lt;=30,"1-30 days",IF(TODAY()-X335&lt;=60,"31-60 days",IF(TODAY()-X335&lt;=90,"61-90 days","Over 90 days")))))))</f>
        <v/>
      </c>
      <c r="AM335" s="49">
        <f>IF(OR(AL335="",AL335="No due date"),"",MAX(TODAY()-X335,0))</f>
        <v/>
      </c>
      <c r="AN335" s="49">
        <f>IF(AL335="","",IF(COUNT(X335)=0,-100000,TODAY()-X335))</f>
        <v/>
      </c>
      <c r="AO335" s="49">
        <f>IF(AN335="","",COUNTIF(AN$11:AN$1010,"&gt;"&amp;AN335)+COUNTIF(AN$11:AN335,AN335))</f>
        <v/>
      </c>
      <c r="AP335" s="49">
        <f>IF(OR(A335="",B335=""),"",IF(COUNTIF(B$11:B335,B335)=1,MAX(AP$10:AP334)+1,""))</f>
        <v/>
      </c>
    </row>
    <row r="336" ht="24" customHeight="1">
      <c r="A336" s="20" t="n"/>
      <c r="B336" s="10" t="n"/>
      <c r="C336" s="10" t="n"/>
      <c r="D336" s="10" t="n"/>
      <c r="E336" s="10" t="n"/>
      <c r="F336" s="18" t="n"/>
      <c r="G336" s="10" t="n"/>
      <c r="H336" s="12" t="n"/>
      <c r="I336" s="12" t="n"/>
      <c r="J336" s="13">
        <f>IF(OR(A336="",COUNT(H336)=0,COUNT(Z336)=0),"",ROUND(Z336-H336,2))</f>
        <v/>
      </c>
      <c r="K336" s="15">
        <f>IF(COUNT(J336)=0,"",IF(Z336=0,"n.a.",J336/Z336))</f>
        <v/>
      </c>
      <c r="L336" s="14">
        <f>IF(OR(A336="",COUNT(H336)=0,COUNT(Y336)=0),"",ROUND(H336*(1+Y336),2))</f>
        <v/>
      </c>
      <c r="M336" s="10" t="n"/>
      <c r="N336" s="10" t="n"/>
      <c r="O336" s="10" t="n"/>
      <c r="P336" s="10" t="n"/>
      <c r="Q336" s="20" t="n"/>
      <c r="R336" s="10" t="n"/>
      <c r="S336" s="10" t="n"/>
      <c r="T336" s="18" t="n"/>
      <c r="U336" s="18" t="n"/>
      <c r="V336" s="10" t="n"/>
      <c r="W336" s="10" t="n"/>
      <c r="X336" s="19">
        <f>IF(OR(A336="",COUNT(U336)=0,COUNT(AI336)=0),"",U336+AI336)</f>
        <v/>
      </c>
      <c r="Y336" s="16" t="n"/>
      <c r="Z336" s="12" t="n"/>
      <c r="AA336" s="17">
        <f>IF(COUNT(J336)=0,"",IF(H336=0,"n.a.",J336/H336))</f>
        <v/>
      </c>
      <c r="AB336" s="12" t="n"/>
      <c r="AC336" s="12" t="n"/>
      <c r="AD336" s="12" t="n"/>
      <c r="AE336" s="13">
        <f>IF(OR(COUNT(J336)=0,COUNT(AB336:AD336)&lt;3),"",ROUND(J336-SUM(AB336:AD336),2))</f>
        <v/>
      </c>
      <c r="AF336" s="15">
        <f>IF(COUNT(AE336)=0,"",IF(Z336=0,"n.a.",AE336/Z336))</f>
        <v/>
      </c>
      <c r="AG336" s="12" t="n"/>
      <c r="AH336" s="14">
        <f>IF(OR(A336="",COUNT(Z336)=0,COUNT(AG336)=0),"",ROUND(Z336-AG336,2))</f>
        <v/>
      </c>
      <c r="AI336" s="21" t="n"/>
      <c r="AJ336" s="11">
        <f>IF(A336="","",IF(COUNT(I336)=0,"Enter approved NTE",IF(COUNT(Z336)&gt;0,IF(Z336&gt;I336,"Invoice exceeds NTE","Invoice within NTE"),IF(COUNT(L336)=0,"Enter quote inputs",IF(L336&gt;I336,"Quote exceeds NTE","Quote within NTE")))))</f>
        <v/>
      </c>
      <c r="AK336" s="11">
        <f>IF(A336="","",IF(COUNT(H336)=0,"Enter direct cost",IF(COUNT(Z336)=0,"Enter invoice revenue",IF(COUNT(AB336:AD336)&lt;3,"Enter expenses (0 if none)","Complete"))))</f>
        <v/>
      </c>
      <c r="AL336" s="11">
        <f>IF(A336="","",IF(NOT(AND(COUNT(AH336)=1,N(AH336)&gt;0.004,V336&lt;&gt;"Void",V336&lt;&gt;"Not invoiced",V336&lt;&gt;"Draft")),"",IF(COUNT(X336)=0,"No due date",IF(TODAY()-X336&lt;=0,"Not yet due",IF(TODAY()-X336&lt;=30,"1-30 days",IF(TODAY()-X336&lt;=60,"31-60 days",IF(TODAY()-X336&lt;=90,"61-90 days","Over 90 days")))))))</f>
        <v/>
      </c>
      <c r="AM336" s="49">
        <f>IF(OR(AL336="",AL336="No due date"),"",MAX(TODAY()-X336,0))</f>
        <v/>
      </c>
      <c r="AN336" s="49">
        <f>IF(AL336="","",IF(COUNT(X336)=0,-100000,TODAY()-X336))</f>
        <v/>
      </c>
      <c r="AO336" s="49">
        <f>IF(AN336="","",COUNTIF(AN$11:AN$1010,"&gt;"&amp;AN336)+COUNTIF(AN$11:AN336,AN336))</f>
        <v/>
      </c>
      <c r="AP336" s="49">
        <f>IF(OR(A336="",B336=""),"",IF(COUNTIF(B$11:B336,B336)=1,MAX(AP$10:AP335)+1,""))</f>
        <v/>
      </c>
    </row>
    <row r="337" ht="24" customHeight="1">
      <c r="A337" s="20" t="n"/>
      <c r="B337" s="10" t="n"/>
      <c r="C337" s="10" t="n"/>
      <c r="D337" s="10" t="n"/>
      <c r="E337" s="10" t="n"/>
      <c r="F337" s="18" t="n"/>
      <c r="G337" s="10" t="n"/>
      <c r="H337" s="12" t="n"/>
      <c r="I337" s="12" t="n"/>
      <c r="J337" s="13">
        <f>IF(OR(A337="",COUNT(H337)=0,COUNT(Z337)=0),"",ROUND(Z337-H337,2))</f>
        <v/>
      </c>
      <c r="K337" s="15">
        <f>IF(COUNT(J337)=0,"",IF(Z337=0,"n.a.",J337/Z337))</f>
        <v/>
      </c>
      <c r="L337" s="14">
        <f>IF(OR(A337="",COUNT(H337)=0,COUNT(Y337)=0),"",ROUND(H337*(1+Y337),2))</f>
        <v/>
      </c>
      <c r="M337" s="10" t="n"/>
      <c r="N337" s="10" t="n"/>
      <c r="O337" s="10" t="n"/>
      <c r="P337" s="10" t="n"/>
      <c r="Q337" s="20" t="n"/>
      <c r="R337" s="10" t="n"/>
      <c r="S337" s="10" t="n"/>
      <c r="T337" s="18" t="n"/>
      <c r="U337" s="18" t="n"/>
      <c r="V337" s="10" t="n"/>
      <c r="W337" s="10" t="n"/>
      <c r="X337" s="19">
        <f>IF(OR(A337="",COUNT(U337)=0,COUNT(AI337)=0),"",U337+AI337)</f>
        <v/>
      </c>
      <c r="Y337" s="16" t="n"/>
      <c r="Z337" s="12" t="n"/>
      <c r="AA337" s="17">
        <f>IF(COUNT(J337)=0,"",IF(H337=0,"n.a.",J337/H337))</f>
        <v/>
      </c>
      <c r="AB337" s="12" t="n"/>
      <c r="AC337" s="12" t="n"/>
      <c r="AD337" s="12" t="n"/>
      <c r="AE337" s="13">
        <f>IF(OR(COUNT(J337)=0,COUNT(AB337:AD337)&lt;3),"",ROUND(J337-SUM(AB337:AD337),2))</f>
        <v/>
      </c>
      <c r="AF337" s="15">
        <f>IF(COUNT(AE337)=0,"",IF(Z337=0,"n.a.",AE337/Z337))</f>
        <v/>
      </c>
      <c r="AG337" s="12" t="n"/>
      <c r="AH337" s="14">
        <f>IF(OR(A337="",COUNT(Z337)=0,COUNT(AG337)=0),"",ROUND(Z337-AG337,2))</f>
        <v/>
      </c>
      <c r="AI337" s="21" t="n"/>
      <c r="AJ337" s="11">
        <f>IF(A337="","",IF(COUNT(I337)=0,"Enter approved NTE",IF(COUNT(Z337)&gt;0,IF(Z337&gt;I337,"Invoice exceeds NTE","Invoice within NTE"),IF(COUNT(L337)=0,"Enter quote inputs",IF(L337&gt;I337,"Quote exceeds NTE","Quote within NTE")))))</f>
        <v/>
      </c>
      <c r="AK337" s="11">
        <f>IF(A337="","",IF(COUNT(H337)=0,"Enter direct cost",IF(COUNT(Z337)=0,"Enter invoice revenue",IF(COUNT(AB337:AD337)&lt;3,"Enter expenses (0 if none)","Complete"))))</f>
        <v/>
      </c>
      <c r="AL337" s="11">
        <f>IF(A337="","",IF(NOT(AND(COUNT(AH337)=1,N(AH337)&gt;0.004,V337&lt;&gt;"Void",V337&lt;&gt;"Not invoiced",V337&lt;&gt;"Draft")),"",IF(COUNT(X337)=0,"No due date",IF(TODAY()-X337&lt;=0,"Not yet due",IF(TODAY()-X337&lt;=30,"1-30 days",IF(TODAY()-X337&lt;=60,"31-60 days",IF(TODAY()-X337&lt;=90,"61-90 days","Over 90 days")))))))</f>
        <v/>
      </c>
      <c r="AM337" s="49">
        <f>IF(OR(AL337="",AL337="No due date"),"",MAX(TODAY()-X337,0))</f>
        <v/>
      </c>
      <c r="AN337" s="49">
        <f>IF(AL337="","",IF(COUNT(X337)=0,-100000,TODAY()-X337))</f>
        <v/>
      </c>
      <c r="AO337" s="49">
        <f>IF(AN337="","",COUNTIF(AN$11:AN$1010,"&gt;"&amp;AN337)+COUNTIF(AN$11:AN337,AN337))</f>
        <v/>
      </c>
      <c r="AP337" s="49">
        <f>IF(OR(A337="",B337=""),"",IF(COUNTIF(B$11:B337,B337)=1,MAX(AP$10:AP336)+1,""))</f>
        <v/>
      </c>
    </row>
    <row r="338" ht="24" customHeight="1">
      <c r="A338" s="20" t="n"/>
      <c r="B338" s="10" t="n"/>
      <c r="C338" s="10" t="n"/>
      <c r="D338" s="10" t="n"/>
      <c r="E338" s="10" t="n"/>
      <c r="F338" s="18" t="n"/>
      <c r="G338" s="10" t="n"/>
      <c r="H338" s="12" t="n"/>
      <c r="I338" s="12" t="n"/>
      <c r="J338" s="13">
        <f>IF(OR(A338="",COUNT(H338)=0,COUNT(Z338)=0),"",ROUND(Z338-H338,2))</f>
        <v/>
      </c>
      <c r="K338" s="15">
        <f>IF(COUNT(J338)=0,"",IF(Z338=0,"n.a.",J338/Z338))</f>
        <v/>
      </c>
      <c r="L338" s="14">
        <f>IF(OR(A338="",COUNT(H338)=0,COUNT(Y338)=0),"",ROUND(H338*(1+Y338),2))</f>
        <v/>
      </c>
      <c r="M338" s="10" t="n"/>
      <c r="N338" s="10" t="n"/>
      <c r="O338" s="10" t="n"/>
      <c r="P338" s="10" t="n"/>
      <c r="Q338" s="20" t="n"/>
      <c r="R338" s="10" t="n"/>
      <c r="S338" s="10" t="n"/>
      <c r="T338" s="18" t="n"/>
      <c r="U338" s="18" t="n"/>
      <c r="V338" s="10" t="n"/>
      <c r="W338" s="10" t="n"/>
      <c r="X338" s="19">
        <f>IF(OR(A338="",COUNT(U338)=0,COUNT(AI338)=0),"",U338+AI338)</f>
        <v/>
      </c>
      <c r="Y338" s="16" t="n"/>
      <c r="Z338" s="12" t="n"/>
      <c r="AA338" s="17">
        <f>IF(COUNT(J338)=0,"",IF(H338=0,"n.a.",J338/H338))</f>
        <v/>
      </c>
      <c r="AB338" s="12" t="n"/>
      <c r="AC338" s="12" t="n"/>
      <c r="AD338" s="12" t="n"/>
      <c r="AE338" s="13">
        <f>IF(OR(COUNT(J338)=0,COUNT(AB338:AD338)&lt;3),"",ROUND(J338-SUM(AB338:AD338),2))</f>
        <v/>
      </c>
      <c r="AF338" s="15">
        <f>IF(COUNT(AE338)=0,"",IF(Z338=0,"n.a.",AE338/Z338))</f>
        <v/>
      </c>
      <c r="AG338" s="12" t="n"/>
      <c r="AH338" s="14">
        <f>IF(OR(A338="",COUNT(Z338)=0,COUNT(AG338)=0),"",ROUND(Z338-AG338,2))</f>
        <v/>
      </c>
      <c r="AI338" s="21" t="n"/>
      <c r="AJ338" s="11">
        <f>IF(A338="","",IF(COUNT(I338)=0,"Enter approved NTE",IF(COUNT(Z338)&gt;0,IF(Z338&gt;I338,"Invoice exceeds NTE","Invoice within NTE"),IF(COUNT(L338)=0,"Enter quote inputs",IF(L338&gt;I338,"Quote exceeds NTE","Quote within NTE")))))</f>
        <v/>
      </c>
      <c r="AK338" s="11">
        <f>IF(A338="","",IF(COUNT(H338)=0,"Enter direct cost",IF(COUNT(Z338)=0,"Enter invoice revenue",IF(COUNT(AB338:AD338)&lt;3,"Enter expenses (0 if none)","Complete"))))</f>
        <v/>
      </c>
      <c r="AL338" s="11">
        <f>IF(A338="","",IF(NOT(AND(COUNT(AH338)=1,N(AH338)&gt;0.004,V338&lt;&gt;"Void",V338&lt;&gt;"Not invoiced",V338&lt;&gt;"Draft")),"",IF(COUNT(X338)=0,"No due date",IF(TODAY()-X338&lt;=0,"Not yet due",IF(TODAY()-X338&lt;=30,"1-30 days",IF(TODAY()-X338&lt;=60,"31-60 days",IF(TODAY()-X338&lt;=90,"61-90 days","Over 90 days")))))))</f>
        <v/>
      </c>
      <c r="AM338" s="49">
        <f>IF(OR(AL338="",AL338="No due date"),"",MAX(TODAY()-X338,0))</f>
        <v/>
      </c>
      <c r="AN338" s="49">
        <f>IF(AL338="","",IF(COUNT(X338)=0,-100000,TODAY()-X338))</f>
        <v/>
      </c>
      <c r="AO338" s="49">
        <f>IF(AN338="","",COUNTIF(AN$11:AN$1010,"&gt;"&amp;AN338)+COUNTIF(AN$11:AN338,AN338))</f>
        <v/>
      </c>
      <c r="AP338" s="49">
        <f>IF(OR(A338="",B338=""),"",IF(COUNTIF(B$11:B338,B338)=1,MAX(AP$10:AP337)+1,""))</f>
        <v/>
      </c>
    </row>
    <row r="339" ht="24" customHeight="1">
      <c r="A339" s="20" t="n"/>
      <c r="B339" s="10" t="n"/>
      <c r="C339" s="10" t="n"/>
      <c r="D339" s="10" t="n"/>
      <c r="E339" s="10" t="n"/>
      <c r="F339" s="18" t="n"/>
      <c r="G339" s="10" t="n"/>
      <c r="H339" s="12" t="n"/>
      <c r="I339" s="12" t="n"/>
      <c r="J339" s="13">
        <f>IF(OR(A339="",COUNT(H339)=0,COUNT(Z339)=0),"",ROUND(Z339-H339,2))</f>
        <v/>
      </c>
      <c r="K339" s="15">
        <f>IF(COUNT(J339)=0,"",IF(Z339=0,"n.a.",J339/Z339))</f>
        <v/>
      </c>
      <c r="L339" s="14">
        <f>IF(OR(A339="",COUNT(H339)=0,COUNT(Y339)=0),"",ROUND(H339*(1+Y339),2))</f>
        <v/>
      </c>
      <c r="M339" s="10" t="n"/>
      <c r="N339" s="10" t="n"/>
      <c r="O339" s="10" t="n"/>
      <c r="P339" s="10" t="n"/>
      <c r="Q339" s="20" t="n"/>
      <c r="R339" s="10" t="n"/>
      <c r="S339" s="10" t="n"/>
      <c r="T339" s="18" t="n"/>
      <c r="U339" s="18" t="n"/>
      <c r="V339" s="10" t="n"/>
      <c r="W339" s="10" t="n"/>
      <c r="X339" s="19">
        <f>IF(OR(A339="",COUNT(U339)=0,COUNT(AI339)=0),"",U339+AI339)</f>
        <v/>
      </c>
      <c r="Y339" s="16" t="n"/>
      <c r="Z339" s="12" t="n"/>
      <c r="AA339" s="17">
        <f>IF(COUNT(J339)=0,"",IF(H339=0,"n.a.",J339/H339))</f>
        <v/>
      </c>
      <c r="AB339" s="12" t="n"/>
      <c r="AC339" s="12" t="n"/>
      <c r="AD339" s="12" t="n"/>
      <c r="AE339" s="13">
        <f>IF(OR(COUNT(J339)=0,COUNT(AB339:AD339)&lt;3),"",ROUND(J339-SUM(AB339:AD339),2))</f>
        <v/>
      </c>
      <c r="AF339" s="15">
        <f>IF(COUNT(AE339)=0,"",IF(Z339=0,"n.a.",AE339/Z339))</f>
        <v/>
      </c>
      <c r="AG339" s="12" t="n"/>
      <c r="AH339" s="14">
        <f>IF(OR(A339="",COUNT(Z339)=0,COUNT(AG339)=0),"",ROUND(Z339-AG339,2))</f>
        <v/>
      </c>
      <c r="AI339" s="21" t="n"/>
      <c r="AJ339" s="11">
        <f>IF(A339="","",IF(COUNT(I339)=0,"Enter approved NTE",IF(COUNT(Z339)&gt;0,IF(Z339&gt;I339,"Invoice exceeds NTE","Invoice within NTE"),IF(COUNT(L339)=0,"Enter quote inputs",IF(L339&gt;I339,"Quote exceeds NTE","Quote within NTE")))))</f>
        <v/>
      </c>
      <c r="AK339" s="11">
        <f>IF(A339="","",IF(COUNT(H339)=0,"Enter direct cost",IF(COUNT(Z339)=0,"Enter invoice revenue",IF(COUNT(AB339:AD339)&lt;3,"Enter expenses (0 if none)","Complete"))))</f>
        <v/>
      </c>
      <c r="AL339" s="11">
        <f>IF(A339="","",IF(NOT(AND(COUNT(AH339)=1,N(AH339)&gt;0.004,V339&lt;&gt;"Void",V339&lt;&gt;"Not invoiced",V339&lt;&gt;"Draft")),"",IF(COUNT(X339)=0,"No due date",IF(TODAY()-X339&lt;=0,"Not yet due",IF(TODAY()-X339&lt;=30,"1-30 days",IF(TODAY()-X339&lt;=60,"31-60 days",IF(TODAY()-X339&lt;=90,"61-90 days","Over 90 days")))))))</f>
        <v/>
      </c>
      <c r="AM339" s="49">
        <f>IF(OR(AL339="",AL339="No due date"),"",MAX(TODAY()-X339,0))</f>
        <v/>
      </c>
      <c r="AN339" s="49">
        <f>IF(AL339="","",IF(COUNT(X339)=0,-100000,TODAY()-X339))</f>
        <v/>
      </c>
      <c r="AO339" s="49">
        <f>IF(AN339="","",COUNTIF(AN$11:AN$1010,"&gt;"&amp;AN339)+COUNTIF(AN$11:AN339,AN339))</f>
        <v/>
      </c>
      <c r="AP339" s="49">
        <f>IF(OR(A339="",B339=""),"",IF(COUNTIF(B$11:B339,B339)=1,MAX(AP$10:AP338)+1,""))</f>
        <v/>
      </c>
    </row>
    <row r="340" ht="24" customHeight="1">
      <c r="A340" s="20" t="n"/>
      <c r="B340" s="10" t="n"/>
      <c r="C340" s="10" t="n"/>
      <c r="D340" s="10" t="n"/>
      <c r="E340" s="10" t="n"/>
      <c r="F340" s="18" t="n"/>
      <c r="G340" s="10" t="n"/>
      <c r="H340" s="12" t="n"/>
      <c r="I340" s="12" t="n"/>
      <c r="J340" s="13">
        <f>IF(OR(A340="",COUNT(H340)=0,COUNT(Z340)=0),"",ROUND(Z340-H340,2))</f>
        <v/>
      </c>
      <c r="K340" s="15">
        <f>IF(COUNT(J340)=0,"",IF(Z340=0,"n.a.",J340/Z340))</f>
        <v/>
      </c>
      <c r="L340" s="14">
        <f>IF(OR(A340="",COUNT(H340)=0,COUNT(Y340)=0),"",ROUND(H340*(1+Y340),2))</f>
        <v/>
      </c>
      <c r="M340" s="10" t="n"/>
      <c r="N340" s="10" t="n"/>
      <c r="O340" s="10" t="n"/>
      <c r="P340" s="10" t="n"/>
      <c r="Q340" s="20" t="n"/>
      <c r="R340" s="10" t="n"/>
      <c r="S340" s="10" t="n"/>
      <c r="T340" s="18" t="n"/>
      <c r="U340" s="18" t="n"/>
      <c r="V340" s="10" t="n"/>
      <c r="W340" s="10" t="n"/>
      <c r="X340" s="19">
        <f>IF(OR(A340="",COUNT(U340)=0,COUNT(AI340)=0),"",U340+AI340)</f>
        <v/>
      </c>
      <c r="Y340" s="16" t="n"/>
      <c r="Z340" s="12" t="n"/>
      <c r="AA340" s="17">
        <f>IF(COUNT(J340)=0,"",IF(H340=0,"n.a.",J340/H340))</f>
        <v/>
      </c>
      <c r="AB340" s="12" t="n"/>
      <c r="AC340" s="12" t="n"/>
      <c r="AD340" s="12" t="n"/>
      <c r="AE340" s="13">
        <f>IF(OR(COUNT(J340)=0,COUNT(AB340:AD340)&lt;3),"",ROUND(J340-SUM(AB340:AD340),2))</f>
        <v/>
      </c>
      <c r="AF340" s="15">
        <f>IF(COUNT(AE340)=0,"",IF(Z340=0,"n.a.",AE340/Z340))</f>
        <v/>
      </c>
      <c r="AG340" s="12" t="n"/>
      <c r="AH340" s="14">
        <f>IF(OR(A340="",COUNT(Z340)=0,COUNT(AG340)=0),"",ROUND(Z340-AG340,2))</f>
        <v/>
      </c>
      <c r="AI340" s="21" t="n"/>
      <c r="AJ340" s="11">
        <f>IF(A340="","",IF(COUNT(I340)=0,"Enter approved NTE",IF(COUNT(Z340)&gt;0,IF(Z340&gt;I340,"Invoice exceeds NTE","Invoice within NTE"),IF(COUNT(L340)=0,"Enter quote inputs",IF(L340&gt;I340,"Quote exceeds NTE","Quote within NTE")))))</f>
        <v/>
      </c>
      <c r="AK340" s="11">
        <f>IF(A340="","",IF(COUNT(H340)=0,"Enter direct cost",IF(COUNT(Z340)=0,"Enter invoice revenue",IF(COUNT(AB340:AD340)&lt;3,"Enter expenses (0 if none)","Complete"))))</f>
        <v/>
      </c>
      <c r="AL340" s="11">
        <f>IF(A340="","",IF(NOT(AND(COUNT(AH340)=1,N(AH340)&gt;0.004,V340&lt;&gt;"Void",V340&lt;&gt;"Not invoiced",V340&lt;&gt;"Draft")),"",IF(COUNT(X340)=0,"No due date",IF(TODAY()-X340&lt;=0,"Not yet due",IF(TODAY()-X340&lt;=30,"1-30 days",IF(TODAY()-X340&lt;=60,"31-60 days",IF(TODAY()-X340&lt;=90,"61-90 days","Over 90 days")))))))</f>
        <v/>
      </c>
      <c r="AM340" s="49">
        <f>IF(OR(AL340="",AL340="No due date"),"",MAX(TODAY()-X340,0))</f>
        <v/>
      </c>
      <c r="AN340" s="49">
        <f>IF(AL340="","",IF(COUNT(X340)=0,-100000,TODAY()-X340))</f>
        <v/>
      </c>
      <c r="AO340" s="49">
        <f>IF(AN340="","",COUNTIF(AN$11:AN$1010,"&gt;"&amp;AN340)+COUNTIF(AN$11:AN340,AN340))</f>
        <v/>
      </c>
      <c r="AP340" s="49">
        <f>IF(OR(A340="",B340=""),"",IF(COUNTIF(B$11:B340,B340)=1,MAX(AP$10:AP339)+1,""))</f>
        <v/>
      </c>
    </row>
    <row r="341" ht="24" customHeight="1">
      <c r="A341" s="20" t="n"/>
      <c r="B341" s="10" t="n"/>
      <c r="C341" s="10" t="n"/>
      <c r="D341" s="10" t="n"/>
      <c r="E341" s="10" t="n"/>
      <c r="F341" s="18" t="n"/>
      <c r="G341" s="10" t="n"/>
      <c r="H341" s="12" t="n"/>
      <c r="I341" s="12" t="n"/>
      <c r="J341" s="13">
        <f>IF(OR(A341="",COUNT(H341)=0,COUNT(Z341)=0),"",ROUND(Z341-H341,2))</f>
        <v/>
      </c>
      <c r="K341" s="15">
        <f>IF(COUNT(J341)=0,"",IF(Z341=0,"n.a.",J341/Z341))</f>
        <v/>
      </c>
      <c r="L341" s="14">
        <f>IF(OR(A341="",COUNT(H341)=0,COUNT(Y341)=0),"",ROUND(H341*(1+Y341),2))</f>
        <v/>
      </c>
      <c r="M341" s="10" t="n"/>
      <c r="N341" s="10" t="n"/>
      <c r="O341" s="10" t="n"/>
      <c r="P341" s="10" t="n"/>
      <c r="Q341" s="20" t="n"/>
      <c r="R341" s="10" t="n"/>
      <c r="S341" s="10" t="n"/>
      <c r="T341" s="18" t="n"/>
      <c r="U341" s="18" t="n"/>
      <c r="V341" s="10" t="n"/>
      <c r="W341" s="10" t="n"/>
      <c r="X341" s="19">
        <f>IF(OR(A341="",COUNT(U341)=0,COUNT(AI341)=0),"",U341+AI341)</f>
        <v/>
      </c>
      <c r="Y341" s="16" t="n"/>
      <c r="Z341" s="12" t="n"/>
      <c r="AA341" s="17">
        <f>IF(COUNT(J341)=0,"",IF(H341=0,"n.a.",J341/H341))</f>
        <v/>
      </c>
      <c r="AB341" s="12" t="n"/>
      <c r="AC341" s="12" t="n"/>
      <c r="AD341" s="12" t="n"/>
      <c r="AE341" s="13">
        <f>IF(OR(COUNT(J341)=0,COUNT(AB341:AD341)&lt;3),"",ROUND(J341-SUM(AB341:AD341),2))</f>
        <v/>
      </c>
      <c r="AF341" s="15">
        <f>IF(COUNT(AE341)=0,"",IF(Z341=0,"n.a.",AE341/Z341))</f>
        <v/>
      </c>
      <c r="AG341" s="12" t="n"/>
      <c r="AH341" s="14">
        <f>IF(OR(A341="",COUNT(Z341)=0,COUNT(AG341)=0),"",ROUND(Z341-AG341,2))</f>
        <v/>
      </c>
      <c r="AI341" s="21" t="n"/>
      <c r="AJ341" s="11">
        <f>IF(A341="","",IF(COUNT(I341)=0,"Enter approved NTE",IF(COUNT(Z341)&gt;0,IF(Z341&gt;I341,"Invoice exceeds NTE","Invoice within NTE"),IF(COUNT(L341)=0,"Enter quote inputs",IF(L341&gt;I341,"Quote exceeds NTE","Quote within NTE")))))</f>
        <v/>
      </c>
      <c r="AK341" s="11">
        <f>IF(A341="","",IF(COUNT(H341)=0,"Enter direct cost",IF(COUNT(Z341)=0,"Enter invoice revenue",IF(COUNT(AB341:AD341)&lt;3,"Enter expenses (0 if none)","Complete"))))</f>
        <v/>
      </c>
      <c r="AL341" s="11">
        <f>IF(A341="","",IF(NOT(AND(COUNT(AH341)=1,N(AH341)&gt;0.004,V341&lt;&gt;"Void",V341&lt;&gt;"Not invoiced",V341&lt;&gt;"Draft")),"",IF(COUNT(X341)=0,"No due date",IF(TODAY()-X341&lt;=0,"Not yet due",IF(TODAY()-X341&lt;=30,"1-30 days",IF(TODAY()-X341&lt;=60,"31-60 days",IF(TODAY()-X341&lt;=90,"61-90 days","Over 90 days")))))))</f>
        <v/>
      </c>
      <c r="AM341" s="49">
        <f>IF(OR(AL341="",AL341="No due date"),"",MAX(TODAY()-X341,0))</f>
        <v/>
      </c>
      <c r="AN341" s="49">
        <f>IF(AL341="","",IF(COUNT(X341)=0,-100000,TODAY()-X341))</f>
        <v/>
      </c>
      <c r="AO341" s="49">
        <f>IF(AN341="","",COUNTIF(AN$11:AN$1010,"&gt;"&amp;AN341)+COUNTIF(AN$11:AN341,AN341))</f>
        <v/>
      </c>
      <c r="AP341" s="49">
        <f>IF(OR(A341="",B341=""),"",IF(COUNTIF(B$11:B341,B341)=1,MAX(AP$10:AP340)+1,""))</f>
        <v/>
      </c>
    </row>
    <row r="342" ht="24" customHeight="1">
      <c r="A342" s="20" t="n"/>
      <c r="B342" s="10" t="n"/>
      <c r="C342" s="10" t="n"/>
      <c r="D342" s="10" t="n"/>
      <c r="E342" s="10" t="n"/>
      <c r="F342" s="18" t="n"/>
      <c r="G342" s="10" t="n"/>
      <c r="H342" s="12" t="n"/>
      <c r="I342" s="12" t="n"/>
      <c r="J342" s="13">
        <f>IF(OR(A342="",COUNT(H342)=0,COUNT(Z342)=0),"",ROUND(Z342-H342,2))</f>
        <v/>
      </c>
      <c r="K342" s="15">
        <f>IF(COUNT(J342)=0,"",IF(Z342=0,"n.a.",J342/Z342))</f>
        <v/>
      </c>
      <c r="L342" s="14">
        <f>IF(OR(A342="",COUNT(H342)=0,COUNT(Y342)=0),"",ROUND(H342*(1+Y342),2))</f>
        <v/>
      </c>
      <c r="M342" s="10" t="n"/>
      <c r="N342" s="10" t="n"/>
      <c r="O342" s="10" t="n"/>
      <c r="P342" s="10" t="n"/>
      <c r="Q342" s="20" t="n"/>
      <c r="R342" s="10" t="n"/>
      <c r="S342" s="10" t="n"/>
      <c r="T342" s="18" t="n"/>
      <c r="U342" s="18" t="n"/>
      <c r="V342" s="10" t="n"/>
      <c r="W342" s="10" t="n"/>
      <c r="X342" s="19">
        <f>IF(OR(A342="",COUNT(U342)=0,COUNT(AI342)=0),"",U342+AI342)</f>
        <v/>
      </c>
      <c r="Y342" s="16" t="n"/>
      <c r="Z342" s="12" t="n"/>
      <c r="AA342" s="17">
        <f>IF(COUNT(J342)=0,"",IF(H342=0,"n.a.",J342/H342))</f>
        <v/>
      </c>
      <c r="AB342" s="12" t="n"/>
      <c r="AC342" s="12" t="n"/>
      <c r="AD342" s="12" t="n"/>
      <c r="AE342" s="13">
        <f>IF(OR(COUNT(J342)=0,COUNT(AB342:AD342)&lt;3),"",ROUND(J342-SUM(AB342:AD342),2))</f>
        <v/>
      </c>
      <c r="AF342" s="15">
        <f>IF(COUNT(AE342)=0,"",IF(Z342=0,"n.a.",AE342/Z342))</f>
        <v/>
      </c>
      <c r="AG342" s="12" t="n"/>
      <c r="AH342" s="14">
        <f>IF(OR(A342="",COUNT(Z342)=0,COUNT(AG342)=0),"",ROUND(Z342-AG342,2))</f>
        <v/>
      </c>
      <c r="AI342" s="21" t="n"/>
      <c r="AJ342" s="11">
        <f>IF(A342="","",IF(COUNT(I342)=0,"Enter approved NTE",IF(COUNT(Z342)&gt;0,IF(Z342&gt;I342,"Invoice exceeds NTE","Invoice within NTE"),IF(COUNT(L342)=0,"Enter quote inputs",IF(L342&gt;I342,"Quote exceeds NTE","Quote within NTE")))))</f>
        <v/>
      </c>
      <c r="AK342" s="11">
        <f>IF(A342="","",IF(COUNT(H342)=0,"Enter direct cost",IF(COUNT(Z342)=0,"Enter invoice revenue",IF(COUNT(AB342:AD342)&lt;3,"Enter expenses (0 if none)","Complete"))))</f>
        <v/>
      </c>
      <c r="AL342" s="11">
        <f>IF(A342="","",IF(NOT(AND(COUNT(AH342)=1,N(AH342)&gt;0.004,V342&lt;&gt;"Void",V342&lt;&gt;"Not invoiced",V342&lt;&gt;"Draft")),"",IF(COUNT(X342)=0,"No due date",IF(TODAY()-X342&lt;=0,"Not yet due",IF(TODAY()-X342&lt;=30,"1-30 days",IF(TODAY()-X342&lt;=60,"31-60 days",IF(TODAY()-X342&lt;=90,"61-90 days","Over 90 days")))))))</f>
        <v/>
      </c>
      <c r="AM342" s="49">
        <f>IF(OR(AL342="",AL342="No due date"),"",MAX(TODAY()-X342,0))</f>
        <v/>
      </c>
      <c r="AN342" s="49">
        <f>IF(AL342="","",IF(COUNT(X342)=0,-100000,TODAY()-X342))</f>
        <v/>
      </c>
      <c r="AO342" s="49">
        <f>IF(AN342="","",COUNTIF(AN$11:AN$1010,"&gt;"&amp;AN342)+COUNTIF(AN$11:AN342,AN342))</f>
        <v/>
      </c>
      <c r="AP342" s="49">
        <f>IF(OR(A342="",B342=""),"",IF(COUNTIF(B$11:B342,B342)=1,MAX(AP$10:AP341)+1,""))</f>
        <v/>
      </c>
    </row>
    <row r="343" ht="24" customHeight="1">
      <c r="A343" s="20" t="n"/>
      <c r="B343" s="10" t="n"/>
      <c r="C343" s="10" t="n"/>
      <c r="D343" s="10" t="n"/>
      <c r="E343" s="10" t="n"/>
      <c r="F343" s="18" t="n"/>
      <c r="G343" s="10" t="n"/>
      <c r="H343" s="12" t="n"/>
      <c r="I343" s="12" t="n"/>
      <c r="J343" s="13">
        <f>IF(OR(A343="",COUNT(H343)=0,COUNT(Z343)=0),"",ROUND(Z343-H343,2))</f>
        <v/>
      </c>
      <c r="K343" s="15">
        <f>IF(COUNT(J343)=0,"",IF(Z343=0,"n.a.",J343/Z343))</f>
        <v/>
      </c>
      <c r="L343" s="14">
        <f>IF(OR(A343="",COUNT(H343)=0,COUNT(Y343)=0),"",ROUND(H343*(1+Y343),2))</f>
        <v/>
      </c>
      <c r="M343" s="10" t="n"/>
      <c r="N343" s="10" t="n"/>
      <c r="O343" s="10" t="n"/>
      <c r="P343" s="10" t="n"/>
      <c r="Q343" s="20" t="n"/>
      <c r="R343" s="10" t="n"/>
      <c r="S343" s="10" t="n"/>
      <c r="T343" s="18" t="n"/>
      <c r="U343" s="18" t="n"/>
      <c r="V343" s="10" t="n"/>
      <c r="W343" s="10" t="n"/>
      <c r="X343" s="19">
        <f>IF(OR(A343="",COUNT(U343)=0,COUNT(AI343)=0),"",U343+AI343)</f>
        <v/>
      </c>
      <c r="Y343" s="16" t="n"/>
      <c r="Z343" s="12" t="n"/>
      <c r="AA343" s="17">
        <f>IF(COUNT(J343)=0,"",IF(H343=0,"n.a.",J343/H343))</f>
        <v/>
      </c>
      <c r="AB343" s="12" t="n"/>
      <c r="AC343" s="12" t="n"/>
      <c r="AD343" s="12" t="n"/>
      <c r="AE343" s="13">
        <f>IF(OR(COUNT(J343)=0,COUNT(AB343:AD343)&lt;3),"",ROUND(J343-SUM(AB343:AD343),2))</f>
        <v/>
      </c>
      <c r="AF343" s="15">
        <f>IF(COUNT(AE343)=0,"",IF(Z343=0,"n.a.",AE343/Z343))</f>
        <v/>
      </c>
      <c r="AG343" s="12" t="n"/>
      <c r="AH343" s="14">
        <f>IF(OR(A343="",COUNT(Z343)=0,COUNT(AG343)=0),"",ROUND(Z343-AG343,2))</f>
        <v/>
      </c>
      <c r="AI343" s="21" t="n"/>
      <c r="AJ343" s="11">
        <f>IF(A343="","",IF(COUNT(I343)=0,"Enter approved NTE",IF(COUNT(Z343)&gt;0,IF(Z343&gt;I343,"Invoice exceeds NTE","Invoice within NTE"),IF(COUNT(L343)=0,"Enter quote inputs",IF(L343&gt;I343,"Quote exceeds NTE","Quote within NTE")))))</f>
        <v/>
      </c>
      <c r="AK343" s="11">
        <f>IF(A343="","",IF(COUNT(H343)=0,"Enter direct cost",IF(COUNT(Z343)=0,"Enter invoice revenue",IF(COUNT(AB343:AD343)&lt;3,"Enter expenses (0 if none)","Complete"))))</f>
        <v/>
      </c>
      <c r="AL343" s="11">
        <f>IF(A343="","",IF(NOT(AND(COUNT(AH343)=1,N(AH343)&gt;0.004,V343&lt;&gt;"Void",V343&lt;&gt;"Not invoiced",V343&lt;&gt;"Draft")),"",IF(COUNT(X343)=0,"No due date",IF(TODAY()-X343&lt;=0,"Not yet due",IF(TODAY()-X343&lt;=30,"1-30 days",IF(TODAY()-X343&lt;=60,"31-60 days",IF(TODAY()-X343&lt;=90,"61-90 days","Over 90 days")))))))</f>
        <v/>
      </c>
      <c r="AM343" s="49">
        <f>IF(OR(AL343="",AL343="No due date"),"",MAX(TODAY()-X343,0))</f>
        <v/>
      </c>
      <c r="AN343" s="49">
        <f>IF(AL343="","",IF(COUNT(X343)=0,-100000,TODAY()-X343))</f>
        <v/>
      </c>
      <c r="AO343" s="49">
        <f>IF(AN343="","",COUNTIF(AN$11:AN$1010,"&gt;"&amp;AN343)+COUNTIF(AN$11:AN343,AN343))</f>
        <v/>
      </c>
      <c r="AP343" s="49">
        <f>IF(OR(A343="",B343=""),"",IF(COUNTIF(B$11:B343,B343)=1,MAX(AP$10:AP342)+1,""))</f>
        <v/>
      </c>
    </row>
    <row r="344" ht="24" customHeight="1">
      <c r="A344" s="20" t="n"/>
      <c r="B344" s="10" t="n"/>
      <c r="C344" s="10" t="n"/>
      <c r="D344" s="10" t="n"/>
      <c r="E344" s="10" t="n"/>
      <c r="F344" s="18" t="n"/>
      <c r="G344" s="10" t="n"/>
      <c r="H344" s="12" t="n"/>
      <c r="I344" s="12" t="n"/>
      <c r="J344" s="13">
        <f>IF(OR(A344="",COUNT(H344)=0,COUNT(Z344)=0),"",ROUND(Z344-H344,2))</f>
        <v/>
      </c>
      <c r="K344" s="15">
        <f>IF(COUNT(J344)=0,"",IF(Z344=0,"n.a.",J344/Z344))</f>
        <v/>
      </c>
      <c r="L344" s="14">
        <f>IF(OR(A344="",COUNT(H344)=0,COUNT(Y344)=0),"",ROUND(H344*(1+Y344),2))</f>
        <v/>
      </c>
      <c r="M344" s="10" t="n"/>
      <c r="N344" s="10" t="n"/>
      <c r="O344" s="10" t="n"/>
      <c r="P344" s="10" t="n"/>
      <c r="Q344" s="20" t="n"/>
      <c r="R344" s="10" t="n"/>
      <c r="S344" s="10" t="n"/>
      <c r="T344" s="18" t="n"/>
      <c r="U344" s="18" t="n"/>
      <c r="V344" s="10" t="n"/>
      <c r="W344" s="10" t="n"/>
      <c r="X344" s="19">
        <f>IF(OR(A344="",COUNT(U344)=0,COUNT(AI344)=0),"",U344+AI344)</f>
        <v/>
      </c>
      <c r="Y344" s="16" t="n"/>
      <c r="Z344" s="12" t="n"/>
      <c r="AA344" s="17">
        <f>IF(COUNT(J344)=0,"",IF(H344=0,"n.a.",J344/H344))</f>
        <v/>
      </c>
      <c r="AB344" s="12" t="n"/>
      <c r="AC344" s="12" t="n"/>
      <c r="AD344" s="12" t="n"/>
      <c r="AE344" s="13">
        <f>IF(OR(COUNT(J344)=0,COUNT(AB344:AD344)&lt;3),"",ROUND(J344-SUM(AB344:AD344),2))</f>
        <v/>
      </c>
      <c r="AF344" s="15">
        <f>IF(COUNT(AE344)=0,"",IF(Z344=0,"n.a.",AE344/Z344))</f>
        <v/>
      </c>
      <c r="AG344" s="12" t="n"/>
      <c r="AH344" s="14">
        <f>IF(OR(A344="",COUNT(Z344)=0,COUNT(AG344)=0),"",ROUND(Z344-AG344,2))</f>
        <v/>
      </c>
      <c r="AI344" s="21" t="n"/>
      <c r="AJ344" s="11">
        <f>IF(A344="","",IF(COUNT(I344)=0,"Enter approved NTE",IF(COUNT(Z344)&gt;0,IF(Z344&gt;I344,"Invoice exceeds NTE","Invoice within NTE"),IF(COUNT(L344)=0,"Enter quote inputs",IF(L344&gt;I344,"Quote exceeds NTE","Quote within NTE")))))</f>
        <v/>
      </c>
      <c r="AK344" s="11">
        <f>IF(A344="","",IF(COUNT(H344)=0,"Enter direct cost",IF(COUNT(Z344)=0,"Enter invoice revenue",IF(COUNT(AB344:AD344)&lt;3,"Enter expenses (0 if none)","Complete"))))</f>
        <v/>
      </c>
      <c r="AL344" s="11">
        <f>IF(A344="","",IF(NOT(AND(COUNT(AH344)=1,N(AH344)&gt;0.004,V344&lt;&gt;"Void",V344&lt;&gt;"Not invoiced",V344&lt;&gt;"Draft")),"",IF(COUNT(X344)=0,"No due date",IF(TODAY()-X344&lt;=0,"Not yet due",IF(TODAY()-X344&lt;=30,"1-30 days",IF(TODAY()-X344&lt;=60,"31-60 days",IF(TODAY()-X344&lt;=90,"61-90 days","Over 90 days")))))))</f>
        <v/>
      </c>
      <c r="AM344" s="49">
        <f>IF(OR(AL344="",AL344="No due date"),"",MAX(TODAY()-X344,0))</f>
        <v/>
      </c>
      <c r="AN344" s="49">
        <f>IF(AL344="","",IF(COUNT(X344)=0,-100000,TODAY()-X344))</f>
        <v/>
      </c>
      <c r="AO344" s="49">
        <f>IF(AN344="","",COUNTIF(AN$11:AN$1010,"&gt;"&amp;AN344)+COUNTIF(AN$11:AN344,AN344))</f>
        <v/>
      </c>
      <c r="AP344" s="49">
        <f>IF(OR(A344="",B344=""),"",IF(COUNTIF(B$11:B344,B344)=1,MAX(AP$10:AP343)+1,""))</f>
        <v/>
      </c>
    </row>
    <row r="345" ht="24" customHeight="1">
      <c r="A345" s="20" t="n"/>
      <c r="B345" s="10" t="n"/>
      <c r="C345" s="10" t="n"/>
      <c r="D345" s="10" t="n"/>
      <c r="E345" s="10" t="n"/>
      <c r="F345" s="18" t="n"/>
      <c r="G345" s="10" t="n"/>
      <c r="H345" s="12" t="n"/>
      <c r="I345" s="12" t="n"/>
      <c r="J345" s="13">
        <f>IF(OR(A345="",COUNT(H345)=0,COUNT(Z345)=0),"",ROUND(Z345-H345,2))</f>
        <v/>
      </c>
      <c r="K345" s="15">
        <f>IF(COUNT(J345)=0,"",IF(Z345=0,"n.a.",J345/Z345))</f>
        <v/>
      </c>
      <c r="L345" s="14">
        <f>IF(OR(A345="",COUNT(H345)=0,COUNT(Y345)=0),"",ROUND(H345*(1+Y345),2))</f>
        <v/>
      </c>
      <c r="M345" s="10" t="n"/>
      <c r="N345" s="10" t="n"/>
      <c r="O345" s="10" t="n"/>
      <c r="P345" s="10" t="n"/>
      <c r="Q345" s="20" t="n"/>
      <c r="R345" s="10" t="n"/>
      <c r="S345" s="10" t="n"/>
      <c r="T345" s="18" t="n"/>
      <c r="U345" s="18" t="n"/>
      <c r="V345" s="10" t="n"/>
      <c r="W345" s="10" t="n"/>
      <c r="X345" s="19">
        <f>IF(OR(A345="",COUNT(U345)=0,COUNT(AI345)=0),"",U345+AI345)</f>
        <v/>
      </c>
      <c r="Y345" s="16" t="n"/>
      <c r="Z345" s="12" t="n"/>
      <c r="AA345" s="17">
        <f>IF(COUNT(J345)=0,"",IF(H345=0,"n.a.",J345/H345))</f>
        <v/>
      </c>
      <c r="AB345" s="12" t="n"/>
      <c r="AC345" s="12" t="n"/>
      <c r="AD345" s="12" t="n"/>
      <c r="AE345" s="13">
        <f>IF(OR(COUNT(J345)=0,COUNT(AB345:AD345)&lt;3),"",ROUND(J345-SUM(AB345:AD345),2))</f>
        <v/>
      </c>
      <c r="AF345" s="15">
        <f>IF(COUNT(AE345)=0,"",IF(Z345=0,"n.a.",AE345/Z345))</f>
        <v/>
      </c>
      <c r="AG345" s="12" t="n"/>
      <c r="AH345" s="14">
        <f>IF(OR(A345="",COUNT(Z345)=0,COUNT(AG345)=0),"",ROUND(Z345-AG345,2))</f>
        <v/>
      </c>
      <c r="AI345" s="21" t="n"/>
      <c r="AJ345" s="11">
        <f>IF(A345="","",IF(COUNT(I345)=0,"Enter approved NTE",IF(COUNT(Z345)&gt;0,IF(Z345&gt;I345,"Invoice exceeds NTE","Invoice within NTE"),IF(COUNT(L345)=0,"Enter quote inputs",IF(L345&gt;I345,"Quote exceeds NTE","Quote within NTE")))))</f>
        <v/>
      </c>
      <c r="AK345" s="11">
        <f>IF(A345="","",IF(COUNT(H345)=0,"Enter direct cost",IF(COUNT(Z345)=0,"Enter invoice revenue",IF(COUNT(AB345:AD345)&lt;3,"Enter expenses (0 if none)","Complete"))))</f>
        <v/>
      </c>
      <c r="AL345" s="11">
        <f>IF(A345="","",IF(NOT(AND(COUNT(AH345)=1,N(AH345)&gt;0.004,V345&lt;&gt;"Void",V345&lt;&gt;"Not invoiced",V345&lt;&gt;"Draft")),"",IF(COUNT(X345)=0,"No due date",IF(TODAY()-X345&lt;=0,"Not yet due",IF(TODAY()-X345&lt;=30,"1-30 days",IF(TODAY()-X345&lt;=60,"31-60 days",IF(TODAY()-X345&lt;=90,"61-90 days","Over 90 days")))))))</f>
        <v/>
      </c>
      <c r="AM345" s="49">
        <f>IF(OR(AL345="",AL345="No due date"),"",MAX(TODAY()-X345,0))</f>
        <v/>
      </c>
      <c r="AN345" s="49">
        <f>IF(AL345="","",IF(COUNT(X345)=0,-100000,TODAY()-X345))</f>
        <v/>
      </c>
      <c r="AO345" s="49">
        <f>IF(AN345="","",COUNTIF(AN$11:AN$1010,"&gt;"&amp;AN345)+COUNTIF(AN$11:AN345,AN345))</f>
        <v/>
      </c>
      <c r="AP345" s="49">
        <f>IF(OR(A345="",B345=""),"",IF(COUNTIF(B$11:B345,B345)=1,MAX(AP$10:AP344)+1,""))</f>
        <v/>
      </c>
    </row>
    <row r="346" ht="24" customHeight="1">
      <c r="A346" s="20" t="n"/>
      <c r="B346" s="10" t="n"/>
      <c r="C346" s="10" t="n"/>
      <c r="D346" s="10" t="n"/>
      <c r="E346" s="10" t="n"/>
      <c r="F346" s="18" t="n"/>
      <c r="G346" s="10" t="n"/>
      <c r="H346" s="12" t="n"/>
      <c r="I346" s="12" t="n"/>
      <c r="J346" s="13">
        <f>IF(OR(A346="",COUNT(H346)=0,COUNT(Z346)=0),"",ROUND(Z346-H346,2))</f>
        <v/>
      </c>
      <c r="K346" s="15">
        <f>IF(COUNT(J346)=0,"",IF(Z346=0,"n.a.",J346/Z346))</f>
        <v/>
      </c>
      <c r="L346" s="14">
        <f>IF(OR(A346="",COUNT(H346)=0,COUNT(Y346)=0),"",ROUND(H346*(1+Y346),2))</f>
        <v/>
      </c>
      <c r="M346" s="10" t="n"/>
      <c r="N346" s="10" t="n"/>
      <c r="O346" s="10" t="n"/>
      <c r="P346" s="10" t="n"/>
      <c r="Q346" s="20" t="n"/>
      <c r="R346" s="10" t="n"/>
      <c r="S346" s="10" t="n"/>
      <c r="T346" s="18" t="n"/>
      <c r="U346" s="18" t="n"/>
      <c r="V346" s="10" t="n"/>
      <c r="W346" s="10" t="n"/>
      <c r="X346" s="19">
        <f>IF(OR(A346="",COUNT(U346)=0,COUNT(AI346)=0),"",U346+AI346)</f>
        <v/>
      </c>
      <c r="Y346" s="16" t="n"/>
      <c r="Z346" s="12" t="n"/>
      <c r="AA346" s="17">
        <f>IF(COUNT(J346)=0,"",IF(H346=0,"n.a.",J346/H346))</f>
        <v/>
      </c>
      <c r="AB346" s="12" t="n"/>
      <c r="AC346" s="12" t="n"/>
      <c r="AD346" s="12" t="n"/>
      <c r="AE346" s="13">
        <f>IF(OR(COUNT(J346)=0,COUNT(AB346:AD346)&lt;3),"",ROUND(J346-SUM(AB346:AD346),2))</f>
        <v/>
      </c>
      <c r="AF346" s="15">
        <f>IF(COUNT(AE346)=0,"",IF(Z346=0,"n.a.",AE346/Z346))</f>
        <v/>
      </c>
      <c r="AG346" s="12" t="n"/>
      <c r="AH346" s="14">
        <f>IF(OR(A346="",COUNT(Z346)=0,COUNT(AG346)=0),"",ROUND(Z346-AG346,2))</f>
        <v/>
      </c>
      <c r="AI346" s="21" t="n"/>
      <c r="AJ346" s="11">
        <f>IF(A346="","",IF(COUNT(I346)=0,"Enter approved NTE",IF(COUNT(Z346)&gt;0,IF(Z346&gt;I346,"Invoice exceeds NTE","Invoice within NTE"),IF(COUNT(L346)=0,"Enter quote inputs",IF(L346&gt;I346,"Quote exceeds NTE","Quote within NTE")))))</f>
        <v/>
      </c>
      <c r="AK346" s="11">
        <f>IF(A346="","",IF(COUNT(H346)=0,"Enter direct cost",IF(COUNT(Z346)=0,"Enter invoice revenue",IF(COUNT(AB346:AD346)&lt;3,"Enter expenses (0 if none)","Complete"))))</f>
        <v/>
      </c>
      <c r="AL346" s="11">
        <f>IF(A346="","",IF(NOT(AND(COUNT(AH346)=1,N(AH346)&gt;0.004,V346&lt;&gt;"Void",V346&lt;&gt;"Not invoiced",V346&lt;&gt;"Draft")),"",IF(COUNT(X346)=0,"No due date",IF(TODAY()-X346&lt;=0,"Not yet due",IF(TODAY()-X346&lt;=30,"1-30 days",IF(TODAY()-X346&lt;=60,"31-60 days",IF(TODAY()-X346&lt;=90,"61-90 days","Over 90 days")))))))</f>
        <v/>
      </c>
      <c r="AM346" s="49">
        <f>IF(OR(AL346="",AL346="No due date"),"",MAX(TODAY()-X346,0))</f>
        <v/>
      </c>
      <c r="AN346" s="49">
        <f>IF(AL346="","",IF(COUNT(X346)=0,-100000,TODAY()-X346))</f>
        <v/>
      </c>
      <c r="AO346" s="49">
        <f>IF(AN346="","",COUNTIF(AN$11:AN$1010,"&gt;"&amp;AN346)+COUNTIF(AN$11:AN346,AN346))</f>
        <v/>
      </c>
      <c r="AP346" s="49">
        <f>IF(OR(A346="",B346=""),"",IF(COUNTIF(B$11:B346,B346)=1,MAX(AP$10:AP345)+1,""))</f>
        <v/>
      </c>
    </row>
    <row r="347" ht="24" customHeight="1">
      <c r="A347" s="20" t="n"/>
      <c r="B347" s="10" t="n"/>
      <c r="C347" s="10" t="n"/>
      <c r="D347" s="10" t="n"/>
      <c r="E347" s="10" t="n"/>
      <c r="F347" s="18" t="n"/>
      <c r="G347" s="10" t="n"/>
      <c r="H347" s="12" t="n"/>
      <c r="I347" s="12" t="n"/>
      <c r="J347" s="13">
        <f>IF(OR(A347="",COUNT(H347)=0,COUNT(Z347)=0),"",ROUND(Z347-H347,2))</f>
        <v/>
      </c>
      <c r="K347" s="15">
        <f>IF(COUNT(J347)=0,"",IF(Z347=0,"n.a.",J347/Z347))</f>
        <v/>
      </c>
      <c r="L347" s="14">
        <f>IF(OR(A347="",COUNT(H347)=0,COUNT(Y347)=0),"",ROUND(H347*(1+Y347),2))</f>
        <v/>
      </c>
      <c r="M347" s="10" t="n"/>
      <c r="N347" s="10" t="n"/>
      <c r="O347" s="10" t="n"/>
      <c r="P347" s="10" t="n"/>
      <c r="Q347" s="20" t="n"/>
      <c r="R347" s="10" t="n"/>
      <c r="S347" s="10" t="n"/>
      <c r="T347" s="18" t="n"/>
      <c r="U347" s="18" t="n"/>
      <c r="V347" s="10" t="n"/>
      <c r="W347" s="10" t="n"/>
      <c r="X347" s="19">
        <f>IF(OR(A347="",COUNT(U347)=0,COUNT(AI347)=0),"",U347+AI347)</f>
        <v/>
      </c>
      <c r="Y347" s="16" t="n"/>
      <c r="Z347" s="12" t="n"/>
      <c r="AA347" s="17">
        <f>IF(COUNT(J347)=0,"",IF(H347=0,"n.a.",J347/H347))</f>
        <v/>
      </c>
      <c r="AB347" s="12" t="n"/>
      <c r="AC347" s="12" t="n"/>
      <c r="AD347" s="12" t="n"/>
      <c r="AE347" s="13">
        <f>IF(OR(COUNT(J347)=0,COUNT(AB347:AD347)&lt;3),"",ROUND(J347-SUM(AB347:AD347),2))</f>
        <v/>
      </c>
      <c r="AF347" s="15">
        <f>IF(COUNT(AE347)=0,"",IF(Z347=0,"n.a.",AE347/Z347))</f>
        <v/>
      </c>
      <c r="AG347" s="12" t="n"/>
      <c r="AH347" s="14">
        <f>IF(OR(A347="",COUNT(Z347)=0,COUNT(AG347)=0),"",ROUND(Z347-AG347,2))</f>
        <v/>
      </c>
      <c r="AI347" s="21" t="n"/>
      <c r="AJ347" s="11">
        <f>IF(A347="","",IF(COUNT(I347)=0,"Enter approved NTE",IF(COUNT(Z347)&gt;0,IF(Z347&gt;I347,"Invoice exceeds NTE","Invoice within NTE"),IF(COUNT(L347)=0,"Enter quote inputs",IF(L347&gt;I347,"Quote exceeds NTE","Quote within NTE")))))</f>
        <v/>
      </c>
      <c r="AK347" s="11">
        <f>IF(A347="","",IF(COUNT(H347)=0,"Enter direct cost",IF(COUNT(Z347)=0,"Enter invoice revenue",IF(COUNT(AB347:AD347)&lt;3,"Enter expenses (0 if none)","Complete"))))</f>
        <v/>
      </c>
      <c r="AL347" s="11">
        <f>IF(A347="","",IF(NOT(AND(COUNT(AH347)=1,N(AH347)&gt;0.004,V347&lt;&gt;"Void",V347&lt;&gt;"Not invoiced",V347&lt;&gt;"Draft")),"",IF(COUNT(X347)=0,"No due date",IF(TODAY()-X347&lt;=0,"Not yet due",IF(TODAY()-X347&lt;=30,"1-30 days",IF(TODAY()-X347&lt;=60,"31-60 days",IF(TODAY()-X347&lt;=90,"61-90 days","Over 90 days")))))))</f>
        <v/>
      </c>
      <c r="AM347" s="49">
        <f>IF(OR(AL347="",AL347="No due date"),"",MAX(TODAY()-X347,0))</f>
        <v/>
      </c>
      <c r="AN347" s="49">
        <f>IF(AL347="","",IF(COUNT(X347)=0,-100000,TODAY()-X347))</f>
        <v/>
      </c>
      <c r="AO347" s="49">
        <f>IF(AN347="","",COUNTIF(AN$11:AN$1010,"&gt;"&amp;AN347)+COUNTIF(AN$11:AN347,AN347))</f>
        <v/>
      </c>
      <c r="AP347" s="49">
        <f>IF(OR(A347="",B347=""),"",IF(COUNTIF(B$11:B347,B347)=1,MAX(AP$10:AP346)+1,""))</f>
        <v/>
      </c>
    </row>
    <row r="348" ht="24" customHeight="1">
      <c r="A348" s="20" t="n"/>
      <c r="B348" s="10" t="n"/>
      <c r="C348" s="10" t="n"/>
      <c r="D348" s="10" t="n"/>
      <c r="E348" s="10" t="n"/>
      <c r="F348" s="18" t="n"/>
      <c r="G348" s="10" t="n"/>
      <c r="H348" s="12" t="n"/>
      <c r="I348" s="12" t="n"/>
      <c r="J348" s="13">
        <f>IF(OR(A348="",COUNT(H348)=0,COUNT(Z348)=0),"",ROUND(Z348-H348,2))</f>
        <v/>
      </c>
      <c r="K348" s="15">
        <f>IF(COUNT(J348)=0,"",IF(Z348=0,"n.a.",J348/Z348))</f>
        <v/>
      </c>
      <c r="L348" s="14">
        <f>IF(OR(A348="",COUNT(H348)=0,COUNT(Y348)=0),"",ROUND(H348*(1+Y348),2))</f>
        <v/>
      </c>
      <c r="M348" s="10" t="n"/>
      <c r="N348" s="10" t="n"/>
      <c r="O348" s="10" t="n"/>
      <c r="P348" s="10" t="n"/>
      <c r="Q348" s="20" t="n"/>
      <c r="R348" s="10" t="n"/>
      <c r="S348" s="10" t="n"/>
      <c r="T348" s="18" t="n"/>
      <c r="U348" s="18" t="n"/>
      <c r="V348" s="10" t="n"/>
      <c r="W348" s="10" t="n"/>
      <c r="X348" s="19">
        <f>IF(OR(A348="",COUNT(U348)=0,COUNT(AI348)=0),"",U348+AI348)</f>
        <v/>
      </c>
      <c r="Y348" s="16" t="n"/>
      <c r="Z348" s="12" t="n"/>
      <c r="AA348" s="17">
        <f>IF(COUNT(J348)=0,"",IF(H348=0,"n.a.",J348/H348))</f>
        <v/>
      </c>
      <c r="AB348" s="12" t="n"/>
      <c r="AC348" s="12" t="n"/>
      <c r="AD348" s="12" t="n"/>
      <c r="AE348" s="13">
        <f>IF(OR(COUNT(J348)=0,COUNT(AB348:AD348)&lt;3),"",ROUND(J348-SUM(AB348:AD348),2))</f>
        <v/>
      </c>
      <c r="AF348" s="15">
        <f>IF(COUNT(AE348)=0,"",IF(Z348=0,"n.a.",AE348/Z348))</f>
        <v/>
      </c>
      <c r="AG348" s="12" t="n"/>
      <c r="AH348" s="14">
        <f>IF(OR(A348="",COUNT(Z348)=0,COUNT(AG348)=0),"",ROUND(Z348-AG348,2))</f>
        <v/>
      </c>
      <c r="AI348" s="21" t="n"/>
      <c r="AJ348" s="11">
        <f>IF(A348="","",IF(COUNT(I348)=0,"Enter approved NTE",IF(COUNT(Z348)&gt;0,IF(Z348&gt;I348,"Invoice exceeds NTE","Invoice within NTE"),IF(COUNT(L348)=0,"Enter quote inputs",IF(L348&gt;I348,"Quote exceeds NTE","Quote within NTE")))))</f>
        <v/>
      </c>
      <c r="AK348" s="11">
        <f>IF(A348="","",IF(COUNT(H348)=0,"Enter direct cost",IF(COUNT(Z348)=0,"Enter invoice revenue",IF(COUNT(AB348:AD348)&lt;3,"Enter expenses (0 if none)","Complete"))))</f>
        <v/>
      </c>
      <c r="AL348" s="11">
        <f>IF(A348="","",IF(NOT(AND(COUNT(AH348)=1,N(AH348)&gt;0.004,V348&lt;&gt;"Void",V348&lt;&gt;"Not invoiced",V348&lt;&gt;"Draft")),"",IF(COUNT(X348)=0,"No due date",IF(TODAY()-X348&lt;=0,"Not yet due",IF(TODAY()-X348&lt;=30,"1-30 days",IF(TODAY()-X348&lt;=60,"31-60 days",IF(TODAY()-X348&lt;=90,"61-90 days","Over 90 days")))))))</f>
        <v/>
      </c>
      <c r="AM348" s="49">
        <f>IF(OR(AL348="",AL348="No due date"),"",MAX(TODAY()-X348,0))</f>
        <v/>
      </c>
      <c r="AN348" s="49">
        <f>IF(AL348="","",IF(COUNT(X348)=0,-100000,TODAY()-X348))</f>
        <v/>
      </c>
      <c r="AO348" s="49">
        <f>IF(AN348="","",COUNTIF(AN$11:AN$1010,"&gt;"&amp;AN348)+COUNTIF(AN$11:AN348,AN348))</f>
        <v/>
      </c>
      <c r="AP348" s="49">
        <f>IF(OR(A348="",B348=""),"",IF(COUNTIF(B$11:B348,B348)=1,MAX(AP$10:AP347)+1,""))</f>
        <v/>
      </c>
    </row>
    <row r="349" ht="24" customHeight="1">
      <c r="A349" s="20" t="n"/>
      <c r="B349" s="10" t="n"/>
      <c r="C349" s="10" t="n"/>
      <c r="D349" s="10" t="n"/>
      <c r="E349" s="10" t="n"/>
      <c r="F349" s="18" t="n"/>
      <c r="G349" s="10" t="n"/>
      <c r="H349" s="12" t="n"/>
      <c r="I349" s="12" t="n"/>
      <c r="J349" s="13">
        <f>IF(OR(A349="",COUNT(H349)=0,COUNT(Z349)=0),"",ROUND(Z349-H349,2))</f>
        <v/>
      </c>
      <c r="K349" s="15">
        <f>IF(COUNT(J349)=0,"",IF(Z349=0,"n.a.",J349/Z349))</f>
        <v/>
      </c>
      <c r="L349" s="14">
        <f>IF(OR(A349="",COUNT(H349)=0,COUNT(Y349)=0),"",ROUND(H349*(1+Y349),2))</f>
        <v/>
      </c>
      <c r="M349" s="10" t="n"/>
      <c r="N349" s="10" t="n"/>
      <c r="O349" s="10" t="n"/>
      <c r="P349" s="10" t="n"/>
      <c r="Q349" s="20" t="n"/>
      <c r="R349" s="10" t="n"/>
      <c r="S349" s="10" t="n"/>
      <c r="T349" s="18" t="n"/>
      <c r="U349" s="18" t="n"/>
      <c r="V349" s="10" t="n"/>
      <c r="W349" s="10" t="n"/>
      <c r="X349" s="19">
        <f>IF(OR(A349="",COUNT(U349)=0,COUNT(AI349)=0),"",U349+AI349)</f>
        <v/>
      </c>
      <c r="Y349" s="16" t="n"/>
      <c r="Z349" s="12" t="n"/>
      <c r="AA349" s="17">
        <f>IF(COUNT(J349)=0,"",IF(H349=0,"n.a.",J349/H349))</f>
        <v/>
      </c>
      <c r="AB349" s="12" t="n"/>
      <c r="AC349" s="12" t="n"/>
      <c r="AD349" s="12" t="n"/>
      <c r="AE349" s="13">
        <f>IF(OR(COUNT(J349)=0,COUNT(AB349:AD349)&lt;3),"",ROUND(J349-SUM(AB349:AD349),2))</f>
        <v/>
      </c>
      <c r="AF349" s="15">
        <f>IF(COUNT(AE349)=0,"",IF(Z349=0,"n.a.",AE349/Z349))</f>
        <v/>
      </c>
      <c r="AG349" s="12" t="n"/>
      <c r="AH349" s="14">
        <f>IF(OR(A349="",COUNT(Z349)=0,COUNT(AG349)=0),"",ROUND(Z349-AG349,2))</f>
        <v/>
      </c>
      <c r="AI349" s="21" t="n"/>
      <c r="AJ349" s="11">
        <f>IF(A349="","",IF(COUNT(I349)=0,"Enter approved NTE",IF(COUNT(Z349)&gt;0,IF(Z349&gt;I349,"Invoice exceeds NTE","Invoice within NTE"),IF(COUNT(L349)=0,"Enter quote inputs",IF(L349&gt;I349,"Quote exceeds NTE","Quote within NTE")))))</f>
        <v/>
      </c>
      <c r="AK349" s="11">
        <f>IF(A349="","",IF(COUNT(H349)=0,"Enter direct cost",IF(COUNT(Z349)=0,"Enter invoice revenue",IF(COUNT(AB349:AD349)&lt;3,"Enter expenses (0 if none)","Complete"))))</f>
        <v/>
      </c>
      <c r="AL349" s="11">
        <f>IF(A349="","",IF(NOT(AND(COUNT(AH349)=1,N(AH349)&gt;0.004,V349&lt;&gt;"Void",V349&lt;&gt;"Not invoiced",V349&lt;&gt;"Draft")),"",IF(COUNT(X349)=0,"No due date",IF(TODAY()-X349&lt;=0,"Not yet due",IF(TODAY()-X349&lt;=30,"1-30 days",IF(TODAY()-X349&lt;=60,"31-60 days",IF(TODAY()-X349&lt;=90,"61-90 days","Over 90 days")))))))</f>
        <v/>
      </c>
      <c r="AM349" s="49">
        <f>IF(OR(AL349="",AL349="No due date"),"",MAX(TODAY()-X349,0))</f>
        <v/>
      </c>
      <c r="AN349" s="49">
        <f>IF(AL349="","",IF(COUNT(X349)=0,-100000,TODAY()-X349))</f>
        <v/>
      </c>
      <c r="AO349" s="49">
        <f>IF(AN349="","",COUNTIF(AN$11:AN$1010,"&gt;"&amp;AN349)+COUNTIF(AN$11:AN349,AN349))</f>
        <v/>
      </c>
      <c r="AP349" s="49">
        <f>IF(OR(A349="",B349=""),"",IF(COUNTIF(B$11:B349,B349)=1,MAX(AP$10:AP348)+1,""))</f>
        <v/>
      </c>
    </row>
    <row r="350" ht="24" customHeight="1">
      <c r="A350" s="20" t="n"/>
      <c r="B350" s="10" t="n"/>
      <c r="C350" s="10" t="n"/>
      <c r="D350" s="10" t="n"/>
      <c r="E350" s="10" t="n"/>
      <c r="F350" s="18" t="n"/>
      <c r="G350" s="10" t="n"/>
      <c r="H350" s="12" t="n"/>
      <c r="I350" s="12" t="n"/>
      <c r="J350" s="13">
        <f>IF(OR(A350="",COUNT(H350)=0,COUNT(Z350)=0),"",ROUND(Z350-H350,2))</f>
        <v/>
      </c>
      <c r="K350" s="15">
        <f>IF(COUNT(J350)=0,"",IF(Z350=0,"n.a.",J350/Z350))</f>
        <v/>
      </c>
      <c r="L350" s="14">
        <f>IF(OR(A350="",COUNT(H350)=0,COUNT(Y350)=0),"",ROUND(H350*(1+Y350),2))</f>
        <v/>
      </c>
      <c r="M350" s="10" t="n"/>
      <c r="N350" s="10" t="n"/>
      <c r="O350" s="10" t="n"/>
      <c r="P350" s="10" t="n"/>
      <c r="Q350" s="20" t="n"/>
      <c r="R350" s="10" t="n"/>
      <c r="S350" s="10" t="n"/>
      <c r="T350" s="18" t="n"/>
      <c r="U350" s="18" t="n"/>
      <c r="V350" s="10" t="n"/>
      <c r="W350" s="10" t="n"/>
      <c r="X350" s="19">
        <f>IF(OR(A350="",COUNT(U350)=0,COUNT(AI350)=0),"",U350+AI350)</f>
        <v/>
      </c>
      <c r="Y350" s="16" t="n"/>
      <c r="Z350" s="12" t="n"/>
      <c r="AA350" s="17">
        <f>IF(COUNT(J350)=0,"",IF(H350=0,"n.a.",J350/H350))</f>
        <v/>
      </c>
      <c r="AB350" s="12" t="n"/>
      <c r="AC350" s="12" t="n"/>
      <c r="AD350" s="12" t="n"/>
      <c r="AE350" s="13">
        <f>IF(OR(COUNT(J350)=0,COUNT(AB350:AD350)&lt;3),"",ROUND(J350-SUM(AB350:AD350),2))</f>
        <v/>
      </c>
      <c r="AF350" s="15">
        <f>IF(COUNT(AE350)=0,"",IF(Z350=0,"n.a.",AE350/Z350))</f>
        <v/>
      </c>
      <c r="AG350" s="12" t="n"/>
      <c r="AH350" s="14">
        <f>IF(OR(A350="",COUNT(Z350)=0,COUNT(AG350)=0),"",ROUND(Z350-AG350,2))</f>
        <v/>
      </c>
      <c r="AI350" s="21" t="n"/>
      <c r="AJ350" s="11">
        <f>IF(A350="","",IF(COUNT(I350)=0,"Enter approved NTE",IF(COUNT(Z350)&gt;0,IF(Z350&gt;I350,"Invoice exceeds NTE","Invoice within NTE"),IF(COUNT(L350)=0,"Enter quote inputs",IF(L350&gt;I350,"Quote exceeds NTE","Quote within NTE")))))</f>
        <v/>
      </c>
      <c r="AK350" s="11">
        <f>IF(A350="","",IF(COUNT(H350)=0,"Enter direct cost",IF(COUNT(Z350)=0,"Enter invoice revenue",IF(COUNT(AB350:AD350)&lt;3,"Enter expenses (0 if none)","Complete"))))</f>
        <v/>
      </c>
      <c r="AL350" s="11">
        <f>IF(A350="","",IF(NOT(AND(COUNT(AH350)=1,N(AH350)&gt;0.004,V350&lt;&gt;"Void",V350&lt;&gt;"Not invoiced",V350&lt;&gt;"Draft")),"",IF(COUNT(X350)=0,"No due date",IF(TODAY()-X350&lt;=0,"Not yet due",IF(TODAY()-X350&lt;=30,"1-30 days",IF(TODAY()-X350&lt;=60,"31-60 days",IF(TODAY()-X350&lt;=90,"61-90 days","Over 90 days")))))))</f>
        <v/>
      </c>
      <c r="AM350" s="49">
        <f>IF(OR(AL350="",AL350="No due date"),"",MAX(TODAY()-X350,0))</f>
        <v/>
      </c>
      <c r="AN350" s="49">
        <f>IF(AL350="","",IF(COUNT(X350)=0,-100000,TODAY()-X350))</f>
        <v/>
      </c>
      <c r="AO350" s="49">
        <f>IF(AN350="","",COUNTIF(AN$11:AN$1010,"&gt;"&amp;AN350)+COUNTIF(AN$11:AN350,AN350))</f>
        <v/>
      </c>
      <c r="AP350" s="49">
        <f>IF(OR(A350="",B350=""),"",IF(COUNTIF(B$11:B350,B350)=1,MAX(AP$10:AP349)+1,""))</f>
        <v/>
      </c>
    </row>
    <row r="351" ht="24" customHeight="1">
      <c r="A351" s="20" t="n"/>
      <c r="B351" s="10" t="n"/>
      <c r="C351" s="10" t="n"/>
      <c r="D351" s="10" t="n"/>
      <c r="E351" s="10" t="n"/>
      <c r="F351" s="18" t="n"/>
      <c r="G351" s="10" t="n"/>
      <c r="H351" s="12" t="n"/>
      <c r="I351" s="12" t="n"/>
      <c r="J351" s="13">
        <f>IF(OR(A351="",COUNT(H351)=0,COUNT(Z351)=0),"",ROUND(Z351-H351,2))</f>
        <v/>
      </c>
      <c r="K351" s="15">
        <f>IF(COUNT(J351)=0,"",IF(Z351=0,"n.a.",J351/Z351))</f>
        <v/>
      </c>
      <c r="L351" s="14">
        <f>IF(OR(A351="",COUNT(H351)=0,COUNT(Y351)=0),"",ROUND(H351*(1+Y351),2))</f>
        <v/>
      </c>
      <c r="M351" s="10" t="n"/>
      <c r="N351" s="10" t="n"/>
      <c r="O351" s="10" t="n"/>
      <c r="P351" s="10" t="n"/>
      <c r="Q351" s="20" t="n"/>
      <c r="R351" s="10" t="n"/>
      <c r="S351" s="10" t="n"/>
      <c r="T351" s="18" t="n"/>
      <c r="U351" s="18" t="n"/>
      <c r="V351" s="10" t="n"/>
      <c r="W351" s="10" t="n"/>
      <c r="X351" s="19">
        <f>IF(OR(A351="",COUNT(U351)=0,COUNT(AI351)=0),"",U351+AI351)</f>
        <v/>
      </c>
      <c r="Y351" s="16" t="n"/>
      <c r="Z351" s="12" t="n"/>
      <c r="AA351" s="17">
        <f>IF(COUNT(J351)=0,"",IF(H351=0,"n.a.",J351/H351))</f>
        <v/>
      </c>
      <c r="AB351" s="12" t="n"/>
      <c r="AC351" s="12" t="n"/>
      <c r="AD351" s="12" t="n"/>
      <c r="AE351" s="13">
        <f>IF(OR(COUNT(J351)=0,COUNT(AB351:AD351)&lt;3),"",ROUND(J351-SUM(AB351:AD351),2))</f>
        <v/>
      </c>
      <c r="AF351" s="15">
        <f>IF(COUNT(AE351)=0,"",IF(Z351=0,"n.a.",AE351/Z351))</f>
        <v/>
      </c>
      <c r="AG351" s="12" t="n"/>
      <c r="AH351" s="14">
        <f>IF(OR(A351="",COUNT(Z351)=0,COUNT(AG351)=0),"",ROUND(Z351-AG351,2))</f>
        <v/>
      </c>
      <c r="AI351" s="21" t="n"/>
      <c r="AJ351" s="11">
        <f>IF(A351="","",IF(COUNT(I351)=0,"Enter approved NTE",IF(COUNT(Z351)&gt;0,IF(Z351&gt;I351,"Invoice exceeds NTE","Invoice within NTE"),IF(COUNT(L351)=0,"Enter quote inputs",IF(L351&gt;I351,"Quote exceeds NTE","Quote within NTE")))))</f>
        <v/>
      </c>
      <c r="AK351" s="11">
        <f>IF(A351="","",IF(COUNT(H351)=0,"Enter direct cost",IF(COUNT(Z351)=0,"Enter invoice revenue",IF(COUNT(AB351:AD351)&lt;3,"Enter expenses (0 if none)","Complete"))))</f>
        <v/>
      </c>
      <c r="AL351" s="11">
        <f>IF(A351="","",IF(NOT(AND(COUNT(AH351)=1,N(AH351)&gt;0.004,V351&lt;&gt;"Void",V351&lt;&gt;"Not invoiced",V351&lt;&gt;"Draft")),"",IF(COUNT(X351)=0,"No due date",IF(TODAY()-X351&lt;=0,"Not yet due",IF(TODAY()-X351&lt;=30,"1-30 days",IF(TODAY()-X351&lt;=60,"31-60 days",IF(TODAY()-X351&lt;=90,"61-90 days","Over 90 days")))))))</f>
        <v/>
      </c>
      <c r="AM351" s="49">
        <f>IF(OR(AL351="",AL351="No due date"),"",MAX(TODAY()-X351,0))</f>
        <v/>
      </c>
      <c r="AN351" s="49">
        <f>IF(AL351="","",IF(COUNT(X351)=0,-100000,TODAY()-X351))</f>
        <v/>
      </c>
      <c r="AO351" s="49">
        <f>IF(AN351="","",COUNTIF(AN$11:AN$1010,"&gt;"&amp;AN351)+COUNTIF(AN$11:AN351,AN351))</f>
        <v/>
      </c>
      <c r="AP351" s="49">
        <f>IF(OR(A351="",B351=""),"",IF(COUNTIF(B$11:B351,B351)=1,MAX(AP$10:AP350)+1,""))</f>
        <v/>
      </c>
    </row>
    <row r="352" ht="24" customHeight="1">
      <c r="A352" s="20" t="n"/>
      <c r="B352" s="10" t="n"/>
      <c r="C352" s="10" t="n"/>
      <c r="D352" s="10" t="n"/>
      <c r="E352" s="10" t="n"/>
      <c r="F352" s="18" t="n"/>
      <c r="G352" s="10" t="n"/>
      <c r="H352" s="12" t="n"/>
      <c r="I352" s="12" t="n"/>
      <c r="J352" s="13">
        <f>IF(OR(A352="",COUNT(H352)=0,COUNT(Z352)=0),"",ROUND(Z352-H352,2))</f>
        <v/>
      </c>
      <c r="K352" s="15">
        <f>IF(COUNT(J352)=0,"",IF(Z352=0,"n.a.",J352/Z352))</f>
        <v/>
      </c>
      <c r="L352" s="14">
        <f>IF(OR(A352="",COUNT(H352)=0,COUNT(Y352)=0),"",ROUND(H352*(1+Y352),2))</f>
        <v/>
      </c>
      <c r="M352" s="10" t="n"/>
      <c r="N352" s="10" t="n"/>
      <c r="O352" s="10" t="n"/>
      <c r="P352" s="10" t="n"/>
      <c r="Q352" s="20" t="n"/>
      <c r="R352" s="10" t="n"/>
      <c r="S352" s="10" t="n"/>
      <c r="T352" s="18" t="n"/>
      <c r="U352" s="18" t="n"/>
      <c r="V352" s="10" t="n"/>
      <c r="W352" s="10" t="n"/>
      <c r="X352" s="19">
        <f>IF(OR(A352="",COUNT(U352)=0,COUNT(AI352)=0),"",U352+AI352)</f>
        <v/>
      </c>
      <c r="Y352" s="16" t="n"/>
      <c r="Z352" s="12" t="n"/>
      <c r="AA352" s="17">
        <f>IF(COUNT(J352)=0,"",IF(H352=0,"n.a.",J352/H352))</f>
        <v/>
      </c>
      <c r="AB352" s="12" t="n"/>
      <c r="AC352" s="12" t="n"/>
      <c r="AD352" s="12" t="n"/>
      <c r="AE352" s="13">
        <f>IF(OR(COUNT(J352)=0,COUNT(AB352:AD352)&lt;3),"",ROUND(J352-SUM(AB352:AD352),2))</f>
        <v/>
      </c>
      <c r="AF352" s="15">
        <f>IF(COUNT(AE352)=0,"",IF(Z352=0,"n.a.",AE352/Z352))</f>
        <v/>
      </c>
      <c r="AG352" s="12" t="n"/>
      <c r="AH352" s="14">
        <f>IF(OR(A352="",COUNT(Z352)=0,COUNT(AG352)=0),"",ROUND(Z352-AG352,2))</f>
        <v/>
      </c>
      <c r="AI352" s="21" t="n"/>
      <c r="AJ352" s="11">
        <f>IF(A352="","",IF(COUNT(I352)=0,"Enter approved NTE",IF(COUNT(Z352)&gt;0,IF(Z352&gt;I352,"Invoice exceeds NTE","Invoice within NTE"),IF(COUNT(L352)=0,"Enter quote inputs",IF(L352&gt;I352,"Quote exceeds NTE","Quote within NTE")))))</f>
        <v/>
      </c>
      <c r="AK352" s="11">
        <f>IF(A352="","",IF(COUNT(H352)=0,"Enter direct cost",IF(COUNT(Z352)=0,"Enter invoice revenue",IF(COUNT(AB352:AD352)&lt;3,"Enter expenses (0 if none)","Complete"))))</f>
        <v/>
      </c>
      <c r="AL352" s="11">
        <f>IF(A352="","",IF(NOT(AND(COUNT(AH352)=1,N(AH352)&gt;0.004,V352&lt;&gt;"Void",V352&lt;&gt;"Not invoiced",V352&lt;&gt;"Draft")),"",IF(COUNT(X352)=0,"No due date",IF(TODAY()-X352&lt;=0,"Not yet due",IF(TODAY()-X352&lt;=30,"1-30 days",IF(TODAY()-X352&lt;=60,"31-60 days",IF(TODAY()-X352&lt;=90,"61-90 days","Over 90 days")))))))</f>
        <v/>
      </c>
      <c r="AM352" s="49">
        <f>IF(OR(AL352="",AL352="No due date"),"",MAX(TODAY()-X352,0))</f>
        <v/>
      </c>
      <c r="AN352" s="49">
        <f>IF(AL352="","",IF(COUNT(X352)=0,-100000,TODAY()-X352))</f>
        <v/>
      </c>
      <c r="AO352" s="49">
        <f>IF(AN352="","",COUNTIF(AN$11:AN$1010,"&gt;"&amp;AN352)+COUNTIF(AN$11:AN352,AN352))</f>
        <v/>
      </c>
      <c r="AP352" s="49">
        <f>IF(OR(A352="",B352=""),"",IF(COUNTIF(B$11:B352,B352)=1,MAX(AP$10:AP351)+1,""))</f>
        <v/>
      </c>
    </row>
    <row r="353" ht="24" customHeight="1">
      <c r="A353" s="20" t="n"/>
      <c r="B353" s="10" t="n"/>
      <c r="C353" s="10" t="n"/>
      <c r="D353" s="10" t="n"/>
      <c r="E353" s="10" t="n"/>
      <c r="F353" s="18" t="n"/>
      <c r="G353" s="10" t="n"/>
      <c r="H353" s="12" t="n"/>
      <c r="I353" s="12" t="n"/>
      <c r="J353" s="13">
        <f>IF(OR(A353="",COUNT(H353)=0,COUNT(Z353)=0),"",ROUND(Z353-H353,2))</f>
        <v/>
      </c>
      <c r="K353" s="15">
        <f>IF(COUNT(J353)=0,"",IF(Z353=0,"n.a.",J353/Z353))</f>
        <v/>
      </c>
      <c r="L353" s="14">
        <f>IF(OR(A353="",COUNT(H353)=0,COUNT(Y353)=0),"",ROUND(H353*(1+Y353),2))</f>
        <v/>
      </c>
      <c r="M353" s="10" t="n"/>
      <c r="N353" s="10" t="n"/>
      <c r="O353" s="10" t="n"/>
      <c r="P353" s="10" t="n"/>
      <c r="Q353" s="20" t="n"/>
      <c r="R353" s="10" t="n"/>
      <c r="S353" s="10" t="n"/>
      <c r="T353" s="18" t="n"/>
      <c r="U353" s="18" t="n"/>
      <c r="V353" s="10" t="n"/>
      <c r="W353" s="10" t="n"/>
      <c r="X353" s="19">
        <f>IF(OR(A353="",COUNT(U353)=0,COUNT(AI353)=0),"",U353+AI353)</f>
        <v/>
      </c>
      <c r="Y353" s="16" t="n"/>
      <c r="Z353" s="12" t="n"/>
      <c r="AA353" s="17">
        <f>IF(COUNT(J353)=0,"",IF(H353=0,"n.a.",J353/H353))</f>
        <v/>
      </c>
      <c r="AB353" s="12" t="n"/>
      <c r="AC353" s="12" t="n"/>
      <c r="AD353" s="12" t="n"/>
      <c r="AE353" s="13">
        <f>IF(OR(COUNT(J353)=0,COUNT(AB353:AD353)&lt;3),"",ROUND(J353-SUM(AB353:AD353),2))</f>
        <v/>
      </c>
      <c r="AF353" s="15">
        <f>IF(COUNT(AE353)=0,"",IF(Z353=0,"n.a.",AE353/Z353))</f>
        <v/>
      </c>
      <c r="AG353" s="12" t="n"/>
      <c r="AH353" s="14">
        <f>IF(OR(A353="",COUNT(Z353)=0,COUNT(AG353)=0),"",ROUND(Z353-AG353,2))</f>
        <v/>
      </c>
      <c r="AI353" s="21" t="n"/>
      <c r="AJ353" s="11">
        <f>IF(A353="","",IF(COUNT(I353)=0,"Enter approved NTE",IF(COUNT(Z353)&gt;0,IF(Z353&gt;I353,"Invoice exceeds NTE","Invoice within NTE"),IF(COUNT(L353)=0,"Enter quote inputs",IF(L353&gt;I353,"Quote exceeds NTE","Quote within NTE")))))</f>
        <v/>
      </c>
      <c r="AK353" s="11">
        <f>IF(A353="","",IF(COUNT(H353)=0,"Enter direct cost",IF(COUNT(Z353)=0,"Enter invoice revenue",IF(COUNT(AB353:AD353)&lt;3,"Enter expenses (0 if none)","Complete"))))</f>
        <v/>
      </c>
      <c r="AL353" s="11">
        <f>IF(A353="","",IF(NOT(AND(COUNT(AH353)=1,N(AH353)&gt;0.004,V353&lt;&gt;"Void",V353&lt;&gt;"Not invoiced",V353&lt;&gt;"Draft")),"",IF(COUNT(X353)=0,"No due date",IF(TODAY()-X353&lt;=0,"Not yet due",IF(TODAY()-X353&lt;=30,"1-30 days",IF(TODAY()-X353&lt;=60,"31-60 days",IF(TODAY()-X353&lt;=90,"61-90 days","Over 90 days")))))))</f>
        <v/>
      </c>
      <c r="AM353" s="49">
        <f>IF(OR(AL353="",AL353="No due date"),"",MAX(TODAY()-X353,0))</f>
        <v/>
      </c>
      <c r="AN353" s="49">
        <f>IF(AL353="","",IF(COUNT(X353)=0,-100000,TODAY()-X353))</f>
        <v/>
      </c>
      <c r="AO353" s="49">
        <f>IF(AN353="","",COUNTIF(AN$11:AN$1010,"&gt;"&amp;AN353)+COUNTIF(AN$11:AN353,AN353))</f>
        <v/>
      </c>
      <c r="AP353" s="49">
        <f>IF(OR(A353="",B353=""),"",IF(COUNTIF(B$11:B353,B353)=1,MAX(AP$10:AP352)+1,""))</f>
        <v/>
      </c>
    </row>
    <row r="354" ht="24" customHeight="1">
      <c r="A354" s="20" t="n"/>
      <c r="B354" s="10" t="n"/>
      <c r="C354" s="10" t="n"/>
      <c r="D354" s="10" t="n"/>
      <c r="E354" s="10" t="n"/>
      <c r="F354" s="18" t="n"/>
      <c r="G354" s="10" t="n"/>
      <c r="H354" s="12" t="n"/>
      <c r="I354" s="12" t="n"/>
      <c r="J354" s="13">
        <f>IF(OR(A354="",COUNT(H354)=0,COUNT(Z354)=0),"",ROUND(Z354-H354,2))</f>
        <v/>
      </c>
      <c r="K354" s="15">
        <f>IF(COUNT(J354)=0,"",IF(Z354=0,"n.a.",J354/Z354))</f>
        <v/>
      </c>
      <c r="L354" s="14">
        <f>IF(OR(A354="",COUNT(H354)=0,COUNT(Y354)=0),"",ROUND(H354*(1+Y354),2))</f>
        <v/>
      </c>
      <c r="M354" s="10" t="n"/>
      <c r="N354" s="10" t="n"/>
      <c r="O354" s="10" t="n"/>
      <c r="P354" s="10" t="n"/>
      <c r="Q354" s="20" t="n"/>
      <c r="R354" s="10" t="n"/>
      <c r="S354" s="10" t="n"/>
      <c r="T354" s="18" t="n"/>
      <c r="U354" s="18" t="n"/>
      <c r="V354" s="10" t="n"/>
      <c r="W354" s="10" t="n"/>
      <c r="X354" s="19">
        <f>IF(OR(A354="",COUNT(U354)=0,COUNT(AI354)=0),"",U354+AI354)</f>
        <v/>
      </c>
      <c r="Y354" s="16" t="n"/>
      <c r="Z354" s="12" t="n"/>
      <c r="AA354" s="17">
        <f>IF(COUNT(J354)=0,"",IF(H354=0,"n.a.",J354/H354))</f>
        <v/>
      </c>
      <c r="AB354" s="12" t="n"/>
      <c r="AC354" s="12" t="n"/>
      <c r="AD354" s="12" t="n"/>
      <c r="AE354" s="13">
        <f>IF(OR(COUNT(J354)=0,COUNT(AB354:AD354)&lt;3),"",ROUND(J354-SUM(AB354:AD354),2))</f>
        <v/>
      </c>
      <c r="AF354" s="15">
        <f>IF(COUNT(AE354)=0,"",IF(Z354=0,"n.a.",AE354/Z354))</f>
        <v/>
      </c>
      <c r="AG354" s="12" t="n"/>
      <c r="AH354" s="14">
        <f>IF(OR(A354="",COUNT(Z354)=0,COUNT(AG354)=0),"",ROUND(Z354-AG354,2))</f>
        <v/>
      </c>
      <c r="AI354" s="21" t="n"/>
      <c r="AJ354" s="11">
        <f>IF(A354="","",IF(COUNT(I354)=0,"Enter approved NTE",IF(COUNT(Z354)&gt;0,IF(Z354&gt;I354,"Invoice exceeds NTE","Invoice within NTE"),IF(COUNT(L354)=0,"Enter quote inputs",IF(L354&gt;I354,"Quote exceeds NTE","Quote within NTE")))))</f>
        <v/>
      </c>
      <c r="AK354" s="11">
        <f>IF(A354="","",IF(COUNT(H354)=0,"Enter direct cost",IF(COUNT(Z354)=0,"Enter invoice revenue",IF(COUNT(AB354:AD354)&lt;3,"Enter expenses (0 if none)","Complete"))))</f>
        <v/>
      </c>
      <c r="AL354" s="11">
        <f>IF(A354="","",IF(NOT(AND(COUNT(AH354)=1,N(AH354)&gt;0.004,V354&lt;&gt;"Void",V354&lt;&gt;"Not invoiced",V354&lt;&gt;"Draft")),"",IF(COUNT(X354)=0,"No due date",IF(TODAY()-X354&lt;=0,"Not yet due",IF(TODAY()-X354&lt;=30,"1-30 days",IF(TODAY()-X354&lt;=60,"31-60 days",IF(TODAY()-X354&lt;=90,"61-90 days","Over 90 days")))))))</f>
        <v/>
      </c>
      <c r="AM354" s="49">
        <f>IF(OR(AL354="",AL354="No due date"),"",MAX(TODAY()-X354,0))</f>
        <v/>
      </c>
      <c r="AN354" s="49">
        <f>IF(AL354="","",IF(COUNT(X354)=0,-100000,TODAY()-X354))</f>
        <v/>
      </c>
      <c r="AO354" s="49">
        <f>IF(AN354="","",COUNTIF(AN$11:AN$1010,"&gt;"&amp;AN354)+COUNTIF(AN$11:AN354,AN354))</f>
        <v/>
      </c>
      <c r="AP354" s="49">
        <f>IF(OR(A354="",B354=""),"",IF(COUNTIF(B$11:B354,B354)=1,MAX(AP$10:AP353)+1,""))</f>
        <v/>
      </c>
    </row>
    <row r="355" ht="24" customHeight="1">
      <c r="A355" s="20" t="n"/>
      <c r="B355" s="10" t="n"/>
      <c r="C355" s="10" t="n"/>
      <c r="D355" s="10" t="n"/>
      <c r="E355" s="10" t="n"/>
      <c r="F355" s="18" t="n"/>
      <c r="G355" s="10" t="n"/>
      <c r="H355" s="12" t="n"/>
      <c r="I355" s="12" t="n"/>
      <c r="J355" s="13">
        <f>IF(OR(A355="",COUNT(H355)=0,COUNT(Z355)=0),"",ROUND(Z355-H355,2))</f>
        <v/>
      </c>
      <c r="K355" s="15">
        <f>IF(COUNT(J355)=0,"",IF(Z355=0,"n.a.",J355/Z355))</f>
        <v/>
      </c>
      <c r="L355" s="14">
        <f>IF(OR(A355="",COUNT(H355)=0,COUNT(Y355)=0),"",ROUND(H355*(1+Y355),2))</f>
        <v/>
      </c>
      <c r="M355" s="10" t="n"/>
      <c r="N355" s="10" t="n"/>
      <c r="O355" s="10" t="n"/>
      <c r="P355" s="10" t="n"/>
      <c r="Q355" s="20" t="n"/>
      <c r="R355" s="10" t="n"/>
      <c r="S355" s="10" t="n"/>
      <c r="T355" s="18" t="n"/>
      <c r="U355" s="18" t="n"/>
      <c r="V355" s="10" t="n"/>
      <c r="W355" s="10" t="n"/>
      <c r="X355" s="19">
        <f>IF(OR(A355="",COUNT(U355)=0,COUNT(AI355)=0),"",U355+AI355)</f>
        <v/>
      </c>
      <c r="Y355" s="16" t="n"/>
      <c r="Z355" s="12" t="n"/>
      <c r="AA355" s="17">
        <f>IF(COUNT(J355)=0,"",IF(H355=0,"n.a.",J355/H355))</f>
        <v/>
      </c>
      <c r="AB355" s="12" t="n"/>
      <c r="AC355" s="12" t="n"/>
      <c r="AD355" s="12" t="n"/>
      <c r="AE355" s="13">
        <f>IF(OR(COUNT(J355)=0,COUNT(AB355:AD355)&lt;3),"",ROUND(J355-SUM(AB355:AD355),2))</f>
        <v/>
      </c>
      <c r="AF355" s="15">
        <f>IF(COUNT(AE355)=0,"",IF(Z355=0,"n.a.",AE355/Z355))</f>
        <v/>
      </c>
      <c r="AG355" s="12" t="n"/>
      <c r="AH355" s="14">
        <f>IF(OR(A355="",COUNT(Z355)=0,COUNT(AG355)=0),"",ROUND(Z355-AG355,2))</f>
        <v/>
      </c>
      <c r="AI355" s="21" t="n"/>
      <c r="AJ355" s="11">
        <f>IF(A355="","",IF(COUNT(I355)=0,"Enter approved NTE",IF(COUNT(Z355)&gt;0,IF(Z355&gt;I355,"Invoice exceeds NTE","Invoice within NTE"),IF(COUNT(L355)=0,"Enter quote inputs",IF(L355&gt;I355,"Quote exceeds NTE","Quote within NTE")))))</f>
        <v/>
      </c>
      <c r="AK355" s="11">
        <f>IF(A355="","",IF(COUNT(H355)=0,"Enter direct cost",IF(COUNT(Z355)=0,"Enter invoice revenue",IF(COUNT(AB355:AD355)&lt;3,"Enter expenses (0 if none)","Complete"))))</f>
        <v/>
      </c>
      <c r="AL355" s="11">
        <f>IF(A355="","",IF(NOT(AND(COUNT(AH355)=1,N(AH355)&gt;0.004,V355&lt;&gt;"Void",V355&lt;&gt;"Not invoiced",V355&lt;&gt;"Draft")),"",IF(COUNT(X355)=0,"No due date",IF(TODAY()-X355&lt;=0,"Not yet due",IF(TODAY()-X355&lt;=30,"1-30 days",IF(TODAY()-X355&lt;=60,"31-60 days",IF(TODAY()-X355&lt;=90,"61-90 days","Over 90 days")))))))</f>
        <v/>
      </c>
      <c r="AM355" s="49">
        <f>IF(OR(AL355="",AL355="No due date"),"",MAX(TODAY()-X355,0))</f>
        <v/>
      </c>
      <c r="AN355" s="49">
        <f>IF(AL355="","",IF(COUNT(X355)=0,-100000,TODAY()-X355))</f>
        <v/>
      </c>
      <c r="AO355" s="49">
        <f>IF(AN355="","",COUNTIF(AN$11:AN$1010,"&gt;"&amp;AN355)+COUNTIF(AN$11:AN355,AN355))</f>
        <v/>
      </c>
      <c r="AP355" s="49">
        <f>IF(OR(A355="",B355=""),"",IF(COUNTIF(B$11:B355,B355)=1,MAX(AP$10:AP354)+1,""))</f>
        <v/>
      </c>
    </row>
    <row r="356" ht="24" customHeight="1">
      <c r="A356" s="20" t="n"/>
      <c r="B356" s="10" t="n"/>
      <c r="C356" s="10" t="n"/>
      <c r="D356" s="10" t="n"/>
      <c r="E356" s="10" t="n"/>
      <c r="F356" s="18" t="n"/>
      <c r="G356" s="10" t="n"/>
      <c r="H356" s="12" t="n"/>
      <c r="I356" s="12" t="n"/>
      <c r="J356" s="13">
        <f>IF(OR(A356="",COUNT(H356)=0,COUNT(Z356)=0),"",ROUND(Z356-H356,2))</f>
        <v/>
      </c>
      <c r="K356" s="15">
        <f>IF(COUNT(J356)=0,"",IF(Z356=0,"n.a.",J356/Z356))</f>
        <v/>
      </c>
      <c r="L356" s="14">
        <f>IF(OR(A356="",COUNT(H356)=0,COUNT(Y356)=0),"",ROUND(H356*(1+Y356),2))</f>
        <v/>
      </c>
      <c r="M356" s="10" t="n"/>
      <c r="N356" s="10" t="n"/>
      <c r="O356" s="10" t="n"/>
      <c r="P356" s="10" t="n"/>
      <c r="Q356" s="20" t="n"/>
      <c r="R356" s="10" t="n"/>
      <c r="S356" s="10" t="n"/>
      <c r="T356" s="18" t="n"/>
      <c r="U356" s="18" t="n"/>
      <c r="V356" s="10" t="n"/>
      <c r="W356" s="10" t="n"/>
      <c r="X356" s="19">
        <f>IF(OR(A356="",COUNT(U356)=0,COUNT(AI356)=0),"",U356+AI356)</f>
        <v/>
      </c>
      <c r="Y356" s="16" t="n"/>
      <c r="Z356" s="12" t="n"/>
      <c r="AA356" s="17">
        <f>IF(COUNT(J356)=0,"",IF(H356=0,"n.a.",J356/H356))</f>
        <v/>
      </c>
      <c r="AB356" s="12" t="n"/>
      <c r="AC356" s="12" t="n"/>
      <c r="AD356" s="12" t="n"/>
      <c r="AE356" s="13">
        <f>IF(OR(COUNT(J356)=0,COUNT(AB356:AD356)&lt;3),"",ROUND(J356-SUM(AB356:AD356),2))</f>
        <v/>
      </c>
      <c r="AF356" s="15">
        <f>IF(COUNT(AE356)=0,"",IF(Z356=0,"n.a.",AE356/Z356))</f>
        <v/>
      </c>
      <c r="AG356" s="12" t="n"/>
      <c r="AH356" s="14">
        <f>IF(OR(A356="",COUNT(Z356)=0,COUNT(AG356)=0),"",ROUND(Z356-AG356,2))</f>
        <v/>
      </c>
      <c r="AI356" s="21" t="n"/>
      <c r="AJ356" s="11">
        <f>IF(A356="","",IF(COUNT(I356)=0,"Enter approved NTE",IF(COUNT(Z356)&gt;0,IF(Z356&gt;I356,"Invoice exceeds NTE","Invoice within NTE"),IF(COUNT(L356)=0,"Enter quote inputs",IF(L356&gt;I356,"Quote exceeds NTE","Quote within NTE")))))</f>
        <v/>
      </c>
      <c r="AK356" s="11">
        <f>IF(A356="","",IF(COUNT(H356)=0,"Enter direct cost",IF(COUNT(Z356)=0,"Enter invoice revenue",IF(COUNT(AB356:AD356)&lt;3,"Enter expenses (0 if none)","Complete"))))</f>
        <v/>
      </c>
      <c r="AL356" s="11">
        <f>IF(A356="","",IF(NOT(AND(COUNT(AH356)=1,N(AH356)&gt;0.004,V356&lt;&gt;"Void",V356&lt;&gt;"Not invoiced",V356&lt;&gt;"Draft")),"",IF(COUNT(X356)=0,"No due date",IF(TODAY()-X356&lt;=0,"Not yet due",IF(TODAY()-X356&lt;=30,"1-30 days",IF(TODAY()-X356&lt;=60,"31-60 days",IF(TODAY()-X356&lt;=90,"61-90 days","Over 90 days")))))))</f>
        <v/>
      </c>
      <c r="AM356" s="49">
        <f>IF(OR(AL356="",AL356="No due date"),"",MAX(TODAY()-X356,0))</f>
        <v/>
      </c>
      <c r="AN356" s="49">
        <f>IF(AL356="","",IF(COUNT(X356)=0,-100000,TODAY()-X356))</f>
        <v/>
      </c>
      <c r="AO356" s="49">
        <f>IF(AN356="","",COUNTIF(AN$11:AN$1010,"&gt;"&amp;AN356)+COUNTIF(AN$11:AN356,AN356))</f>
        <v/>
      </c>
      <c r="AP356" s="49">
        <f>IF(OR(A356="",B356=""),"",IF(COUNTIF(B$11:B356,B356)=1,MAX(AP$10:AP355)+1,""))</f>
        <v/>
      </c>
    </row>
    <row r="357" ht="24" customHeight="1">
      <c r="A357" s="20" t="n"/>
      <c r="B357" s="10" t="n"/>
      <c r="C357" s="10" t="n"/>
      <c r="D357" s="10" t="n"/>
      <c r="E357" s="10" t="n"/>
      <c r="F357" s="18" t="n"/>
      <c r="G357" s="10" t="n"/>
      <c r="H357" s="12" t="n"/>
      <c r="I357" s="12" t="n"/>
      <c r="J357" s="13">
        <f>IF(OR(A357="",COUNT(H357)=0,COUNT(Z357)=0),"",ROUND(Z357-H357,2))</f>
        <v/>
      </c>
      <c r="K357" s="15">
        <f>IF(COUNT(J357)=0,"",IF(Z357=0,"n.a.",J357/Z357))</f>
        <v/>
      </c>
      <c r="L357" s="14">
        <f>IF(OR(A357="",COUNT(H357)=0,COUNT(Y357)=0),"",ROUND(H357*(1+Y357),2))</f>
        <v/>
      </c>
      <c r="M357" s="10" t="n"/>
      <c r="N357" s="10" t="n"/>
      <c r="O357" s="10" t="n"/>
      <c r="P357" s="10" t="n"/>
      <c r="Q357" s="20" t="n"/>
      <c r="R357" s="10" t="n"/>
      <c r="S357" s="10" t="n"/>
      <c r="T357" s="18" t="n"/>
      <c r="U357" s="18" t="n"/>
      <c r="V357" s="10" t="n"/>
      <c r="W357" s="10" t="n"/>
      <c r="X357" s="19">
        <f>IF(OR(A357="",COUNT(U357)=0,COUNT(AI357)=0),"",U357+AI357)</f>
        <v/>
      </c>
      <c r="Y357" s="16" t="n"/>
      <c r="Z357" s="12" t="n"/>
      <c r="AA357" s="17">
        <f>IF(COUNT(J357)=0,"",IF(H357=0,"n.a.",J357/H357))</f>
        <v/>
      </c>
      <c r="AB357" s="12" t="n"/>
      <c r="AC357" s="12" t="n"/>
      <c r="AD357" s="12" t="n"/>
      <c r="AE357" s="13">
        <f>IF(OR(COUNT(J357)=0,COUNT(AB357:AD357)&lt;3),"",ROUND(J357-SUM(AB357:AD357),2))</f>
        <v/>
      </c>
      <c r="AF357" s="15">
        <f>IF(COUNT(AE357)=0,"",IF(Z357=0,"n.a.",AE357/Z357))</f>
        <v/>
      </c>
      <c r="AG357" s="12" t="n"/>
      <c r="AH357" s="14">
        <f>IF(OR(A357="",COUNT(Z357)=0,COUNT(AG357)=0),"",ROUND(Z357-AG357,2))</f>
        <v/>
      </c>
      <c r="AI357" s="21" t="n"/>
      <c r="AJ357" s="11">
        <f>IF(A357="","",IF(COUNT(I357)=0,"Enter approved NTE",IF(COUNT(Z357)&gt;0,IF(Z357&gt;I357,"Invoice exceeds NTE","Invoice within NTE"),IF(COUNT(L357)=0,"Enter quote inputs",IF(L357&gt;I357,"Quote exceeds NTE","Quote within NTE")))))</f>
        <v/>
      </c>
      <c r="AK357" s="11">
        <f>IF(A357="","",IF(COUNT(H357)=0,"Enter direct cost",IF(COUNT(Z357)=0,"Enter invoice revenue",IF(COUNT(AB357:AD357)&lt;3,"Enter expenses (0 if none)","Complete"))))</f>
        <v/>
      </c>
      <c r="AL357" s="11">
        <f>IF(A357="","",IF(NOT(AND(COUNT(AH357)=1,N(AH357)&gt;0.004,V357&lt;&gt;"Void",V357&lt;&gt;"Not invoiced",V357&lt;&gt;"Draft")),"",IF(COUNT(X357)=0,"No due date",IF(TODAY()-X357&lt;=0,"Not yet due",IF(TODAY()-X357&lt;=30,"1-30 days",IF(TODAY()-X357&lt;=60,"31-60 days",IF(TODAY()-X357&lt;=90,"61-90 days","Over 90 days")))))))</f>
        <v/>
      </c>
      <c r="AM357" s="49">
        <f>IF(OR(AL357="",AL357="No due date"),"",MAX(TODAY()-X357,0))</f>
        <v/>
      </c>
      <c r="AN357" s="49">
        <f>IF(AL357="","",IF(COUNT(X357)=0,-100000,TODAY()-X357))</f>
        <v/>
      </c>
      <c r="AO357" s="49">
        <f>IF(AN357="","",COUNTIF(AN$11:AN$1010,"&gt;"&amp;AN357)+COUNTIF(AN$11:AN357,AN357))</f>
        <v/>
      </c>
      <c r="AP357" s="49">
        <f>IF(OR(A357="",B357=""),"",IF(COUNTIF(B$11:B357,B357)=1,MAX(AP$10:AP356)+1,""))</f>
        <v/>
      </c>
    </row>
    <row r="358" ht="24" customHeight="1">
      <c r="A358" s="20" t="n"/>
      <c r="B358" s="10" t="n"/>
      <c r="C358" s="10" t="n"/>
      <c r="D358" s="10" t="n"/>
      <c r="E358" s="10" t="n"/>
      <c r="F358" s="18" t="n"/>
      <c r="G358" s="10" t="n"/>
      <c r="H358" s="12" t="n"/>
      <c r="I358" s="12" t="n"/>
      <c r="J358" s="13">
        <f>IF(OR(A358="",COUNT(H358)=0,COUNT(Z358)=0),"",ROUND(Z358-H358,2))</f>
        <v/>
      </c>
      <c r="K358" s="15">
        <f>IF(COUNT(J358)=0,"",IF(Z358=0,"n.a.",J358/Z358))</f>
        <v/>
      </c>
      <c r="L358" s="14">
        <f>IF(OR(A358="",COUNT(H358)=0,COUNT(Y358)=0),"",ROUND(H358*(1+Y358),2))</f>
        <v/>
      </c>
      <c r="M358" s="10" t="n"/>
      <c r="N358" s="10" t="n"/>
      <c r="O358" s="10" t="n"/>
      <c r="P358" s="10" t="n"/>
      <c r="Q358" s="20" t="n"/>
      <c r="R358" s="10" t="n"/>
      <c r="S358" s="10" t="n"/>
      <c r="T358" s="18" t="n"/>
      <c r="U358" s="18" t="n"/>
      <c r="V358" s="10" t="n"/>
      <c r="W358" s="10" t="n"/>
      <c r="X358" s="19">
        <f>IF(OR(A358="",COUNT(U358)=0,COUNT(AI358)=0),"",U358+AI358)</f>
        <v/>
      </c>
      <c r="Y358" s="16" t="n"/>
      <c r="Z358" s="12" t="n"/>
      <c r="AA358" s="17">
        <f>IF(COUNT(J358)=0,"",IF(H358=0,"n.a.",J358/H358))</f>
        <v/>
      </c>
      <c r="AB358" s="12" t="n"/>
      <c r="AC358" s="12" t="n"/>
      <c r="AD358" s="12" t="n"/>
      <c r="AE358" s="13">
        <f>IF(OR(COUNT(J358)=0,COUNT(AB358:AD358)&lt;3),"",ROUND(J358-SUM(AB358:AD358),2))</f>
        <v/>
      </c>
      <c r="AF358" s="15">
        <f>IF(COUNT(AE358)=0,"",IF(Z358=0,"n.a.",AE358/Z358))</f>
        <v/>
      </c>
      <c r="AG358" s="12" t="n"/>
      <c r="AH358" s="14">
        <f>IF(OR(A358="",COUNT(Z358)=0,COUNT(AG358)=0),"",ROUND(Z358-AG358,2))</f>
        <v/>
      </c>
      <c r="AI358" s="21" t="n"/>
      <c r="AJ358" s="11">
        <f>IF(A358="","",IF(COUNT(I358)=0,"Enter approved NTE",IF(COUNT(Z358)&gt;0,IF(Z358&gt;I358,"Invoice exceeds NTE","Invoice within NTE"),IF(COUNT(L358)=0,"Enter quote inputs",IF(L358&gt;I358,"Quote exceeds NTE","Quote within NTE")))))</f>
        <v/>
      </c>
      <c r="AK358" s="11">
        <f>IF(A358="","",IF(COUNT(H358)=0,"Enter direct cost",IF(COUNT(Z358)=0,"Enter invoice revenue",IF(COUNT(AB358:AD358)&lt;3,"Enter expenses (0 if none)","Complete"))))</f>
        <v/>
      </c>
      <c r="AL358" s="11">
        <f>IF(A358="","",IF(NOT(AND(COUNT(AH358)=1,N(AH358)&gt;0.004,V358&lt;&gt;"Void",V358&lt;&gt;"Not invoiced",V358&lt;&gt;"Draft")),"",IF(COUNT(X358)=0,"No due date",IF(TODAY()-X358&lt;=0,"Not yet due",IF(TODAY()-X358&lt;=30,"1-30 days",IF(TODAY()-X358&lt;=60,"31-60 days",IF(TODAY()-X358&lt;=90,"61-90 days","Over 90 days")))))))</f>
        <v/>
      </c>
      <c r="AM358" s="49">
        <f>IF(OR(AL358="",AL358="No due date"),"",MAX(TODAY()-X358,0))</f>
        <v/>
      </c>
      <c r="AN358" s="49">
        <f>IF(AL358="","",IF(COUNT(X358)=0,-100000,TODAY()-X358))</f>
        <v/>
      </c>
      <c r="AO358" s="49">
        <f>IF(AN358="","",COUNTIF(AN$11:AN$1010,"&gt;"&amp;AN358)+COUNTIF(AN$11:AN358,AN358))</f>
        <v/>
      </c>
      <c r="AP358" s="49">
        <f>IF(OR(A358="",B358=""),"",IF(COUNTIF(B$11:B358,B358)=1,MAX(AP$10:AP357)+1,""))</f>
        <v/>
      </c>
    </row>
    <row r="359" ht="24" customHeight="1">
      <c r="A359" s="20" t="n"/>
      <c r="B359" s="10" t="n"/>
      <c r="C359" s="10" t="n"/>
      <c r="D359" s="10" t="n"/>
      <c r="E359" s="10" t="n"/>
      <c r="F359" s="18" t="n"/>
      <c r="G359" s="10" t="n"/>
      <c r="H359" s="12" t="n"/>
      <c r="I359" s="12" t="n"/>
      <c r="J359" s="13">
        <f>IF(OR(A359="",COUNT(H359)=0,COUNT(Z359)=0),"",ROUND(Z359-H359,2))</f>
        <v/>
      </c>
      <c r="K359" s="15">
        <f>IF(COUNT(J359)=0,"",IF(Z359=0,"n.a.",J359/Z359))</f>
        <v/>
      </c>
      <c r="L359" s="14">
        <f>IF(OR(A359="",COUNT(H359)=0,COUNT(Y359)=0),"",ROUND(H359*(1+Y359),2))</f>
        <v/>
      </c>
      <c r="M359" s="10" t="n"/>
      <c r="N359" s="10" t="n"/>
      <c r="O359" s="10" t="n"/>
      <c r="P359" s="10" t="n"/>
      <c r="Q359" s="20" t="n"/>
      <c r="R359" s="10" t="n"/>
      <c r="S359" s="10" t="n"/>
      <c r="T359" s="18" t="n"/>
      <c r="U359" s="18" t="n"/>
      <c r="V359" s="10" t="n"/>
      <c r="W359" s="10" t="n"/>
      <c r="X359" s="19">
        <f>IF(OR(A359="",COUNT(U359)=0,COUNT(AI359)=0),"",U359+AI359)</f>
        <v/>
      </c>
      <c r="Y359" s="16" t="n"/>
      <c r="Z359" s="12" t="n"/>
      <c r="AA359" s="17">
        <f>IF(COUNT(J359)=0,"",IF(H359=0,"n.a.",J359/H359))</f>
        <v/>
      </c>
      <c r="AB359" s="12" t="n"/>
      <c r="AC359" s="12" t="n"/>
      <c r="AD359" s="12" t="n"/>
      <c r="AE359" s="13">
        <f>IF(OR(COUNT(J359)=0,COUNT(AB359:AD359)&lt;3),"",ROUND(J359-SUM(AB359:AD359),2))</f>
        <v/>
      </c>
      <c r="AF359" s="15">
        <f>IF(COUNT(AE359)=0,"",IF(Z359=0,"n.a.",AE359/Z359))</f>
        <v/>
      </c>
      <c r="AG359" s="12" t="n"/>
      <c r="AH359" s="14">
        <f>IF(OR(A359="",COUNT(Z359)=0,COUNT(AG359)=0),"",ROUND(Z359-AG359,2))</f>
        <v/>
      </c>
      <c r="AI359" s="21" t="n"/>
      <c r="AJ359" s="11">
        <f>IF(A359="","",IF(COUNT(I359)=0,"Enter approved NTE",IF(COUNT(Z359)&gt;0,IF(Z359&gt;I359,"Invoice exceeds NTE","Invoice within NTE"),IF(COUNT(L359)=0,"Enter quote inputs",IF(L359&gt;I359,"Quote exceeds NTE","Quote within NTE")))))</f>
        <v/>
      </c>
      <c r="AK359" s="11">
        <f>IF(A359="","",IF(COUNT(H359)=0,"Enter direct cost",IF(COUNT(Z359)=0,"Enter invoice revenue",IF(COUNT(AB359:AD359)&lt;3,"Enter expenses (0 if none)","Complete"))))</f>
        <v/>
      </c>
      <c r="AL359" s="11">
        <f>IF(A359="","",IF(NOT(AND(COUNT(AH359)=1,N(AH359)&gt;0.004,V359&lt;&gt;"Void",V359&lt;&gt;"Not invoiced",V359&lt;&gt;"Draft")),"",IF(COUNT(X359)=0,"No due date",IF(TODAY()-X359&lt;=0,"Not yet due",IF(TODAY()-X359&lt;=30,"1-30 days",IF(TODAY()-X359&lt;=60,"31-60 days",IF(TODAY()-X359&lt;=90,"61-90 days","Over 90 days")))))))</f>
        <v/>
      </c>
      <c r="AM359" s="49">
        <f>IF(OR(AL359="",AL359="No due date"),"",MAX(TODAY()-X359,0))</f>
        <v/>
      </c>
      <c r="AN359" s="49">
        <f>IF(AL359="","",IF(COUNT(X359)=0,-100000,TODAY()-X359))</f>
        <v/>
      </c>
      <c r="AO359" s="49">
        <f>IF(AN359="","",COUNTIF(AN$11:AN$1010,"&gt;"&amp;AN359)+COUNTIF(AN$11:AN359,AN359))</f>
        <v/>
      </c>
      <c r="AP359" s="49">
        <f>IF(OR(A359="",B359=""),"",IF(COUNTIF(B$11:B359,B359)=1,MAX(AP$10:AP358)+1,""))</f>
        <v/>
      </c>
    </row>
    <row r="360" ht="24" customHeight="1">
      <c r="A360" s="20" t="n"/>
      <c r="B360" s="10" t="n"/>
      <c r="C360" s="10" t="n"/>
      <c r="D360" s="10" t="n"/>
      <c r="E360" s="10" t="n"/>
      <c r="F360" s="18" t="n"/>
      <c r="G360" s="10" t="n"/>
      <c r="H360" s="12" t="n"/>
      <c r="I360" s="12" t="n"/>
      <c r="J360" s="13">
        <f>IF(OR(A360="",COUNT(H360)=0,COUNT(Z360)=0),"",ROUND(Z360-H360,2))</f>
        <v/>
      </c>
      <c r="K360" s="15">
        <f>IF(COUNT(J360)=0,"",IF(Z360=0,"n.a.",J360/Z360))</f>
        <v/>
      </c>
      <c r="L360" s="14">
        <f>IF(OR(A360="",COUNT(H360)=0,COUNT(Y360)=0),"",ROUND(H360*(1+Y360),2))</f>
        <v/>
      </c>
      <c r="M360" s="10" t="n"/>
      <c r="N360" s="10" t="n"/>
      <c r="O360" s="10" t="n"/>
      <c r="P360" s="10" t="n"/>
      <c r="Q360" s="20" t="n"/>
      <c r="R360" s="10" t="n"/>
      <c r="S360" s="10" t="n"/>
      <c r="T360" s="18" t="n"/>
      <c r="U360" s="18" t="n"/>
      <c r="V360" s="10" t="n"/>
      <c r="W360" s="10" t="n"/>
      <c r="X360" s="19">
        <f>IF(OR(A360="",COUNT(U360)=0,COUNT(AI360)=0),"",U360+AI360)</f>
        <v/>
      </c>
      <c r="Y360" s="16" t="n"/>
      <c r="Z360" s="12" t="n"/>
      <c r="AA360" s="17">
        <f>IF(COUNT(J360)=0,"",IF(H360=0,"n.a.",J360/H360))</f>
        <v/>
      </c>
      <c r="AB360" s="12" t="n"/>
      <c r="AC360" s="12" t="n"/>
      <c r="AD360" s="12" t="n"/>
      <c r="AE360" s="13">
        <f>IF(OR(COUNT(J360)=0,COUNT(AB360:AD360)&lt;3),"",ROUND(J360-SUM(AB360:AD360),2))</f>
        <v/>
      </c>
      <c r="AF360" s="15">
        <f>IF(COUNT(AE360)=0,"",IF(Z360=0,"n.a.",AE360/Z360))</f>
        <v/>
      </c>
      <c r="AG360" s="12" t="n"/>
      <c r="AH360" s="14">
        <f>IF(OR(A360="",COUNT(Z360)=0,COUNT(AG360)=0),"",ROUND(Z360-AG360,2))</f>
        <v/>
      </c>
      <c r="AI360" s="21" t="n"/>
      <c r="AJ360" s="11">
        <f>IF(A360="","",IF(COUNT(I360)=0,"Enter approved NTE",IF(COUNT(Z360)&gt;0,IF(Z360&gt;I360,"Invoice exceeds NTE","Invoice within NTE"),IF(COUNT(L360)=0,"Enter quote inputs",IF(L360&gt;I360,"Quote exceeds NTE","Quote within NTE")))))</f>
        <v/>
      </c>
      <c r="AK360" s="11">
        <f>IF(A360="","",IF(COUNT(H360)=0,"Enter direct cost",IF(COUNT(Z360)=0,"Enter invoice revenue",IF(COUNT(AB360:AD360)&lt;3,"Enter expenses (0 if none)","Complete"))))</f>
        <v/>
      </c>
      <c r="AL360" s="11">
        <f>IF(A360="","",IF(NOT(AND(COUNT(AH360)=1,N(AH360)&gt;0.004,V360&lt;&gt;"Void",V360&lt;&gt;"Not invoiced",V360&lt;&gt;"Draft")),"",IF(COUNT(X360)=0,"No due date",IF(TODAY()-X360&lt;=0,"Not yet due",IF(TODAY()-X360&lt;=30,"1-30 days",IF(TODAY()-X360&lt;=60,"31-60 days",IF(TODAY()-X360&lt;=90,"61-90 days","Over 90 days")))))))</f>
        <v/>
      </c>
      <c r="AM360" s="49">
        <f>IF(OR(AL360="",AL360="No due date"),"",MAX(TODAY()-X360,0))</f>
        <v/>
      </c>
      <c r="AN360" s="49">
        <f>IF(AL360="","",IF(COUNT(X360)=0,-100000,TODAY()-X360))</f>
        <v/>
      </c>
      <c r="AO360" s="49">
        <f>IF(AN360="","",COUNTIF(AN$11:AN$1010,"&gt;"&amp;AN360)+COUNTIF(AN$11:AN360,AN360))</f>
        <v/>
      </c>
      <c r="AP360" s="49">
        <f>IF(OR(A360="",B360=""),"",IF(COUNTIF(B$11:B360,B360)=1,MAX(AP$10:AP359)+1,""))</f>
        <v/>
      </c>
    </row>
    <row r="361" ht="24" customHeight="1">
      <c r="A361" s="20" t="n"/>
      <c r="B361" s="10" t="n"/>
      <c r="C361" s="10" t="n"/>
      <c r="D361" s="10" t="n"/>
      <c r="E361" s="10" t="n"/>
      <c r="F361" s="18" t="n"/>
      <c r="G361" s="10" t="n"/>
      <c r="H361" s="12" t="n"/>
      <c r="I361" s="12" t="n"/>
      <c r="J361" s="13">
        <f>IF(OR(A361="",COUNT(H361)=0,COUNT(Z361)=0),"",ROUND(Z361-H361,2))</f>
        <v/>
      </c>
      <c r="K361" s="15">
        <f>IF(COUNT(J361)=0,"",IF(Z361=0,"n.a.",J361/Z361))</f>
        <v/>
      </c>
      <c r="L361" s="14">
        <f>IF(OR(A361="",COUNT(H361)=0,COUNT(Y361)=0),"",ROUND(H361*(1+Y361),2))</f>
        <v/>
      </c>
      <c r="M361" s="10" t="n"/>
      <c r="N361" s="10" t="n"/>
      <c r="O361" s="10" t="n"/>
      <c r="P361" s="10" t="n"/>
      <c r="Q361" s="20" t="n"/>
      <c r="R361" s="10" t="n"/>
      <c r="S361" s="10" t="n"/>
      <c r="T361" s="18" t="n"/>
      <c r="U361" s="18" t="n"/>
      <c r="V361" s="10" t="n"/>
      <c r="W361" s="10" t="n"/>
      <c r="X361" s="19">
        <f>IF(OR(A361="",COUNT(U361)=0,COUNT(AI361)=0),"",U361+AI361)</f>
        <v/>
      </c>
      <c r="Y361" s="16" t="n"/>
      <c r="Z361" s="12" t="n"/>
      <c r="AA361" s="17">
        <f>IF(COUNT(J361)=0,"",IF(H361=0,"n.a.",J361/H361))</f>
        <v/>
      </c>
      <c r="AB361" s="12" t="n"/>
      <c r="AC361" s="12" t="n"/>
      <c r="AD361" s="12" t="n"/>
      <c r="AE361" s="13">
        <f>IF(OR(COUNT(J361)=0,COUNT(AB361:AD361)&lt;3),"",ROUND(J361-SUM(AB361:AD361),2))</f>
        <v/>
      </c>
      <c r="AF361" s="15">
        <f>IF(COUNT(AE361)=0,"",IF(Z361=0,"n.a.",AE361/Z361))</f>
        <v/>
      </c>
      <c r="AG361" s="12" t="n"/>
      <c r="AH361" s="14">
        <f>IF(OR(A361="",COUNT(Z361)=0,COUNT(AG361)=0),"",ROUND(Z361-AG361,2))</f>
        <v/>
      </c>
      <c r="AI361" s="21" t="n"/>
      <c r="AJ361" s="11">
        <f>IF(A361="","",IF(COUNT(I361)=0,"Enter approved NTE",IF(COUNT(Z361)&gt;0,IF(Z361&gt;I361,"Invoice exceeds NTE","Invoice within NTE"),IF(COUNT(L361)=0,"Enter quote inputs",IF(L361&gt;I361,"Quote exceeds NTE","Quote within NTE")))))</f>
        <v/>
      </c>
      <c r="AK361" s="11">
        <f>IF(A361="","",IF(COUNT(H361)=0,"Enter direct cost",IF(COUNT(Z361)=0,"Enter invoice revenue",IF(COUNT(AB361:AD361)&lt;3,"Enter expenses (0 if none)","Complete"))))</f>
        <v/>
      </c>
      <c r="AL361" s="11">
        <f>IF(A361="","",IF(NOT(AND(COUNT(AH361)=1,N(AH361)&gt;0.004,V361&lt;&gt;"Void",V361&lt;&gt;"Not invoiced",V361&lt;&gt;"Draft")),"",IF(COUNT(X361)=0,"No due date",IF(TODAY()-X361&lt;=0,"Not yet due",IF(TODAY()-X361&lt;=30,"1-30 days",IF(TODAY()-X361&lt;=60,"31-60 days",IF(TODAY()-X361&lt;=90,"61-90 days","Over 90 days")))))))</f>
        <v/>
      </c>
      <c r="AM361" s="49">
        <f>IF(OR(AL361="",AL361="No due date"),"",MAX(TODAY()-X361,0))</f>
        <v/>
      </c>
      <c r="AN361" s="49">
        <f>IF(AL361="","",IF(COUNT(X361)=0,-100000,TODAY()-X361))</f>
        <v/>
      </c>
      <c r="AO361" s="49">
        <f>IF(AN361="","",COUNTIF(AN$11:AN$1010,"&gt;"&amp;AN361)+COUNTIF(AN$11:AN361,AN361))</f>
        <v/>
      </c>
      <c r="AP361" s="49">
        <f>IF(OR(A361="",B361=""),"",IF(COUNTIF(B$11:B361,B361)=1,MAX(AP$10:AP360)+1,""))</f>
        <v/>
      </c>
    </row>
    <row r="362" ht="24" customHeight="1">
      <c r="A362" s="20" t="n"/>
      <c r="B362" s="10" t="n"/>
      <c r="C362" s="10" t="n"/>
      <c r="D362" s="10" t="n"/>
      <c r="E362" s="10" t="n"/>
      <c r="F362" s="18" t="n"/>
      <c r="G362" s="10" t="n"/>
      <c r="H362" s="12" t="n"/>
      <c r="I362" s="12" t="n"/>
      <c r="J362" s="13">
        <f>IF(OR(A362="",COUNT(H362)=0,COUNT(Z362)=0),"",ROUND(Z362-H362,2))</f>
        <v/>
      </c>
      <c r="K362" s="15">
        <f>IF(COUNT(J362)=0,"",IF(Z362=0,"n.a.",J362/Z362))</f>
        <v/>
      </c>
      <c r="L362" s="14">
        <f>IF(OR(A362="",COUNT(H362)=0,COUNT(Y362)=0),"",ROUND(H362*(1+Y362),2))</f>
        <v/>
      </c>
      <c r="M362" s="10" t="n"/>
      <c r="N362" s="10" t="n"/>
      <c r="O362" s="10" t="n"/>
      <c r="P362" s="10" t="n"/>
      <c r="Q362" s="20" t="n"/>
      <c r="R362" s="10" t="n"/>
      <c r="S362" s="10" t="n"/>
      <c r="T362" s="18" t="n"/>
      <c r="U362" s="18" t="n"/>
      <c r="V362" s="10" t="n"/>
      <c r="W362" s="10" t="n"/>
      <c r="X362" s="19">
        <f>IF(OR(A362="",COUNT(U362)=0,COUNT(AI362)=0),"",U362+AI362)</f>
        <v/>
      </c>
      <c r="Y362" s="16" t="n"/>
      <c r="Z362" s="12" t="n"/>
      <c r="AA362" s="17">
        <f>IF(COUNT(J362)=0,"",IF(H362=0,"n.a.",J362/H362))</f>
        <v/>
      </c>
      <c r="AB362" s="12" t="n"/>
      <c r="AC362" s="12" t="n"/>
      <c r="AD362" s="12" t="n"/>
      <c r="AE362" s="13">
        <f>IF(OR(COUNT(J362)=0,COUNT(AB362:AD362)&lt;3),"",ROUND(J362-SUM(AB362:AD362),2))</f>
        <v/>
      </c>
      <c r="AF362" s="15">
        <f>IF(COUNT(AE362)=0,"",IF(Z362=0,"n.a.",AE362/Z362))</f>
        <v/>
      </c>
      <c r="AG362" s="12" t="n"/>
      <c r="AH362" s="14">
        <f>IF(OR(A362="",COUNT(Z362)=0,COUNT(AG362)=0),"",ROUND(Z362-AG362,2))</f>
        <v/>
      </c>
      <c r="AI362" s="21" t="n"/>
      <c r="AJ362" s="11">
        <f>IF(A362="","",IF(COUNT(I362)=0,"Enter approved NTE",IF(COUNT(Z362)&gt;0,IF(Z362&gt;I362,"Invoice exceeds NTE","Invoice within NTE"),IF(COUNT(L362)=0,"Enter quote inputs",IF(L362&gt;I362,"Quote exceeds NTE","Quote within NTE")))))</f>
        <v/>
      </c>
      <c r="AK362" s="11">
        <f>IF(A362="","",IF(COUNT(H362)=0,"Enter direct cost",IF(COUNT(Z362)=0,"Enter invoice revenue",IF(COUNT(AB362:AD362)&lt;3,"Enter expenses (0 if none)","Complete"))))</f>
        <v/>
      </c>
      <c r="AL362" s="11">
        <f>IF(A362="","",IF(NOT(AND(COUNT(AH362)=1,N(AH362)&gt;0.004,V362&lt;&gt;"Void",V362&lt;&gt;"Not invoiced",V362&lt;&gt;"Draft")),"",IF(COUNT(X362)=0,"No due date",IF(TODAY()-X362&lt;=0,"Not yet due",IF(TODAY()-X362&lt;=30,"1-30 days",IF(TODAY()-X362&lt;=60,"31-60 days",IF(TODAY()-X362&lt;=90,"61-90 days","Over 90 days")))))))</f>
        <v/>
      </c>
      <c r="AM362" s="49">
        <f>IF(OR(AL362="",AL362="No due date"),"",MAX(TODAY()-X362,0))</f>
        <v/>
      </c>
      <c r="AN362" s="49">
        <f>IF(AL362="","",IF(COUNT(X362)=0,-100000,TODAY()-X362))</f>
        <v/>
      </c>
      <c r="AO362" s="49">
        <f>IF(AN362="","",COUNTIF(AN$11:AN$1010,"&gt;"&amp;AN362)+COUNTIF(AN$11:AN362,AN362))</f>
        <v/>
      </c>
      <c r="AP362" s="49">
        <f>IF(OR(A362="",B362=""),"",IF(COUNTIF(B$11:B362,B362)=1,MAX(AP$10:AP361)+1,""))</f>
        <v/>
      </c>
    </row>
    <row r="363" ht="24" customHeight="1">
      <c r="A363" s="20" t="n"/>
      <c r="B363" s="10" t="n"/>
      <c r="C363" s="10" t="n"/>
      <c r="D363" s="10" t="n"/>
      <c r="E363" s="10" t="n"/>
      <c r="F363" s="18" t="n"/>
      <c r="G363" s="10" t="n"/>
      <c r="H363" s="12" t="n"/>
      <c r="I363" s="12" t="n"/>
      <c r="J363" s="13">
        <f>IF(OR(A363="",COUNT(H363)=0,COUNT(Z363)=0),"",ROUND(Z363-H363,2))</f>
        <v/>
      </c>
      <c r="K363" s="15">
        <f>IF(COUNT(J363)=0,"",IF(Z363=0,"n.a.",J363/Z363))</f>
        <v/>
      </c>
      <c r="L363" s="14">
        <f>IF(OR(A363="",COUNT(H363)=0,COUNT(Y363)=0),"",ROUND(H363*(1+Y363),2))</f>
        <v/>
      </c>
      <c r="M363" s="10" t="n"/>
      <c r="N363" s="10" t="n"/>
      <c r="O363" s="10" t="n"/>
      <c r="P363" s="10" t="n"/>
      <c r="Q363" s="20" t="n"/>
      <c r="R363" s="10" t="n"/>
      <c r="S363" s="10" t="n"/>
      <c r="T363" s="18" t="n"/>
      <c r="U363" s="18" t="n"/>
      <c r="V363" s="10" t="n"/>
      <c r="W363" s="10" t="n"/>
      <c r="X363" s="19">
        <f>IF(OR(A363="",COUNT(U363)=0,COUNT(AI363)=0),"",U363+AI363)</f>
        <v/>
      </c>
      <c r="Y363" s="16" t="n"/>
      <c r="Z363" s="12" t="n"/>
      <c r="AA363" s="17">
        <f>IF(COUNT(J363)=0,"",IF(H363=0,"n.a.",J363/H363))</f>
        <v/>
      </c>
      <c r="AB363" s="12" t="n"/>
      <c r="AC363" s="12" t="n"/>
      <c r="AD363" s="12" t="n"/>
      <c r="AE363" s="13">
        <f>IF(OR(COUNT(J363)=0,COUNT(AB363:AD363)&lt;3),"",ROUND(J363-SUM(AB363:AD363),2))</f>
        <v/>
      </c>
      <c r="AF363" s="15">
        <f>IF(COUNT(AE363)=0,"",IF(Z363=0,"n.a.",AE363/Z363))</f>
        <v/>
      </c>
      <c r="AG363" s="12" t="n"/>
      <c r="AH363" s="14">
        <f>IF(OR(A363="",COUNT(Z363)=0,COUNT(AG363)=0),"",ROUND(Z363-AG363,2))</f>
        <v/>
      </c>
      <c r="AI363" s="21" t="n"/>
      <c r="AJ363" s="11">
        <f>IF(A363="","",IF(COUNT(I363)=0,"Enter approved NTE",IF(COUNT(Z363)&gt;0,IF(Z363&gt;I363,"Invoice exceeds NTE","Invoice within NTE"),IF(COUNT(L363)=0,"Enter quote inputs",IF(L363&gt;I363,"Quote exceeds NTE","Quote within NTE")))))</f>
        <v/>
      </c>
      <c r="AK363" s="11">
        <f>IF(A363="","",IF(COUNT(H363)=0,"Enter direct cost",IF(COUNT(Z363)=0,"Enter invoice revenue",IF(COUNT(AB363:AD363)&lt;3,"Enter expenses (0 if none)","Complete"))))</f>
        <v/>
      </c>
      <c r="AL363" s="11">
        <f>IF(A363="","",IF(NOT(AND(COUNT(AH363)=1,N(AH363)&gt;0.004,V363&lt;&gt;"Void",V363&lt;&gt;"Not invoiced",V363&lt;&gt;"Draft")),"",IF(COUNT(X363)=0,"No due date",IF(TODAY()-X363&lt;=0,"Not yet due",IF(TODAY()-X363&lt;=30,"1-30 days",IF(TODAY()-X363&lt;=60,"31-60 days",IF(TODAY()-X363&lt;=90,"61-90 days","Over 90 days")))))))</f>
        <v/>
      </c>
      <c r="AM363" s="49">
        <f>IF(OR(AL363="",AL363="No due date"),"",MAX(TODAY()-X363,0))</f>
        <v/>
      </c>
      <c r="AN363" s="49">
        <f>IF(AL363="","",IF(COUNT(X363)=0,-100000,TODAY()-X363))</f>
        <v/>
      </c>
      <c r="AO363" s="49">
        <f>IF(AN363="","",COUNTIF(AN$11:AN$1010,"&gt;"&amp;AN363)+COUNTIF(AN$11:AN363,AN363))</f>
        <v/>
      </c>
      <c r="AP363" s="49">
        <f>IF(OR(A363="",B363=""),"",IF(COUNTIF(B$11:B363,B363)=1,MAX(AP$10:AP362)+1,""))</f>
        <v/>
      </c>
    </row>
    <row r="364" ht="24" customHeight="1">
      <c r="A364" s="20" t="n"/>
      <c r="B364" s="10" t="n"/>
      <c r="C364" s="10" t="n"/>
      <c r="D364" s="10" t="n"/>
      <c r="E364" s="10" t="n"/>
      <c r="F364" s="18" t="n"/>
      <c r="G364" s="10" t="n"/>
      <c r="H364" s="12" t="n"/>
      <c r="I364" s="12" t="n"/>
      <c r="J364" s="13">
        <f>IF(OR(A364="",COUNT(H364)=0,COUNT(Z364)=0),"",ROUND(Z364-H364,2))</f>
        <v/>
      </c>
      <c r="K364" s="15">
        <f>IF(COUNT(J364)=0,"",IF(Z364=0,"n.a.",J364/Z364))</f>
        <v/>
      </c>
      <c r="L364" s="14">
        <f>IF(OR(A364="",COUNT(H364)=0,COUNT(Y364)=0),"",ROUND(H364*(1+Y364),2))</f>
        <v/>
      </c>
      <c r="M364" s="10" t="n"/>
      <c r="N364" s="10" t="n"/>
      <c r="O364" s="10" t="n"/>
      <c r="P364" s="10" t="n"/>
      <c r="Q364" s="20" t="n"/>
      <c r="R364" s="10" t="n"/>
      <c r="S364" s="10" t="n"/>
      <c r="T364" s="18" t="n"/>
      <c r="U364" s="18" t="n"/>
      <c r="V364" s="10" t="n"/>
      <c r="W364" s="10" t="n"/>
      <c r="X364" s="19">
        <f>IF(OR(A364="",COUNT(U364)=0,COUNT(AI364)=0),"",U364+AI364)</f>
        <v/>
      </c>
      <c r="Y364" s="16" t="n"/>
      <c r="Z364" s="12" t="n"/>
      <c r="AA364" s="17">
        <f>IF(COUNT(J364)=0,"",IF(H364=0,"n.a.",J364/H364))</f>
        <v/>
      </c>
      <c r="AB364" s="12" t="n"/>
      <c r="AC364" s="12" t="n"/>
      <c r="AD364" s="12" t="n"/>
      <c r="AE364" s="13">
        <f>IF(OR(COUNT(J364)=0,COUNT(AB364:AD364)&lt;3),"",ROUND(J364-SUM(AB364:AD364),2))</f>
        <v/>
      </c>
      <c r="AF364" s="15">
        <f>IF(COUNT(AE364)=0,"",IF(Z364=0,"n.a.",AE364/Z364))</f>
        <v/>
      </c>
      <c r="AG364" s="12" t="n"/>
      <c r="AH364" s="14">
        <f>IF(OR(A364="",COUNT(Z364)=0,COUNT(AG364)=0),"",ROUND(Z364-AG364,2))</f>
        <v/>
      </c>
      <c r="AI364" s="21" t="n"/>
      <c r="AJ364" s="11">
        <f>IF(A364="","",IF(COUNT(I364)=0,"Enter approved NTE",IF(COUNT(Z364)&gt;0,IF(Z364&gt;I364,"Invoice exceeds NTE","Invoice within NTE"),IF(COUNT(L364)=0,"Enter quote inputs",IF(L364&gt;I364,"Quote exceeds NTE","Quote within NTE")))))</f>
        <v/>
      </c>
      <c r="AK364" s="11">
        <f>IF(A364="","",IF(COUNT(H364)=0,"Enter direct cost",IF(COUNT(Z364)=0,"Enter invoice revenue",IF(COUNT(AB364:AD364)&lt;3,"Enter expenses (0 if none)","Complete"))))</f>
        <v/>
      </c>
      <c r="AL364" s="11">
        <f>IF(A364="","",IF(NOT(AND(COUNT(AH364)=1,N(AH364)&gt;0.004,V364&lt;&gt;"Void",V364&lt;&gt;"Not invoiced",V364&lt;&gt;"Draft")),"",IF(COUNT(X364)=0,"No due date",IF(TODAY()-X364&lt;=0,"Not yet due",IF(TODAY()-X364&lt;=30,"1-30 days",IF(TODAY()-X364&lt;=60,"31-60 days",IF(TODAY()-X364&lt;=90,"61-90 days","Over 90 days")))))))</f>
        <v/>
      </c>
      <c r="AM364" s="49">
        <f>IF(OR(AL364="",AL364="No due date"),"",MAX(TODAY()-X364,0))</f>
        <v/>
      </c>
      <c r="AN364" s="49">
        <f>IF(AL364="","",IF(COUNT(X364)=0,-100000,TODAY()-X364))</f>
        <v/>
      </c>
      <c r="AO364" s="49">
        <f>IF(AN364="","",COUNTIF(AN$11:AN$1010,"&gt;"&amp;AN364)+COUNTIF(AN$11:AN364,AN364))</f>
        <v/>
      </c>
      <c r="AP364" s="49">
        <f>IF(OR(A364="",B364=""),"",IF(COUNTIF(B$11:B364,B364)=1,MAX(AP$10:AP363)+1,""))</f>
        <v/>
      </c>
    </row>
    <row r="365" ht="24" customHeight="1">
      <c r="A365" s="20" t="n"/>
      <c r="B365" s="10" t="n"/>
      <c r="C365" s="10" t="n"/>
      <c r="D365" s="10" t="n"/>
      <c r="E365" s="10" t="n"/>
      <c r="F365" s="18" t="n"/>
      <c r="G365" s="10" t="n"/>
      <c r="H365" s="12" t="n"/>
      <c r="I365" s="12" t="n"/>
      <c r="J365" s="13">
        <f>IF(OR(A365="",COUNT(H365)=0,COUNT(Z365)=0),"",ROUND(Z365-H365,2))</f>
        <v/>
      </c>
      <c r="K365" s="15">
        <f>IF(COUNT(J365)=0,"",IF(Z365=0,"n.a.",J365/Z365))</f>
        <v/>
      </c>
      <c r="L365" s="14">
        <f>IF(OR(A365="",COUNT(H365)=0,COUNT(Y365)=0),"",ROUND(H365*(1+Y365),2))</f>
        <v/>
      </c>
      <c r="M365" s="10" t="n"/>
      <c r="N365" s="10" t="n"/>
      <c r="O365" s="10" t="n"/>
      <c r="P365" s="10" t="n"/>
      <c r="Q365" s="20" t="n"/>
      <c r="R365" s="10" t="n"/>
      <c r="S365" s="10" t="n"/>
      <c r="T365" s="18" t="n"/>
      <c r="U365" s="18" t="n"/>
      <c r="V365" s="10" t="n"/>
      <c r="W365" s="10" t="n"/>
      <c r="X365" s="19">
        <f>IF(OR(A365="",COUNT(U365)=0,COUNT(AI365)=0),"",U365+AI365)</f>
        <v/>
      </c>
      <c r="Y365" s="16" t="n"/>
      <c r="Z365" s="12" t="n"/>
      <c r="AA365" s="17">
        <f>IF(COUNT(J365)=0,"",IF(H365=0,"n.a.",J365/H365))</f>
        <v/>
      </c>
      <c r="AB365" s="12" t="n"/>
      <c r="AC365" s="12" t="n"/>
      <c r="AD365" s="12" t="n"/>
      <c r="AE365" s="13">
        <f>IF(OR(COUNT(J365)=0,COUNT(AB365:AD365)&lt;3),"",ROUND(J365-SUM(AB365:AD365),2))</f>
        <v/>
      </c>
      <c r="AF365" s="15">
        <f>IF(COUNT(AE365)=0,"",IF(Z365=0,"n.a.",AE365/Z365))</f>
        <v/>
      </c>
      <c r="AG365" s="12" t="n"/>
      <c r="AH365" s="14">
        <f>IF(OR(A365="",COUNT(Z365)=0,COUNT(AG365)=0),"",ROUND(Z365-AG365,2))</f>
        <v/>
      </c>
      <c r="AI365" s="21" t="n"/>
      <c r="AJ365" s="11">
        <f>IF(A365="","",IF(COUNT(I365)=0,"Enter approved NTE",IF(COUNT(Z365)&gt;0,IF(Z365&gt;I365,"Invoice exceeds NTE","Invoice within NTE"),IF(COUNT(L365)=0,"Enter quote inputs",IF(L365&gt;I365,"Quote exceeds NTE","Quote within NTE")))))</f>
        <v/>
      </c>
      <c r="AK365" s="11">
        <f>IF(A365="","",IF(COUNT(H365)=0,"Enter direct cost",IF(COUNT(Z365)=0,"Enter invoice revenue",IF(COUNT(AB365:AD365)&lt;3,"Enter expenses (0 if none)","Complete"))))</f>
        <v/>
      </c>
      <c r="AL365" s="11">
        <f>IF(A365="","",IF(NOT(AND(COUNT(AH365)=1,N(AH365)&gt;0.004,V365&lt;&gt;"Void",V365&lt;&gt;"Not invoiced",V365&lt;&gt;"Draft")),"",IF(COUNT(X365)=0,"No due date",IF(TODAY()-X365&lt;=0,"Not yet due",IF(TODAY()-X365&lt;=30,"1-30 days",IF(TODAY()-X365&lt;=60,"31-60 days",IF(TODAY()-X365&lt;=90,"61-90 days","Over 90 days")))))))</f>
        <v/>
      </c>
      <c r="AM365" s="49">
        <f>IF(OR(AL365="",AL365="No due date"),"",MAX(TODAY()-X365,0))</f>
        <v/>
      </c>
      <c r="AN365" s="49">
        <f>IF(AL365="","",IF(COUNT(X365)=0,-100000,TODAY()-X365))</f>
        <v/>
      </c>
      <c r="AO365" s="49">
        <f>IF(AN365="","",COUNTIF(AN$11:AN$1010,"&gt;"&amp;AN365)+COUNTIF(AN$11:AN365,AN365))</f>
        <v/>
      </c>
      <c r="AP365" s="49">
        <f>IF(OR(A365="",B365=""),"",IF(COUNTIF(B$11:B365,B365)=1,MAX(AP$10:AP364)+1,""))</f>
        <v/>
      </c>
    </row>
    <row r="366" ht="24" customHeight="1">
      <c r="A366" s="20" t="n"/>
      <c r="B366" s="10" t="n"/>
      <c r="C366" s="10" t="n"/>
      <c r="D366" s="10" t="n"/>
      <c r="E366" s="10" t="n"/>
      <c r="F366" s="18" t="n"/>
      <c r="G366" s="10" t="n"/>
      <c r="H366" s="12" t="n"/>
      <c r="I366" s="12" t="n"/>
      <c r="J366" s="13">
        <f>IF(OR(A366="",COUNT(H366)=0,COUNT(Z366)=0),"",ROUND(Z366-H366,2))</f>
        <v/>
      </c>
      <c r="K366" s="15">
        <f>IF(COUNT(J366)=0,"",IF(Z366=0,"n.a.",J366/Z366))</f>
        <v/>
      </c>
      <c r="L366" s="14">
        <f>IF(OR(A366="",COUNT(H366)=0,COUNT(Y366)=0),"",ROUND(H366*(1+Y366),2))</f>
        <v/>
      </c>
      <c r="M366" s="10" t="n"/>
      <c r="N366" s="10" t="n"/>
      <c r="O366" s="10" t="n"/>
      <c r="P366" s="10" t="n"/>
      <c r="Q366" s="20" t="n"/>
      <c r="R366" s="10" t="n"/>
      <c r="S366" s="10" t="n"/>
      <c r="T366" s="18" t="n"/>
      <c r="U366" s="18" t="n"/>
      <c r="V366" s="10" t="n"/>
      <c r="W366" s="10" t="n"/>
      <c r="X366" s="19">
        <f>IF(OR(A366="",COUNT(U366)=0,COUNT(AI366)=0),"",U366+AI366)</f>
        <v/>
      </c>
      <c r="Y366" s="16" t="n"/>
      <c r="Z366" s="12" t="n"/>
      <c r="AA366" s="17">
        <f>IF(COUNT(J366)=0,"",IF(H366=0,"n.a.",J366/H366))</f>
        <v/>
      </c>
      <c r="AB366" s="12" t="n"/>
      <c r="AC366" s="12" t="n"/>
      <c r="AD366" s="12" t="n"/>
      <c r="AE366" s="13">
        <f>IF(OR(COUNT(J366)=0,COUNT(AB366:AD366)&lt;3),"",ROUND(J366-SUM(AB366:AD366),2))</f>
        <v/>
      </c>
      <c r="AF366" s="15">
        <f>IF(COUNT(AE366)=0,"",IF(Z366=0,"n.a.",AE366/Z366))</f>
        <v/>
      </c>
      <c r="AG366" s="12" t="n"/>
      <c r="AH366" s="14">
        <f>IF(OR(A366="",COUNT(Z366)=0,COUNT(AG366)=0),"",ROUND(Z366-AG366,2))</f>
        <v/>
      </c>
      <c r="AI366" s="21" t="n"/>
      <c r="AJ366" s="11">
        <f>IF(A366="","",IF(COUNT(I366)=0,"Enter approved NTE",IF(COUNT(Z366)&gt;0,IF(Z366&gt;I366,"Invoice exceeds NTE","Invoice within NTE"),IF(COUNT(L366)=0,"Enter quote inputs",IF(L366&gt;I366,"Quote exceeds NTE","Quote within NTE")))))</f>
        <v/>
      </c>
      <c r="AK366" s="11">
        <f>IF(A366="","",IF(COUNT(H366)=0,"Enter direct cost",IF(COUNT(Z366)=0,"Enter invoice revenue",IF(COUNT(AB366:AD366)&lt;3,"Enter expenses (0 if none)","Complete"))))</f>
        <v/>
      </c>
      <c r="AL366" s="11">
        <f>IF(A366="","",IF(NOT(AND(COUNT(AH366)=1,N(AH366)&gt;0.004,V366&lt;&gt;"Void",V366&lt;&gt;"Not invoiced",V366&lt;&gt;"Draft")),"",IF(COUNT(X366)=0,"No due date",IF(TODAY()-X366&lt;=0,"Not yet due",IF(TODAY()-X366&lt;=30,"1-30 days",IF(TODAY()-X366&lt;=60,"31-60 days",IF(TODAY()-X366&lt;=90,"61-90 days","Over 90 days")))))))</f>
        <v/>
      </c>
      <c r="AM366" s="49">
        <f>IF(OR(AL366="",AL366="No due date"),"",MAX(TODAY()-X366,0))</f>
        <v/>
      </c>
      <c r="AN366" s="49">
        <f>IF(AL366="","",IF(COUNT(X366)=0,-100000,TODAY()-X366))</f>
        <v/>
      </c>
      <c r="AO366" s="49">
        <f>IF(AN366="","",COUNTIF(AN$11:AN$1010,"&gt;"&amp;AN366)+COUNTIF(AN$11:AN366,AN366))</f>
        <v/>
      </c>
      <c r="AP366" s="49">
        <f>IF(OR(A366="",B366=""),"",IF(COUNTIF(B$11:B366,B366)=1,MAX(AP$10:AP365)+1,""))</f>
        <v/>
      </c>
    </row>
    <row r="367" ht="24" customHeight="1">
      <c r="A367" s="20" t="n"/>
      <c r="B367" s="10" t="n"/>
      <c r="C367" s="10" t="n"/>
      <c r="D367" s="10" t="n"/>
      <c r="E367" s="10" t="n"/>
      <c r="F367" s="18" t="n"/>
      <c r="G367" s="10" t="n"/>
      <c r="H367" s="12" t="n"/>
      <c r="I367" s="12" t="n"/>
      <c r="J367" s="13">
        <f>IF(OR(A367="",COUNT(H367)=0,COUNT(Z367)=0),"",ROUND(Z367-H367,2))</f>
        <v/>
      </c>
      <c r="K367" s="15">
        <f>IF(COUNT(J367)=0,"",IF(Z367=0,"n.a.",J367/Z367))</f>
        <v/>
      </c>
      <c r="L367" s="14">
        <f>IF(OR(A367="",COUNT(H367)=0,COUNT(Y367)=0),"",ROUND(H367*(1+Y367),2))</f>
        <v/>
      </c>
      <c r="M367" s="10" t="n"/>
      <c r="N367" s="10" t="n"/>
      <c r="O367" s="10" t="n"/>
      <c r="P367" s="10" t="n"/>
      <c r="Q367" s="20" t="n"/>
      <c r="R367" s="10" t="n"/>
      <c r="S367" s="10" t="n"/>
      <c r="T367" s="18" t="n"/>
      <c r="U367" s="18" t="n"/>
      <c r="V367" s="10" t="n"/>
      <c r="W367" s="10" t="n"/>
      <c r="X367" s="19">
        <f>IF(OR(A367="",COUNT(U367)=0,COUNT(AI367)=0),"",U367+AI367)</f>
        <v/>
      </c>
      <c r="Y367" s="16" t="n"/>
      <c r="Z367" s="12" t="n"/>
      <c r="AA367" s="17">
        <f>IF(COUNT(J367)=0,"",IF(H367=0,"n.a.",J367/H367))</f>
        <v/>
      </c>
      <c r="AB367" s="12" t="n"/>
      <c r="AC367" s="12" t="n"/>
      <c r="AD367" s="12" t="n"/>
      <c r="AE367" s="13">
        <f>IF(OR(COUNT(J367)=0,COUNT(AB367:AD367)&lt;3),"",ROUND(J367-SUM(AB367:AD367),2))</f>
        <v/>
      </c>
      <c r="AF367" s="15">
        <f>IF(COUNT(AE367)=0,"",IF(Z367=0,"n.a.",AE367/Z367))</f>
        <v/>
      </c>
      <c r="AG367" s="12" t="n"/>
      <c r="AH367" s="14">
        <f>IF(OR(A367="",COUNT(Z367)=0,COUNT(AG367)=0),"",ROUND(Z367-AG367,2))</f>
        <v/>
      </c>
      <c r="AI367" s="21" t="n"/>
      <c r="AJ367" s="11">
        <f>IF(A367="","",IF(COUNT(I367)=0,"Enter approved NTE",IF(COUNT(Z367)&gt;0,IF(Z367&gt;I367,"Invoice exceeds NTE","Invoice within NTE"),IF(COUNT(L367)=0,"Enter quote inputs",IF(L367&gt;I367,"Quote exceeds NTE","Quote within NTE")))))</f>
        <v/>
      </c>
      <c r="AK367" s="11">
        <f>IF(A367="","",IF(COUNT(H367)=0,"Enter direct cost",IF(COUNT(Z367)=0,"Enter invoice revenue",IF(COUNT(AB367:AD367)&lt;3,"Enter expenses (0 if none)","Complete"))))</f>
        <v/>
      </c>
      <c r="AL367" s="11">
        <f>IF(A367="","",IF(NOT(AND(COUNT(AH367)=1,N(AH367)&gt;0.004,V367&lt;&gt;"Void",V367&lt;&gt;"Not invoiced",V367&lt;&gt;"Draft")),"",IF(COUNT(X367)=0,"No due date",IF(TODAY()-X367&lt;=0,"Not yet due",IF(TODAY()-X367&lt;=30,"1-30 days",IF(TODAY()-X367&lt;=60,"31-60 days",IF(TODAY()-X367&lt;=90,"61-90 days","Over 90 days")))))))</f>
        <v/>
      </c>
      <c r="AM367" s="49">
        <f>IF(OR(AL367="",AL367="No due date"),"",MAX(TODAY()-X367,0))</f>
        <v/>
      </c>
      <c r="AN367" s="49">
        <f>IF(AL367="","",IF(COUNT(X367)=0,-100000,TODAY()-X367))</f>
        <v/>
      </c>
      <c r="AO367" s="49">
        <f>IF(AN367="","",COUNTIF(AN$11:AN$1010,"&gt;"&amp;AN367)+COUNTIF(AN$11:AN367,AN367))</f>
        <v/>
      </c>
      <c r="AP367" s="49">
        <f>IF(OR(A367="",B367=""),"",IF(COUNTIF(B$11:B367,B367)=1,MAX(AP$10:AP366)+1,""))</f>
        <v/>
      </c>
    </row>
    <row r="368" ht="24" customHeight="1">
      <c r="A368" s="20" t="n"/>
      <c r="B368" s="10" t="n"/>
      <c r="C368" s="10" t="n"/>
      <c r="D368" s="10" t="n"/>
      <c r="E368" s="10" t="n"/>
      <c r="F368" s="18" t="n"/>
      <c r="G368" s="10" t="n"/>
      <c r="H368" s="12" t="n"/>
      <c r="I368" s="12" t="n"/>
      <c r="J368" s="13">
        <f>IF(OR(A368="",COUNT(H368)=0,COUNT(Z368)=0),"",ROUND(Z368-H368,2))</f>
        <v/>
      </c>
      <c r="K368" s="15">
        <f>IF(COUNT(J368)=0,"",IF(Z368=0,"n.a.",J368/Z368))</f>
        <v/>
      </c>
      <c r="L368" s="14">
        <f>IF(OR(A368="",COUNT(H368)=0,COUNT(Y368)=0),"",ROUND(H368*(1+Y368),2))</f>
        <v/>
      </c>
      <c r="M368" s="10" t="n"/>
      <c r="N368" s="10" t="n"/>
      <c r="O368" s="10" t="n"/>
      <c r="P368" s="10" t="n"/>
      <c r="Q368" s="20" t="n"/>
      <c r="R368" s="10" t="n"/>
      <c r="S368" s="10" t="n"/>
      <c r="T368" s="18" t="n"/>
      <c r="U368" s="18" t="n"/>
      <c r="V368" s="10" t="n"/>
      <c r="W368" s="10" t="n"/>
      <c r="X368" s="19">
        <f>IF(OR(A368="",COUNT(U368)=0,COUNT(AI368)=0),"",U368+AI368)</f>
        <v/>
      </c>
      <c r="Y368" s="16" t="n"/>
      <c r="Z368" s="12" t="n"/>
      <c r="AA368" s="17">
        <f>IF(COUNT(J368)=0,"",IF(H368=0,"n.a.",J368/H368))</f>
        <v/>
      </c>
      <c r="AB368" s="12" t="n"/>
      <c r="AC368" s="12" t="n"/>
      <c r="AD368" s="12" t="n"/>
      <c r="AE368" s="13">
        <f>IF(OR(COUNT(J368)=0,COUNT(AB368:AD368)&lt;3),"",ROUND(J368-SUM(AB368:AD368),2))</f>
        <v/>
      </c>
      <c r="AF368" s="15">
        <f>IF(COUNT(AE368)=0,"",IF(Z368=0,"n.a.",AE368/Z368))</f>
        <v/>
      </c>
      <c r="AG368" s="12" t="n"/>
      <c r="AH368" s="14">
        <f>IF(OR(A368="",COUNT(Z368)=0,COUNT(AG368)=0),"",ROUND(Z368-AG368,2))</f>
        <v/>
      </c>
      <c r="AI368" s="21" t="n"/>
      <c r="AJ368" s="11">
        <f>IF(A368="","",IF(COUNT(I368)=0,"Enter approved NTE",IF(COUNT(Z368)&gt;0,IF(Z368&gt;I368,"Invoice exceeds NTE","Invoice within NTE"),IF(COUNT(L368)=0,"Enter quote inputs",IF(L368&gt;I368,"Quote exceeds NTE","Quote within NTE")))))</f>
        <v/>
      </c>
      <c r="AK368" s="11">
        <f>IF(A368="","",IF(COUNT(H368)=0,"Enter direct cost",IF(COUNT(Z368)=0,"Enter invoice revenue",IF(COUNT(AB368:AD368)&lt;3,"Enter expenses (0 if none)","Complete"))))</f>
        <v/>
      </c>
      <c r="AL368" s="11">
        <f>IF(A368="","",IF(NOT(AND(COUNT(AH368)=1,N(AH368)&gt;0.004,V368&lt;&gt;"Void",V368&lt;&gt;"Not invoiced",V368&lt;&gt;"Draft")),"",IF(COUNT(X368)=0,"No due date",IF(TODAY()-X368&lt;=0,"Not yet due",IF(TODAY()-X368&lt;=30,"1-30 days",IF(TODAY()-X368&lt;=60,"31-60 days",IF(TODAY()-X368&lt;=90,"61-90 days","Over 90 days")))))))</f>
        <v/>
      </c>
      <c r="AM368" s="49">
        <f>IF(OR(AL368="",AL368="No due date"),"",MAX(TODAY()-X368,0))</f>
        <v/>
      </c>
      <c r="AN368" s="49">
        <f>IF(AL368="","",IF(COUNT(X368)=0,-100000,TODAY()-X368))</f>
        <v/>
      </c>
      <c r="AO368" s="49">
        <f>IF(AN368="","",COUNTIF(AN$11:AN$1010,"&gt;"&amp;AN368)+COUNTIF(AN$11:AN368,AN368))</f>
        <v/>
      </c>
      <c r="AP368" s="49">
        <f>IF(OR(A368="",B368=""),"",IF(COUNTIF(B$11:B368,B368)=1,MAX(AP$10:AP367)+1,""))</f>
        <v/>
      </c>
    </row>
    <row r="369" ht="24" customHeight="1">
      <c r="A369" s="20" t="n"/>
      <c r="B369" s="10" t="n"/>
      <c r="C369" s="10" t="n"/>
      <c r="D369" s="10" t="n"/>
      <c r="E369" s="10" t="n"/>
      <c r="F369" s="18" t="n"/>
      <c r="G369" s="10" t="n"/>
      <c r="H369" s="12" t="n"/>
      <c r="I369" s="12" t="n"/>
      <c r="J369" s="13">
        <f>IF(OR(A369="",COUNT(H369)=0,COUNT(Z369)=0),"",ROUND(Z369-H369,2))</f>
        <v/>
      </c>
      <c r="K369" s="15">
        <f>IF(COUNT(J369)=0,"",IF(Z369=0,"n.a.",J369/Z369))</f>
        <v/>
      </c>
      <c r="L369" s="14">
        <f>IF(OR(A369="",COUNT(H369)=0,COUNT(Y369)=0),"",ROUND(H369*(1+Y369),2))</f>
        <v/>
      </c>
      <c r="M369" s="10" t="n"/>
      <c r="N369" s="10" t="n"/>
      <c r="O369" s="10" t="n"/>
      <c r="P369" s="10" t="n"/>
      <c r="Q369" s="20" t="n"/>
      <c r="R369" s="10" t="n"/>
      <c r="S369" s="10" t="n"/>
      <c r="T369" s="18" t="n"/>
      <c r="U369" s="18" t="n"/>
      <c r="V369" s="10" t="n"/>
      <c r="W369" s="10" t="n"/>
      <c r="X369" s="19">
        <f>IF(OR(A369="",COUNT(U369)=0,COUNT(AI369)=0),"",U369+AI369)</f>
        <v/>
      </c>
      <c r="Y369" s="16" t="n"/>
      <c r="Z369" s="12" t="n"/>
      <c r="AA369" s="17">
        <f>IF(COUNT(J369)=0,"",IF(H369=0,"n.a.",J369/H369))</f>
        <v/>
      </c>
      <c r="AB369" s="12" t="n"/>
      <c r="AC369" s="12" t="n"/>
      <c r="AD369" s="12" t="n"/>
      <c r="AE369" s="13">
        <f>IF(OR(COUNT(J369)=0,COUNT(AB369:AD369)&lt;3),"",ROUND(J369-SUM(AB369:AD369),2))</f>
        <v/>
      </c>
      <c r="AF369" s="15">
        <f>IF(COUNT(AE369)=0,"",IF(Z369=0,"n.a.",AE369/Z369))</f>
        <v/>
      </c>
      <c r="AG369" s="12" t="n"/>
      <c r="AH369" s="14">
        <f>IF(OR(A369="",COUNT(Z369)=0,COUNT(AG369)=0),"",ROUND(Z369-AG369,2))</f>
        <v/>
      </c>
      <c r="AI369" s="21" t="n"/>
      <c r="AJ369" s="11">
        <f>IF(A369="","",IF(COUNT(I369)=0,"Enter approved NTE",IF(COUNT(Z369)&gt;0,IF(Z369&gt;I369,"Invoice exceeds NTE","Invoice within NTE"),IF(COUNT(L369)=0,"Enter quote inputs",IF(L369&gt;I369,"Quote exceeds NTE","Quote within NTE")))))</f>
        <v/>
      </c>
      <c r="AK369" s="11">
        <f>IF(A369="","",IF(COUNT(H369)=0,"Enter direct cost",IF(COUNT(Z369)=0,"Enter invoice revenue",IF(COUNT(AB369:AD369)&lt;3,"Enter expenses (0 if none)","Complete"))))</f>
        <v/>
      </c>
      <c r="AL369" s="11">
        <f>IF(A369="","",IF(NOT(AND(COUNT(AH369)=1,N(AH369)&gt;0.004,V369&lt;&gt;"Void",V369&lt;&gt;"Not invoiced",V369&lt;&gt;"Draft")),"",IF(COUNT(X369)=0,"No due date",IF(TODAY()-X369&lt;=0,"Not yet due",IF(TODAY()-X369&lt;=30,"1-30 days",IF(TODAY()-X369&lt;=60,"31-60 days",IF(TODAY()-X369&lt;=90,"61-90 days","Over 90 days")))))))</f>
        <v/>
      </c>
      <c r="AM369" s="49">
        <f>IF(OR(AL369="",AL369="No due date"),"",MAX(TODAY()-X369,0))</f>
        <v/>
      </c>
      <c r="AN369" s="49">
        <f>IF(AL369="","",IF(COUNT(X369)=0,-100000,TODAY()-X369))</f>
        <v/>
      </c>
      <c r="AO369" s="49">
        <f>IF(AN369="","",COUNTIF(AN$11:AN$1010,"&gt;"&amp;AN369)+COUNTIF(AN$11:AN369,AN369))</f>
        <v/>
      </c>
      <c r="AP369" s="49">
        <f>IF(OR(A369="",B369=""),"",IF(COUNTIF(B$11:B369,B369)=1,MAX(AP$10:AP368)+1,""))</f>
        <v/>
      </c>
    </row>
    <row r="370" ht="24" customHeight="1">
      <c r="A370" s="20" t="n"/>
      <c r="B370" s="10" t="n"/>
      <c r="C370" s="10" t="n"/>
      <c r="D370" s="10" t="n"/>
      <c r="E370" s="10" t="n"/>
      <c r="F370" s="18" t="n"/>
      <c r="G370" s="10" t="n"/>
      <c r="H370" s="12" t="n"/>
      <c r="I370" s="12" t="n"/>
      <c r="J370" s="13">
        <f>IF(OR(A370="",COUNT(H370)=0,COUNT(Z370)=0),"",ROUND(Z370-H370,2))</f>
        <v/>
      </c>
      <c r="K370" s="15">
        <f>IF(COUNT(J370)=0,"",IF(Z370=0,"n.a.",J370/Z370))</f>
        <v/>
      </c>
      <c r="L370" s="14">
        <f>IF(OR(A370="",COUNT(H370)=0,COUNT(Y370)=0),"",ROUND(H370*(1+Y370),2))</f>
        <v/>
      </c>
      <c r="M370" s="10" t="n"/>
      <c r="N370" s="10" t="n"/>
      <c r="O370" s="10" t="n"/>
      <c r="P370" s="10" t="n"/>
      <c r="Q370" s="20" t="n"/>
      <c r="R370" s="10" t="n"/>
      <c r="S370" s="10" t="n"/>
      <c r="T370" s="18" t="n"/>
      <c r="U370" s="18" t="n"/>
      <c r="V370" s="10" t="n"/>
      <c r="W370" s="10" t="n"/>
      <c r="X370" s="19">
        <f>IF(OR(A370="",COUNT(U370)=0,COUNT(AI370)=0),"",U370+AI370)</f>
        <v/>
      </c>
      <c r="Y370" s="16" t="n"/>
      <c r="Z370" s="12" t="n"/>
      <c r="AA370" s="17">
        <f>IF(COUNT(J370)=0,"",IF(H370=0,"n.a.",J370/H370))</f>
        <v/>
      </c>
      <c r="AB370" s="12" t="n"/>
      <c r="AC370" s="12" t="n"/>
      <c r="AD370" s="12" t="n"/>
      <c r="AE370" s="13">
        <f>IF(OR(COUNT(J370)=0,COUNT(AB370:AD370)&lt;3),"",ROUND(J370-SUM(AB370:AD370),2))</f>
        <v/>
      </c>
      <c r="AF370" s="15">
        <f>IF(COUNT(AE370)=0,"",IF(Z370=0,"n.a.",AE370/Z370))</f>
        <v/>
      </c>
      <c r="AG370" s="12" t="n"/>
      <c r="AH370" s="14">
        <f>IF(OR(A370="",COUNT(Z370)=0,COUNT(AG370)=0),"",ROUND(Z370-AG370,2))</f>
        <v/>
      </c>
      <c r="AI370" s="21" t="n"/>
      <c r="AJ370" s="11">
        <f>IF(A370="","",IF(COUNT(I370)=0,"Enter approved NTE",IF(COUNT(Z370)&gt;0,IF(Z370&gt;I370,"Invoice exceeds NTE","Invoice within NTE"),IF(COUNT(L370)=0,"Enter quote inputs",IF(L370&gt;I370,"Quote exceeds NTE","Quote within NTE")))))</f>
        <v/>
      </c>
      <c r="AK370" s="11">
        <f>IF(A370="","",IF(COUNT(H370)=0,"Enter direct cost",IF(COUNT(Z370)=0,"Enter invoice revenue",IF(COUNT(AB370:AD370)&lt;3,"Enter expenses (0 if none)","Complete"))))</f>
        <v/>
      </c>
      <c r="AL370" s="11">
        <f>IF(A370="","",IF(NOT(AND(COUNT(AH370)=1,N(AH370)&gt;0.004,V370&lt;&gt;"Void",V370&lt;&gt;"Not invoiced",V370&lt;&gt;"Draft")),"",IF(COUNT(X370)=0,"No due date",IF(TODAY()-X370&lt;=0,"Not yet due",IF(TODAY()-X370&lt;=30,"1-30 days",IF(TODAY()-X370&lt;=60,"31-60 days",IF(TODAY()-X370&lt;=90,"61-90 days","Over 90 days")))))))</f>
        <v/>
      </c>
      <c r="AM370" s="49">
        <f>IF(OR(AL370="",AL370="No due date"),"",MAX(TODAY()-X370,0))</f>
        <v/>
      </c>
      <c r="AN370" s="49">
        <f>IF(AL370="","",IF(COUNT(X370)=0,-100000,TODAY()-X370))</f>
        <v/>
      </c>
      <c r="AO370" s="49">
        <f>IF(AN370="","",COUNTIF(AN$11:AN$1010,"&gt;"&amp;AN370)+COUNTIF(AN$11:AN370,AN370))</f>
        <v/>
      </c>
      <c r="AP370" s="49">
        <f>IF(OR(A370="",B370=""),"",IF(COUNTIF(B$11:B370,B370)=1,MAX(AP$10:AP369)+1,""))</f>
        <v/>
      </c>
    </row>
    <row r="371" ht="24" customHeight="1">
      <c r="A371" s="20" t="n"/>
      <c r="B371" s="10" t="n"/>
      <c r="C371" s="10" t="n"/>
      <c r="D371" s="10" t="n"/>
      <c r="E371" s="10" t="n"/>
      <c r="F371" s="18" t="n"/>
      <c r="G371" s="10" t="n"/>
      <c r="H371" s="12" t="n"/>
      <c r="I371" s="12" t="n"/>
      <c r="J371" s="13">
        <f>IF(OR(A371="",COUNT(H371)=0,COUNT(Z371)=0),"",ROUND(Z371-H371,2))</f>
        <v/>
      </c>
      <c r="K371" s="15">
        <f>IF(COUNT(J371)=0,"",IF(Z371=0,"n.a.",J371/Z371))</f>
        <v/>
      </c>
      <c r="L371" s="14">
        <f>IF(OR(A371="",COUNT(H371)=0,COUNT(Y371)=0),"",ROUND(H371*(1+Y371),2))</f>
        <v/>
      </c>
      <c r="M371" s="10" t="n"/>
      <c r="N371" s="10" t="n"/>
      <c r="O371" s="10" t="n"/>
      <c r="P371" s="10" t="n"/>
      <c r="Q371" s="20" t="n"/>
      <c r="R371" s="10" t="n"/>
      <c r="S371" s="10" t="n"/>
      <c r="T371" s="18" t="n"/>
      <c r="U371" s="18" t="n"/>
      <c r="V371" s="10" t="n"/>
      <c r="W371" s="10" t="n"/>
      <c r="X371" s="19">
        <f>IF(OR(A371="",COUNT(U371)=0,COUNT(AI371)=0),"",U371+AI371)</f>
        <v/>
      </c>
      <c r="Y371" s="16" t="n"/>
      <c r="Z371" s="12" t="n"/>
      <c r="AA371" s="17">
        <f>IF(COUNT(J371)=0,"",IF(H371=0,"n.a.",J371/H371))</f>
        <v/>
      </c>
      <c r="AB371" s="12" t="n"/>
      <c r="AC371" s="12" t="n"/>
      <c r="AD371" s="12" t="n"/>
      <c r="AE371" s="13">
        <f>IF(OR(COUNT(J371)=0,COUNT(AB371:AD371)&lt;3),"",ROUND(J371-SUM(AB371:AD371),2))</f>
        <v/>
      </c>
      <c r="AF371" s="15">
        <f>IF(COUNT(AE371)=0,"",IF(Z371=0,"n.a.",AE371/Z371))</f>
        <v/>
      </c>
      <c r="AG371" s="12" t="n"/>
      <c r="AH371" s="14">
        <f>IF(OR(A371="",COUNT(Z371)=0,COUNT(AG371)=0),"",ROUND(Z371-AG371,2))</f>
        <v/>
      </c>
      <c r="AI371" s="21" t="n"/>
      <c r="AJ371" s="11">
        <f>IF(A371="","",IF(COUNT(I371)=0,"Enter approved NTE",IF(COUNT(Z371)&gt;0,IF(Z371&gt;I371,"Invoice exceeds NTE","Invoice within NTE"),IF(COUNT(L371)=0,"Enter quote inputs",IF(L371&gt;I371,"Quote exceeds NTE","Quote within NTE")))))</f>
        <v/>
      </c>
      <c r="AK371" s="11">
        <f>IF(A371="","",IF(COUNT(H371)=0,"Enter direct cost",IF(COUNT(Z371)=0,"Enter invoice revenue",IF(COUNT(AB371:AD371)&lt;3,"Enter expenses (0 if none)","Complete"))))</f>
        <v/>
      </c>
      <c r="AL371" s="11">
        <f>IF(A371="","",IF(NOT(AND(COUNT(AH371)=1,N(AH371)&gt;0.004,V371&lt;&gt;"Void",V371&lt;&gt;"Not invoiced",V371&lt;&gt;"Draft")),"",IF(COUNT(X371)=0,"No due date",IF(TODAY()-X371&lt;=0,"Not yet due",IF(TODAY()-X371&lt;=30,"1-30 days",IF(TODAY()-X371&lt;=60,"31-60 days",IF(TODAY()-X371&lt;=90,"61-90 days","Over 90 days")))))))</f>
        <v/>
      </c>
      <c r="AM371" s="49">
        <f>IF(OR(AL371="",AL371="No due date"),"",MAX(TODAY()-X371,0))</f>
        <v/>
      </c>
      <c r="AN371" s="49">
        <f>IF(AL371="","",IF(COUNT(X371)=0,-100000,TODAY()-X371))</f>
        <v/>
      </c>
      <c r="AO371" s="49">
        <f>IF(AN371="","",COUNTIF(AN$11:AN$1010,"&gt;"&amp;AN371)+COUNTIF(AN$11:AN371,AN371))</f>
        <v/>
      </c>
      <c r="AP371" s="49">
        <f>IF(OR(A371="",B371=""),"",IF(COUNTIF(B$11:B371,B371)=1,MAX(AP$10:AP370)+1,""))</f>
        <v/>
      </c>
    </row>
    <row r="372" ht="24" customHeight="1">
      <c r="A372" s="20" t="n"/>
      <c r="B372" s="10" t="n"/>
      <c r="C372" s="10" t="n"/>
      <c r="D372" s="10" t="n"/>
      <c r="E372" s="10" t="n"/>
      <c r="F372" s="18" t="n"/>
      <c r="G372" s="10" t="n"/>
      <c r="H372" s="12" t="n"/>
      <c r="I372" s="12" t="n"/>
      <c r="J372" s="13">
        <f>IF(OR(A372="",COUNT(H372)=0,COUNT(Z372)=0),"",ROUND(Z372-H372,2))</f>
        <v/>
      </c>
      <c r="K372" s="15">
        <f>IF(COUNT(J372)=0,"",IF(Z372=0,"n.a.",J372/Z372))</f>
        <v/>
      </c>
      <c r="L372" s="14">
        <f>IF(OR(A372="",COUNT(H372)=0,COUNT(Y372)=0),"",ROUND(H372*(1+Y372),2))</f>
        <v/>
      </c>
      <c r="M372" s="10" t="n"/>
      <c r="N372" s="10" t="n"/>
      <c r="O372" s="10" t="n"/>
      <c r="P372" s="10" t="n"/>
      <c r="Q372" s="20" t="n"/>
      <c r="R372" s="10" t="n"/>
      <c r="S372" s="10" t="n"/>
      <c r="T372" s="18" t="n"/>
      <c r="U372" s="18" t="n"/>
      <c r="V372" s="10" t="n"/>
      <c r="W372" s="10" t="n"/>
      <c r="X372" s="19">
        <f>IF(OR(A372="",COUNT(U372)=0,COUNT(AI372)=0),"",U372+AI372)</f>
        <v/>
      </c>
      <c r="Y372" s="16" t="n"/>
      <c r="Z372" s="12" t="n"/>
      <c r="AA372" s="17">
        <f>IF(COUNT(J372)=0,"",IF(H372=0,"n.a.",J372/H372))</f>
        <v/>
      </c>
      <c r="AB372" s="12" t="n"/>
      <c r="AC372" s="12" t="n"/>
      <c r="AD372" s="12" t="n"/>
      <c r="AE372" s="13">
        <f>IF(OR(COUNT(J372)=0,COUNT(AB372:AD372)&lt;3),"",ROUND(J372-SUM(AB372:AD372),2))</f>
        <v/>
      </c>
      <c r="AF372" s="15">
        <f>IF(COUNT(AE372)=0,"",IF(Z372=0,"n.a.",AE372/Z372))</f>
        <v/>
      </c>
      <c r="AG372" s="12" t="n"/>
      <c r="AH372" s="14">
        <f>IF(OR(A372="",COUNT(Z372)=0,COUNT(AG372)=0),"",ROUND(Z372-AG372,2))</f>
        <v/>
      </c>
      <c r="AI372" s="21" t="n"/>
      <c r="AJ372" s="11">
        <f>IF(A372="","",IF(COUNT(I372)=0,"Enter approved NTE",IF(COUNT(Z372)&gt;0,IF(Z372&gt;I372,"Invoice exceeds NTE","Invoice within NTE"),IF(COUNT(L372)=0,"Enter quote inputs",IF(L372&gt;I372,"Quote exceeds NTE","Quote within NTE")))))</f>
        <v/>
      </c>
      <c r="AK372" s="11">
        <f>IF(A372="","",IF(COUNT(H372)=0,"Enter direct cost",IF(COUNT(Z372)=0,"Enter invoice revenue",IF(COUNT(AB372:AD372)&lt;3,"Enter expenses (0 if none)","Complete"))))</f>
        <v/>
      </c>
      <c r="AL372" s="11">
        <f>IF(A372="","",IF(NOT(AND(COUNT(AH372)=1,N(AH372)&gt;0.004,V372&lt;&gt;"Void",V372&lt;&gt;"Not invoiced",V372&lt;&gt;"Draft")),"",IF(COUNT(X372)=0,"No due date",IF(TODAY()-X372&lt;=0,"Not yet due",IF(TODAY()-X372&lt;=30,"1-30 days",IF(TODAY()-X372&lt;=60,"31-60 days",IF(TODAY()-X372&lt;=90,"61-90 days","Over 90 days")))))))</f>
        <v/>
      </c>
      <c r="AM372" s="49">
        <f>IF(OR(AL372="",AL372="No due date"),"",MAX(TODAY()-X372,0))</f>
        <v/>
      </c>
      <c r="AN372" s="49">
        <f>IF(AL372="","",IF(COUNT(X372)=0,-100000,TODAY()-X372))</f>
        <v/>
      </c>
      <c r="AO372" s="49">
        <f>IF(AN372="","",COUNTIF(AN$11:AN$1010,"&gt;"&amp;AN372)+COUNTIF(AN$11:AN372,AN372))</f>
        <v/>
      </c>
      <c r="AP372" s="49">
        <f>IF(OR(A372="",B372=""),"",IF(COUNTIF(B$11:B372,B372)=1,MAX(AP$10:AP371)+1,""))</f>
        <v/>
      </c>
    </row>
    <row r="373" ht="24" customHeight="1">
      <c r="A373" s="20" t="n"/>
      <c r="B373" s="10" t="n"/>
      <c r="C373" s="10" t="n"/>
      <c r="D373" s="10" t="n"/>
      <c r="E373" s="10" t="n"/>
      <c r="F373" s="18" t="n"/>
      <c r="G373" s="10" t="n"/>
      <c r="H373" s="12" t="n"/>
      <c r="I373" s="12" t="n"/>
      <c r="J373" s="13">
        <f>IF(OR(A373="",COUNT(H373)=0,COUNT(Z373)=0),"",ROUND(Z373-H373,2))</f>
        <v/>
      </c>
      <c r="K373" s="15">
        <f>IF(COUNT(J373)=0,"",IF(Z373=0,"n.a.",J373/Z373))</f>
        <v/>
      </c>
      <c r="L373" s="14">
        <f>IF(OR(A373="",COUNT(H373)=0,COUNT(Y373)=0),"",ROUND(H373*(1+Y373),2))</f>
        <v/>
      </c>
      <c r="M373" s="10" t="n"/>
      <c r="N373" s="10" t="n"/>
      <c r="O373" s="10" t="n"/>
      <c r="P373" s="10" t="n"/>
      <c r="Q373" s="20" t="n"/>
      <c r="R373" s="10" t="n"/>
      <c r="S373" s="10" t="n"/>
      <c r="T373" s="18" t="n"/>
      <c r="U373" s="18" t="n"/>
      <c r="V373" s="10" t="n"/>
      <c r="W373" s="10" t="n"/>
      <c r="X373" s="19">
        <f>IF(OR(A373="",COUNT(U373)=0,COUNT(AI373)=0),"",U373+AI373)</f>
        <v/>
      </c>
      <c r="Y373" s="16" t="n"/>
      <c r="Z373" s="12" t="n"/>
      <c r="AA373" s="17">
        <f>IF(COUNT(J373)=0,"",IF(H373=0,"n.a.",J373/H373))</f>
        <v/>
      </c>
      <c r="AB373" s="12" t="n"/>
      <c r="AC373" s="12" t="n"/>
      <c r="AD373" s="12" t="n"/>
      <c r="AE373" s="13">
        <f>IF(OR(COUNT(J373)=0,COUNT(AB373:AD373)&lt;3),"",ROUND(J373-SUM(AB373:AD373),2))</f>
        <v/>
      </c>
      <c r="AF373" s="15">
        <f>IF(COUNT(AE373)=0,"",IF(Z373=0,"n.a.",AE373/Z373))</f>
        <v/>
      </c>
      <c r="AG373" s="12" t="n"/>
      <c r="AH373" s="14">
        <f>IF(OR(A373="",COUNT(Z373)=0,COUNT(AG373)=0),"",ROUND(Z373-AG373,2))</f>
        <v/>
      </c>
      <c r="AI373" s="21" t="n"/>
      <c r="AJ373" s="11">
        <f>IF(A373="","",IF(COUNT(I373)=0,"Enter approved NTE",IF(COUNT(Z373)&gt;0,IF(Z373&gt;I373,"Invoice exceeds NTE","Invoice within NTE"),IF(COUNT(L373)=0,"Enter quote inputs",IF(L373&gt;I373,"Quote exceeds NTE","Quote within NTE")))))</f>
        <v/>
      </c>
      <c r="AK373" s="11">
        <f>IF(A373="","",IF(COUNT(H373)=0,"Enter direct cost",IF(COUNT(Z373)=0,"Enter invoice revenue",IF(COUNT(AB373:AD373)&lt;3,"Enter expenses (0 if none)","Complete"))))</f>
        <v/>
      </c>
      <c r="AL373" s="11">
        <f>IF(A373="","",IF(NOT(AND(COUNT(AH373)=1,N(AH373)&gt;0.004,V373&lt;&gt;"Void",V373&lt;&gt;"Not invoiced",V373&lt;&gt;"Draft")),"",IF(COUNT(X373)=0,"No due date",IF(TODAY()-X373&lt;=0,"Not yet due",IF(TODAY()-X373&lt;=30,"1-30 days",IF(TODAY()-X373&lt;=60,"31-60 days",IF(TODAY()-X373&lt;=90,"61-90 days","Over 90 days")))))))</f>
        <v/>
      </c>
      <c r="AM373" s="49">
        <f>IF(OR(AL373="",AL373="No due date"),"",MAX(TODAY()-X373,0))</f>
        <v/>
      </c>
      <c r="AN373" s="49">
        <f>IF(AL373="","",IF(COUNT(X373)=0,-100000,TODAY()-X373))</f>
        <v/>
      </c>
      <c r="AO373" s="49">
        <f>IF(AN373="","",COUNTIF(AN$11:AN$1010,"&gt;"&amp;AN373)+COUNTIF(AN$11:AN373,AN373))</f>
        <v/>
      </c>
      <c r="AP373" s="49">
        <f>IF(OR(A373="",B373=""),"",IF(COUNTIF(B$11:B373,B373)=1,MAX(AP$10:AP372)+1,""))</f>
        <v/>
      </c>
    </row>
    <row r="374" ht="24" customHeight="1">
      <c r="A374" s="20" t="n"/>
      <c r="B374" s="10" t="n"/>
      <c r="C374" s="10" t="n"/>
      <c r="D374" s="10" t="n"/>
      <c r="E374" s="10" t="n"/>
      <c r="F374" s="18" t="n"/>
      <c r="G374" s="10" t="n"/>
      <c r="H374" s="12" t="n"/>
      <c r="I374" s="12" t="n"/>
      <c r="J374" s="13">
        <f>IF(OR(A374="",COUNT(H374)=0,COUNT(Z374)=0),"",ROUND(Z374-H374,2))</f>
        <v/>
      </c>
      <c r="K374" s="15">
        <f>IF(COUNT(J374)=0,"",IF(Z374=0,"n.a.",J374/Z374))</f>
        <v/>
      </c>
      <c r="L374" s="14">
        <f>IF(OR(A374="",COUNT(H374)=0,COUNT(Y374)=0),"",ROUND(H374*(1+Y374),2))</f>
        <v/>
      </c>
      <c r="M374" s="10" t="n"/>
      <c r="N374" s="10" t="n"/>
      <c r="O374" s="10" t="n"/>
      <c r="P374" s="10" t="n"/>
      <c r="Q374" s="20" t="n"/>
      <c r="R374" s="10" t="n"/>
      <c r="S374" s="10" t="n"/>
      <c r="T374" s="18" t="n"/>
      <c r="U374" s="18" t="n"/>
      <c r="V374" s="10" t="n"/>
      <c r="W374" s="10" t="n"/>
      <c r="X374" s="19">
        <f>IF(OR(A374="",COUNT(U374)=0,COUNT(AI374)=0),"",U374+AI374)</f>
        <v/>
      </c>
      <c r="Y374" s="16" t="n"/>
      <c r="Z374" s="12" t="n"/>
      <c r="AA374" s="17">
        <f>IF(COUNT(J374)=0,"",IF(H374=0,"n.a.",J374/H374))</f>
        <v/>
      </c>
      <c r="AB374" s="12" t="n"/>
      <c r="AC374" s="12" t="n"/>
      <c r="AD374" s="12" t="n"/>
      <c r="AE374" s="13">
        <f>IF(OR(COUNT(J374)=0,COUNT(AB374:AD374)&lt;3),"",ROUND(J374-SUM(AB374:AD374),2))</f>
        <v/>
      </c>
      <c r="AF374" s="15">
        <f>IF(COUNT(AE374)=0,"",IF(Z374=0,"n.a.",AE374/Z374))</f>
        <v/>
      </c>
      <c r="AG374" s="12" t="n"/>
      <c r="AH374" s="14">
        <f>IF(OR(A374="",COUNT(Z374)=0,COUNT(AG374)=0),"",ROUND(Z374-AG374,2))</f>
        <v/>
      </c>
      <c r="AI374" s="21" t="n"/>
      <c r="AJ374" s="11">
        <f>IF(A374="","",IF(COUNT(I374)=0,"Enter approved NTE",IF(COUNT(Z374)&gt;0,IF(Z374&gt;I374,"Invoice exceeds NTE","Invoice within NTE"),IF(COUNT(L374)=0,"Enter quote inputs",IF(L374&gt;I374,"Quote exceeds NTE","Quote within NTE")))))</f>
        <v/>
      </c>
      <c r="AK374" s="11">
        <f>IF(A374="","",IF(COUNT(H374)=0,"Enter direct cost",IF(COUNT(Z374)=0,"Enter invoice revenue",IF(COUNT(AB374:AD374)&lt;3,"Enter expenses (0 if none)","Complete"))))</f>
        <v/>
      </c>
      <c r="AL374" s="11">
        <f>IF(A374="","",IF(NOT(AND(COUNT(AH374)=1,N(AH374)&gt;0.004,V374&lt;&gt;"Void",V374&lt;&gt;"Not invoiced",V374&lt;&gt;"Draft")),"",IF(COUNT(X374)=0,"No due date",IF(TODAY()-X374&lt;=0,"Not yet due",IF(TODAY()-X374&lt;=30,"1-30 days",IF(TODAY()-X374&lt;=60,"31-60 days",IF(TODAY()-X374&lt;=90,"61-90 days","Over 90 days")))))))</f>
        <v/>
      </c>
      <c r="AM374" s="49">
        <f>IF(OR(AL374="",AL374="No due date"),"",MAX(TODAY()-X374,0))</f>
        <v/>
      </c>
      <c r="AN374" s="49">
        <f>IF(AL374="","",IF(COUNT(X374)=0,-100000,TODAY()-X374))</f>
        <v/>
      </c>
      <c r="AO374" s="49">
        <f>IF(AN374="","",COUNTIF(AN$11:AN$1010,"&gt;"&amp;AN374)+COUNTIF(AN$11:AN374,AN374))</f>
        <v/>
      </c>
      <c r="AP374" s="49">
        <f>IF(OR(A374="",B374=""),"",IF(COUNTIF(B$11:B374,B374)=1,MAX(AP$10:AP373)+1,""))</f>
        <v/>
      </c>
    </row>
    <row r="375" ht="24" customHeight="1">
      <c r="A375" s="20" t="n"/>
      <c r="B375" s="10" t="n"/>
      <c r="C375" s="10" t="n"/>
      <c r="D375" s="10" t="n"/>
      <c r="E375" s="10" t="n"/>
      <c r="F375" s="18" t="n"/>
      <c r="G375" s="10" t="n"/>
      <c r="H375" s="12" t="n"/>
      <c r="I375" s="12" t="n"/>
      <c r="J375" s="13">
        <f>IF(OR(A375="",COUNT(H375)=0,COUNT(Z375)=0),"",ROUND(Z375-H375,2))</f>
        <v/>
      </c>
      <c r="K375" s="15">
        <f>IF(COUNT(J375)=0,"",IF(Z375=0,"n.a.",J375/Z375))</f>
        <v/>
      </c>
      <c r="L375" s="14">
        <f>IF(OR(A375="",COUNT(H375)=0,COUNT(Y375)=0),"",ROUND(H375*(1+Y375),2))</f>
        <v/>
      </c>
      <c r="M375" s="10" t="n"/>
      <c r="N375" s="10" t="n"/>
      <c r="O375" s="10" t="n"/>
      <c r="P375" s="10" t="n"/>
      <c r="Q375" s="20" t="n"/>
      <c r="R375" s="10" t="n"/>
      <c r="S375" s="10" t="n"/>
      <c r="T375" s="18" t="n"/>
      <c r="U375" s="18" t="n"/>
      <c r="V375" s="10" t="n"/>
      <c r="W375" s="10" t="n"/>
      <c r="X375" s="19">
        <f>IF(OR(A375="",COUNT(U375)=0,COUNT(AI375)=0),"",U375+AI375)</f>
        <v/>
      </c>
      <c r="Y375" s="16" t="n"/>
      <c r="Z375" s="12" t="n"/>
      <c r="AA375" s="17">
        <f>IF(COUNT(J375)=0,"",IF(H375=0,"n.a.",J375/H375))</f>
        <v/>
      </c>
      <c r="AB375" s="12" t="n"/>
      <c r="AC375" s="12" t="n"/>
      <c r="AD375" s="12" t="n"/>
      <c r="AE375" s="13">
        <f>IF(OR(COUNT(J375)=0,COUNT(AB375:AD375)&lt;3),"",ROUND(J375-SUM(AB375:AD375),2))</f>
        <v/>
      </c>
      <c r="AF375" s="15">
        <f>IF(COUNT(AE375)=0,"",IF(Z375=0,"n.a.",AE375/Z375))</f>
        <v/>
      </c>
      <c r="AG375" s="12" t="n"/>
      <c r="AH375" s="14">
        <f>IF(OR(A375="",COUNT(Z375)=0,COUNT(AG375)=0),"",ROUND(Z375-AG375,2))</f>
        <v/>
      </c>
      <c r="AI375" s="21" t="n"/>
      <c r="AJ375" s="11">
        <f>IF(A375="","",IF(COUNT(I375)=0,"Enter approved NTE",IF(COUNT(Z375)&gt;0,IF(Z375&gt;I375,"Invoice exceeds NTE","Invoice within NTE"),IF(COUNT(L375)=0,"Enter quote inputs",IF(L375&gt;I375,"Quote exceeds NTE","Quote within NTE")))))</f>
        <v/>
      </c>
      <c r="AK375" s="11">
        <f>IF(A375="","",IF(COUNT(H375)=0,"Enter direct cost",IF(COUNT(Z375)=0,"Enter invoice revenue",IF(COUNT(AB375:AD375)&lt;3,"Enter expenses (0 if none)","Complete"))))</f>
        <v/>
      </c>
      <c r="AL375" s="11">
        <f>IF(A375="","",IF(NOT(AND(COUNT(AH375)=1,N(AH375)&gt;0.004,V375&lt;&gt;"Void",V375&lt;&gt;"Not invoiced",V375&lt;&gt;"Draft")),"",IF(COUNT(X375)=0,"No due date",IF(TODAY()-X375&lt;=0,"Not yet due",IF(TODAY()-X375&lt;=30,"1-30 days",IF(TODAY()-X375&lt;=60,"31-60 days",IF(TODAY()-X375&lt;=90,"61-90 days","Over 90 days")))))))</f>
        <v/>
      </c>
      <c r="AM375" s="49">
        <f>IF(OR(AL375="",AL375="No due date"),"",MAX(TODAY()-X375,0))</f>
        <v/>
      </c>
      <c r="AN375" s="49">
        <f>IF(AL375="","",IF(COUNT(X375)=0,-100000,TODAY()-X375))</f>
        <v/>
      </c>
      <c r="AO375" s="49">
        <f>IF(AN375="","",COUNTIF(AN$11:AN$1010,"&gt;"&amp;AN375)+COUNTIF(AN$11:AN375,AN375))</f>
        <v/>
      </c>
      <c r="AP375" s="49">
        <f>IF(OR(A375="",B375=""),"",IF(COUNTIF(B$11:B375,B375)=1,MAX(AP$10:AP374)+1,""))</f>
        <v/>
      </c>
    </row>
    <row r="376" ht="24" customHeight="1">
      <c r="A376" s="20" t="n"/>
      <c r="B376" s="10" t="n"/>
      <c r="C376" s="10" t="n"/>
      <c r="D376" s="10" t="n"/>
      <c r="E376" s="10" t="n"/>
      <c r="F376" s="18" t="n"/>
      <c r="G376" s="10" t="n"/>
      <c r="H376" s="12" t="n"/>
      <c r="I376" s="12" t="n"/>
      <c r="J376" s="13">
        <f>IF(OR(A376="",COUNT(H376)=0,COUNT(Z376)=0),"",ROUND(Z376-H376,2))</f>
        <v/>
      </c>
      <c r="K376" s="15">
        <f>IF(COUNT(J376)=0,"",IF(Z376=0,"n.a.",J376/Z376))</f>
        <v/>
      </c>
      <c r="L376" s="14">
        <f>IF(OR(A376="",COUNT(H376)=0,COUNT(Y376)=0),"",ROUND(H376*(1+Y376),2))</f>
        <v/>
      </c>
      <c r="M376" s="10" t="n"/>
      <c r="N376" s="10" t="n"/>
      <c r="O376" s="10" t="n"/>
      <c r="P376" s="10" t="n"/>
      <c r="Q376" s="20" t="n"/>
      <c r="R376" s="10" t="n"/>
      <c r="S376" s="10" t="n"/>
      <c r="T376" s="18" t="n"/>
      <c r="U376" s="18" t="n"/>
      <c r="V376" s="10" t="n"/>
      <c r="W376" s="10" t="n"/>
      <c r="X376" s="19">
        <f>IF(OR(A376="",COUNT(U376)=0,COUNT(AI376)=0),"",U376+AI376)</f>
        <v/>
      </c>
      <c r="Y376" s="16" t="n"/>
      <c r="Z376" s="12" t="n"/>
      <c r="AA376" s="17">
        <f>IF(COUNT(J376)=0,"",IF(H376=0,"n.a.",J376/H376))</f>
        <v/>
      </c>
      <c r="AB376" s="12" t="n"/>
      <c r="AC376" s="12" t="n"/>
      <c r="AD376" s="12" t="n"/>
      <c r="AE376" s="13">
        <f>IF(OR(COUNT(J376)=0,COUNT(AB376:AD376)&lt;3),"",ROUND(J376-SUM(AB376:AD376),2))</f>
        <v/>
      </c>
      <c r="AF376" s="15">
        <f>IF(COUNT(AE376)=0,"",IF(Z376=0,"n.a.",AE376/Z376))</f>
        <v/>
      </c>
      <c r="AG376" s="12" t="n"/>
      <c r="AH376" s="14">
        <f>IF(OR(A376="",COUNT(Z376)=0,COUNT(AG376)=0),"",ROUND(Z376-AG376,2))</f>
        <v/>
      </c>
      <c r="AI376" s="21" t="n"/>
      <c r="AJ376" s="11">
        <f>IF(A376="","",IF(COUNT(I376)=0,"Enter approved NTE",IF(COUNT(Z376)&gt;0,IF(Z376&gt;I376,"Invoice exceeds NTE","Invoice within NTE"),IF(COUNT(L376)=0,"Enter quote inputs",IF(L376&gt;I376,"Quote exceeds NTE","Quote within NTE")))))</f>
        <v/>
      </c>
      <c r="AK376" s="11">
        <f>IF(A376="","",IF(COUNT(H376)=0,"Enter direct cost",IF(COUNT(Z376)=0,"Enter invoice revenue",IF(COUNT(AB376:AD376)&lt;3,"Enter expenses (0 if none)","Complete"))))</f>
        <v/>
      </c>
      <c r="AL376" s="11">
        <f>IF(A376="","",IF(NOT(AND(COUNT(AH376)=1,N(AH376)&gt;0.004,V376&lt;&gt;"Void",V376&lt;&gt;"Not invoiced",V376&lt;&gt;"Draft")),"",IF(COUNT(X376)=0,"No due date",IF(TODAY()-X376&lt;=0,"Not yet due",IF(TODAY()-X376&lt;=30,"1-30 days",IF(TODAY()-X376&lt;=60,"31-60 days",IF(TODAY()-X376&lt;=90,"61-90 days","Over 90 days")))))))</f>
        <v/>
      </c>
      <c r="AM376" s="49">
        <f>IF(OR(AL376="",AL376="No due date"),"",MAX(TODAY()-X376,0))</f>
        <v/>
      </c>
      <c r="AN376" s="49">
        <f>IF(AL376="","",IF(COUNT(X376)=0,-100000,TODAY()-X376))</f>
        <v/>
      </c>
      <c r="AO376" s="49">
        <f>IF(AN376="","",COUNTIF(AN$11:AN$1010,"&gt;"&amp;AN376)+COUNTIF(AN$11:AN376,AN376))</f>
        <v/>
      </c>
      <c r="AP376" s="49">
        <f>IF(OR(A376="",B376=""),"",IF(COUNTIF(B$11:B376,B376)=1,MAX(AP$10:AP375)+1,""))</f>
        <v/>
      </c>
    </row>
    <row r="377" ht="24" customHeight="1">
      <c r="A377" s="20" t="n"/>
      <c r="B377" s="10" t="n"/>
      <c r="C377" s="10" t="n"/>
      <c r="D377" s="10" t="n"/>
      <c r="E377" s="10" t="n"/>
      <c r="F377" s="18" t="n"/>
      <c r="G377" s="10" t="n"/>
      <c r="H377" s="12" t="n"/>
      <c r="I377" s="12" t="n"/>
      <c r="J377" s="13">
        <f>IF(OR(A377="",COUNT(H377)=0,COUNT(Z377)=0),"",ROUND(Z377-H377,2))</f>
        <v/>
      </c>
      <c r="K377" s="15">
        <f>IF(COUNT(J377)=0,"",IF(Z377=0,"n.a.",J377/Z377))</f>
        <v/>
      </c>
      <c r="L377" s="14">
        <f>IF(OR(A377="",COUNT(H377)=0,COUNT(Y377)=0),"",ROUND(H377*(1+Y377),2))</f>
        <v/>
      </c>
      <c r="M377" s="10" t="n"/>
      <c r="N377" s="10" t="n"/>
      <c r="O377" s="10" t="n"/>
      <c r="P377" s="10" t="n"/>
      <c r="Q377" s="20" t="n"/>
      <c r="R377" s="10" t="n"/>
      <c r="S377" s="10" t="n"/>
      <c r="T377" s="18" t="n"/>
      <c r="U377" s="18" t="n"/>
      <c r="V377" s="10" t="n"/>
      <c r="W377" s="10" t="n"/>
      <c r="X377" s="19">
        <f>IF(OR(A377="",COUNT(U377)=0,COUNT(AI377)=0),"",U377+AI377)</f>
        <v/>
      </c>
      <c r="Y377" s="16" t="n"/>
      <c r="Z377" s="12" t="n"/>
      <c r="AA377" s="17">
        <f>IF(COUNT(J377)=0,"",IF(H377=0,"n.a.",J377/H377))</f>
        <v/>
      </c>
      <c r="AB377" s="12" t="n"/>
      <c r="AC377" s="12" t="n"/>
      <c r="AD377" s="12" t="n"/>
      <c r="AE377" s="13">
        <f>IF(OR(COUNT(J377)=0,COUNT(AB377:AD377)&lt;3),"",ROUND(J377-SUM(AB377:AD377),2))</f>
        <v/>
      </c>
      <c r="AF377" s="15">
        <f>IF(COUNT(AE377)=0,"",IF(Z377=0,"n.a.",AE377/Z377))</f>
        <v/>
      </c>
      <c r="AG377" s="12" t="n"/>
      <c r="AH377" s="14">
        <f>IF(OR(A377="",COUNT(Z377)=0,COUNT(AG377)=0),"",ROUND(Z377-AG377,2))</f>
        <v/>
      </c>
      <c r="AI377" s="21" t="n"/>
      <c r="AJ377" s="11">
        <f>IF(A377="","",IF(COUNT(I377)=0,"Enter approved NTE",IF(COUNT(Z377)&gt;0,IF(Z377&gt;I377,"Invoice exceeds NTE","Invoice within NTE"),IF(COUNT(L377)=0,"Enter quote inputs",IF(L377&gt;I377,"Quote exceeds NTE","Quote within NTE")))))</f>
        <v/>
      </c>
      <c r="AK377" s="11">
        <f>IF(A377="","",IF(COUNT(H377)=0,"Enter direct cost",IF(COUNT(Z377)=0,"Enter invoice revenue",IF(COUNT(AB377:AD377)&lt;3,"Enter expenses (0 if none)","Complete"))))</f>
        <v/>
      </c>
      <c r="AL377" s="11">
        <f>IF(A377="","",IF(NOT(AND(COUNT(AH377)=1,N(AH377)&gt;0.004,V377&lt;&gt;"Void",V377&lt;&gt;"Not invoiced",V377&lt;&gt;"Draft")),"",IF(COUNT(X377)=0,"No due date",IF(TODAY()-X377&lt;=0,"Not yet due",IF(TODAY()-X377&lt;=30,"1-30 days",IF(TODAY()-X377&lt;=60,"31-60 days",IF(TODAY()-X377&lt;=90,"61-90 days","Over 90 days")))))))</f>
        <v/>
      </c>
      <c r="AM377" s="49">
        <f>IF(OR(AL377="",AL377="No due date"),"",MAX(TODAY()-X377,0))</f>
        <v/>
      </c>
      <c r="AN377" s="49">
        <f>IF(AL377="","",IF(COUNT(X377)=0,-100000,TODAY()-X377))</f>
        <v/>
      </c>
      <c r="AO377" s="49">
        <f>IF(AN377="","",COUNTIF(AN$11:AN$1010,"&gt;"&amp;AN377)+COUNTIF(AN$11:AN377,AN377))</f>
        <v/>
      </c>
      <c r="AP377" s="49">
        <f>IF(OR(A377="",B377=""),"",IF(COUNTIF(B$11:B377,B377)=1,MAX(AP$10:AP376)+1,""))</f>
        <v/>
      </c>
    </row>
    <row r="378" ht="24" customHeight="1">
      <c r="A378" s="20" t="n"/>
      <c r="B378" s="10" t="n"/>
      <c r="C378" s="10" t="n"/>
      <c r="D378" s="10" t="n"/>
      <c r="E378" s="10" t="n"/>
      <c r="F378" s="18" t="n"/>
      <c r="G378" s="10" t="n"/>
      <c r="H378" s="12" t="n"/>
      <c r="I378" s="12" t="n"/>
      <c r="J378" s="13">
        <f>IF(OR(A378="",COUNT(H378)=0,COUNT(Z378)=0),"",ROUND(Z378-H378,2))</f>
        <v/>
      </c>
      <c r="K378" s="15">
        <f>IF(COUNT(J378)=0,"",IF(Z378=0,"n.a.",J378/Z378))</f>
        <v/>
      </c>
      <c r="L378" s="14">
        <f>IF(OR(A378="",COUNT(H378)=0,COUNT(Y378)=0),"",ROUND(H378*(1+Y378),2))</f>
        <v/>
      </c>
      <c r="M378" s="10" t="n"/>
      <c r="N378" s="10" t="n"/>
      <c r="O378" s="10" t="n"/>
      <c r="P378" s="10" t="n"/>
      <c r="Q378" s="20" t="n"/>
      <c r="R378" s="10" t="n"/>
      <c r="S378" s="10" t="n"/>
      <c r="T378" s="18" t="n"/>
      <c r="U378" s="18" t="n"/>
      <c r="V378" s="10" t="n"/>
      <c r="W378" s="10" t="n"/>
      <c r="X378" s="19">
        <f>IF(OR(A378="",COUNT(U378)=0,COUNT(AI378)=0),"",U378+AI378)</f>
        <v/>
      </c>
      <c r="Y378" s="16" t="n"/>
      <c r="Z378" s="12" t="n"/>
      <c r="AA378" s="17">
        <f>IF(COUNT(J378)=0,"",IF(H378=0,"n.a.",J378/H378))</f>
        <v/>
      </c>
      <c r="AB378" s="12" t="n"/>
      <c r="AC378" s="12" t="n"/>
      <c r="AD378" s="12" t="n"/>
      <c r="AE378" s="13">
        <f>IF(OR(COUNT(J378)=0,COUNT(AB378:AD378)&lt;3),"",ROUND(J378-SUM(AB378:AD378),2))</f>
        <v/>
      </c>
      <c r="AF378" s="15">
        <f>IF(COUNT(AE378)=0,"",IF(Z378=0,"n.a.",AE378/Z378))</f>
        <v/>
      </c>
      <c r="AG378" s="12" t="n"/>
      <c r="AH378" s="14">
        <f>IF(OR(A378="",COUNT(Z378)=0,COUNT(AG378)=0),"",ROUND(Z378-AG378,2))</f>
        <v/>
      </c>
      <c r="AI378" s="21" t="n"/>
      <c r="AJ378" s="11">
        <f>IF(A378="","",IF(COUNT(I378)=0,"Enter approved NTE",IF(COUNT(Z378)&gt;0,IF(Z378&gt;I378,"Invoice exceeds NTE","Invoice within NTE"),IF(COUNT(L378)=0,"Enter quote inputs",IF(L378&gt;I378,"Quote exceeds NTE","Quote within NTE")))))</f>
        <v/>
      </c>
      <c r="AK378" s="11">
        <f>IF(A378="","",IF(COUNT(H378)=0,"Enter direct cost",IF(COUNT(Z378)=0,"Enter invoice revenue",IF(COUNT(AB378:AD378)&lt;3,"Enter expenses (0 if none)","Complete"))))</f>
        <v/>
      </c>
      <c r="AL378" s="11">
        <f>IF(A378="","",IF(NOT(AND(COUNT(AH378)=1,N(AH378)&gt;0.004,V378&lt;&gt;"Void",V378&lt;&gt;"Not invoiced",V378&lt;&gt;"Draft")),"",IF(COUNT(X378)=0,"No due date",IF(TODAY()-X378&lt;=0,"Not yet due",IF(TODAY()-X378&lt;=30,"1-30 days",IF(TODAY()-X378&lt;=60,"31-60 days",IF(TODAY()-X378&lt;=90,"61-90 days","Over 90 days")))))))</f>
        <v/>
      </c>
      <c r="AM378" s="49">
        <f>IF(OR(AL378="",AL378="No due date"),"",MAX(TODAY()-X378,0))</f>
        <v/>
      </c>
      <c r="AN378" s="49">
        <f>IF(AL378="","",IF(COUNT(X378)=0,-100000,TODAY()-X378))</f>
        <v/>
      </c>
      <c r="AO378" s="49">
        <f>IF(AN378="","",COUNTIF(AN$11:AN$1010,"&gt;"&amp;AN378)+COUNTIF(AN$11:AN378,AN378))</f>
        <v/>
      </c>
      <c r="AP378" s="49">
        <f>IF(OR(A378="",B378=""),"",IF(COUNTIF(B$11:B378,B378)=1,MAX(AP$10:AP377)+1,""))</f>
        <v/>
      </c>
    </row>
    <row r="379" ht="24" customHeight="1">
      <c r="A379" s="20" t="n"/>
      <c r="B379" s="10" t="n"/>
      <c r="C379" s="10" t="n"/>
      <c r="D379" s="10" t="n"/>
      <c r="E379" s="10" t="n"/>
      <c r="F379" s="18" t="n"/>
      <c r="G379" s="10" t="n"/>
      <c r="H379" s="12" t="n"/>
      <c r="I379" s="12" t="n"/>
      <c r="J379" s="13">
        <f>IF(OR(A379="",COUNT(H379)=0,COUNT(Z379)=0),"",ROUND(Z379-H379,2))</f>
        <v/>
      </c>
      <c r="K379" s="15">
        <f>IF(COUNT(J379)=0,"",IF(Z379=0,"n.a.",J379/Z379))</f>
        <v/>
      </c>
      <c r="L379" s="14">
        <f>IF(OR(A379="",COUNT(H379)=0,COUNT(Y379)=0),"",ROUND(H379*(1+Y379),2))</f>
        <v/>
      </c>
      <c r="M379" s="10" t="n"/>
      <c r="N379" s="10" t="n"/>
      <c r="O379" s="10" t="n"/>
      <c r="P379" s="10" t="n"/>
      <c r="Q379" s="20" t="n"/>
      <c r="R379" s="10" t="n"/>
      <c r="S379" s="10" t="n"/>
      <c r="T379" s="18" t="n"/>
      <c r="U379" s="18" t="n"/>
      <c r="V379" s="10" t="n"/>
      <c r="W379" s="10" t="n"/>
      <c r="X379" s="19">
        <f>IF(OR(A379="",COUNT(U379)=0,COUNT(AI379)=0),"",U379+AI379)</f>
        <v/>
      </c>
      <c r="Y379" s="16" t="n"/>
      <c r="Z379" s="12" t="n"/>
      <c r="AA379" s="17">
        <f>IF(COUNT(J379)=0,"",IF(H379=0,"n.a.",J379/H379))</f>
        <v/>
      </c>
      <c r="AB379" s="12" t="n"/>
      <c r="AC379" s="12" t="n"/>
      <c r="AD379" s="12" t="n"/>
      <c r="AE379" s="13">
        <f>IF(OR(COUNT(J379)=0,COUNT(AB379:AD379)&lt;3),"",ROUND(J379-SUM(AB379:AD379),2))</f>
        <v/>
      </c>
      <c r="AF379" s="15">
        <f>IF(COUNT(AE379)=0,"",IF(Z379=0,"n.a.",AE379/Z379))</f>
        <v/>
      </c>
      <c r="AG379" s="12" t="n"/>
      <c r="AH379" s="14">
        <f>IF(OR(A379="",COUNT(Z379)=0,COUNT(AG379)=0),"",ROUND(Z379-AG379,2))</f>
        <v/>
      </c>
      <c r="AI379" s="21" t="n"/>
      <c r="AJ379" s="11">
        <f>IF(A379="","",IF(COUNT(I379)=0,"Enter approved NTE",IF(COUNT(Z379)&gt;0,IF(Z379&gt;I379,"Invoice exceeds NTE","Invoice within NTE"),IF(COUNT(L379)=0,"Enter quote inputs",IF(L379&gt;I379,"Quote exceeds NTE","Quote within NTE")))))</f>
        <v/>
      </c>
      <c r="AK379" s="11">
        <f>IF(A379="","",IF(COUNT(H379)=0,"Enter direct cost",IF(COUNT(Z379)=0,"Enter invoice revenue",IF(COUNT(AB379:AD379)&lt;3,"Enter expenses (0 if none)","Complete"))))</f>
        <v/>
      </c>
      <c r="AL379" s="11">
        <f>IF(A379="","",IF(NOT(AND(COUNT(AH379)=1,N(AH379)&gt;0.004,V379&lt;&gt;"Void",V379&lt;&gt;"Not invoiced",V379&lt;&gt;"Draft")),"",IF(COUNT(X379)=0,"No due date",IF(TODAY()-X379&lt;=0,"Not yet due",IF(TODAY()-X379&lt;=30,"1-30 days",IF(TODAY()-X379&lt;=60,"31-60 days",IF(TODAY()-X379&lt;=90,"61-90 days","Over 90 days")))))))</f>
        <v/>
      </c>
      <c r="AM379" s="49">
        <f>IF(OR(AL379="",AL379="No due date"),"",MAX(TODAY()-X379,0))</f>
        <v/>
      </c>
      <c r="AN379" s="49">
        <f>IF(AL379="","",IF(COUNT(X379)=0,-100000,TODAY()-X379))</f>
        <v/>
      </c>
      <c r="AO379" s="49">
        <f>IF(AN379="","",COUNTIF(AN$11:AN$1010,"&gt;"&amp;AN379)+COUNTIF(AN$11:AN379,AN379))</f>
        <v/>
      </c>
      <c r="AP379" s="49">
        <f>IF(OR(A379="",B379=""),"",IF(COUNTIF(B$11:B379,B379)=1,MAX(AP$10:AP378)+1,""))</f>
        <v/>
      </c>
    </row>
    <row r="380" ht="24" customHeight="1">
      <c r="A380" s="20" t="n"/>
      <c r="B380" s="10" t="n"/>
      <c r="C380" s="10" t="n"/>
      <c r="D380" s="10" t="n"/>
      <c r="E380" s="10" t="n"/>
      <c r="F380" s="18" t="n"/>
      <c r="G380" s="10" t="n"/>
      <c r="H380" s="12" t="n"/>
      <c r="I380" s="12" t="n"/>
      <c r="J380" s="13">
        <f>IF(OR(A380="",COUNT(H380)=0,COUNT(Z380)=0),"",ROUND(Z380-H380,2))</f>
        <v/>
      </c>
      <c r="K380" s="15">
        <f>IF(COUNT(J380)=0,"",IF(Z380=0,"n.a.",J380/Z380))</f>
        <v/>
      </c>
      <c r="L380" s="14">
        <f>IF(OR(A380="",COUNT(H380)=0,COUNT(Y380)=0),"",ROUND(H380*(1+Y380),2))</f>
        <v/>
      </c>
      <c r="M380" s="10" t="n"/>
      <c r="N380" s="10" t="n"/>
      <c r="O380" s="10" t="n"/>
      <c r="P380" s="10" t="n"/>
      <c r="Q380" s="20" t="n"/>
      <c r="R380" s="10" t="n"/>
      <c r="S380" s="10" t="n"/>
      <c r="T380" s="18" t="n"/>
      <c r="U380" s="18" t="n"/>
      <c r="V380" s="10" t="n"/>
      <c r="W380" s="10" t="n"/>
      <c r="X380" s="19">
        <f>IF(OR(A380="",COUNT(U380)=0,COUNT(AI380)=0),"",U380+AI380)</f>
        <v/>
      </c>
      <c r="Y380" s="16" t="n"/>
      <c r="Z380" s="12" t="n"/>
      <c r="AA380" s="17">
        <f>IF(COUNT(J380)=0,"",IF(H380=0,"n.a.",J380/H380))</f>
        <v/>
      </c>
      <c r="AB380" s="12" t="n"/>
      <c r="AC380" s="12" t="n"/>
      <c r="AD380" s="12" t="n"/>
      <c r="AE380" s="13">
        <f>IF(OR(COUNT(J380)=0,COUNT(AB380:AD380)&lt;3),"",ROUND(J380-SUM(AB380:AD380),2))</f>
        <v/>
      </c>
      <c r="AF380" s="15">
        <f>IF(COUNT(AE380)=0,"",IF(Z380=0,"n.a.",AE380/Z380))</f>
        <v/>
      </c>
      <c r="AG380" s="12" t="n"/>
      <c r="AH380" s="14">
        <f>IF(OR(A380="",COUNT(Z380)=0,COUNT(AG380)=0),"",ROUND(Z380-AG380,2))</f>
        <v/>
      </c>
      <c r="AI380" s="21" t="n"/>
      <c r="AJ380" s="11">
        <f>IF(A380="","",IF(COUNT(I380)=0,"Enter approved NTE",IF(COUNT(Z380)&gt;0,IF(Z380&gt;I380,"Invoice exceeds NTE","Invoice within NTE"),IF(COUNT(L380)=0,"Enter quote inputs",IF(L380&gt;I380,"Quote exceeds NTE","Quote within NTE")))))</f>
        <v/>
      </c>
      <c r="AK380" s="11">
        <f>IF(A380="","",IF(COUNT(H380)=0,"Enter direct cost",IF(COUNT(Z380)=0,"Enter invoice revenue",IF(COUNT(AB380:AD380)&lt;3,"Enter expenses (0 if none)","Complete"))))</f>
        <v/>
      </c>
      <c r="AL380" s="11">
        <f>IF(A380="","",IF(NOT(AND(COUNT(AH380)=1,N(AH380)&gt;0.004,V380&lt;&gt;"Void",V380&lt;&gt;"Not invoiced",V380&lt;&gt;"Draft")),"",IF(COUNT(X380)=0,"No due date",IF(TODAY()-X380&lt;=0,"Not yet due",IF(TODAY()-X380&lt;=30,"1-30 days",IF(TODAY()-X380&lt;=60,"31-60 days",IF(TODAY()-X380&lt;=90,"61-90 days","Over 90 days")))))))</f>
        <v/>
      </c>
      <c r="AM380" s="49">
        <f>IF(OR(AL380="",AL380="No due date"),"",MAX(TODAY()-X380,0))</f>
        <v/>
      </c>
      <c r="AN380" s="49">
        <f>IF(AL380="","",IF(COUNT(X380)=0,-100000,TODAY()-X380))</f>
        <v/>
      </c>
      <c r="AO380" s="49">
        <f>IF(AN380="","",COUNTIF(AN$11:AN$1010,"&gt;"&amp;AN380)+COUNTIF(AN$11:AN380,AN380))</f>
        <v/>
      </c>
      <c r="AP380" s="49">
        <f>IF(OR(A380="",B380=""),"",IF(COUNTIF(B$11:B380,B380)=1,MAX(AP$10:AP379)+1,""))</f>
        <v/>
      </c>
    </row>
    <row r="381" ht="24" customHeight="1">
      <c r="A381" s="20" t="n"/>
      <c r="B381" s="10" t="n"/>
      <c r="C381" s="10" t="n"/>
      <c r="D381" s="10" t="n"/>
      <c r="E381" s="10" t="n"/>
      <c r="F381" s="18" t="n"/>
      <c r="G381" s="10" t="n"/>
      <c r="H381" s="12" t="n"/>
      <c r="I381" s="12" t="n"/>
      <c r="J381" s="13">
        <f>IF(OR(A381="",COUNT(H381)=0,COUNT(Z381)=0),"",ROUND(Z381-H381,2))</f>
        <v/>
      </c>
      <c r="K381" s="15">
        <f>IF(COUNT(J381)=0,"",IF(Z381=0,"n.a.",J381/Z381))</f>
        <v/>
      </c>
      <c r="L381" s="14">
        <f>IF(OR(A381="",COUNT(H381)=0,COUNT(Y381)=0),"",ROUND(H381*(1+Y381),2))</f>
        <v/>
      </c>
      <c r="M381" s="10" t="n"/>
      <c r="N381" s="10" t="n"/>
      <c r="O381" s="10" t="n"/>
      <c r="P381" s="10" t="n"/>
      <c r="Q381" s="20" t="n"/>
      <c r="R381" s="10" t="n"/>
      <c r="S381" s="10" t="n"/>
      <c r="T381" s="18" t="n"/>
      <c r="U381" s="18" t="n"/>
      <c r="V381" s="10" t="n"/>
      <c r="W381" s="10" t="n"/>
      <c r="X381" s="19">
        <f>IF(OR(A381="",COUNT(U381)=0,COUNT(AI381)=0),"",U381+AI381)</f>
        <v/>
      </c>
      <c r="Y381" s="16" t="n"/>
      <c r="Z381" s="12" t="n"/>
      <c r="AA381" s="17">
        <f>IF(COUNT(J381)=0,"",IF(H381=0,"n.a.",J381/H381))</f>
        <v/>
      </c>
      <c r="AB381" s="12" t="n"/>
      <c r="AC381" s="12" t="n"/>
      <c r="AD381" s="12" t="n"/>
      <c r="AE381" s="13">
        <f>IF(OR(COUNT(J381)=0,COUNT(AB381:AD381)&lt;3),"",ROUND(J381-SUM(AB381:AD381),2))</f>
        <v/>
      </c>
      <c r="AF381" s="15">
        <f>IF(COUNT(AE381)=0,"",IF(Z381=0,"n.a.",AE381/Z381))</f>
        <v/>
      </c>
      <c r="AG381" s="12" t="n"/>
      <c r="AH381" s="14">
        <f>IF(OR(A381="",COUNT(Z381)=0,COUNT(AG381)=0),"",ROUND(Z381-AG381,2))</f>
        <v/>
      </c>
      <c r="AI381" s="21" t="n"/>
      <c r="AJ381" s="11">
        <f>IF(A381="","",IF(COUNT(I381)=0,"Enter approved NTE",IF(COUNT(Z381)&gt;0,IF(Z381&gt;I381,"Invoice exceeds NTE","Invoice within NTE"),IF(COUNT(L381)=0,"Enter quote inputs",IF(L381&gt;I381,"Quote exceeds NTE","Quote within NTE")))))</f>
        <v/>
      </c>
      <c r="AK381" s="11">
        <f>IF(A381="","",IF(COUNT(H381)=0,"Enter direct cost",IF(COUNT(Z381)=0,"Enter invoice revenue",IF(COUNT(AB381:AD381)&lt;3,"Enter expenses (0 if none)","Complete"))))</f>
        <v/>
      </c>
      <c r="AL381" s="11">
        <f>IF(A381="","",IF(NOT(AND(COUNT(AH381)=1,N(AH381)&gt;0.004,V381&lt;&gt;"Void",V381&lt;&gt;"Not invoiced",V381&lt;&gt;"Draft")),"",IF(COUNT(X381)=0,"No due date",IF(TODAY()-X381&lt;=0,"Not yet due",IF(TODAY()-X381&lt;=30,"1-30 days",IF(TODAY()-X381&lt;=60,"31-60 days",IF(TODAY()-X381&lt;=90,"61-90 days","Over 90 days")))))))</f>
        <v/>
      </c>
      <c r="AM381" s="49">
        <f>IF(OR(AL381="",AL381="No due date"),"",MAX(TODAY()-X381,0))</f>
        <v/>
      </c>
      <c r="AN381" s="49">
        <f>IF(AL381="","",IF(COUNT(X381)=0,-100000,TODAY()-X381))</f>
        <v/>
      </c>
      <c r="AO381" s="49">
        <f>IF(AN381="","",COUNTIF(AN$11:AN$1010,"&gt;"&amp;AN381)+COUNTIF(AN$11:AN381,AN381))</f>
        <v/>
      </c>
      <c r="AP381" s="49">
        <f>IF(OR(A381="",B381=""),"",IF(COUNTIF(B$11:B381,B381)=1,MAX(AP$10:AP380)+1,""))</f>
        <v/>
      </c>
    </row>
    <row r="382" ht="24" customHeight="1">
      <c r="A382" s="20" t="n"/>
      <c r="B382" s="10" t="n"/>
      <c r="C382" s="10" t="n"/>
      <c r="D382" s="10" t="n"/>
      <c r="E382" s="10" t="n"/>
      <c r="F382" s="18" t="n"/>
      <c r="G382" s="10" t="n"/>
      <c r="H382" s="12" t="n"/>
      <c r="I382" s="12" t="n"/>
      <c r="J382" s="13">
        <f>IF(OR(A382="",COUNT(H382)=0,COUNT(Z382)=0),"",ROUND(Z382-H382,2))</f>
        <v/>
      </c>
      <c r="K382" s="15">
        <f>IF(COUNT(J382)=0,"",IF(Z382=0,"n.a.",J382/Z382))</f>
        <v/>
      </c>
      <c r="L382" s="14">
        <f>IF(OR(A382="",COUNT(H382)=0,COUNT(Y382)=0),"",ROUND(H382*(1+Y382),2))</f>
        <v/>
      </c>
      <c r="M382" s="10" t="n"/>
      <c r="N382" s="10" t="n"/>
      <c r="O382" s="10" t="n"/>
      <c r="P382" s="10" t="n"/>
      <c r="Q382" s="20" t="n"/>
      <c r="R382" s="10" t="n"/>
      <c r="S382" s="10" t="n"/>
      <c r="T382" s="18" t="n"/>
      <c r="U382" s="18" t="n"/>
      <c r="V382" s="10" t="n"/>
      <c r="W382" s="10" t="n"/>
      <c r="X382" s="19">
        <f>IF(OR(A382="",COUNT(U382)=0,COUNT(AI382)=0),"",U382+AI382)</f>
        <v/>
      </c>
      <c r="Y382" s="16" t="n"/>
      <c r="Z382" s="12" t="n"/>
      <c r="AA382" s="17">
        <f>IF(COUNT(J382)=0,"",IF(H382=0,"n.a.",J382/H382))</f>
        <v/>
      </c>
      <c r="AB382" s="12" t="n"/>
      <c r="AC382" s="12" t="n"/>
      <c r="AD382" s="12" t="n"/>
      <c r="AE382" s="13">
        <f>IF(OR(COUNT(J382)=0,COUNT(AB382:AD382)&lt;3),"",ROUND(J382-SUM(AB382:AD382),2))</f>
        <v/>
      </c>
      <c r="AF382" s="15">
        <f>IF(COUNT(AE382)=0,"",IF(Z382=0,"n.a.",AE382/Z382))</f>
        <v/>
      </c>
      <c r="AG382" s="12" t="n"/>
      <c r="AH382" s="14">
        <f>IF(OR(A382="",COUNT(Z382)=0,COUNT(AG382)=0),"",ROUND(Z382-AG382,2))</f>
        <v/>
      </c>
      <c r="AI382" s="21" t="n"/>
      <c r="AJ382" s="11">
        <f>IF(A382="","",IF(COUNT(I382)=0,"Enter approved NTE",IF(COUNT(Z382)&gt;0,IF(Z382&gt;I382,"Invoice exceeds NTE","Invoice within NTE"),IF(COUNT(L382)=0,"Enter quote inputs",IF(L382&gt;I382,"Quote exceeds NTE","Quote within NTE")))))</f>
        <v/>
      </c>
      <c r="AK382" s="11">
        <f>IF(A382="","",IF(COUNT(H382)=0,"Enter direct cost",IF(COUNT(Z382)=0,"Enter invoice revenue",IF(COUNT(AB382:AD382)&lt;3,"Enter expenses (0 if none)","Complete"))))</f>
        <v/>
      </c>
      <c r="AL382" s="11">
        <f>IF(A382="","",IF(NOT(AND(COUNT(AH382)=1,N(AH382)&gt;0.004,V382&lt;&gt;"Void",V382&lt;&gt;"Not invoiced",V382&lt;&gt;"Draft")),"",IF(COUNT(X382)=0,"No due date",IF(TODAY()-X382&lt;=0,"Not yet due",IF(TODAY()-X382&lt;=30,"1-30 days",IF(TODAY()-X382&lt;=60,"31-60 days",IF(TODAY()-X382&lt;=90,"61-90 days","Over 90 days")))))))</f>
        <v/>
      </c>
      <c r="AM382" s="49">
        <f>IF(OR(AL382="",AL382="No due date"),"",MAX(TODAY()-X382,0))</f>
        <v/>
      </c>
      <c r="AN382" s="49">
        <f>IF(AL382="","",IF(COUNT(X382)=0,-100000,TODAY()-X382))</f>
        <v/>
      </c>
      <c r="AO382" s="49">
        <f>IF(AN382="","",COUNTIF(AN$11:AN$1010,"&gt;"&amp;AN382)+COUNTIF(AN$11:AN382,AN382))</f>
        <v/>
      </c>
      <c r="AP382" s="49">
        <f>IF(OR(A382="",B382=""),"",IF(COUNTIF(B$11:B382,B382)=1,MAX(AP$10:AP381)+1,""))</f>
        <v/>
      </c>
    </row>
    <row r="383" ht="24" customHeight="1">
      <c r="A383" s="20" t="n"/>
      <c r="B383" s="10" t="n"/>
      <c r="C383" s="10" t="n"/>
      <c r="D383" s="10" t="n"/>
      <c r="E383" s="10" t="n"/>
      <c r="F383" s="18" t="n"/>
      <c r="G383" s="10" t="n"/>
      <c r="H383" s="12" t="n"/>
      <c r="I383" s="12" t="n"/>
      <c r="J383" s="13">
        <f>IF(OR(A383="",COUNT(H383)=0,COUNT(Z383)=0),"",ROUND(Z383-H383,2))</f>
        <v/>
      </c>
      <c r="K383" s="15">
        <f>IF(COUNT(J383)=0,"",IF(Z383=0,"n.a.",J383/Z383))</f>
        <v/>
      </c>
      <c r="L383" s="14">
        <f>IF(OR(A383="",COUNT(H383)=0,COUNT(Y383)=0),"",ROUND(H383*(1+Y383),2))</f>
        <v/>
      </c>
      <c r="M383" s="10" t="n"/>
      <c r="N383" s="10" t="n"/>
      <c r="O383" s="10" t="n"/>
      <c r="P383" s="10" t="n"/>
      <c r="Q383" s="20" t="n"/>
      <c r="R383" s="10" t="n"/>
      <c r="S383" s="10" t="n"/>
      <c r="T383" s="18" t="n"/>
      <c r="U383" s="18" t="n"/>
      <c r="V383" s="10" t="n"/>
      <c r="W383" s="10" t="n"/>
      <c r="X383" s="19">
        <f>IF(OR(A383="",COUNT(U383)=0,COUNT(AI383)=0),"",U383+AI383)</f>
        <v/>
      </c>
      <c r="Y383" s="16" t="n"/>
      <c r="Z383" s="12" t="n"/>
      <c r="AA383" s="17">
        <f>IF(COUNT(J383)=0,"",IF(H383=0,"n.a.",J383/H383))</f>
        <v/>
      </c>
      <c r="AB383" s="12" t="n"/>
      <c r="AC383" s="12" t="n"/>
      <c r="AD383" s="12" t="n"/>
      <c r="AE383" s="13">
        <f>IF(OR(COUNT(J383)=0,COUNT(AB383:AD383)&lt;3),"",ROUND(J383-SUM(AB383:AD383),2))</f>
        <v/>
      </c>
      <c r="AF383" s="15">
        <f>IF(COUNT(AE383)=0,"",IF(Z383=0,"n.a.",AE383/Z383))</f>
        <v/>
      </c>
      <c r="AG383" s="12" t="n"/>
      <c r="AH383" s="14">
        <f>IF(OR(A383="",COUNT(Z383)=0,COUNT(AG383)=0),"",ROUND(Z383-AG383,2))</f>
        <v/>
      </c>
      <c r="AI383" s="21" t="n"/>
      <c r="AJ383" s="11">
        <f>IF(A383="","",IF(COUNT(I383)=0,"Enter approved NTE",IF(COUNT(Z383)&gt;0,IF(Z383&gt;I383,"Invoice exceeds NTE","Invoice within NTE"),IF(COUNT(L383)=0,"Enter quote inputs",IF(L383&gt;I383,"Quote exceeds NTE","Quote within NTE")))))</f>
        <v/>
      </c>
      <c r="AK383" s="11">
        <f>IF(A383="","",IF(COUNT(H383)=0,"Enter direct cost",IF(COUNT(Z383)=0,"Enter invoice revenue",IF(COUNT(AB383:AD383)&lt;3,"Enter expenses (0 if none)","Complete"))))</f>
        <v/>
      </c>
      <c r="AL383" s="11">
        <f>IF(A383="","",IF(NOT(AND(COUNT(AH383)=1,N(AH383)&gt;0.004,V383&lt;&gt;"Void",V383&lt;&gt;"Not invoiced",V383&lt;&gt;"Draft")),"",IF(COUNT(X383)=0,"No due date",IF(TODAY()-X383&lt;=0,"Not yet due",IF(TODAY()-X383&lt;=30,"1-30 days",IF(TODAY()-X383&lt;=60,"31-60 days",IF(TODAY()-X383&lt;=90,"61-90 days","Over 90 days")))))))</f>
        <v/>
      </c>
      <c r="AM383" s="49">
        <f>IF(OR(AL383="",AL383="No due date"),"",MAX(TODAY()-X383,0))</f>
        <v/>
      </c>
      <c r="AN383" s="49">
        <f>IF(AL383="","",IF(COUNT(X383)=0,-100000,TODAY()-X383))</f>
        <v/>
      </c>
      <c r="AO383" s="49">
        <f>IF(AN383="","",COUNTIF(AN$11:AN$1010,"&gt;"&amp;AN383)+COUNTIF(AN$11:AN383,AN383))</f>
        <v/>
      </c>
      <c r="AP383" s="49">
        <f>IF(OR(A383="",B383=""),"",IF(COUNTIF(B$11:B383,B383)=1,MAX(AP$10:AP382)+1,""))</f>
        <v/>
      </c>
    </row>
    <row r="384" ht="24" customHeight="1">
      <c r="A384" s="20" t="n"/>
      <c r="B384" s="10" t="n"/>
      <c r="C384" s="10" t="n"/>
      <c r="D384" s="10" t="n"/>
      <c r="E384" s="10" t="n"/>
      <c r="F384" s="18" t="n"/>
      <c r="G384" s="10" t="n"/>
      <c r="H384" s="12" t="n"/>
      <c r="I384" s="12" t="n"/>
      <c r="J384" s="13">
        <f>IF(OR(A384="",COUNT(H384)=0,COUNT(Z384)=0),"",ROUND(Z384-H384,2))</f>
        <v/>
      </c>
      <c r="K384" s="15">
        <f>IF(COUNT(J384)=0,"",IF(Z384=0,"n.a.",J384/Z384))</f>
        <v/>
      </c>
      <c r="L384" s="14">
        <f>IF(OR(A384="",COUNT(H384)=0,COUNT(Y384)=0),"",ROUND(H384*(1+Y384),2))</f>
        <v/>
      </c>
      <c r="M384" s="10" t="n"/>
      <c r="N384" s="10" t="n"/>
      <c r="O384" s="10" t="n"/>
      <c r="P384" s="10" t="n"/>
      <c r="Q384" s="20" t="n"/>
      <c r="R384" s="10" t="n"/>
      <c r="S384" s="10" t="n"/>
      <c r="T384" s="18" t="n"/>
      <c r="U384" s="18" t="n"/>
      <c r="V384" s="10" t="n"/>
      <c r="W384" s="10" t="n"/>
      <c r="X384" s="19">
        <f>IF(OR(A384="",COUNT(U384)=0,COUNT(AI384)=0),"",U384+AI384)</f>
        <v/>
      </c>
      <c r="Y384" s="16" t="n"/>
      <c r="Z384" s="12" t="n"/>
      <c r="AA384" s="17">
        <f>IF(COUNT(J384)=0,"",IF(H384=0,"n.a.",J384/H384))</f>
        <v/>
      </c>
      <c r="AB384" s="12" t="n"/>
      <c r="AC384" s="12" t="n"/>
      <c r="AD384" s="12" t="n"/>
      <c r="AE384" s="13">
        <f>IF(OR(COUNT(J384)=0,COUNT(AB384:AD384)&lt;3),"",ROUND(J384-SUM(AB384:AD384),2))</f>
        <v/>
      </c>
      <c r="AF384" s="15">
        <f>IF(COUNT(AE384)=0,"",IF(Z384=0,"n.a.",AE384/Z384))</f>
        <v/>
      </c>
      <c r="AG384" s="12" t="n"/>
      <c r="AH384" s="14">
        <f>IF(OR(A384="",COUNT(Z384)=0,COUNT(AG384)=0),"",ROUND(Z384-AG384,2))</f>
        <v/>
      </c>
      <c r="AI384" s="21" t="n"/>
      <c r="AJ384" s="11">
        <f>IF(A384="","",IF(COUNT(I384)=0,"Enter approved NTE",IF(COUNT(Z384)&gt;0,IF(Z384&gt;I384,"Invoice exceeds NTE","Invoice within NTE"),IF(COUNT(L384)=0,"Enter quote inputs",IF(L384&gt;I384,"Quote exceeds NTE","Quote within NTE")))))</f>
        <v/>
      </c>
      <c r="AK384" s="11">
        <f>IF(A384="","",IF(COUNT(H384)=0,"Enter direct cost",IF(COUNT(Z384)=0,"Enter invoice revenue",IF(COUNT(AB384:AD384)&lt;3,"Enter expenses (0 if none)","Complete"))))</f>
        <v/>
      </c>
      <c r="AL384" s="11">
        <f>IF(A384="","",IF(NOT(AND(COUNT(AH384)=1,N(AH384)&gt;0.004,V384&lt;&gt;"Void",V384&lt;&gt;"Not invoiced",V384&lt;&gt;"Draft")),"",IF(COUNT(X384)=0,"No due date",IF(TODAY()-X384&lt;=0,"Not yet due",IF(TODAY()-X384&lt;=30,"1-30 days",IF(TODAY()-X384&lt;=60,"31-60 days",IF(TODAY()-X384&lt;=90,"61-90 days","Over 90 days")))))))</f>
        <v/>
      </c>
      <c r="AM384" s="49">
        <f>IF(OR(AL384="",AL384="No due date"),"",MAX(TODAY()-X384,0))</f>
        <v/>
      </c>
      <c r="AN384" s="49">
        <f>IF(AL384="","",IF(COUNT(X384)=0,-100000,TODAY()-X384))</f>
        <v/>
      </c>
      <c r="AO384" s="49">
        <f>IF(AN384="","",COUNTIF(AN$11:AN$1010,"&gt;"&amp;AN384)+COUNTIF(AN$11:AN384,AN384))</f>
        <v/>
      </c>
      <c r="AP384" s="49">
        <f>IF(OR(A384="",B384=""),"",IF(COUNTIF(B$11:B384,B384)=1,MAX(AP$10:AP383)+1,""))</f>
        <v/>
      </c>
    </row>
    <row r="385" ht="24" customHeight="1">
      <c r="A385" s="20" t="n"/>
      <c r="B385" s="10" t="n"/>
      <c r="C385" s="10" t="n"/>
      <c r="D385" s="10" t="n"/>
      <c r="E385" s="10" t="n"/>
      <c r="F385" s="18" t="n"/>
      <c r="G385" s="10" t="n"/>
      <c r="H385" s="12" t="n"/>
      <c r="I385" s="12" t="n"/>
      <c r="J385" s="13">
        <f>IF(OR(A385="",COUNT(H385)=0,COUNT(Z385)=0),"",ROUND(Z385-H385,2))</f>
        <v/>
      </c>
      <c r="K385" s="15">
        <f>IF(COUNT(J385)=0,"",IF(Z385=0,"n.a.",J385/Z385))</f>
        <v/>
      </c>
      <c r="L385" s="14">
        <f>IF(OR(A385="",COUNT(H385)=0,COUNT(Y385)=0),"",ROUND(H385*(1+Y385),2))</f>
        <v/>
      </c>
      <c r="M385" s="10" t="n"/>
      <c r="N385" s="10" t="n"/>
      <c r="O385" s="10" t="n"/>
      <c r="P385" s="10" t="n"/>
      <c r="Q385" s="20" t="n"/>
      <c r="R385" s="10" t="n"/>
      <c r="S385" s="10" t="n"/>
      <c r="T385" s="18" t="n"/>
      <c r="U385" s="18" t="n"/>
      <c r="V385" s="10" t="n"/>
      <c r="W385" s="10" t="n"/>
      <c r="X385" s="19">
        <f>IF(OR(A385="",COUNT(U385)=0,COUNT(AI385)=0),"",U385+AI385)</f>
        <v/>
      </c>
      <c r="Y385" s="16" t="n"/>
      <c r="Z385" s="12" t="n"/>
      <c r="AA385" s="17">
        <f>IF(COUNT(J385)=0,"",IF(H385=0,"n.a.",J385/H385))</f>
        <v/>
      </c>
      <c r="AB385" s="12" t="n"/>
      <c r="AC385" s="12" t="n"/>
      <c r="AD385" s="12" t="n"/>
      <c r="AE385" s="13">
        <f>IF(OR(COUNT(J385)=0,COUNT(AB385:AD385)&lt;3),"",ROUND(J385-SUM(AB385:AD385),2))</f>
        <v/>
      </c>
      <c r="AF385" s="15">
        <f>IF(COUNT(AE385)=0,"",IF(Z385=0,"n.a.",AE385/Z385))</f>
        <v/>
      </c>
      <c r="AG385" s="12" t="n"/>
      <c r="AH385" s="14">
        <f>IF(OR(A385="",COUNT(Z385)=0,COUNT(AG385)=0),"",ROUND(Z385-AG385,2))</f>
        <v/>
      </c>
      <c r="AI385" s="21" t="n"/>
      <c r="AJ385" s="11">
        <f>IF(A385="","",IF(COUNT(I385)=0,"Enter approved NTE",IF(COUNT(Z385)&gt;0,IF(Z385&gt;I385,"Invoice exceeds NTE","Invoice within NTE"),IF(COUNT(L385)=0,"Enter quote inputs",IF(L385&gt;I385,"Quote exceeds NTE","Quote within NTE")))))</f>
        <v/>
      </c>
      <c r="AK385" s="11">
        <f>IF(A385="","",IF(COUNT(H385)=0,"Enter direct cost",IF(COUNT(Z385)=0,"Enter invoice revenue",IF(COUNT(AB385:AD385)&lt;3,"Enter expenses (0 if none)","Complete"))))</f>
        <v/>
      </c>
      <c r="AL385" s="11">
        <f>IF(A385="","",IF(NOT(AND(COUNT(AH385)=1,N(AH385)&gt;0.004,V385&lt;&gt;"Void",V385&lt;&gt;"Not invoiced",V385&lt;&gt;"Draft")),"",IF(COUNT(X385)=0,"No due date",IF(TODAY()-X385&lt;=0,"Not yet due",IF(TODAY()-X385&lt;=30,"1-30 days",IF(TODAY()-X385&lt;=60,"31-60 days",IF(TODAY()-X385&lt;=90,"61-90 days","Over 90 days")))))))</f>
        <v/>
      </c>
      <c r="AM385" s="49">
        <f>IF(OR(AL385="",AL385="No due date"),"",MAX(TODAY()-X385,0))</f>
        <v/>
      </c>
      <c r="AN385" s="49">
        <f>IF(AL385="","",IF(COUNT(X385)=0,-100000,TODAY()-X385))</f>
        <v/>
      </c>
      <c r="AO385" s="49">
        <f>IF(AN385="","",COUNTIF(AN$11:AN$1010,"&gt;"&amp;AN385)+COUNTIF(AN$11:AN385,AN385))</f>
        <v/>
      </c>
      <c r="AP385" s="49">
        <f>IF(OR(A385="",B385=""),"",IF(COUNTIF(B$11:B385,B385)=1,MAX(AP$10:AP384)+1,""))</f>
        <v/>
      </c>
    </row>
    <row r="386" ht="24" customHeight="1">
      <c r="A386" s="20" t="n"/>
      <c r="B386" s="10" t="n"/>
      <c r="C386" s="10" t="n"/>
      <c r="D386" s="10" t="n"/>
      <c r="E386" s="10" t="n"/>
      <c r="F386" s="18" t="n"/>
      <c r="G386" s="10" t="n"/>
      <c r="H386" s="12" t="n"/>
      <c r="I386" s="12" t="n"/>
      <c r="J386" s="13">
        <f>IF(OR(A386="",COUNT(H386)=0,COUNT(Z386)=0),"",ROUND(Z386-H386,2))</f>
        <v/>
      </c>
      <c r="K386" s="15">
        <f>IF(COUNT(J386)=0,"",IF(Z386=0,"n.a.",J386/Z386))</f>
        <v/>
      </c>
      <c r="L386" s="14">
        <f>IF(OR(A386="",COUNT(H386)=0,COUNT(Y386)=0),"",ROUND(H386*(1+Y386),2))</f>
        <v/>
      </c>
      <c r="M386" s="10" t="n"/>
      <c r="N386" s="10" t="n"/>
      <c r="O386" s="10" t="n"/>
      <c r="P386" s="10" t="n"/>
      <c r="Q386" s="20" t="n"/>
      <c r="R386" s="10" t="n"/>
      <c r="S386" s="10" t="n"/>
      <c r="T386" s="18" t="n"/>
      <c r="U386" s="18" t="n"/>
      <c r="V386" s="10" t="n"/>
      <c r="W386" s="10" t="n"/>
      <c r="X386" s="19">
        <f>IF(OR(A386="",COUNT(U386)=0,COUNT(AI386)=0),"",U386+AI386)</f>
        <v/>
      </c>
      <c r="Y386" s="16" t="n"/>
      <c r="Z386" s="12" t="n"/>
      <c r="AA386" s="17">
        <f>IF(COUNT(J386)=0,"",IF(H386=0,"n.a.",J386/H386))</f>
        <v/>
      </c>
      <c r="AB386" s="12" t="n"/>
      <c r="AC386" s="12" t="n"/>
      <c r="AD386" s="12" t="n"/>
      <c r="AE386" s="13">
        <f>IF(OR(COUNT(J386)=0,COUNT(AB386:AD386)&lt;3),"",ROUND(J386-SUM(AB386:AD386),2))</f>
        <v/>
      </c>
      <c r="AF386" s="15">
        <f>IF(COUNT(AE386)=0,"",IF(Z386=0,"n.a.",AE386/Z386))</f>
        <v/>
      </c>
      <c r="AG386" s="12" t="n"/>
      <c r="AH386" s="14">
        <f>IF(OR(A386="",COUNT(Z386)=0,COUNT(AG386)=0),"",ROUND(Z386-AG386,2))</f>
        <v/>
      </c>
      <c r="AI386" s="21" t="n"/>
      <c r="AJ386" s="11">
        <f>IF(A386="","",IF(COUNT(I386)=0,"Enter approved NTE",IF(COUNT(Z386)&gt;0,IF(Z386&gt;I386,"Invoice exceeds NTE","Invoice within NTE"),IF(COUNT(L386)=0,"Enter quote inputs",IF(L386&gt;I386,"Quote exceeds NTE","Quote within NTE")))))</f>
        <v/>
      </c>
      <c r="AK386" s="11">
        <f>IF(A386="","",IF(COUNT(H386)=0,"Enter direct cost",IF(COUNT(Z386)=0,"Enter invoice revenue",IF(COUNT(AB386:AD386)&lt;3,"Enter expenses (0 if none)","Complete"))))</f>
        <v/>
      </c>
      <c r="AL386" s="11">
        <f>IF(A386="","",IF(NOT(AND(COUNT(AH386)=1,N(AH386)&gt;0.004,V386&lt;&gt;"Void",V386&lt;&gt;"Not invoiced",V386&lt;&gt;"Draft")),"",IF(COUNT(X386)=0,"No due date",IF(TODAY()-X386&lt;=0,"Not yet due",IF(TODAY()-X386&lt;=30,"1-30 days",IF(TODAY()-X386&lt;=60,"31-60 days",IF(TODAY()-X386&lt;=90,"61-90 days","Over 90 days")))))))</f>
        <v/>
      </c>
      <c r="AM386" s="49">
        <f>IF(OR(AL386="",AL386="No due date"),"",MAX(TODAY()-X386,0))</f>
        <v/>
      </c>
      <c r="AN386" s="49">
        <f>IF(AL386="","",IF(COUNT(X386)=0,-100000,TODAY()-X386))</f>
        <v/>
      </c>
      <c r="AO386" s="49">
        <f>IF(AN386="","",COUNTIF(AN$11:AN$1010,"&gt;"&amp;AN386)+COUNTIF(AN$11:AN386,AN386))</f>
        <v/>
      </c>
      <c r="AP386" s="49">
        <f>IF(OR(A386="",B386=""),"",IF(COUNTIF(B$11:B386,B386)=1,MAX(AP$10:AP385)+1,""))</f>
        <v/>
      </c>
    </row>
    <row r="387" ht="24" customHeight="1">
      <c r="A387" s="20" t="n"/>
      <c r="B387" s="10" t="n"/>
      <c r="C387" s="10" t="n"/>
      <c r="D387" s="10" t="n"/>
      <c r="E387" s="10" t="n"/>
      <c r="F387" s="18" t="n"/>
      <c r="G387" s="10" t="n"/>
      <c r="H387" s="12" t="n"/>
      <c r="I387" s="12" t="n"/>
      <c r="J387" s="13">
        <f>IF(OR(A387="",COUNT(H387)=0,COUNT(Z387)=0),"",ROUND(Z387-H387,2))</f>
        <v/>
      </c>
      <c r="K387" s="15">
        <f>IF(COUNT(J387)=0,"",IF(Z387=0,"n.a.",J387/Z387))</f>
        <v/>
      </c>
      <c r="L387" s="14">
        <f>IF(OR(A387="",COUNT(H387)=0,COUNT(Y387)=0),"",ROUND(H387*(1+Y387),2))</f>
        <v/>
      </c>
      <c r="M387" s="10" t="n"/>
      <c r="N387" s="10" t="n"/>
      <c r="O387" s="10" t="n"/>
      <c r="P387" s="10" t="n"/>
      <c r="Q387" s="20" t="n"/>
      <c r="R387" s="10" t="n"/>
      <c r="S387" s="10" t="n"/>
      <c r="T387" s="18" t="n"/>
      <c r="U387" s="18" t="n"/>
      <c r="V387" s="10" t="n"/>
      <c r="W387" s="10" t="n"/>
      <c r="X387" s="19">
        <f>IF(OR(A387="",COUNT(U387)=0,COUNT(AI387)=0),"",U387+AI387)</f>
        <v/>
      </c>
      <c r="Y387" s="16" t="n"/>
      <c r="Z387" s="12" t="n"/>
      <c r="AA387" s="17">
        <f>IF(COUNT(J387)=0,"",IF(H387=0,"n.a.",J387/H387))</f>
        <v/>
      </c>
      <c r="AB387" s="12" t="n"/>
      <c r="AC387" s="12" t="n"/>
      <c r="AD387" s="12" t="n"/>
      <c r="AE387" s="13">
        <f>IF(OR(COUNT(J387)=0,COUNT(AB387:AD387)&lt;3),"",ROUND(J387-SUM(AB387:AD387),2))</f>
        <v/>
      </c>
      <c r="AF387" s="15">
        <f>IF(COUNT(AE387)=0,"",IF(Z387=0,"n.a.",AE387/Z387))</f>
        <v/>
      </c>
      <c r="AG387" s="12" t="n"/>
      <c r="AH387" s="14">
        <f>IF(OR(A387="",COUNT(Z387)=0,COUNT(AG387)=0),"",ROUND(Z387-AG387,2))</f>
        <v/>
      </c>
      <c r="AI387" s="21" t="n"/>
      <c r="AJ387" s="11">
        <f>IF(A387="","",IF(COUNT(I387)=0,"Enter approved NTE",IF(COUNT(Z387)&gt;0,IF(Z387&gt;I387,"Invoice exceeds NTE","Invoice within NTE"),IF(COUNT(L387)=0,"Enter quote inputs",IF(L387&gt;I387,"Quote exceeds NTE","Quote within NTE")))))</f>
        <v/>
      </c>
      <c r="AK387" s="11">
        <f>IF(A387="","",IF(COUNT(H387)=0,"Enter direct cost",IF(COUNT(Z387)=0,"Enter invoice revenue",IF(COUNT(AB387:AD387)&lt;3,"Enter expenses (0 if none)","Complete"))))</f>
        <v/>
      </c>
      <c r="AL387" s="11">
        <f>IF(A387="","",IF(NOT(AND(COUNT(AH387)=1,N(AH387)&gt;0.004,V387&lt;&gt;"Void",V387&lt;&gt;"Not invoiced",V387&lt;&gt;"Draft")),"",IF(COUNT(X387)=0,"No due date",IF(TODAY()-X387&lt;=0,"Not yet due",IF(TODAY()-X387&lt;=30,"1-30 days",IF(TODAY()-X387&lt;=60,"31-60 days",IF(TODAY()-X387&lt;=90,"61-90 days","Over 90 days")))))))</f>
        <v/>
      </c>
      <c r="AM387" s="49">
        <f>IF(OR(AL387="",AL387="No due date"),"",MAX(TODAY()-X387,0))</f>
        <v/>
      </c>
      <c r="AN387" s="49">
        <f>IF(AL387="","",IF(COUNT(X387)=0,-100000,TODAY()-X387))</f>
        <v/>
      </c>
      <c r="AO387" s="49">
        <f>IF(AN387="","",COUNTIF(AN$11:AN$1010,"&gt;"&amp;AN387)+COUNTIF(AN$11:AN387,AN387))</f>
        <v/>
      </c>
      <c r="AP387" s="49">
        <f>IF(OR(A387="",B387=""),"",IF(COUNTIF(B$11:B387,B387)=1,MAX(AP$10:AP386)+1,""))</f>
        <v/>
      </c>
    </row>
    <row r="388" ht="24" customHeight="1">
      <c r="A388" s="20" t="n"/>
      <c r="B388" s="10" t="n"/>
      <c r="C388" s="10" t="n"/>
      <c r="D388" s="10" t="n"/>
      <c r="E388" s="10" t="n"/>
      <c r="F388" s="18" t="n"/>
      <c r="G388" s="10" t="n"/>
      <c r="H388" s="12" t="n"/>
      <c r="I388" s="12" t="n"/>
      <c r="J388" s="13">
        <f>IF(OR(A388="",COUNT(H388)=0,COUNT(Z388)=0),"",ROUND(Z388-H388,2))</f>
        <v/>
      </c>
      <c r="K388" s="15">
        <f>IF(COUNT(J388)=0,"",IF(Z388=0,"n.a.",J388/Z388))</f>
        <v/>
      </c>
      <c r="L388" s="14">
        <f>IF(OR(A388="",COUNT(H388)=0,COUNT(Y388)=0),"",ROUND(H388*(1+Y388),2))</f>
        <v/>
      </c>
      <c r="M388" s="10" t="n"/>
      <c r="N388" s="10" t="n"/>
      <c r="O388" s="10" t="n"/>
      <c r="P388" s="10" t="n"/>
      <c r="Q388" s="20" t="n"/>
      <c r="R388" s="10" t="n"/>
      <c r="S388" s="10" t="n"/>
      <c r="T388" s="18" t="n"/>
      <c r="U388" s="18" t="n"/>
      <c r="V388" s="10" t="n"/>
      <c r="W388" s="10" t="n"/>
      <c r="X388" s="19">
        <f>IF(OR(A388="",COUNT(U388)=0,COUNT(AI388)=0),"",U388+AI388)</f>
        <v/>
      </c>
      <c r="Y388" s="16" t="n"/>
      <c r="Z388" s="12" t="n"/>
      <c r="AA388" s="17">
        <f>IF(COUNT(J388)=0,"",IF(H388=0,"n.a.",J388/H388))</f>
        <v/>
      </c>
      <c r="AB388" s="12" t="n"/>
      <c r="AC388" s="12" t="n"/>
      <c r="AD388" s="12" t="n"/>
      <c r="AE388" s="13">
        <f>IF(OR(COUNT(J388)=0,COUNT(AB388:AD388)&lt;3),"",ROUND(J388-SUM(AB388:AD388),2))</f>
        <v/>
      </c>
      <c r="AF388" s="15">
        <f>IF(COUNT(AE388)=0,"",IF(Z388=0,"n.a.",AE388/Z388))</f>
        <v/>
      </c>
      <c r="AG388" s="12" t="n"/>
      <c r="AH388" s="14">
        <f>IF(OR(A388="",COUNT(Z388)=0,COUNT(AG388)=0),"",ROUND(Z388-AG388,2))</f>
        <v/>
      </c>
      <c r="AI388" s="21" t="n"/>
      <c r="AJ388" s="11">
        <f>IF(A388="","",IF(COUNT(I388)=0,"Enter approved NTE",IF(COUNT(Z388)&gt;0,IF(Z388&gt;I388,"Invoice exceeds NTE","Invoice within NTE"),IF(COUNT(L388)=0,"Enter quote inputs",IF(L388&gt;I388,"Quote exceeds NTE","Quote within NTE")))))</f>
        <v/>
      </c>
      <c r="AK388" s="11">
        <f>IF(A388="","",IF(COUNT(H388)=0,"Enter direct cost",IF(COUNT(Z388)=0,"Enter invoice revenue",IF(COUNT(AB388:AD388)&lt;3,"Enter expenses (0 if none)","Complete"))))</f>
        <v/>
      </c>
      <c r="AL388" s="11">
        <f>IF(A388="","",IF(NOT(AND(COUNT(AH388)=1,N(AH388)&gt;0.004,V388&lt;&gt;"Void",V388&lt;&gt;"Not invoiced",V388&lt;&gt;"Draft")),"",IF(COUNT(X388)=0,"No due date",IF(TODAY()-X388&lt;=0,"Not yet due",IF(TODAY()-X388&lt;=30,"1-30 days",IF(TODAY()-X388&lt;=60,"31-60 days",IF(TODAY()-X388&lt;=90,"61-90 days","Over 90 days")))))))</f>
        <v/>
      </c>
      <c r="AM388" s="49">
        <f>IF(OR(AL388="",AL388="No due date"),"",MAX(TODAY()-X388,0))</f>
        <v/>
      </c>
      <c r="AN388" s="49">
        <f>IF(AL388="","",IF(COUNT(X388)=0,-100000,TODAY()-X388))</f>
        <v/>
      </c>
      <c r="AO388" s="49">
        <f>IF(AN388="","",COUNTIF(AN$11:AN$1010,"&gt;"&amp;AN388)+COUNTIF(AN$11:AN388,AN388))</f>
        <v/>
      </c>
      <c r="AP388" s="49">
        <f>IF(OR(A388="",B388=""),"",IF(COUNTIF(B$11:B388,B388)=1,MAX(AP$10:AP387)+1,""))</f>
        <v/>
      </c>
    </row>
    <row r="389" ht="24" customHeight="1">
      <c r="A389" s="20" t="n"/>
      <c r="B389" s="10" t="n"/>
      <c r="C389" s="10" t="n"/>
      <c r="D389" s="10" t="n"/>
      <c r="E389" s="10" t="n"/>
      <c r="F389" s="18" t="n"/>
      <c r="G389" s="10" t="n"/>
      <c r="H389" s="12" t="n"/>
      <c r="I389" s="12" t="n"/>
      <c r="J389" s="13">
        <f>IF(OR(A389="",COUNT(H389)=0,COUNT(Z389)=0),"",ROUND(Z389-H389,2))</f>
        <v/>
      </c>
      <c r="K389" s="15">
        <f>IF(COUNT(J389)=0,"",IF(Z389=0,"n.a.",J389/Z389))</f>
        <v/>
      </c>
      <c r="L389" s="14">
        <f>IF(OR(A389="",COUNT(H389)=0,COUNT(Y389)=0),"",ROUND(H389*(1+Y389),2))</f>
        <v/>
      </c>
      <c r="M389" s="10" t="n"/>
      <c r="N389" s="10" t="n"/>
      <c r="O389" s="10" t="n"/>
      <c r="P389" s="10" t="n"/>
      <c r="Q389" s="20" t="n"/>
      <c r="R389" s="10" t="n"/>
      <c r="S389" s="10" t="n"/>
      <c r="T389" s="18" t="n"/>
      <c r="U389" s="18" t="n"/>
      <c r="V389" s="10" t="n"/>
      <c r="W389" s="10" t="n"/>
      <c r="X389" s="19">
        <f>IF(OR(A389="",COUNT(U389)=0,COUNT(AI389)=0),"",U389+AI389)</f>
        <v/>
      </c>
      <c r="Y389" s="16" t="n"/>
      <c r="Z389" s="12" t="n"/>
      <c r="AA389" s="17">
        <f>IF(COUNT(J389)=0,"",IF(H389=0,"n.a.",J389/H389))</f>
        <v/>
      </c>
      <c r="AB389" s="12" t="n"/>
      <c r="AC389" s="12" t="n"/>
      <c r="AD389" s="12" t="n"/>
      <c r="AE389" s="13">
        <f>IF(OR(COUNT(J389)=0,COUNT(AB389:AD389)&lt;3),"",ROUND(J389-SUM(AB389:AD389),2))</f>
        <v/>
      </c>
      <c r="AF389" s="15">
        <f>IF(COUNT(AE389)=0,"",IF(Z389=0,"n.a.",AE389/Z389))</f>
        <v/>
      </c>
      <c r="AG389" s="12" t="n"/>
      <c r="AH389" s="14">
        <f>IF(OR(A389="",COUNT(Z389)=0,COUNT(AG389)=0),"",ROUND(Z389-AG389,2))</f>
        <v/>
      </c>
      <c r="AI389" s="21" t="n"/>
      <c r="AJ389" s="11">
        <f>IF(A389="","",IF(COUNT(I389)=0,"Enter approved NTE",IF(COUNT(Z389)&gt;0,IF(Z389&gt;I389,"Invoice exceeds NTE","Invoice within NTE"),IF(COUNT(L389)=0,"Enter quote inputs",IF(L389&gt;I389,"Quote exceeds NTE","Quote within NTE")))))</f>
        <v/>
      </c>
      <c r="AK389" s="11">
        <f>IF(A389="","",IF(COUNT(H389)=0,"Enter direct cost",IF(COUNT(Z389)=0,"Enter invoice revenue",IF(COUNT(AB389:AD389)&lt;3,"Enter expenses (0 if none)","Complete"))))</f>
        <v/>
      </c>
      <c r="AL389" s="11">
        <f>IF(A389="","",IF(NOT(AND(COUNT(AH389)=1,N(AH389)&gt;0.004,V389&lt;&gt;"Void",V389&lt;&gt;"Not invoiced",V389&lt;&gt;"Draft")),"",IF(COUNT(X389)=0,"No due date",IF(TODAY()-X389&lt;=0,"Not yet due",IF(TODAY()-X389&lt;=30,"1-30 days",IF(TODAY()-X389&lt;=60,"31-60 days",IF(TODAY()-X389&lt;=90,"61-90 days","Over 90 days")))))))</f>
        <v/>
      </c>
      <c r="AM389" s="49">
        <f>IF(OR(AL389="",AL389="No due date"),"",MAX(TODAY()-X389,0))</f>
        <v/>
      </c>
      <c r="AN389" s="49">
        <f>IF(AL389="","",IF(COUNT(X389)=0,-100000,TODAY()-X389))</f>
        <v/>
      </c>
      <c r="AO389" s="49">
        <f>IF(AN389="","",COUNTIF(AN$11:AN$1010,"&gt;"&amp;AN389)+COUNTIF(AN$11:AN389,AN389))</f>
        <v/>
      </c>
      <c r="AP389" s="49">
        <f>IF(OR(A389="",B389=""),"",IF(COUNTIF(B$11:B389,B389)=1,MAX(AP$10:AP388)+1,""))</f>
        <v/>
      </c>
    </row>
    <row r="390" ht="24" customHeight="1">
      <c r="A390" s="20" t="n"/>
      <c r="B390" s="10" t="n"/>
      <c r="C390" s="10" t="n"/>
      <c r="D390" s="10" t="n"/>
      <c r="E390" s="10" t="n"/>
      <c r="F390" s="18" t="n"/>
      <c r="G390" s="10" t="n"/>
      <c r="H390" s="12" t="n"/>
      <c r="I390" s="12" t="n"/>
      <c r="J390" s="13">
        <f>IF(OR(A390="",COUNT(H390)=0,COUNT(Z390)=0),"",ROUND(Z390-H390,2))</f>
        <v/>
      </c>
      <c r="K390" s="15">
        <f>IF(COUNT(J390)=0,"",IF(Z390=0,"n.a.",J390/Z390))</f>
        <v/>
      </c>
      <c r="L390" s="14">
        <f>IF(OR(A390="",COUNT(H390)=0,COUNT(Y390)=0),"",ROUND(H390*(1+Y390),2))</f>
        <v/>
      </c>
      <c r="M390" s="10" t="n"/>
      <c r="N390" s="10" t="n"/>
      <c r="O390" s="10" t="n"/>
      <c r="P390" s="10" t="n"/>
      <c r="Q390" s="20" t="n"/>
      <c r="R390" s="10" t="n"/>
      <c r="S390" s="10" t="n"/>
      <c r="T390" s="18" t="n"/>
      <c r="U390" s="18" t="n"/>
      <c r="V390" s="10" t="n"/>
      <c r="W390" s="10" t="n"/>
      <c r="X390" s="19">
        <f>IF(OR(A390="",COUNT(U390)=0,COUNT(AI390)=0),"",U390+AI390)</f>
        <v/>
      </c>
      <c r="Y390" s="16" t="n"/>
      <c r="Z390" s="12" t="n"/>
      <c r="AA390" s="17">
        <f>IF(COUNT(J390)=0,"",IF(H390=0,"n.a.",J390/H390))</f>
        <v/>
      </c>
      <c r="AB390" s="12" t="n"/>
      <c r="AC390" s="12" t="n"/>
      <c r="AD390" s="12" t="n"/>
      <c r="AE390" s="13">
        <f>IF(OR(COUNT(J390)=0,COUNT(AB390:AD390)&lt;3),"",ROUND(J390-SUM(AB390:AD390),2))</f>
        <v/>
      </c>
      <c r="AF390" s="15">
        <f>IF(COUNT(AE390)=0,"",IF(Z390=0,"n.a.",AE390/Z390))</f>
        <v/>
      </c>
      <c r="AG390" s="12" t="n"/>
      <c r="AH390" s="14">
        <f>IF(OR(A390="",COUNT(Z390)=0,COUNT(AG390)=0),"",ROUND(Z390-AG390,2))</f>
        <v/>
      </c>
      <c r="AI390" s="21" t="n"/>
      <c r="AJ390" s="11">
        <f>IF(A390="","",IF(COUNT(I390)=0,"Enter approved NTE",IF(COUNT(Z390)&gt;0,IF(Z390&gt;I390,"Invoice exceeds NTE","Invoice within NTE"),IF(COUNT(L390)=0,"Enter quote inputs",IF(L390&gt;I390,"Quote exceeds NTE","Quote within NTE")))))</f>
        <v/>
      </c>
      <c r="AK390" s="11">
        <f>IF(A390="","",IF(COUNT(H390)=0,"Enter direct cost",IF(COUNT(Z390)=0,"Enter invoice revenue",IF(COUNT(AB390:AD390)&lt;3,"Enter expenses (0 if none)","Complete"))))</f>
        <v/>
      </c>
      <c r="AL390" s="11">
        <f>IF(A390="","",IF(NOT(AND(COUNT(AH390)=1,N(AH390)&gt;0.004,V390&lt;&gt;"Void",V390&lt;&gt;"Not invoiced",V390&lt;&gt;"Draft")),"",IF(COUNT(X390)=0,"No due date",IF(TODAY()-X390&lt;=0,"Not yet due",IF(TODAY()-X390&lt;=30,"1-30 days",IF(TODAY()-X390&lt;=60,"31-60 days",IF(TODAY()-X390&lt;=90,"61-90 days","Over 90 days")))))))</f>
        <v/>
      </c>
      <c r="AM390" s="49">
        <f>IF(OR(AL390="",AL390="No due date"),"",MAX(TODAY()-X390,0))</f>
        <v/>
      </c>
      <c r="AN390" s="49">
        <f>IF(AL390="","",IF(COUNT(X390)=0,-100000,TODAY()-X390))</f>
        <v/>
      </c>
      <c r="AO390" s="49">
        <f>IF(AN390="","",COUNTIF(AN$11:AN$1010,"&gt;"&amp;AN390)+COUNTIF(AN$11:AN390,AN390))</f>
        <v/>
      </c>
      <c r="AP390" s="49">
        <f>IF(OR(A390="",B390=""),"",IF(COUNTIF(B$11:B390,B390)=1,MAX(AP$10:AP389)+1,""))</f>
        <v/>
      </c>
    </row>
    <row r="391" ht="24" customHeight="1">
      <c r="A391" s="20" t="n"/>
      <c r="B391" s="10" t="n"/>
      <c r="C391" s="10" t="n"/>
      <c r="D391" s="10" t="n"/>
      <c r="E391" s="10" t="n"/>
      <c r="F391" s="18" t="n"/>
      <c r="G391" s="10" t="n"/>
      <c r="H391" s="12" t="n"/>
      <c r="I391" s="12" t="n"/>
      <c r="J391" s="13">
        <f>IF(OR(A391="",COUNT(H391)=0,COUNT(Z391)=0),"",ROUND(Z391-H391,2))</f>
        <v/>
      </c>
      <c r="K391" s="15">
        <f>IF(COUNT(J391)=0,"",IF(Z391=0,"n.a.",J391/Z391))</f>
        <v/>
      </c>
      <c r="L391" s="14">
        <f>IF(OR(A391="",COUNT(H391)=0,COUNT(Y391)=0),"",ROUND(H391*(1+Y391),2))</f>
        <v/>
      </c>
      <c r="M391" s="10" t="n"/>
      <c r="N391" s="10" t="n"/>
      <c r="O391" s="10" t="n"/>
      <c r="P391" s="10" t="n"/>
      <c r="Q391" s="20" t="n"/>
      <c r="R391" s="10" t="n"/>
      <c r="S391" s="10" t="n"/>
      <c r="T391" s="18" t="n"/>
      <c r="U391" s="18" t="n"/>
      <c r="V391" s="10" t="n"/>
      <c r="W391" s="10" t="n"/>
      <c r="X391" s="19">
        <f>IF(OR(A391="",COUNT(U391)=0,COUNT(AI391)=0),"",U391+AI391)</f>
        <v/>
      </c>
      <c r="Y391" s="16" t="n"/>
      <c r="Z391" s="12" t="n"/>
      <c r="AA391" s="17">
        <f>IF(COUNT(J391)=0,"",IF(H391=0,"n.a.",J391/H391))</f>
        <v/>
      </c>
      <c r="AB391" s="12" t="n"/>
      <c r="AC391" s="12" t="n"/>
      <c r="AD391" s="12" t="n"/>
      <c r="AE391" s="13">
        <f>IF(OR(COUNT(J391)=0,COUNT(AB391:AD391)&lt;3),"",ROUND(J391-SUM(AB391:AD391),2))</f>
        <v/>
      </c>
      <c r="AF391" s="15">
        <f>IF(COUNT(AE391)=0,"",IF(Z391=0,"n.a.",AE391/Z391))</f>
        <v/>
      </c>
      <c r="AG391" s="12" t="n"/>
      <c r="AH391" s="14">
        <f>IF(OR(A391="",COUNT(Z391)=0,COUNT(AG391)=0),"",ROUND(Z391-AG391,2))</f>
        <v/>
      </c>
      <c r="AI391" s="21" t="n"/>
      <c r="AJ391" s="11">
        <f>IF(A391="","",IF(COUNT(I391)=0,"Enter approved NTE",IF(COUNT(Z391)&gt;0,IF(Z391&gt;I391,"Invoice exceeds NTE","Invoice within NTE"),IF(COUNT(L391)=0,"Enter quote inputs",IF(L391&gt;I391,"Quote exceeds NTE","Quote within NTE")))))</f>
        <v/>
      </c>
      <c r="AK391" s="11">
        <f>IF(A391="","",IF(COUNT(H391)=0,"Enter direct cost",IF(COUNT(Z391)=0,"Enter invoice revenue",IF(COUNT(AB391:AD391)&lt;3,"Enter expenses (0 if none)","Complete"))))</f>
        <v/>
      </c>
      <c r="AL391" s="11">
        <f>IF(A391="","",IF(NOT(AND(COUNT(AH391)=1,N(AH391)&gt;0.004,V391&lt;&gt;"Void",V391&lt;&gt;"Not invoiced",V391&lt;&gt;"Draft")),"",IF(COUNT(X391)=0,"No due date",IF(TODAY()-X391&lt;=0,"Not yet due",IF(TODAY()-X391&lt;=30,"1-30 days",IF(TODAY()-X391&lt;=60,"31-60 days",IF(TODAY()-X391&lt;=90,"61-90 days","Over 90 days")))))))</f>
        <v/>
      </c>
      <c r="AM391" s="49">
        <f>IF(OR(AL391="",AL391="No due date"),"",MAX(TODAY()-X391,0))</f>
        <v/>
      </c>
      <c r="AN391" s="49">
        <f>IF(AL391="","",IF(COUNT(X391)=0,-100000,TODAY()-X391))</f>
        <v/>
      </c>
      <c r="AO391" s="49">
        <f>IF(AN391="","",COUNTIF(AN$11:AN$1010,"&gt;"&amp;AN391)+COUNTIF(AN$11:AN391,AN391))</f>
        <v/>
      </c>
      <c r="AP391" s="49">
        <f>IF(OR(A391="",B391=""),"",IF(COUNTIF(B$11:B391,B391)=1,MAX(AP$10:AP390)+1,""))</f>
        <v/>
      </c>
    </row>
    <row r="392" ht="24" customHeight="1">
      <c r="A392" s="20" t="n"/>
      <c r="B392" s="10" t="n"/>
      <c r="C392" s="10" t="n"/>
      <c r="D392" s="10" t="n"/>
      <c r="E392" s="10" t="n"/>
      <c r="F392" s="18" t="n"/>
      <c r="G392" s="10" t="n"/>
      <c r="H392" s="12" t="n"/>
      <c r="I392" s="12" t="n"/>
      <c r="J392" s="13">
        <f>IF(OR(A392="",COUNT(H392)=0,COUNT(Z392)=0),"",ROUND(Z392-H392,2))</f>
        <v/>
      </c>
      <c r="K392" s="15">
        <f>IF(COUNT(J392)=0,"",IF(Z392=0,"n.a.",J392/Z392))</f>
        <v/>
      </c>
      <c r="L392" s="14">
        <f>IF(OR(A392="",COUNT(H392)=0,COUNT(Y392)=0),"",ROUND(H392*(1+Y392),2))</f>
        <v/>
      </c>
      <c r="M392" s="10" t="n"/>
      <c r="N392" s="10" t="n"/>
      <c r="O392" s="10" t="n"/>
      <c r="P392" s="10" t="n"/>
      <c r="Q392" s="20" t="n"/>
      <c r="R392" s="10" t="n"/>
      <c r="S392" s="10" t="n"/>
      <c r="T392" s="18" t="n"/>
      <c r="U392" s="18" t="n"/>
      <c r="V392" s="10" t="n"/>
      <c r="W392" s="10" t="n"/>
      <c r="X392" s="19">
        <f>IF(OR(A392="",COUNT(U392)=0,COUNT(AI392)=0),"",U392+AI392)</f>
        <v/>
      </c>
      <c r="Y392" s="16" t="n"/>
      <c r="Z392" s="12" t="n"/>
      <c r="AA392" s="17">
        <f>IF(COUNT(J392)=0,"",IF(H392=0,"n.a.",J392/H392))</f>
        <v/>
      </c>
      <c r="AB392" s="12" t="n"/>
      <c r="AC392" s="12" t="n"/>
      <c r="AD392" s="12" t="n"/>
      <c r="AE392" s="13">
        <f>IF(OR(COUNT(J392)=0,COUNT(AB392:AD392)&lt;3),"",ROUND(J392-SUM(AB392:AD392),2))</f>
        <v/>
      </c>
      <c r="AF392" s="15">
        <f>IF(COUNT(AE392)=0,"",IF(Z392=0,"n.a.",AE392/Z392))</f>
        <v/>
      </c>
      <c r="AG392" s="12" t="n"/>
      <c r="AH392" s="14">
        <f>IF(OR(A392="",COUNT(Z392)=0,COUNT(AG392)=0),"",ROUND(Z392-AG392,2))</f>
        <v/>
      </c>
      <c r="AI392" s="21" t="n"/>
      <c r="AJ392" s="11">
        <f>IF(A392="","",IF(COUNT(I392)=0,"Enter approved NTE",IF(COUNT(Z392)&gt;0,IF(Z392&gt;I392,"Invoice exceeds NTE","Invoice within NTE"),IF(COUNT(L392)=0,"Enter quote inputs",IF(L392&gt;I392,"Quote exceeds NTE","Quote within NTE")))))</f>
        <v/>
      </c>
      <c r="AK392" s="11">
        <f>IF(A392="","",IF(COUNT(H392)=0,"Enter direct cost",IF(COUNT(Z392)=0,"Enter invoice revenue",IF(COUNT(AB392:AD392)&lt;3,"Enter expenses (0 if none)","Complete"))))</f>
        <v/>
      </c>
      <c r="AL392" s="11">
        <f>IF(A392="","",IF(NOT(AND(COUNT(AH392)=1,N(AH392)&gt;0.004,V392&lt;&gt;"Void",V392&lt;&gt;"Not invoiced",V392&lt;&gt;"Draft")),"",IF(COUNT(X392)=0,"No due date",IF(TODAY()-X392&lt;=0,"Not yet due",IF(TODAY()-X392&lt;=30,"1-30 days",IF(TODAY()-X392&lt;=60,"31-60 days",IF(TODAY()-X392&lt;=90,"61-90 days","Over 90 days")))))))</f>
        <v/>
      </c>
      <c r="AM392" s="49">
        <f>IF(OR(AL392="",AL392="No due date"),"",MAX(TODAY()-X392,0))</f>
        <v/>
      </c>
      <c r="AN392" s="49">
        <f>IF(AL392="","",IF(COUNT(X392)=0,-100000,TODAY()-X392))</f>
        <v/>
      </c>
      <c r="AO392" s="49">
        <f>IF(AN392="","",COUNTIF(AN$11:AN$1010,"&gt;"&amp;AN392)+COUNTIF(AN$11:AN392,AN392))</f>
        <v/>
      </c>
      <c r="AP392" s="49">
        <f>IF(OR(A392="",B392=""),"",IF(COUNTIF(B$11:B392,B392)=1,MAX(AP$10:AP391)+1,""))</f>
        <v/>
      </c>
    </row>
    <row r="393" ht="24" customHeight="1">
      <c r="A393" s="20" t="n"/>
      <c r="B393" s="10" t="n"/>
      <c r="C393" s="10" t="n"/>
      <c r="D393" s="10" t="n"/>
      <c r="E393" s="10" t="n"/>
      <c r="F393" s="18" t="n"/>
      <c r="G393" s="10" t="n"/>
      <c r="H393" s="12" t="n"/>
      <c r="I393" s="12" t="n"/>
      <c r="J393" s="13">
        <f>IF(OR(A393="",COUNT(H393)=0,COUNT(Z393)=0),"",ROUND(Z393-H393,2))</f>
        <v/>
      </c>
      <c r="K393" s="15">
        <f>IF(COUNT(J393)=0,"",IF(Z393=0,"n.a.",J393/Z393))</f>
        <v/>
      </c>
      <c r="L393" s="14">
        <f>IF(OR(A393="",COUNT(H393)=0,COUNT(Y393)=0),"",ROUND(H393*(1+Y393),2))</f>
        <v/>
      </c>
      <c r="M393" s="10" t="n"/>
      <c r="N393" s="10" t="n"/>
      <c r="O393" s="10" t="n"/>
      <c r="P393" s="10" t="n"/>
      <c r="Q393" s="20" t="n"/>
      <c r="R393" s="10" t="n"/>
      <c r="S393" s="10" t="n"/>
      <c r="T393" s="18" t="n"/>
      <c r="U393" s="18" t="n"/>
      <c r="V393" s="10" t="n"/>
      <c r="W393" s="10" t="n"/>
      <c r="X393" s="19">
        <f>IF(OR(A393="",COUNT(U393)=0,COUNT(AI393)=0),"",U393+AI393)</f>
        <v/>
      </c>
      <c r="Y393" s="16" t="n"/>
      <c r="Z393" s="12" t="n"/>
      <c r="AA393" s="17">
        <f>IF(COUNT(J393)=0,"",IF(H393=0,"n.a.",J393/H393))</f>
        <v/>
      </c>
      <c r="AB393" s="12" t="n"/>
      <c r="AC393" s="12" t="n"/>
      <c r="AD393" s="12" t="n"/>
      <c r="AE393" s="13">
        <f>IF(OR(COUNT(J393)=0,COUNT(AB393:AD393)&lt;3),"",ROUND(J393-SUM(AB393:AD393),2))</f>
        <v/>
      </c>
      <c r="AF393" s="15">
        <f>IF(COUNT(AE393)=0,"",IF(Z393=0,"n.a.",AE393/Z393))</f>
        <v/>
      </c>
      <c r="AG393" s="12" t="n"/>
      <c r="AH393" s="14">
        <f>IF(OR(A393="",COUNT(Z393)=0,COUNT(AG393)=0),"",ROUND(Z393-AG393,2))</f>
        <v/>
      </c>
      <c r="AI393" s="21" t="n"/>
      <c r="AJ393" s="11">
        <f>IF(A393="","",IF(COUNT(I393)=0,"Enter approved NTE",IF(COUNT(Z393)&gt;0,IF(Z393&gt;I393,"Invoice exceeds NTE","Invoice within NTE"),IF(COUNT(L393)=0,"Enter quote inputs",IF(L393&gt;I393,"Quote exceeds NTE","Quote within NTE")))))</f>
        <v/>
      </c>
      <c r="AK393" s="11">
        <f>IF(A393="","",IF(COUNT(H393)=0,"Enter direct cost",IF(COUNT(Z393)=0,"Enter invoice revenue",IF(COUNT(AB393:AD393)&lt;3,"Enter expenses (0 if none)","Complete"))))</f>
        <v/>
      </c>
      <c r="AL393" s="11">
        <f>IF(A393="","",IF(NOT(AND(COUNT(AH393)=1,N(AH393)&gt;0.004,V393&lt;&gt;"Void",V393&lt;&gt;"Not invoiced",V393&lt;&gt;"Draft")),"",IF(COUNT(X393)=0,"No due date",IF(TODAY()-X393&lt;=0,"Not yet due",IF(TODAY()-X393&lt;=30,"1-30 days",IF(TODAY()-X393&lt;=60,"31-60 days",IF(TODAY()-X393&lt;=90,"61-90 days","Over 90 days")))))))</f>
        <v/>
      </c>
      <c r="AM393" s="49">
        <f>IF(OR(AL393="",AL393="No due date"),"",MAX(TODAY()-X393,0))</f>
        <v/>
      </c>
      <c r="AN393" s="49">
        <f>IF(AL393="","",IF(COUNT(X393)=0,-100000,TODAY()-X393))</f>
        <v/>
      </c>
      <c r="AO393" s="49">
        <f>IF(AN393="","",COUNTIF(AN$11:AN$1010,"&gt;"&amp;AN393)+COUNTIF(AN$11:AN393,AN393))</f>
        <v/>
      </c>
      <c r="AP393" s="49">
        <f>IF(OR(A393="",B393=""),"",IF(COUNTIF(B$11:B393,B393)=1,MAX(AP$10:AP392)+1,""))</f>
        <v/>
      </c>
    </row>
    <row r="394" ht="24" customHeight="1">
      <c r="A394" s="20" t="n"/>
      <c r="B394" s="10" t="n"/>
      <c r="C394" s="10" t="n"/>
      <c r="D394" s="10" t="n"/>
      <c r="E394" s="10" t="n"/>
      <c r="F394" s="18" t="n"/>
      <c r="G394" s="10" t="n"/>
      <c r="H394" s="12" t="n"/>
      <c r="I394" s="12" t="n"/>
      <c r="J394" s="13">
        <f>IF(OR(A394="",COUNT(H394)=0,COUNT(Z394)=0),"",ROUND(Z394-H394,2))</f>
        <v/>
      </c>
      <c r="K394" s="15">
        <f>IF(COUNT(J394)=0,"",IF(Z394=0,"n.a.",J394/Z394))</f>
        <v/>
      </c>
      <c r="L394" s="14">
        <f>IF(OR(A394="",COUNT(H394)=0,COUNT(Y394)=0),"",ROUND(H394*(1+Y394),2))</f>
        <v/>
      </c>
      <c r="M394" s="10" t="n"/>
      <c r="N394" s="10" t="n"/>
      <c r="O394" s="10" t="n"/>
      <c r="P394" s="10" t="n"/>
      <c r="Q394" s="20" t="n"/>
      <c r="R394" s="10" t="n"/>
      <c r="S394" s="10" t="n"/>
      <c r="T394" s="18" t="n"/>
      <c r="U394" s="18" t="n"/>
      <c r="V394" s="10" t="n"/>
      <c r="W394" s="10" t="n"/>
      <c r="X394" s="19">
        <f>IF(OR(A394="",COUNT(U394)=0,COUNT(AI394)=0),"",U394+AI394)</f>
        <v/>
      </c>
      <c r="Y394" s="16" t="n"/>
      <c r="Z394" s="12" t="n"/>
      <c r="AA394" s="17">
        <f>IF(COUNT(J394)=0,"",IF(H394=0,"n.a.",J394/H394))</f>
        <v/>
      </c>
      <c r="AB394" s="12" t="n"/>
      <c r="AC394" s="12" t="n"/>
      <c r="AD394" s="12" t="n"/>
      <c r="AE394" s="13">
        <f>IF(OR(COUNT(J394)=0,COUNT(AB394:AD394)&lt;3),"",ROUND(J394-SUM(AB394:AD394),2))</f>
        <v/>
      </c>
      <c r="AF394" s="15">
        <f>IF(COUNT(AE394)=0,"",IF(Z394=0,"n.a.",AE394/Z394))</f>
        <v/>
      </c>
      <c r="AG394" s="12" t="n"/>
      <c r="AH394" s="14">
        <f>IF(OR(A394="",COUNT(Z394)=0,COUNT(AG394)=0),"",ROUND(Z394-AG394,2))</f>
        <v/>
      </c>
      <c r="AI394" s="21" t="n"/>
      <c r="AJ394" s="11">
        <f>IF(A394="","",IF(COUNT(I394)=0,"Enter approved NTE",IF(COUNT(Z394)&gt;0,IF(Z394&gt;I394,"Invoice exceeds NTE","Invoice within NTE"),IF(COUNT(L394)=0,"Enter quote inputs",IF(L394&gt;I394,"Quote exceeds NTE","Quote within NTE")))))</f>
        <v/>
      </c>
      <c r="AK394" s="11">
        <f>IF(A394="","",IF(COUNT(H394)=0,"Enter direct cost",IF(COUNT(Z394)=0,"Enter invoice revenue",IF(COUNT(AB394:AD394)&lt;3,"Enter expenses (0 if none)","Complete"))))</f>
        <v/>
      </c>
      <c r="AL394" s="11">
        <f>IF(A394="","",IF(NOT(AND(COUNT(AH394)=1,N(AH394)&gt;0.004,V394&lt;&gt;"Void",V394&lt;&gt;"Not invoiced",V394&lt;&gt;"Draft")),"",IF(COUNT(X394)=0,"No due date",IF(TODAY()-X394&lt;=0,"Not yet due",IF(TODAY()-X394&lt;=30,"1-30 days",IF(TODAY()-X394&lt;=60,"31-60 days",IF(TODAY()-X394&lt;=90,"61-90 days","Over 90 days")))))))</f>
        <v/>
      </c>
      <c r="AM394" s="49">
        <f>IF(OR(AL394="",AL394="No due date"),"",MAX(TODAY()-X394,0))</f>
        <v/>
      </c>
      <c r="AN394" s="49">
        <f>IF(AL394="","",IF(COUNT(X394)=0,-100000,TODAY()-X394))</f>
        <v/>
      </c>
      <c r="AO394" s="49">
        <f>IF(AN394="","",COUNTIF(AN$11:AN$1010,"&gt;"&amp;AN394)+COUNTIF(AN$11:AN394,AN394))</f>
        <v/>
      </c>
      <c r="AP394" s="49">
        <f>IF(OR(A394="",B394=""),"",IF(COUNTIF(B$11:B394,B394)=1,MAX(AP$10:AP393)+1,""))</f>
        <v/>
      </c>
    </row>
    <row r="395" ht="24" customHeight="1">
      <c r="A395" s="20" t="n"/>
      <c r="B395" s="10" t="n"/>
      <c r="C395" s="10" t="n"/>
      <c r="D395" s="10" t="n"/>
      <c r="E395" s="10" t="n"/>
      <c r="F395" s="18" t="n"/>
      <c r="G395" s="10" t="n"/>
      <c r="H395" s="12" t="n"/>
      <c r="I395" s="12" t="n"/>
      <c r="J395" s="13">
        <f>IF(OR(A395="",COUNT(H395)=0,COUNT(Z395)=0),"",ROUND(Z395-H395,2))</f>
        <v/>
      </c>
      <c r="K395" s="15">
        <f>IF(COUNT(J395)=0,"",IF(Z395=0,"n.a.",J395/Z395))</f>
        <v/>
      </c>
      <c r="L395" s="14">
        <f>IF(OR(A395="",COUNT(H395)=0,COUNT(Y395)=0),"",ROUND(H395*(1+Y395),2))</f>
        <v/>
      </c>
      <c r="M395" s="10" t="n"/>
      <c r="N395" s="10" t="n"/>
      <c r="O395" s="10" t="n"/>
      <c r="P395" s="10" t="n"/>
      <c r="Q395" s="20" t="n"/>
      <c r="R395" s="10" t="n"/>
      <c r="S395" s="10" t="n"/>
      <c r="T395" s="18" t="n"/>
      <c r="U395" s="18" t="n"/>
      <c r="V395" s="10" t="n"/>
      <c r="W395" s="10" t="n"/>
      <c r="X395" s="19">
        <f>IF(OR(A395="",COUNT(U395)=0,COUNT(AI395)=0),"",U395+AI395)</f>
        <v/>
      </c>
      <c r="Y395" s="16" t="n"/>
      <c r="Z395" s="12" t="n"/>
      <c r="AA395" s="17">
        <f>IF(COUNT(J395)=0,"",IF(H395=0,"n.a.",J395/H395))</f>
        <v/>
      </c>
      <c r="AB395" s="12" t="n"/>
      <c r="AC395" s="12" t="n"/>
      <c r="AD395" s="12" t="n"/>
      <c r="AE395" s="13">
        <f>IF(OR(COUNT(J395)=0,COUNT(AB395:AD395)&lt;3),"",ROUND(J395-SUM(AB395:AD395),2))</f>
        <v/>
      </c>
      <c r="AF395" s="15">
        <f>IF(COUNT(AE395)=0,"",IF(Z395=0,"n.a.",AE395/Z395))</f>
        <v/>
      </c>
      <c r="AG395" s="12" t="n"/>
      <c r="AH395" s="14">
        <f>IF(OR(A395="",COUNT(Z395)=0,COUNT(AG395)=0),"",ROUND(Z395-AG395,2))</f>
        <v/>
      </c>
      <c r="AI395" s="21" t="n"/>
      <c r="AJ395" s="11">
        <f>IF(A395="","",IF(COUNT(I395)=0,"Enter approved NTE",IF(COUNT(Z395)&gt;0,IF(Z395&gt;I395,"Invoice exceeds NTE","Invoice within NTE"),IF(COUNT(L395)=0,"Enter quote inputs",IF(L395&gt;I395,"Quote exceeds NTE","Quote within NTE")))))</f>
        <v/>
      </c>
      <c r="AK395" s="11">
        <f>IF(A395="","",IF(COUNT(H395)=0,"Enter direct cost",IF(COUNT(Z395)=0,"Enter invoice revenue",IF(COUNT(AB395:AD395)&lt;3,"Enter expenses (0 if none)","Complete"))))</f>
        <v/>
      </c>
      <c r="AL395" s="11">
        <f>IF(A395="","",IF(NOT(AND(COUNT(AH395)=1,N(AH395)&gt;0.004,V395&lt;&gt;"Void",V395&lt;&gt;"Not invoiced",V395&lt;&gt;"Draft")),"",IF(COUNT(X395)=0,"No due date",IF(TODAY()-X395&lt;=0,"Not yet due",IF(TODAY()-X395&lt;=30,"1-30 days",IF(TODAY()-X395&lt;=60,"31-60 days",IF(TODAY()-X395&lt;=90,"61-90 days","Over 90 days")))))))</f>
        <v/>
      </c>
      <c r="AM395" s="49">
        <f>IF(OR(AL395="",AL395="No due date"),"",MAX(TODAY()-X395,0))</f>
        <v/>
      </c>
      <c r="AN395" s="49">
        <f>IF(AL395="","",IF(COUNT(X395)=0,-100000,TODAY()-X395))</f>
        <v/>
      </c>
      <c r="AO395" s="49">
        <f>IF(AN395="","",COUNTIF(AN$11:AN$1010,"&gt;"&amp;AN395)+COUNTIF(AN$11:AN395,AN395))</f>
        <v/>
      </c>
      <c r="AP395" s="49">
        <f>IF(OR(A395="",B395=""),"",IF(COUNTIF(B$11:B395,B395)=1,MAX(AP$10:AP394)+1,""))</f>
        <v/>
      </c>
    </row>
    <row r="396" ht="24" customHeight="1">
      <c r="A396" s="20" t="n"/>
      <c r="B396" s="10" t="n"/>
      <c r="C396" s="10" t="n"/>
      <c r="D396" s="10" t="n"/>
      <c r="E396" s="10" t="n"/>
      <c r="F396" s="18" t="n"/>
      <c r="G396" s="10" t="n"/>
      <c r="H396" s="12" t="n"/>
      <c r="I396" s="12" t="n"/>
      <c r="J396" s="13">
        <f>IF(OR(A396="",COUNT(H396)=0,COUNT(Z396)=0),"",ROUND(Z396-H396,2))</f>
        <v/>
      </c>
      <c r="K396" s="15">
        <f>IF(COUNT(J396)=0,"",IF(Z396=0,"n.a.",J396/Z396))</f>
        <v/>
      </c>
      <c r="L396" s="14">
        <f>IF(OR(A396="",COUNT(H396)=0,COUNT(Y396)=0),"",ROUND(H396*(1+Y396),2))</f>
        <v/>
      </c>
      <c r="M396" s="10" t="n"/>
      <c r="N396" s="10" t="n"/>
      <c r="O396" s="10" t="n"/>
      <c r="P396" s="10" t="n"/>
      <c r="Q396" s="20" t="n"/>
      <c r="R396" s="10" t="n"/>
      <c r="S396" s="10" t="n"/>
      <c r="T396" s="18" t="n"/>
      <c r="U396" s="18" t="n"/>
      <c r="V396" s="10" t="n"/>
      <c r="W396" s="10" t="n"/>
      <c r="X396" s="19">
        <f>IF(OR(A396="",COUNT(U396)=0,COUNT(AI396)=0),"",U396+AI396)</f>
        <v/>
      </c>
      <c r="Y396" s="16" t="n"/>
      <c r="Z396" s="12" t="n"/>
      <c r="AA396" s="17">
        <f>IF(COUNT(J396)=0,"",IF(H396=0,"n.a.",J396/H396))</f>
        <v/>
      </c>
      <c r="AB396" s="12" t="n"/>
      <c r="AC396" s="12" t="n"/>
      <c r="AD396" s="12" t="n"/>
      <c r="AE396" s="13">
        <f>IF(OR(COUNT(J396)=0,COUNT(AB396:AD396)&lt;3),"",ROUND(J396-SUM(AB396:AD396),2))</f>
        <v/>
      </c>
      <c r="AF396" s="15">
        <f>IF(COUNT(AE396)=0,"",IF(Z396=0,"n.a.",AE396/Z396))</f>
        <v/>
      </c>
      <c r="AG396" s="12" t="n"/>
      <c r="AH396" s="14">
        <f>IF(OR(A396="",COUNT(Z396)=0,COUNT(AG396)=0),"",ROUND(Z396-AG396,2))</f>
        <v/>
      </c>
      <c r="AI396" s="21" t="n"/>
      <c r="AJ396" s="11">
        <f>IF(A396="","",IF(COUNT(I396)=0,"Enter approved NTE",IF(COUNT(Z396)&gt;0,IF(Z396&gt;I396,"Invoice exceeds NTE","Invoice within NTE"),IF(COUNT(L396)=0,"Enter quote inputs",IF(L396&gt;I396,"Quote exceeds NTE","Quote within NTE")))))</f>
        <v/>
      </c>
      <c r="AK396" s="11">
        <f>IF(A396="","",IF(COUNT(H396)=0,"Enter direct cost",IF(COUNT(Z396)=0,"Enter invoice revenue",IF(COUNT(AB396:AD396)&lt;3,"Enter expenses (0 if none)","Complete"))))</f>
        <v/>
      </c>
      <c r="AL396" s="11">
        <f>IF(A396="","",IF(NOT(AND(COUNT(AH396)=1,N(AH396)&gt;0.004,V396&lt;&gt;"Void",V396&lt;&gt;"Not invoiced",V396&lt;&gt;"Draft")),"",IF(COUNT(X396)=0,"No due date",IF(TODAY()-X396&lt;=0,"Not yet due",IF(TODAY()-X396&lt;=30,"1-30 days",IF(TODAY()-X396&lt;=60,"31-60 days",IF(TODAY()-X396&lt;=90,"61-90 days","Over 90 days")))))))</f>
        <v/>
      </c>
      <c r="AM396" s="49">
        <f>IF(OR(AL396="",AL396="No due date"),"",MAX(TODAY()-X396,0))</f>
        <v/>
      </c>
      <c r="AN396" s="49">
        <f>IF(AL396="","",IF(COUNT(X396)=0,-100000,TODAY()-X396))</f>
        <v/>
      </c>
      <c r="AO396" s="49">
        <f>IF(AN396="","",COUNTIF(AN$11:AN$1010,"&gt;"&amp;AN396)+COUNTIF(AN$11:AN396,AN396))</f>
        <v/>
      </c>
      <c r="AP396" s="49">
        <f>IF(OR(A396="",B396=""),"",IF(COUNTIF(B$11:B396,B396)=1,MAX(AP$10:AP395)+1,""))</f>
        <v/>
      </c>
    </row>
    <row r="397" ht="24" customHeight="1">
      <c r="A397" s="20" t="n"/>
      <c r="B397" s="10" t="n"/>
      <c r="C397" s="10" t="n"/>
      <c r="D397" s="10" t="n"/>
      <c r="E397" s="10" t="n"/>
      <c r="F397" s="18" t="n"/>
      <c r="G397" s="10" t="n"/>
      <c r="H397" s="12" t="n"/>
      <c r="I397" s="12" t="n"/>
      <c r="J397" s="13">
        <f>IF(OR(A397="",COUNT(H397)=0,COUNT(Z397)=0),"",ROUND(Z397-H397,2))</f>
        <v/>
      </c>
      <c r="K397" s="15">
        <f>IF(COUNT(J397)=0,"",IF(Z397=0,"n.a.",J397/Z397))</f>
        <v/>
      </c>
      <c r="L397" s="14">
        <f>IF(OR(A397="",COUNT(H397)=0,COUNT(Y397)=0),"",ROUND(H397*(1+Y397),2))</f>
        <v/>
      </c>
      <c r="M397" s="10" t="n"/>
      <c r="N397" s="10" t="n"/>
      <c r="O397" s="10" t="n"/>
      <c r="P397" s="10" t="n"/>
      <c r="Q397" s="20" t="n"/>
      <c r="R397" s="10" t="n"/>
      <c r="S397" s="10" t="n"/>
      <c r="T397" s="18" t="n"/>
      <c r="U397" s="18" t="n"/>
      <c r="V397" s="10" t="n"/>
      <c r="W397" s="10" t="n"/>
      <c r="X397" s="19">
        <f>IF(OR(A397="",COUNT(U397)=0,COUNT(AI397)=0),"",U397+AI397)</f>
        <v/>
      </c>
      <c r="Y397" s="16" t="n"/>
      <c r="Z397" s="12" t="n"/>
      <c r="AA397" s="17">
        <f>IF(COUNT(J397)=0,"",IF(H397=0,"n.a.",J397/H397))</f>
        <v/>
      </c>
      <c r="AB397" s="12" t="n"/>
      <c r="AC397" s="12" t="n"/>
      <c r="AD397" s="12" t="n"/>
      <c r="AE397" s="13">
        <f>IF(OR(COUNT(J397)=0,COUNT(AB397:AD397)&lt;3),"",ROUND(J397-SUM(AB397:AD397),2))</f>
        <v/>
      </c>
      <c r="AF397" s="15">
        <f>IF(COUNT(AE397)=0,"",IF(Z397=0,"n.a.",AE397/Z397))</f>
        <v/>
      </c>
      <c r="AG397" s="12" t="n"/>
      <c r="AH397" s="14">
        <f>IF(OR(A397="",COUNT(Z397)=0,COUNT(AG397)=0),"",ROUND(Z397-AG397,2))</f>
        <v/>
      </c>
      <c r="AI397" s="21" t="n"/>
      <c r="AJ397" s="11">
        <f>IF(A397="","",IF(COUNT(I397)=0,"Enter approved NTE",IF(COUNT(Z397)&gt;0,IF(Z397&gt;I397,"Invoice exceeds NTE","Invoice within NTE"),IF(COUNT(L397)=0,"Enter quote inputs",IF(L397&gt;I397,"Quote exceeds NTE","Quote within NTE")))))</f>
        <v/>
      </c>
      <c r="AK397" s="11">
        <f>IF(A397="","",IF(COUNT(H397)=0,"Enter direct cost",IF(COUNT(Z397)=0,"Enter invoice revenue",IF(COUNT(AB397:AD397)&lt;3,"Enter expenses (0 if none)","Complete"))))</f>
        <v/>
      </c>
      <c r="AL397" s="11">
        <f>IF(A397="","",IF(NOT(AND(COUNT(AH397)=1,N(AH397)&gt;0.004,V397&lt;&gt;"Void",V397&lt;&gt;"Not invoiced",V397&lt;&gt;"Draft")),"",IF(COUNT(X397)=0,"No due date",IF(TODAY()-X397&lt;=0,"Not yet due",IF(TODAY()-X397&lt;=30,"1-30 days",IF(TODAY()-X397&lt;=60,"31-60 days",IF(TODAY()-X397&lt;=90,"61-90 days","Over 90 days")))))))</f>
        <v/>
      </c>
      <c r="AM397" s="49">
        <f>IF(OR(AL397="",AL397="No due date"),"",MAX(TODAY()-X397,0))</f>
        <v/>
      </c>
      <c r="AN397" s="49">
        <f>IF(AL397="","",IF(COUNT(X397)=0,-100000,TODAY()-X397))</f>
        <v/>
      </c>
      <c r="AO397" s="49">
        <f>IF(AN397="","",COUNTIF(AN$11:AN$1010,"&gt;"&amp;AN397)+COUNTIF(AN$11:AN397,AN397))</f>
        <v/>
      </c>
      <c r="AP397" s="49">
        <f>IF(OR(A397="",B397=""),"",IF(COUNTIF(B$11:B397,B397)=1,MAX(AP$10:AP396)+1,""))</f>
        <v/>
      </c>
    </row>
    <row r="398" ht="24" customHeight="1">
      <c r="A398" s="20" t="n"/>
      <c r="B398" s="10" t="n"/>
      <c r="C398" s="10" t="n"/>
      <c r="D398" s="10" t="n"/>
      <c r="E398" s="10" t="n"/>
      <c r="F398" s="18" t="n"/>
      <c r="G398" s="10" t="n"/>
      <c r="H398" s="12" t="n"/>
      <c r="I398" s="12" t="n"/>
      <c r="J398" s="13">
        <f>IF(OR(A398="",COUNT(H398)=0,COUNT(Z398)=0),"",ROUND(Z398-H398,2))</f>
        <v/>
      </c>
      <c r="K398" s="15">
        <f>IF(COUNT(J398)=0,"",IF(Z398=0,"n.a.",J398/Z398))</f>
        <v/>
      </c>
      <c r="L398" s="14">
        <f>IF(OR(A398="",COUNT(H398)=0,COUNT(Y398)=0),"",ROUND(H398*(1+Y398),2))</f>
        <v/>
      </c>
      <c r="M398" s="10" t="n"/>
      <c r="N398" s="10" t="n"/>
      <c r="O398" s="10" t="n"/>
      <c r="P398" s="10" t="n"/>
      <c r="Q398" s="20" t="n"/>
      <c r="R398" s="10" t="n"/>
      <c r="S398" s="10" t="n"/>
      <c r="T398" s="18" t="n"/>
      <c r="U398" s="18" t="n"/>
      <c r="V398" s="10" t="n"/>
      <c r="W398" s="10" t="n"/>
      <c r="X398" s="19">
        <f>IF(OR(A398="",COUNT(U398)=0,COUNT(AI398)=0),"",U398+AI398)</f>
        <v/>
      </c>
      <c r="Y398" s="16" t="n"/>
      <c r="Z398" s="12" t="n"/>
      <c r="AA398" s="17">
        <f>IF(COUNT(J398)=0,"",IF(H398=0,"n.a.",J398/H398))</f>
        <v/>
      </c>
      <c r="AB398" s="12" t="n"/>
      <c r="AC398" s="12" t="n"/>
      <c r="AD398" s="12" t="n"/>
      <c r="AE398" s="13">
        <f>IF(OR(COUNT(J398)=0,COUNT(AB398:AD398)&lt;3),"",ROUND(J398-SUM(AB398:AD398),2))</f>
        <v/>
      </c>
      <c r="AF398" s="15">
        <f>IF(COUNT(AE398)=0,"",IF(Z398=0,"n.a.",AE398/Z398))</f>
        <v/>
      </c>
      <c r="AG398" s="12" t="n"/>
      <c r="AH398" s="14">
        <f>IF(OR(A398="",COUNT(Z398)=0,COUNT(AG398)=0),"",ROUND(Z398-AG398,2))</f>
        <v/>
      </c>
      <c r="AI398" s="21" t="n"/>
      <c r="AJ398" s="11">
        <f>IF(A398="","",IF(COUNT(I398)=0,"Enter approved NTE",IF(COUNT(Z398)&gt;0,IF(Z398&gt;I398,"Invoice exceeds NTE","Invoice within NTE"),IF(COUNT(L398)=0,"Enter quote inputs",IF(L398&gt;I398,"Quote exceeds NTE","Quote within NTE")))))</f>
        <v/>
      </c>
      <c r="AK398" s="11">
        <f>IF(A398="","",IF(COUNT(H398)=0,"Enter direct cost",IF(COUNT(Z398)=0,"Enter invoice revenue",IF(COUNT(AB398:AD398)&lt;3,"Enter expenses (0 if none)","Complete"))))</f>
        <v/>
      </c>
      <c r="AL398" s="11">
        <f>IF(A398="","",IF(NOT(AND(COUNT(AH398)=1,N(AH398)&gt;0.004,V398&lt;&gt;"Void",V398&lt;&gt;"Not invoiced",V398&lt;&gt;"Draft")),"",IF(COUNT(X398)=0,"No due date",IF(TODAY()-X398&lt;=0,"Not yet due",IF(TODAY()-X398&lt;=30,"1-30 days",IF(TODAY()-X398&lt;=60,"31-60 days",IF(TODAY()-X398&lt;=90,"61-90 days","Over 90 days")))))))</f>
        <v/>
      </c>
      <c r="AM398" s="49">
        <f>IF(OR(AL398="",AL398="No due date"),"",MAX(TODAY()-X398,0))</f>
        <v/>
      </c>
      <c r="AN398" s="49">
        <f>IF(AL398="","",IF(COUNT(X398)=0,-100000,TODAY()-X398))</f>
        <v/>
      </c>
      <c r="AO398" s="49">
        <f>IF(AN398="","",COUNTIF(AN$11:AN$1010,"&gt;"&amp;AN398)+COUNTIF(AN$11:AN398,AN398))</f>
        <v/>
      </c>
      <c r="AP398" s="49">
        <f>IF(OR(A398="",B398=""),"",IF(COUNTIF(B$11:B398,B398)=1,MAX(AP$10:AP397)+1,""))</f>
        <v/>
      </c>
    </row>
    <row r="399" ht="24" customHeight="1">
      <c r="A399" s="20" t="n"/>
      <c r="B399" s="10" t="n"/>
      <c r="C399" s="10" t="n"/>
      <c r="D399" s="10" t="n"/>
      <c r="E399" s="10" t="n"/>
      <c r="F399" s="18" t="n"/>
      <c r="G399" s="10" t="n"/>
      <c r="H399" s="12" t="n"/>
      <c r="I399" s="12" t="n"/>
      <c r="J399" s="13">
        <f>IF(OR(A399="",COUNT(H399)=0,COUNT(Z399)=0),"",ROUND(Z399-H399,2))</f>
        <v/>
      </c>
      <c r="K399" s="15">
        <f>IF(COUNT(J399)=0,"",IF(Z399=0,"n.a.",J399/Z399))</f>
        <v/>
      </c>
      <c r="L399" s="14">
        <f>IF(OR(A399="",COUNT(H399)=0,COUNT(Y399)=0),"",ROUND(H399*(1+Y399),2))</f>
        <v/>
      </c>
      <c r="M399" s="10" t="n"/>
      <c r="N399" s="10" t="n"/>
      <c r="O399" s="10" t="n"/>
      <c r="P399" s="10" t="n"/>
      <c r="Q399" s="20" t="n"/>
      <c r="R399" s="10" t="n"/>
      <c r="S399" s="10" t="n"/>
      <c r="T399" s="18" t="n"/>
      <c r="U399" s="18" t="n"/>
      <c r="V399" s="10" t="n"/>
      <c r="W399" s="10" t="n"/>
      <c r="X399" s="19">
        <f>IF(OR(A399="",COUNT(U399)=0,COUNT(AI399)=0),"",U399+AI399)</f>
        <v/>
      </c>
      <c r="Y399" s="16" t="n"/>
      <c r="Z399" s="12" t="n"/>
      <c r="AA399" s="17">
        <f>IF(COUNT(J399)=0,"",IF(H399=0,"n.a.",J399/H399))</f>
        <v/>
      </c>
      <c r="AB399" s="12" t="n"/>
      <c r="AC399" s="12" t="n"/>
      <c r="AD399" s="12" t="n"/>
      <c r="AE399" s="13">
        <f>IF(OR(COUNT(J399)=0,COUNT(AB399:AD399)&lt;3),"",ROUND(J399-SUM(AB399:AD399),2))</f>
        <v/>
      </c>
      <c r="AF399" s="15">
        <f>IF(COUNT(AE399)=0,"",IF(Z399=0,"n.a.",AE399/Z399))</f>
        <v/>
      </c>
      <c r="AG399" s="12" t="n"/>
      <c r="AH399" s="14">
        <f>IF(OR(A399="",COUNT(Z399)=0,COUNT(AG399)=0),"",ROUND(Z399-AG399,2))</f>
        <v/>
      </c>
      <c r="AI399" s="21" t="n"/>
      <c r="AJ399" s="11">
        <f>IF(A399="","",IF(COUNT(I399)=0,"Enter approved NTE",IF(COUNT(Z399)&gt;0,IF(Z399&gt;I399,"Invoice exceeds NTE","Invoice within NTE"),IF(COUNT(L399)=0,"Enter quote inputs",IF(L399&gt;I399,"Quote exceeds NTE","Quote within NTE")))))</f>
        <v/>
      </c>
      <c r="AK399" s="11">
        <f>IF(A399="","",IF(COUNT(H399)=0,"Enter direct cost",IF(COUNT(Z399)=0,"Enter invoice revenue",IF(COUNT(AB399:AD399)&lt;3,"Enter expenses (0 if none)","Complete"))))</f>
        <v/>
      </c>
      <c r="AL399" s="11">
        <f>IF(A399="","",IF(NOT(AND(COUNT(AH399)=1,N(AH399)&gt;0.004,V399&lt;&gt;"Void",V399&lt;&gt;"Not invoiced",V399&lt;&gt;"Draft")),"",IF(COUNT(X399)=0,"No due date",IF(TODAY()-X399&lt;=0,"Not yet due",IF(TODAY()-X399&lt;=30,"1-30 days",IF(TODAY()-X399&lt;=60,"31-60 days",IF(TODAY()-X399&lt;=90,"61-90 days","Over 90 days")))))))</f>
        <v/>
      </c>
      <c r="AM399" s="49">
        <f>IF(OR(AL399="",AL399="No due date"),"",MAX(TODAY()-X399,0))</f>
        <v/>
      </c>
      <c r="AN399" s="49">
        <f>IF(AL399="","",IF(COUNT(X399)=0,-100000,TODAY()-X399))</f>
        <v/>
      </c>
      <c r="AO399" s="49">
        <f>IF(AN399="","",COUNTIF(AN$11:AN$1010,"&gt;"&amp;AN399)+COUNTIF(AN$11:AN399,AN399))</f>
        <v/>
      </c>
      <c r="AP399" s="49">
        <f>IF(OR(A399="",B399=""),"",IF(COUNTIF(B$11:B399,B399)=1,MAX(AP$10:AP398)+1,""))</f>
        <v/>
      </c>
    </row>
    <row r="400" ht="24" customHeight="1">
      <c r="A400" s="20" t="n"/>
      <c r="B400" s="10" t="n"/>
      <c r="C400" s="10" t="n"/>
      <c r="D400" s="10" t="n"/>
      <c r="E400" s="10" t="n"/>
      <c r="F400" s="18" t="n"/>
      <c r="G400" s="10" t="n"/>
      <c r="H400" s="12" t="n"/>
      <c r="I400" s="12" t="n"/>
      <c r="J400" s="13">
        <f>IF(OR(A400="",COUNT(H400)=0,COUNT(Z400)=0),"",ROUND(Z400-H400,2))</f>
        <v/>
      </c>
      <c r="K400" s="15">
        <f>IF(COUNT(J400)=0,"",IF(Z400=0,"n.a.",J400/Z400))</f>
        <v/>
      </c>
      <c r="L400" s="14">
        <f>IF(OR(A400="",COUNT(H400)=0,COUNT(Y400)=0),"",ROUND(H400*(1+Y400),2))</f>
        <v/>
      </c>
      <c r="M400" s="10" t="n"/>
      <c r="N400" s="10" t="n"/>
      <c r="O400" s="10" t="n"/>
      <c r="P400" s="10" t="n"/>
      <c r="Q400" s="20" t="n"/>
      <c r="R400" s="10" t="n"/>
      <c r="S400" s="10" t="n"/>
      <c r="T400" s="18" t="n"/>
      <c r="U400" s="18" t="n"/>
      <c r="V400" s="10" t="n"/>
      <c r="W400" s="10" t="n"/>
      <c r="X400" s="19">
        <f>IF(OR(A400="",COUNT(U400)=0,COUNT(AI400)=0),"",U400+AI400)</f>
        <v/>
      </c>
      <c r="Y400" s="16" t="n"/>
      <c r="Z400" s="12" t="n"/>
      <c r="AA400" s="17">
        <f>IF(COUNT(J400)=0,"",IF(H400=0,"n.a.",J400/H400))</f>
        <v/>
      </c>
      <c r="AB400" s="12" t="n"/>
      <c r="AC400" s="12" t="n"/>
      <c r="AD400" s="12" t="n"/>
      <c r="AE400" s="13">
        <f>IF(OR(COUNT(J400)=0,COUNT(AB400:AD400)&lt;3),"",ROUND(J400-SUM(AB400:AD400),2))</f>
        <v/>
      </c>
      <c r="AF400" s="15">
        <f>IF(COUNT(AE400)=0,"",IF(Z400=0,"n.a.",AE400/Z400))</f>
        <v/>
      </c>
      <c r="AG400" s="12" t="n"/>
      <c r="AH400" s="14">
        <f>IF(OR(A400="",COUNT(Z400)=0,COUNT(AG400)=0),"",ROUND(Z400-AG400,2))</f>
        <v/>
      </c>
      <c r="AI400" s="21" t="n"/>
      <c r="AJ400" s="11">
        <f>IF(A400="","",IF(COUNT(I400)=0,"Enter approved NTE",IF(COUNT(Z400)&gt;0,IF(Z400&gt;I400,"Invoice exceeds NTE","Invoice within NTE"),IF(COUNT(L400)=0,"Enter quote inputs",IF(L400&gt;I400,"Quote exceeds NTE","Quote within NTE")))))</f>
        <v/>
      </c>
      <c r="AK400" s="11">
        <f>IF(A400="","",IF(COUNT(H400)=0,"Enter direct cost",IF(COUNT(Z400)=0,"Enter invoice revenue",IF(COUNT(AB400:AD400)&lt;3,"Enter expenses (0 if none)","Complete"))))</f>
        <v/>
      </c>
      <c r="AL400" s="11">
        <f>IF(A400="","",IF(NOT(AND(COUNT(AH400)=1,N(AH400)&gt;0.004,V400&lt;&gt;"Void",V400&lt;&gt;"Not invoiced",V400&lt;&gt;"Draft")),"",IF(COUNT(X400)=0,"No due date",IF(TODAY()-X400&lt;=0,"Not yet due",IF(TODAY()-X400&lt;=30,"1-30 days",IF(TODAY()-X400&lt;=60,"31-60 days",IF(TODAY()-X400&lt;=90,"61-90 days","Over 90 days")))))))</f>
        <v/>
      </c>
      <c r="AM400" s="49">
        <f>IF(OR(AL400="",AL400="No due date"),"",MAX(TODAY()-X400,0))</f>
        <v/>
      </c>
      <c r="AN400" s="49">
        <f>IF(AL400="","",IF(COUNT(X400)=0,-100000,TODAY()-X400))</f>
        <v/>
      </c>
      <c r="AO400" s="49">
        <f>IF(AN400="","",COUNTIF(AN$11:AN$1010,"&gt;"&amp;AN400)+COUNTIF(AN$11:AN400,AN400))</f>
        <v/>
      </c>
      <c r="AP400" s="49">
        <f>IF(OR(A400="",B400=""),"",IF(COUNTIF(B$11:B400,B400)=1,MAX(AP$10:AP399)+1,""))</f>
        <v/>
      </c>
    </row>
    <row r="401" ht="24" customHeight="1">
      <c r="A401" s="20" t="n"/>
      <c r="B401" s="10" t="n"/>
      <c r="C401" s="10" t="n"/>
      <c r="D401" s="10" t="n"/>
      <c r="E401" s="10" t="n"/>
      <c r="F401" s="18" t="n"/>
      <c r="G401" s="10" t="n"/>
      <c r="H401" s="12" t="n"/>
      <c r="I401" s="12" t="n"/>
      <c r="J401" s="13">
        <f>IF(OR(A401="",COUNT(H401)=0,COUNT(Z401)=0),"",ROUND(Z401-H401,2))</f>
        <v/>
      </c>
      <c r="K401" s="15">
        <f>IF(COUNT(J401)=0,"",IF(Z401=0,"n.a.",J401/Z401))</f>
        <v/>
      </c>
      <c r="L401" s="14">
        <f>IF(OR(A401="",COUNT(H401)=0,COUNT(Y401)=0),"",ROUND(H401*(1+Y401),2))</f>
        <v/>
      </c>
      <c r="M401" s="10" t="n"/>
      <c r="N401" s="10" t="n"/>
      <c r="O401" s="10" t="n"/>
      <c r="P401" s="10" t="n"/>
      <c r="Q401" s="20" t="n"/>
      <c r="R401" s="10" t="n"/>
      <c r="S401" s="10" t="n"/>
      <c r="T401" s="18" t="n"/>
      <c r="U401" s="18" t="n"/>
      <c r="V401" s="10" t="n"/>
      <c r="W401" s="10" t="n"/>
      <c r="X401" s="19">
        <f>IF(OR(A401="",COUNT(U401)=0,COUNT(AI401)=0),"",U401+AI401)</f>
        <v/>
      </c>
      <c r="Y401" s="16" t="n"/>
      <c r="Z401" s="12" t="n"/>
      <c r="AA401" s="17">
        <f>IF(COUNT(J401)=0,"",IF(H401=0,"n.a.",J401/H401))</f>
        <v/>
      </c>
      <c r="AB401" s="12" t="n"/>
      <c r="AC401" s="12" t="n"/>
      <c r="AD401" s="12" t="n"/>
      <c r="AE401" s="13">
        <f>IF(OR(COUNT(J401)=0,COUNT(AB401:AD401)&lt;3),"",ROUND(J401-SUM(AB401:AD401),2))</f>
        <v/>
      </c>
      <c r="AF401" s="15">
        <f>IF(COUNT(AE401)=0,"",IF(Z401=0,"n.a.",AE401/Z401))</f>
        <v/>
      </c>
      <c r="AG401" s="12" t="n"/>
      <c r="AH401" s="14">
        <f>IF(OR(A401="",COUNT(Z401)=0,COUNT(AG401)=0),"",ROUND(Z401-AG401,2))</f>
        <v/>
      </c>
      <c r="AI401" s="21" t="n"/>
      <c r="AJ401" s="11">
        <f>IF(A401="","",IF(COUNT(I401)=0,"Enter approved NTE",IF(COUNT(Z401)&gt;0,IF(Z401&gt;I401,"Invoice exceeds NTE","Invoice within NTE"),IF(COUNT(L401)=0,"Enter quote inputs",IF(L401&gt;I401,"Quote exceeds NTE","Quote within NTE")))))</f>
        <v/>
      </c>
      <c r="AK401" s="11">
        <f>IF(A401="","",IF(COUNT(H401)=0,"Enter direct cost",IF(COUNT(Z401)=0,"Enter invoice revenue",IF(COUNT(AB401:AD401)&lt;3,"Enter expenses (0 if none)","Complete"))))</f>
        <v/>
      </c>
      <c r="AL401" s="11">
        <f>IF(A401="","",IF(NOT(AND(COUNT(AH401)=1,N(AH401)&gt;0.004,V401&lt;&gt;"Void",V401&lt;&gt;"Not invoiced",V401&lt;&gt;"Draft")),"",IF(COUNT(X401)=0,"No due date",IF(TODAY()-X401&lt;=0,"Not yet due",IF(TODAY()-X401&lt;=30,"1-30 days",IF(TODAY()-X401&lt;=60,"31-60 days",IF(TODAY()-X401&lt;=90,"61-90 days","Over 90 days")))))))</f>
        <v/>
      </c>
      <c r="AM401" s="49">
        <f>IF(OR(AL401="",AL401="No due date"),"",MAX(TODAY()-X401,0))</f>
        <v/>
      </c>
      <c r="AN401" s="49">
        <f>IF(AL401="","",IF(COUNT(X401)=0,-100000,TODAY()-X401))</f>
        <v/>
      </c>
      <c r="AO401" s="49">
        <f>IF(AN401="","",COUNTIF(AN$11:AN$1010,"&gt;"&amp;AN401)+COUNTIF(AN$11:AN401,AN401))</f>
        <v/>
      </c>
      <c r="AP401" s="49">
        <f>IF(OR(A401="",B401=""),"",IF(COUNTIF(B$11:B401,B401)=1,MAX(AP$10:AP400)+1,""))</f>
        <v/>
      </c>
    </row>
    <row r="402" ht="24" customHeight="1">
      <c r="A402" s="20" t="n"/>
      <c r="B402" s="10" t="n"/>
      <c r="C402" s="10" t="n"/>
      <c r="D402" s="10" t="n"/>
      <c r="E402" s="10" t="n"/>
      <c r="F402" s="18" t="n"/>
      <c r="G402" s="10" t="n"/>
      <c r="H402" s="12" t="n"/>
      <c r="I402" s="12" t="n"/>
      <c r="J402" s="13">
        <f>IF(OR(A402="",COUNT(H402)=0,COUNT(Z402)=0),"",ROUND(Z402-H402,2))</f>
        <v/>
      </c>
      <c r="K402" s="15">
        <f>IF(COUNT(J402)=0,"",IF(Z402=0,"n.a.",J402/Z402))</f>
        <v/>
      </c>
      <c r="L402" s="14">
        <f>IF(OR(A402="",COUNT(H402)=0,COUNT(Y402)=0),"",ROUND(H402*(1+Y402),2))</f>
        <v/>
      </c>
      <c r="M402" s="10" t="n"/>
      <c r="N402" s="10" t="n"/>
      <c r="O402" s="10" t="n"/>
      <c r="P402" s="10" t="n"/>
      <c r="Q402" s="20" t="n"/>
      <c r="R402" s="10" t="n"/>
      <c r="S402" s="10" t="n"/>
      <c r="T402" s="18" t="n"/>
      <c r="U402" s="18" t="n"/>
      <c r="V402" s="10" t="n"/>
      <c r="W402" s="10" t="n"/>
      <c r="X402" s="19">
        <f>IF(OR(A402="",COUNT(U402)=0,COUNT(AI402)=0),"",U402+AI402)</f>
        <v/>
      </c>
      <c r="Y402" s="16" t="n"/>
      <c r="Z402" s="12" t="n"/>
      <c r="AA402" s="17">
        <f>IF(COUNT(J402)=0,"",IF(H402=0,"n.a.",J402/H402))</f>
        <v/>
      </c>
      <c r="AB402" s="12" t="n"/>
      <c r="AC402" s="12" t="n"/>
      <c r="AD402" s="12" t="n"/>
      <c r="AE402" s="13">
        <f>IF(OR(COUNT(J402)=0,COUNT(AB402:AD402)&lt;3),"",ROUND(J402-SUM(AB402:AD402),2))</f>
        <v/>
      </c>
      <c r="AF402" s="15">
        <f>IF(COUNT(AE402)=0,"",IF(Z402=0,"n.a.",AE402/Z402))</f>
        <v/>
      </c>
      <c r="AG402" s="12" t="n"/>
      <c r="AH402" s="14">
        <f>IF(OR(A402="",COUNT(Z402)=0,COUNT(AG402)=0),"",ROUND(Z402-AG402,2))</f>
        <v/>
      </c>
      <c r="AI402" s="21" t="n"/>
      <c r="AJ402" s="11">
        <f>IF(A402="","",IF(COUNT(I402)=0,"Enter approved NTE",IF(COUNT(Z402)&gt;0,IF(Z402&gt;I402,"Invoice exceeds NTE","Invoice within NTE"),IF(COUNT(L402)=0,"Enter quote inputs",IF(L402&gt;I402,"Quote exceeds NTE","Quote within NTE")))))</f>
        <v/>
      </c>
      <c r="AK402" s="11">
        <f>IF(A402="","",IF(COUNT(H402)=0,"Enter direct cost",IF(COUNT(Z402)=0,"Enter invoice revenue",IF(COUNT(AB402:AD402)&lt;3,"Enter expenses (0 if none)","Complete"))))</f>
        <v/>
      </c>
      <c r="AL402" s="11">
        <f>IF(A402="","",IF(NOT(AND(COUNT(AH402)=1,N(AH402)&gt;0.004,V402&lt;&gt;"Void",V402&lt;&gt;"Not invoiced",V402&lt;&gt;"Draft")),"",IF(COUNT(X402)=0,"No due date",IF(TODAY()-X402&lt;=0,"Not yet due",IF(TODAY()-X402&lt;=30,"1-30 days",IF(TODAY()-X402&lt;=60,"31-60 days",IF(TODAY()-X402&lt;=90,"61-90 days","Over 90 days")))))))</f>
        <v/>
      </c>
      <c r="AM402" s="49">
        <f>IF(OR(AL402="",AL402="No due date"),"",MAX(TODAY()-X402,0))</f>
        <v/>
      </c>
      <c r="AN402" s="49">
        <f>IF(AL402="","",IF(COUNT(X402)=0,-100000,TODAY()-X402))</f>
        <v/>
      </c>
      <c r="AO402" s="49">
        <f>IF(AN402="","",COUNTIF(AN$11:AN$1010,"&gt;"&amp;AN402)+COUNTIF(AN$11:AN402,AN402))</f>
        <v/>
      </c>
      <c r="AP402" s="49">
        <f>IF(OR(A402="",B402=""),"",IF(COUNTIF(B$11:B402,B402)=1,MAX(AP$10:AP401)+1,""))</f>
        <v/>
      </c>
    </row>
    <row r="403" ht="24" customHeight="1">
      <c r="A403" s="20" t="n"/>
      <c r="B403" s="10" t="n"/>
      <c r="C403" s="10" t="n"/>
      <c r="D403" s="10" t="n"/>
      <c r="E403" s="10" t="n"/>
      <c r="F403" s="18" t="n"/>
      <c r="G403" s="10" t="n"/>
      <c r="H403" s="12" t="n"/>
      <c r="I403" s="12" t="n"/>
      <c r="J403" s="13">
        <f>IF(OR(A403="",COUNT(H403)=0,COUNT(Z403)=0),"",ROUND(Z403-H403,2))</f>
        <v/>
      </c>
      <c r="K403" s="15">
        <f>IF(COUNT(J403)=0,"",IF(Z403=0,"n.a.",J403/Z403))</f>
        <v/>
      </c>
      <c r="L403" s="14">
        <f>IF(OR(A403="",COUNT(H403)=0,COUNT(Y403)=0),"",ROUND(H403*(1+Y403),2))</f>
        <v/>
      </c>
      <c r="M403" s="10" t="n"/>
      <c r="N403" s="10" t="n"/>
      <c r="O403" s="10" t="n"/>
      <c r="P403" s="10" t="n"/>
      <c r="Q403" s="20" t="n"/>
      <c r="R403" s="10" t="n"/>
      <c r="S403" s="10" t="n"/>
      <c r="T403" s="18" t="n"/>
      <c r="U403" s="18" t="n"/>
      <c r="V403" s="10" t="n"/>
      <c r="W403" s="10" t="n"/>
      <c r="X403" s="19">
        <f>IF(OR(A403="",COUNT(U403)=0,COUNT(AI403)=0),"",U403+AI403)</f>
        <v/>
      </c>
      <c r="Y403" s="16" t="n"/>
      <c r="Z403" s="12" t="n"/>
      <c r="AA403" s="17">
        <f>IF(COUNT(J403)=0,"",IF(H403=0,"n.a.",J403/H403))</f>
        <v/>
      </c>
      <c r="AB403" s="12" t="n"/>
      <c r="AC403" s="12" t="n"/>
      <c r="AD403" s="12" t="n"/>
      <c r="AE403" s="13">
        <f>IF(OR(COUNT(J403)=0,COUNT(AB403:AD403)&lt;3),"",ROUND(J403-SUM(AB403:AD403),2))</f>
        <v/>
      </c>
      <c r="AF403" s="15">
        <f>IF(COUNT(AE403)=0,"",IF(Z403=0,"n.a.",AE403/Z403))</f>
        <v/>
      </c>
      <c r="AG403" s="12" t="n"/>
      <c r="AH403" s="14">
        <f>IF(OR(A403="",COUNT(Z403)=0,COUNT(AG403)=0),"",ROUND(Z403-AG403,2))</f>
        <v/>
      </c>
      <c r="AI403" s="21" t="n"/>
      <c r="AJ403" s="11">
        <f>IF(A403="","",IF(COUNT(I403)=0,"Enter approved NTE",IF(COUNT(Z403)&gt;0,IF(Z403&gt;I403,"Invoice exceeds NTE","Invoice within NTE"),IF(COUNT(L403)=0,"Enter quote inputs",IF(L403&gt;I403,"Quote exceeds NTE","Quote within NTE")))))</f>
        <v/>
      </c>
      <c r="AK403" s="11">
        <f>IF(A403="","",IF(COUNT(H403)=0,"Enter direct cost",IF(COUNT(Z403)=0,"Enter invoice revenue",IF(COUNT(AB403:AD403)&lt;3,"Enter expenses (0 if none)","Complete"))))</f>
        <v/>
      </c>
      <c r="AL403" s="11">
        <f>IF(A403="","",IF(NOT(AND(COUNT(AH403)=1,N(AH403)&gt;0.004,V403&lt;&gt;"Void",V403&lt;&gt;"Not invoiced",V403&lt;&gt;"Draft")),"",IF(COUNT(X403)=0,"No due date",IF(TODAY()-X403&lt;=0,"Not yet due",IF(TODAY()-X403&lt;=30,"1-30 days",IF(TODAY()-X403&lt;=60,"31-60 days",IF(TODAY()-X403&lt;=90,"61-90 days","Over 90 days")))))))</f>
        <v/>
      </c>
      <c r="AM403" s="49">
        <f>IF(OR(AL403="",AL403="No due date"),"",MAX(TODAY()-X403,0))</f>
        <v/>
      </c>
      <c r="AN403" s="49">
        <f>IF(AL403="","",IF(COUNT(X403)=0,-100000,TODAY()-X403))</f>
        <v/>
      </c>
      <c r="AO403" s="49">
        <f>IF(AN403="","",COUNTIF(AN$11:AN$1010,"&gt;"&amp;AN403)+COUNTIF(AN$11:AN403,AN403))</f>
        <v/>
      </c>
      <c r="AP403" s="49">
        <f>IF(OR(A403="",B403=""),"",IF(COUNTIF(B$11:B403,B403)=1,MAX(AP$10:AP402)+1,""))</f>
        <v/>
      </c>
    </row>
    <row r="404" ht="24" customHeight="1">
      <c r="A404" s="20" t="n"/>
      <c r="B404" s="10" t="n"/>
      <c r="C404" s="10" t="n"/>
      <c r="D404" s="10" t="n"/>
      <c r="E404" s="10" t="n"/>
      <c r="F404" s="18" t="n"/>
      <c r="G404" s="10" t="n"/>
      <c r="H404" s="12" t="n"/>
      <c r="I404" s="12" t="n"/>
      <c r="J404" s="13">
        <f>IF(OR(A404="",COUNT(H404)=0,COUNT(Z404)=0),"",ROUND(Z404-H404,2))</f>
        <v/>
      </c>
      <c r="K404" s="15">
        <f>IF(COUNT(J404)=0,"",IF(Z404=0,"n.a.",J404/Z404))</f>
        <v/>
      </c>
      <c r="L404" s="14">
        <f>IF(OR(A404="",COUNT(H404)=0,COUNT(Y404)=0),"",ROUND(H404*(1+Y404),2))</f>
        <v/>
      </c>
      <c r="M404" s="10" t="n"/>
      <c r="N404" s="10" t="n"/>
      <c r="O404" s="10" t="n"/>
      <c r="P404" s="10" t="n"/>
      <c r="Q404" s="20" t="n"/>
      <c r="R404" s="10" t="n"/>
      <c r="S404" s="10" t="n"/>
      <c r="T404" s="18" t="n"/>
      <c r="U404" s="18" t="n"/>
      <c r="V404" s="10" t="n"/>
      <c r="W404" s="10" t="n"/>
      <c r="X404" s="19">
        <f>IF(OR(A404="",COUNT(U404)=0,COUNT(AI404)=0),"",U404+AI404)</f>
        <v/>
      </c>
      <c r="Y404" s="16" t="n"/>
      <c r="Z404" s="12" t="n"/>
      <c r="AA404" s="17">
        <f>IF(COUNT(J404)=0,"",IF(H404=0,"n.a.",J404/H404))</f>
        <v/>
      </c>
      <c r="AB404" s="12" t="n"/>
      <c r="AC404" s="12" t="n"/>
      <c r="AD404" s="12" t="n"/>
      <c r="AE404" s="13">
        <f>IF(OR(COUNT(J404)=0,COUNT(AB404:AD404)&lt;3),"",ROUND(J404-SUM(AB404:AD404),2))</f>
        <v/>
      </c>
      <c r="AF404" s="15">
        <f>IF(COUNT(AE404)=0,"",IF(Z404=0,"n.a.",AE404/Z404))</f>
        <v/>
      </c>
      <c r="AG404" s="12" t="n"/>
      <c r="AH404" s="14">
        <f>IF(OR(A404="",COUNT(Z404)=0,COUNT(AG404)=0),"",ROUND(Z404-AG404,2))</f>
        <v/>
      </c>
      <c r="AI404" s="21" t="n"/>
      <c r="AJ404" s="11">
        <f>IF(A404="","",IF(COUNT(I404)=0,"Enter approved NTE",IF(COUNT(Z404)&gt;0,IF(Z404&gt;I404,"Invoice exceeds NTE","Invoice within NTE"),IF(COUNT(L404)=0,"Enter quote inputs",IF(L404&gt;I404,"Quote exceeds NTE","Quote within NTE")))))</f>
        <v/>
      </c>
      <c r="AK404" s="11">
        <f>IF(A404="","",IF(COUNT(H404)=0,"Enter direct cost",IF(COUNT(Z404)=0,"Enter invoice revenue",IF(COUNT(AB404:AD404)&lt;3,"Enter expenses (0 if none)","Complete"))))</f>
        <v/>
      </c>
      <c r="AL404" s="11">
        <f>IF(A404="","",IF(NOT(AND(COUNT(AH404)=1,N(AH404)&gt;0.004,V404&lt;&gt;"Void",V404&lt;&gt;"Not invoiced",V404&lt;&gt;"Draft")),"",IF(COUNT(X404)=0,"No due date",IF(TODAY()-X404&lt;=0,"Not yet due",IF(TODAY()-X404&lt;=30,"1-30 days",IF(TODAY()-X404&lt;=60,"31-60 days",IF(TODAY()-X404&lt;=90,"61-90 days","Over 90 days")))))))</f>
        <v/>
      </c>
      <c r="AM404" s="49">
        <f>IF(OR(AL404="",AL404="No due date"),"",MAX(TODAY()-X404,0))</f>
        <v/>
      </c>
      <c r="AN404" s="49">
        <f>IF(AL404="","",IF(COUNT(X404)=0,-100000,TODAY()-X404))</f>
        <v/>
      </c>
      <c r="AO404" s="49">
        <f>IF(AN404="","",COUNTIF(AN$11:AN$1010,"&gt;"&amp;AN404)+COUNTIF(AN$11:AN404,AN404))</f>
        <v/>
      </c>
      <c r="AP404" s="49">
        <f>IF(OR(A404="",B404=""),"",IF(COUNTIF(B$11:B404,B404)=1,MAX(AP$10:AP403)+1,""))</f>
        <v/>
      </c>
    </row>
    <row r="405" ht="24" customHeight="1">
      <c r="A405" s="20" t="n"/>
      <c r="B405" s="10" t="n"/>
      <c r="C405" s="10" t="n"/>
      <c r="D405" s="10" t="n"/>
      <c r="E405" s="10" t="n"/>
      <c r="F405" s="18" t="n"/>
      <c r="G405" s="10" t="n"/>
      <c r="H405" s="12" t="n"/>
      <c r="I405" s="12" t="n"/>
      <c r="J405" s="13">
        <f>IF(OR(A405="",COUNT(H405)=0,COUNT(Z405)=0),"",ROUND(Z405-H405,2))</f>
        <v/>
      </c>
      <c r="K405" s="15">
        <f>IF(COUNT(J405)=0,"",IF(Z405=0,"n.a.",J405/Z405))</f>
        <v/>
      </c>
      <c r="L405" s="14">
        <f>IF(OR(A405="",COUNT(H405)=0,COUNT(Y405)=0),"",ROUND(H405*(1+Y405),2))</f>
        <v/>
      </c>
      <c r="M405" s="10" t="n"/>
      <c r="N405" s="10" t="n"/>
      <c r="O405" s="10" t="n"/>
      <c r="P405" s="10" t="n"/>
      <c r="Q405" s="20" t="n"/>
      <c r="R405" s="10" t="n"/>
      <c r="S405" s="10" t="n"/>
      <c r="T405" s="18" t="n"/>
      <c r="U405" s="18" t="n"/>
      <c r="V405" s="10" t="n"/>
      <c r="W405" s="10" t="n"/>
      <c r="X405" s="19">
        <f>IF(OR(A405="",COUNT(U405)=0,COUNT(AI405)=0),"",U405+AI405)</f>
        <v/>
      </c>
      <c r="Y405" s="16" t="n"/>
      <c r="Z405" s="12" t="n"/>
      <c r="AA405" s="17">
        <f>IF(COUNT(J405)=0,"",IF(H405=0,"n.a.",J405/H405))</f>
        <v/>
      </c>
      <c r="AB405" s="12" t="n"/>
      <c r="AC405" s="12" t="n"/>
      <c r="AD405" s="12" t="n"/>
      <c r="AE405" s="13">
        <f>IF(OR(COUNT(J405)=0,COUNT(AB405:AD405)&lt;3),"",ROUND(J405-SUM(AB405:AD405),2))</f>
        <v/>
      </c>
      <c r="AF405" s="15">
        <f>IF(COUNT(AE405)=0,"",IF(Z405=0,"n.a.",AE405/Z405))</f>
        <v/>
      </c>
      <c r="AG405" s="12" t="n"/>
      <c r="AH405" s="14">
        <f>IF(OR(A405="",COUNT(Z405)=0,COUNT(AG405)=0),"",ROUND(Z405-AG405,2))</f>
        <v/>
      </c>
      <c r="AI405" s="21" t="n"/>
      <c r="AJ405" s="11">
        <f>IF(A405="","",IF(COUNT(I405)=0,"Enter approved NTE",IF(COUNT(Z405)&gt;0,IF(Z405&gt;I405,"Invoice exceeds NTE","Invoice within NTE"),IF(COUNT(L405)=0,"Enter quote inputs",IF(L405&gt;I405,"Quote exceeds NTE","Quote within NTE")))))</f>
        <v/>
      </c>
      <c r="AK405" s="11">
        <f>IF(A405="","",IF(COUNT(H405)=0,"Enter direct cost",IF(COUNT(Z405)=0,"Enter invoice revenue",IF(COUNT(AB405:AD405)&lt;3,"Enter expenses (0 if none)","Complete"))))</f>
        <v/>
      </c>
      <c r="AL405" s="11">
        <f>IF(A405="","",IF(NOT(AND(COUNT(AH405)=1,N(AH405)&gt;0.004,V405&lt;&gt;"Void",V405&lt;&gt;"Not invoiced",V405&lt;&gt;"Draft")),"",IF(COUNT(X405)=0,"No due date",IF(TODAY()-X405&lt;=0,"Not yet due",IF(TODAY()-X405&lt;=30,"1-30 days",IF(TODAY()-X405&lt;=60,"31-60 days",IF(TODAY()-X405&lt;=90,"61-90 days","Over 90 days")))))))</f>
        <v/>
      </c>
      <c r="AM405" s="49">
        <f>IF(OR(AL405="",AL405="No due date"),"",MAX(TODAY()-X405,0))</f>
        <v/>
      </c>
      <c r="AN405" s="49">
        <f>IF(AL405="","",IF(COUNT(X405)=0,-100000,TODAY()-X405))</f>
        <v/>
      </c>
      <c r="AO405" s="49">
        <f>IF(AN405="","",COUNTIF(AN$11:AN$1010,"&gt;"&amp;AN405)+COUNTIF(AN$11:AN405,AN405))</f>
        <v/>
      </c>
      <c r="AP405" s="49">
        <f>IF(OR(A405="",B405=""),"",IF(COUNTIF(B$11:B405,B405)=1,MAX(AP$10:AP404)+1,""))</f>
        <v/>
      </c>
    </row>
    <row r="406" ht="24" customHeight="1">
      <c r="A406" s="20" t="n"/>
      <c r="B406" s="10" t="n"/>
      <c r="C406" s="10" t="n"/>
      <c r="D406" s="10" t="n"/>
      <c r="E406" s="10" t="n"/>
      <c r="F406" s="18" t="n"/>
      <c r="G406" s="10" t="n"/>
      <c r="H406" s="12" t="n"/>
      <c r="I406" s="12" t="n"/>
      <c r="J406" s="13">
        <f>IF(OR(A406="",COUNT(H406)=0,COUNT(Z406)=0),"",ROUND(Z406-H406,2))</f>
        <v/>
      </c>
      <c r="K406" s="15">
        <f>IF(COUNT(J406)=0,"",IF(Z406=0,"n.a.",J406/Z406))</f>
        <v/>
      </c>
      <c r="L406" s="14">
        <f>IF(OR(A406="",COUNT(H406)=0,COUNT(Y406)=0),"",ROUND(H406*(1+Y406),2))</f>
        <v/>
      </c>
      <c r="M406" s="10" t="n"/>
      <c r="N406" s="10" t="n"/>
      <c r="O406" s="10" t="n"/>
      <c r="P406" s="10" t="n"/>
      <c r="Q406" s="20" t="n"/>
      <c r="R406" s="10" t="n"/>
      <c r="S406" s="10" t="n"/>
      <c r="T406" s="18" t="n"/>
      <c r="U406" s="18" t="n"/>
      <c r="V406" s="10" t="n"/>
      <c r="W406" s="10" t="n"/>
      <c r="X406" s="19">
        <f>IF(OR(A406="",COUNT(U406)=0,COUNT(AI406)=0),"",U406+AI406)</f>
        <v/>
      </c>
      <c r="Y406" s="16" t="n"/>
      <c r="Z406" s="12" t="n"/>
      <c r="AA406" s="17">
        <f>IF(COUNT(J406)=0,"",IF(H406=0,"n.a.",J406/H406))</f>
        <v/>
      </c>
      <c r="AB406" s="12" t="n"/>
      <c r="AC406" s="12" t="n"/>
      <c r="AD406" s="12" t="n"/>
      <c r="AE406" s="13">
        <f>IF(OR(COUNT(J406)=0,COUNT(AB406:AD406)&lt;3),"",ROUND(J406-SUM(AB406:AD406),2))</f>
        <v/>
      </c>
      <c r="AF406" s="15">
        <f>IF(COUNT(AE406)=0,"",IF(Z406=0,"n.a.",AE406/Z406))</f>
        <v/>
      </c>
      <c r="AG406" s="12" t="n"/>
      <c r="AH406" s="14">
        <f>IF(OR(A406="",COUNT(Z406)=0,COUNT(AG406)=0),"",ROUND(Z406-AG406,2))</f>
        <v/>
      </c>
      <c r="AI406" s="21" t="n"/>
      <c r="AJ406" s="11">
        <f>IF(A406="","",IF(COUNT(I406)=0,"Enter approved NTE",IF(COUNT(Z406)&gt;0,IF(Z406&gt;I406,"Invoice exceeds NTE","Invoice within NTE"),IF(COUNT(L406)=0,"Enter quote inputs",IF(L406&gt;I406,"Quote exceeds NTE","Quote within NTE")))))</f>
        <v/>
      </c>
      <c r="AK406" s="11">
        <f>IF(A406="","",IF(COUNT(H406)=0,"Enter direct cost",IF(COUNT(Z406)=0,"Enter invoice revenue",IF(COUNT(AB406:AD406)&lt;3,"Enter expenses (0 if none)","Complete"))))</f>
        <v/>
      </c>
      <c r="AL406" s="11">
        <f>IF(A406="","",IF(NOT(AND(COUNT(AH406)=1,N(AH406)&gt;0.004,V406&lt;&gt;"Void",V406&lt;&gt;"Not invoiced",V406&lt;&gt;"Draft")),"",IF(COUNT(X406)=0,"No due date",IF(TODAY()-X406&lt;=0,"Not yet due",IF(TODAY()-X406&lt;=30,"1-30 days",IF(TODAY()-X406&lt;=60,"31-60 days",IF(TODAY()-X406&lt;=90,"61-90 days","Over 90 days")))))))</f>
        <v/>
      </c>
      <c r="AM406" s="49">
        <f>IF(OR(AL406="",AL406="No due date"),"",MAX(TODAY()-X406,0))</f>
        <v/>
      </c>
      <c r="AN406" s="49">
        <f>IF(AL406="","",IF(COUNT(X406)=0,-100000,TODAY()-X406))</f>
        <v/>
      </c>
      <c r="AO406" s="49">
        <f>IF(AN406="","",COUNTIF(AN$11:AN$1010,"&gt;"&amp;AN406)+COUNTIF(AN$11:AN406,AN406))</f>
        <v/>
      </c>
      <c r="AP406" s="49">
        <f>IF(OR(A406="",B406=""),"",IF(COUNTIF(B$11:B406,B406)=1,MAX(AP$10:AP405)+1,""))</f>
        <v/>
      </c>
    </row>
    <row r="407" ht="24" customHeight="1">
      <c r="A407" s="20" t="n"/>
      <c r="B407" s="10" t="n"/>
      <c r="C407" s="10" t="n"/>
      <c r="D407" s="10" t="n"/>
      <c r="E407" s="10" t="n"/>
      <c r="F407" s="18" t="n"/>
      <c r="G407" s="10" t="n"/>
      <c r="H407" s="12" t="n"/>
      <c r="I407" s="12" t="n"/>
      <c r="J407" s="13">
        <f>IF(OR(A407="",COUNT(H407)=0,COUNT(Z407)=0),"",ROUND(Z407-H407,2))</f>
        <v/>
      </c>
      <c r="K407" s="15">
        <f>IF(COUNT(J407)=0,"",IF(Z407=0,"n.a.",J407/Z407))</f>
        <v/>
      </c>
      <c r="L407" s="14">
        <f>IF(OR(A407="",COUNT(H407)=0,COUNT(Y407)=0),"",ROUND(H407*(1+Y407),2))</f>
        <v/>
      </c>
      <c r="M407" s="10" t="n"/>
      <c r="N407" s="10" t="n"/>
      <c r="O407" s="10" t="n"/>
      <c r="P407" s="10" t="n"/>
      <c r="Q407" s="20" t="n"/>
      <c r="R407" s="10" t="n"/>
      <c r="S407" s="10" t="n"/>
      <c r="T407" s="18" t="n"/>
      <c r="U407" s="18" t="n"/>
      <c r="V407" s="10" t="n"/>
      <c r="W407" s="10" t="n"/>
      <c r="X407" s="19">
        <f>IF(OR(A407="",COUNT(U407)=0,COUNT(AI407)=0),"",U407+AI407)</f>
        <v/>
      </c>
      <c r="Y407" s="16" t="n"/>
      <c r="Z407" s="12" t="n"/>
      <c r="AA407" s="17">
        <f>IF(COUNT(J407)=0,"",IF(H407=0,"n.a.",J407/H407))</f>
        <v/>
      </c>
      <c r="AB407" s="12" t="n"/>
      <c r="AC407" s="12" t="n"/>
      <c r="AD407" s="12" t="n"/>
      <c r="AE407" s="13">
        <f>IF(OR(COUNT(J407)=0,COUNT(AB407:AD407)&lt;3),"",ROUND(J407-SUM(AB407:AD407),2))</f>
        <v/>
      </c>
      <c r="AF407" s="15">
        <f>IF(COUNT(AE407)=0,"",IF(Z407=0,"n.a.",AE407/Z407))</f>
        <v/>
      </c>
      <c r="AG407" s="12" t="n"/>
      <c r="AH407" s="14">
        <f>IF(OR(A407="",COUNT(Z407)=0,COUNT(AG407)=0),"",ROUND(Z407-AG407,2))</f>
        <v/>
      </c>
      <c r="AI407" s="21" t="n"/>
      <c r="AJ407" s="11">
        <f>IF(A407="","",IF(COUNT(I407)=0,"Enter approved NTE",IF(COUNT(Z407)&gt;0,IF(Z407&gt;I407,"Invoice exceeds NTE","Invoice within NTE"),IF(COUNT(L407)=0,"Enter quote inputs",IF(L407&gt;I407,"Quote exceeds NTE","Quote within NTE")))))</f>
        <v/>
      </c>
      <c r="AK407" s="11">
        <f>IF(A407="","",IF(COUNT(H407)=0,"Enter direct cost",IF(COUNT(Z407)=0,"Enter invoice revenue",IF(COUNT(AB407:AD407)&lt;3,"Enter expenses (0 if none)","Complete"))))</f>
        <v/>
      </c>
      <c r="AL407" s="11">
        <f>IF(A407="","",IF(NOT(AND(COUNT(AH407)=1,N(AH407)&gt;0.004,V407&lt;&gt;"Void",V407&lt;&gt;"Not invoiced",V407&lt;&gt;"Draft")),"",IF(COUNT(X407)=0,"No due date",IF(TODAY()-X407&lt;=0,"Not yet due",IF(TODAY()-X407&lt;=30,"1-30 days",IF(TODAY()-X407&lt;=60,"31-60 days",IF(TODAY()-X407&lt;=90,"61-90 days","Over 90 days")))))))</f>
        <v/>
      </c>
      <c r="AM407" s="49">
        <f>IF(OR(AL407="",AL407="No due date"),"",MAX(TODAY()-X407,0))</f>
        <v/>
      </c>
      <c r="AN407" s="49">
        <f>IF(AL407="","",IF(COUNT(X407)=0,-100000,TODAY()-X407))</f>
        <v/>
      </c>
      <c r="AO407" s="49">
        <f>IF(AN407="","",COUNTIF(AN$11:AN$1010,"&gt;"&amp;AN407)+COUNTIF(AN$11:AN407,AN407))</f>
        <v/>
      </c>
      <c r="AP407" s="49">
        <f>IF(OR(A407="",B407=""),"",IF(COUNTIF(B$11:B407,B407)=1,MAX(AP$10:AP406)+1,""))</f>
        <v/>
      </c>
    </row>
    <row r="408" ht="24" customHeight="1">
      <c r="A408" s="20" t="n"/>
      <c r="B408" s="10" t="n"/>
      <c r="C408" s="10" t="n"/>
      <c r="D408" s="10" t="n"/>
      <c r="E408" s="10" t="n"/>
      <c r="F408" s="18" t="n"/>
      <c r="G408" s="10" t="n"/>
      <c r="H408" s="12" t="n"/>
      <c r="I408" s="12" t="n"/>
      <c r="J408" s="13">
        <f>IF(OR(A408="",COUNT(H408)=0,COUNT(Z408)=0),"",ROUND(Z408-H408,2))</f>
        <v/>
      </c>
      <c r="K408" s="15">
        <f>IF(COUNT(J408)=0,"",IF(Z408=0,"n.a.",J408/Z408))</f>
        <v/>
      </c>
      <c r="L408" s="14">
        <f>IF(OR(A408="",COUNT(H408)=0,COUNT(Y408)=0),"",ROUND(H408*(1+Y408),2))</f>
        <v/>
      </c>
      <c r="M408" s="10" t="n"/>
      <c r="N408" s="10" t="n"/>
      <c r="O408" s="10" t="n"/>
      <c r="P408" s="10" t="n"/>
      <c r="Q408" s="20" t="n"/>
      <c r="R408" s="10" t="n"/>
      <c r="S408" s="10" t="n"/>
      <c r="T408" s="18" t="n"/>
      <c r="U408" s="18" t="n"/>
      <c r="V408" s="10" t="n"/>
      <c r="W408" s="10" t="n"/>
      <c r="X408" s="19">
        <f>IF(OR(A408="",COUNT(U408)=0,COUNT(AI408)=0),"",U408+AI408)</f>
        <v/>
      </c>
      <c r="Y408" s="16" t="n"/>
      <c r="Z408" s="12" t="n"/>
      <c r="AA408" s="17">
        <f>IF(COUNT(J408)=0,"",IF(H408=0,"n.a.",J408/H408))</f>
        <v/>
      </c>
      <c r="AB408" s="12" t="n"/>
      <c r="AC408" s="12" t="n"/>
      <c r="AD408" s="12" t="n"/>
      <c r="AE408" s="13">
        <f>IF(OR(COUNT(J408)=0,COUNT(AB408:AD408)&lt;3),"",ROUND(J408-SUM(AB408:AD408),2))</f>
        <v/>
      </c>
      <c r="AF408" s="15">
        <f>IF(COUNT(AE408)=0,"",IF(Z408=0,"n.a.",AE408/Z408))</f>
        <v/>
      </c>
      <c r="AG408" s="12" t="n"/>
      <c r="AH408" s="14">
        <f>IF(OR(A408="",COUNT(Z408)=0,COUNT(AG408)=0),"",ROUND(Z408-AG408,2))</f>
        <v/>
      </c>
      <c r="AI408" s="21" t="n"/>
      <c r="AJ408" s="11">
        <f>IF(A408="","",IF(COUNT(I408)=0,"Enter approved NTE",IF(COUNT(Z408)&gt;0,IF(Z408&gt;I408,"Invoice exceeds NTE","Invoice within NTE"),IF(COUNT(L408)=0,"Enter quote inputs",IF(L408&gt;I408,"Quote exceeds NTE","Quote within NTE")))))</f>
        <v/>
      </c>
      <c r="AK408" s="11">
        <f>IF(A408="","",IF(COUNT(H408)=0,"Enter direct cost",IF(COUNT(Z408)=0,"Enter invoice revenue",IF(COUNT(AB408:AD408)&lt;3,"Enter expenses (0 if none)","Complete"))))</f>
        <v/>
      </c>
      <c r="AL408" s="11">
        <f>IF(A408="","",IF(NOT(AND(COUNT(AH408)=1,N(AH408)&gt;0.004,V408&lt;&gt;"Void",V408&lt;&gt;"Not invoiced",V408&lt;&gt;"Draft")),"",IF(COUNT(X408)=0,"No due date",IF(TODAY()-X408&lt;=0,"Not yet due",IF(TODAY()-X408&lt;=30,"1-30 days",IF(TODAY()-X408&lt;=60,"31-60 days",IF(TODAY()-X408&lt;=90,"61-90 days","Over 90 days")))))))</f>
        <v/>
      </c>
      <c r="AM408" s="49">
        <f>IF(OR(AL408="",AL408="No due date"),"",MAX(TODAY()-X408,0))</f>
        <v/>
      </c>
      <c r="AN408" s="49">
        <f>IF(AL408="","",IF(COUNT(X408)=0,-100000,TODAY()-X408))</f>
        <v/>
      </c>
      <c r="AO408" s="49">
        <f>IF(AN408="","",COUNTIF(AN$11:AN$1010,"&gt;"&amp;AN408)+COUNTIF(AN$11:AN408,AN408))</f>
        <v/>
      </c>
      <c r="AP408" s="49">
        <f>IF(OR(A408="",B408=""),"",IF(COUNTIF(B$11:B408,B408)=1,MAX(AP$10:AP407)+1,""))</f>
        <v/>
      </c>
    </row>
    <row r="409" ht="24" customHeight="1">
      <c r="A409" s="20" t="n"/>
      <c r="B409" s="10" t="n"/>
      <c r="C409" s="10" t="n"/>
      <c r="D409" s="10" t="n"/>
      <c r="E409" s="10" t="n"/>
      <c r="F409" s="18" t="n"/>
      <c r="G409" s="10" t="n"/>
      <c r="H409" s="12" t="n"/>
      <c r="I409" s="12" t="n"/>
      <c r="J409" s="13">
        <f>IF(OR(A409="",COUNT(H409)=0,COUNT(Z409)=0),"",ROUND(Z409-H409,2))</f>
        <v/>
      </c>
      <c r="K409" s="15">
        <f>IF(COUNT(J409)=0,"",IF(Z409=0,"n.a.",J409/Z409))</f>
        <v/>
      </c>
      <c r="L409" s="14">
        <f>IF(OR(A409="",COUNT(H409)=0,COUNT(Y409)=0),"",ROUND(H409*(1+Y409),2))</f>
        <v/>
      </c>
      <c r="M409" s="10" t="n"/>
      <c r="N409" s="10" t="n"/>
      <c r="O409" s="10" t="n"/>
      <c r="P409" s="10" t="n"/>
      <c r="Q409" s="20" t="n"/>
      <c r="R409" s="10" t="n"/>
      <c r="S409" s="10" t="n"/>
      <c r="T409" s="18" t="n"/>
      <c r="U409" s="18" t="n"/>
      <c r="V409" s="10" t="n"/>
      <c r="W409" s="10" t="n"/>
      <c r="X409" s="19">
        <f>IF(OR(A409="",COUNT(U409)=0,COUNT(AI409)=0),"",U409+AI409)</f>
        <v/>
      </c>
      <c r="Y409" s="16" t="n"/>
      <c r="Z409" s="12" t="n"/>
      <c r="AA409" s="17">
        <f>IF(COUNT(J409)=0,"",IF(H409=0,"n.a.",J409/H409))</f>
        <v/>
      </c>
      <c r="AB409" s="12" t="n"/>
      <c r="AC409" s="12" t="n"/>
      <c r="AD409" s="12" t="n"/>
      <c r="AE409" s="13">
        <f>IF(OR(COUNT(J409)=0,COUNT(AB409:AD409)&lt;3),"",ROUND(J409-SUM(AB409:AD409),2))</f>
        <v/>
      </c>
      <c r="AF409" s="15">
        <f>IF(COUNT(AE409)=0,"",IF(Z409=0,"n.a.",AE409/Z409))</f>
        <v/>
      </c>
      <c r="AG409" s="12" t="n"/>
      <c r="AH409" s="14">
        <f>IF(OR(A409="",COUNT(Z409)=0,COUNT(AG409)=0),"",ROUND(Z409-AG409,2))</f>
        <v/>
      </c>
      <c r="AI409" s="21" t="n"/>
      <c r="AJ409" s="11">
        <f>IF(A409="","",IF(COUNT(I409)=0,"Enter approved NTE",IF(COUNT(Z409)&gt;0,IF(Z409&gt;I409,"Invoice exceeds NTE","Invoice within NTE"),IF(COUNT(L409)=0,"Enter quote inputs",IF(L409&gt;I409,"Quote exceeds NTE","Quote within NTE")))))</f>
        <v/>
      </c>
      <c r="AK409" s="11">
        <f>IF(A409="","",IF(COUNT(H409)=0,"Enter direct cost",IF(COUNT(Z409)=0,"Enter invoice revenue",IF(COUNT(AB409:AD409)&lt;3,"Enter expenses (0 if none)","Complete"))))</f>
        <v/>
      </c>
      <c r="AL409" s="11">
        <f>IF(A409="","",IF(NOT(AND(COUNT(AH409)=1,N(AH409)&gt;0.004,V409&lt;&gt;"Void",V409&lt;&gt;"Not invoiced",V409&lt;&gt;"Draft")),"",IF(COUNT(X409)=0,"No due date",IF(TODAY()-X409&lt;=0,"Not yet due",IF(TODAY()-X409&lt;=30,"1-30 days",IF(TODAY()-X409&lt;=60,"31-60 days",IF(TODAY()-X409&lt;=90,"61-90 days","Over 90 days")))))))</f>
        <v/>
      </c>
      <c r="AM409" s="49">
        <f>IF(OR(AL409="",AL409="No due date"),"",MAX(TODAY()-X409,0))</f>
        <v/>
      </c>
      <c r="AN409" s="49">
        <f>IF(AL409="","",IF(COUNT(X409)=0,-100000,TODAY()-X409))</f>
        <v/>
      </c>
      <c r="AO409" s="49">
        <f>IF(AN409="","",COUNTIF(AN$11:AN$1010,"&gt;"&amp;AN409)+COUNTIF(AN$11:AN409,AN409))</f>
        <v/>
      </c>
      <c r="AP409" s="49">
        <f>IF(OR(A409="",B409=""),"",IF(COUNTIF(B$11:B409,B409)=1,MAX(AP$10:AP408)+1,""))</f>
        <v/>
      </c>
    </row>
    <row r="410" ht="24" customHeight="1">
      <c r="A410" s="20" t="n"/>
      <c r="B410" s="10" t="n"/>
      <c r="C410" s="10" t="n"/>
      <c r="D410" s="10" t="n"/>
      <c r="E410" s="10" t="n"/>
      <c r="F410" s="18" t="n"/>
      <c r="G410" s="10" t="n"/>
      <c r="H410" s="12" t="n"/>
      <c r="I410" s="12" t="n"/>
      <c r="J410" s="13">
        <f>IF(OR(A410="",COUNT(H410)=0,COUNT(Z410)=0),"",ROUND(Z410-H410,2))</f>
        <v/>
      </c>
      <c r="K410" s="15">
        <f>IF(COUNT(J410)=0,"",IF(Z410=0,"n.a.",J410/Z410))</f>
        <v/>
      </c>
      <c r="L410" s="14">
        <f>IF(OR(A410="",COUNT(H410)=0,COUNT(Y410)=0),"",ROUND(H410*(1+Y410),2))</f>
        <v/>
      </c>
      <c r="M410" s="10" t="n"/>
      <c r="N410" s="10" t="n"/>
      <c r="O410" s="10" t="n"/>
      <c r="P410" s="10" t="n"/>
      <c r="Q410" s="20" t="n"/>
      <c r="R410" s="10" t="n"/>
      <c r="S410" s="10" t="n"/>
      <c r="T410" s="18" t="n"/>
      <c r="U410" s="18" t="n"/>
      <c r="V410" s="10" t="n"/>
      <c r="W410" s="10" t="n"/>
      <c r="X410" s="19">
        <f>IF(OR(A410="",COUNT(U410)=0,COUNT(AI410)=0),"",U410+AI410)</f>
        <v/>
      </c>
      <c r="Y410" s="16" t="n"/>
      <c r="Z410" s="12" t="n"/>
      <c r="AA410" s="17">
        <f>IF(COUNT(J410)=0,"",IF(H410=0,"n.a.",J410/H410))</f>
        <v/>
      </c>
      <c r="AB410" s="12" t="n"/>
      <c r="AC410" s="12" t="n"/>
      <c r="AD410" s="12" t="n"/>
      <c r="AE410" s="13">
        <f>IF(OR(COUNT(J410)=0,COUNT(AB410:AD410)&lt;3),"",ROUND(J410-SUM(AB410:AD410),2))</f>
        <v/>
      </c>
      <c r="AF410" s="15">
        <f>IF(COUNT(AE410)=0,"",IF(Z410=0,"n.a.",AE410/Z410))</f>
        <v/>
      </c>
      <c r="AG410" s="12" t="n"/>
      <c r="AH410" s="14">
        <f>IF(OR(A410="",COUNT(Z410)=0,COUNT(AG410)=0),"",ROUND(Z410-AG410,2))</f>
        <v/>
      </c>
      <c r="AI410" s="21" t="n"/>
      <c r="AJ410" s="11">
        <f>IF(A410="","",IF(COUNT(I410)=0,"Enter approved NTE",IF(COUNT(Z410)&gt;0,IF(Z410&gt;I410,"Invoice exceeds NTE","Invoice within NTE"),IF(COUNT(L410)=0,"Enter quote inputs",IF(L410&gt;I410,"Quote exceeds NTE","Quote within NTE")))))</f>
        <v/>
      </c>
      <c r="AK410" s="11">
        <f>IF(A410="","",IF(COUNT(H410)=0,"Enter direct cost",IF(COUNT(Z410)=0,"Enter invoice revenue",IF(COUNT(AB410:AD410)&lt;3,"Enter expenses (0 if none)","Complete"))))</f>
        <v/>
      </c>
      <c r="AL410" s="11">
        <f>IF(A410="","",IF(NOT(AND(COUNT(AH410)=1,N(AH410)&gt;0.004,V410&lt;&gt;"Void",V410&lt;&gt;"Not invoiced",V410&lt;&gt;"Draft")),"",IF(COUNT(X410)=0,"No due date",IF(TODAY()-X410&lt;=0,"Not yet due",IF(TODAY()-X410&lt;=30,"1-30 days",IF(TODAY()-X410&lt;=60,"31-60 days",IF(TODAY()-X410&lt;=90,"61-90 days","Over 90 days")))))))</f>
        <v/>
      </c>
      <c r="AM410" s="49">
        <f>IF(OR(AL410="",AL410="No due date"),"",MAX(TODAY()-X410,0))</f>
        <v/>
      </c>
      <c r="AN410" s="49">
        <f>IF(AL410="","",IF(COUNT(X410)=0,-100000,TODAY()-X410))</f>
        <v/>
      </c>
      <c r="AO410" s="49">
        <f>IF(AN410="","",COUNTIF(AN$11:AN$1010,"&gt;"&amp;AN410)+COUNTIF(AN$11:AN410,AN410))</f>
        <v/>
      </c>
      <c r="AP410" s="49">
        <f>IF(OR(A410="",B410=""),"",IF(COUNTIF(B$11:B410,B410)=1,MAX(AP$10:AP409)+1,""))</f>
        <v/>
      </c>
    </row>
    <row r="411" ht="24" customHeight="1">
      <c r="A411" s="20" t="n"/>
      <c r="B411" s="10" t="n"/>
      <c r="C411" s="10" t="n"/>
      <c r="D411" s="10" t="n"/>
      <c r="E411" s="10" t="n"/>
      <c r="F411" s="18" t="n"/>
      <c r="G411" s="10" t="n"/>
      <c r="H411" s="12" t="n"/>
      <c r="I411" s="12" t="n"/>
      <c r="J411" s="13">
        <f>IF(OR(A411="",COUNT(H411)=0,COUNT(Z411)=0),"",ROUND(Z411-H411,2))</f>
        <v/>
      </c>
      <c r="K411" s="15">
        <f>IF(COUNT(J411)=0,"",IF(Z411=0,"n.a.",J411/Z411))</f>
        <v/>
      </c>
      <c r="L411" s="14">
        <f>IF(OR(A411="",COUNT(H411)=0,COUNT(Y411)=0),"",ROUND(H411*(1+Y411),2))</f>
        <v/>
      </c>
      <c r="M411" s="10" t="n"/>
      <c r="N411" s="10" t="n"/>
      <c r="O411" s="10" t="n"/>
      <c r="P411" s="10" t="n"/>
      <c r="Q411" s="20" t="n"/>
      <c r="R411" s="10" t="n"/>
      <c r="S411" s="10" t="n"/>
      <c r="T411" s="18" t="n"/>
      <c r="U411" s="18" t="n"/>
      <c r="V411" s="10" t="n"/>
      <c r="W411" s="10" t="n"/>
      <c r="X411" s="19">
        <f>IF(OR(A411="",COUNT(U411)=0,COUNT(AI411)=0),"",U411+AI411)</f>
        <v/>
      </c>
      <c r="Y411" s="16" t="n"/>
      <c r="Z411" s="12" t="n"/>
      <c r="AA411" s="17">
        <f>IF(COUNT(J411)=0,"",IF(H411=0,"n.a.",J411/H411))</f>
        <v/>
      </c>
      <c r="AB411" s="12" t="n"/>
      <c r="AC411" s="12" t="n"/>
      <c r="AD411" s="12" t="n"/>
      <c r="AE411" s="13">
        <f>IF(OR(COUNT(J411)=0,COUNT(AB411:AD411)&lt;3),"",ROUND(J411-SUM(AB411:AD411),2))</f>
        <v/>
      </c>
      <c r="AF411" s="15">
        <f>IF(COUNT(AE411)=0,"",IF(Z411=0,"n.a.",AE411/Z411))</f>
        <v/>
      </c>
      <c r="AG411" s="12" t="n"/>
      <c r="AH411" s="14">
        <f>IF(OR(A411="",COUNT(Z411)=0,COUNT(AG411)=0),"",ROUND(Z411-AG411,2))</f>
        <v/>
      </c>
      <c r="AI411" s="21" t="n"/>
      <c r="AJ411" s="11">
        <f>IF(A411="","",IF(COUNT(I411)=0,"Enter approved NTE",IF(COUNT(Z411)&gt;0,IF(Z411&gt;I411,"Invoice exceeds NTE","Invoice within NTE"),IF(COUNT(L411)=0,"Enter quote inputs",IF(L411&gt;I411,"Quote exceeds NTE","Quote within NTE")))))</f>
        <v/>
      </c>
      <c r="AK411" s="11">
        <f>IF(A411="","",IF(COUNT(H411)=0,"Enter direct cost",IF(COUNT(Z411)=0,"Enter invoice revenue",IF(COUNT(AB411:AD411)&lt;3,"Enter expenses (0 if none)","Complete"))))</f>
        <v/>
      </c>
      <c r="AL411" s="11">
        <f>IF(A411="","",IF(NOT(AND(COUNT(AH411)=1,N(AH411)&gt;0.004,V411&lt;&gt;"Void",V411&lt;&gt;"Not invoiced",V411&lt;&gt;"Draft")),"",IF(COUNT(X411)=0,"No due date",IF(TODAY()-X411&lt;=0,"Not yet due",IF(TODAY()-X411&lt;=30,"1-30 days",IF(TODAY()-X411&lt;=60,"31-60 days",IF(TODAY()-X411&lt;=90,"61-90 days","Over 90 days")))))))</f>
        <v/>
      </c>
      <c r="AM411" s="49">
        <f>IF(OR(AL411="",AL411="No due date"),"",MAX(TODAY()-X411,0))</f>
        <v/>
      </c>
      <c r="AN411" s="49">
        <f>IF(AL411="","",IF(COUNT(X411)=0,-100000,TODAY()-X411))</f>
        <v/>
      </c>
      <c r="AO411" s="49">
        <f>IF(AN411="","",COUNTIF(AN$11:AN$1010,"&gt;"&amp;AN411)+COUNTIF(AN$11:AN411,AN411))</f>
        <v/>
      </c>
      <c r="AP411" s="49">
        <f>IF(OR(A411="",B411=""),"",IF(COUNTIF(B$11:B411,B411)=1,MAX(AP$10:AP410)+1,""))</f>
        <v/>
      </c>
    </row>
    <row r="412" ht="24" customHeight="1">
      <c r="A412" s="20" t="n"/>
      <c r="B412" s="10" t="n"/>
      <c r="C412" s="10" t="n"/>
      <c r="D412" s="10" t="n"/>
      <c r="E412" s="10" t="n"/>
      <c r="F412" s="18" t="n"/>
      <c r="G412" s="10" t="n"/>
      <c r="H412" s="12" t="n"/>
      <c r="I412" s="12" t="n"/>
      <c r="J412" s="13">
        <f>IF(OR(A412="",COUNT(H412)=0,COUNT(Z412)=0),"",ROUND(Z412-H412,2))</f>
        <v/>
      </c>
      <c r="K412" s="15">
        <f>IF(COUNT(J412)=0,"",IF(Z412=0,"n.a.",J412/Z412))</f>
        <v/>
      </c>
      <c r="L412" s="14">
        <f>IF(OR(A412="",COUNT(H412)=0,COUNT(Y412)=0),"",ROUND(H412*(1+Y412),2))</f>
        <v/>
      </c>
      <c r="M412" s="10" t="n"/>
      <c r="N412" s="10" t="n"/>
      <c r="O412" s="10" t="n"/>
      <c r="P412" s="10" t="n"/>
      <c r="Q412" s="20" t="n"/>
      <c r="R412" s="10" t="n"/>
      <c r="S412" s="10" t="n"/>
      <c r="T412" s="18" t="n"/>
      <c r="U412" s="18" t="n"/>
      <c r="V412" s="10" t="n"/>
      <c r="W412" s="10" t="n"/>
      <c r="X412" s="19">
        <f>IF(OR(A412="",COUNT(U412)=0,COUNT(AI412)=0),"",U412+AI412)</f>
        <v/>
      </c>
      <c r="Y412" s="16" t="n"/>
      <c r="Z412" s="12" t="n"/>
      <c r="AA412" s="17">
        <f>IF(COUNT(J412)=0,"",IF(H412=0,"n.a.",J412/H412))</f>
        <v/>
      </c>
      <c r="AB412" s="12" t="n"/>
      <c r="AC412" s="12" t="n"/>
      <c r="AD412" s="12" t="n"/>
      <c r="AE412" s="13">
        <f>IF(OR(COUNT(J412)=0,COUNT(AB412:AD412)&lt;3),"",ROUND(J412-SUM(AB412:AD412),2))</f>
        <v/>
      </c>
      <c r="AF412" s="15">
        <f>IF(COUNT(AE412)=0,"",IF(Z412=0,"n.a.",AE412/Z412))</f>
        <v/>
      </c>
      <c r="AG412" s="12" t="n"/>
      <c r="AH412" s="14">
        <f>IF(OR(A412="",COUNT(Z412)=0,COUNT(AG412)=0),"",ROUND(Z412-AG412,2))</f>
        <v/>
      </c>
      <c r="AI412" s="21" t="n"/>
      <c r="AJ412" s="11">
        <f>IF(A412="","",IF(COUNT(I412)=0,"Enter approved NTE",IF(COUNT(Z412)&gt;0,IF(Z412&gt;I412,"Invoice exceeds NTE","Invoice within NTE"),IF(COUNT(L412)=0,"Enter quote inputs",IF(L412&gt;I412,"Quote exceeds NTE","Quote within NTE")))))</f>
        <v/>
      </c>
      <c r="AK412" s="11">
        <f>IF(A412="","",IF(COUNT(H412)=0,"Enter direct cost",IF(COUNT(Z412)=0,"Enter invoice revenue",IF(COUNT(AB412:AD412)&lt;3,"Enter expenses (0 if none)","Complete"))))</f>
        <v/>
      </c>
      <c r="AL412" s="11">
        <f>IF(A412="","",IF(NOT(AND(COUNT(AH412)=1,N(AH412)&gt;0.004,V412&lt;&gt;"Void",V412&lt;&gt;"Not invoiced",V412&lt;&gt;"Draft")),"",IF(COUNT(X412)=0,"No due date",IF(TODAY()-X412&lt;=0,"Not yet due",IF(TODAY()-X412&lt;=30,"1-30 days",IF(TODAY()-X412&lt;=60,"31-60 days",IF(TODAY()-X412&lt;=90,"61-90 days","Over 90 days")))))))</f>
        <v/>
      </c>
      <c r="AM412" s="49">
        <f>IF(OR(AL412="",AL412="No due date"),"",MAX(TODAY()-X412,0))</f>
        <v/>
      </c>
      <c r="AN412" s="49">
        <f>IF(AL412="","",IF(COUNT(X412)=0,-100000,TODAY()-X412))</f>
        <v/>
      </c>
      <c r="AO412" s="49">
        <f>IF(AN412="","",COUNTIF(AN$11:AN$1010,"&gt;"&amp;AN412)+COUNTIF(AN$11:AN412,AN412))</f>
        <v/>
      </c>
      <c r="AP412" s="49">
        <f>IF(OR(A412="",B412=""),"",IF(COUNTIF(B$11:B412,B412)=1,MAX(AP$10:AP411)+1,""))</f>
        <v/>
      </c>
    </row>
    <row r="413" ht="24" customHeight="1">
      <c r="A413" s="20" t="n"/>
      <c r="B413" s="10" t="n"/>
      <c r="C413" s="10" t="n"/>
      <c r="D413" s="10" t="n"/>
      <c r="E413" s="10" t="n"/>
      <c r="F413" s="18" t="n"/>
      <c r="G413" s="10" t="n"/>
      <c r="H413" s="12" t="n"/>
      <c r="I413" s="12" t="n"/>
      <c r="J413" s="13">
        <f>IF(OR(A413="",COUNT(H413)=0,COUNT(Z413)=0),"",ROUND(Z413-H413,2))</f>
        <v/>
      </c>
      <c r="K413" s="15">
        <f>IF(COUNT(J413)=0,"",IF(Z413=0,"n.a.",J413/Z413))</f>
        <v/>
      </c>
      <c r="L413" s="14">
        <f>IF(OR(A413="",COUNT(H413)=0,COUNT(Y413)=0),"",ROUND(H413*(1+Y413),2))</f>
        <v/>
      </c>
      <c r="M413" s="10" t="n"/>
      <c r="N413" s="10" t="n"/>
      <c r="O413" s="10" t="n"/>
      <c r="P413" s="10" t="n"/>
      <c r="Q413" s="20" t="n"/>
      <c r="R413" s="10" t="n"/>
      <c r="S413" s="10" t="n"/>
      <c r="T413" s="18" t="n"/>
      <c r="U413" s="18" t="n"/>
      <c r="V413" s="10" t="n"/>
      <c r="W413" s="10" t="n"/>
      <c r="X413" s="19">
        <f>IF(OR(A413="",COUNT(U413)=0,COUNT(AI413)=0),"",U413+AI413)</f>
        <v/>
      </c>
      <c r="Y413" s="16" t="n"/>
      <c r="Z413" s="12" t="n"/>
      <c r="AA413" s="17">
        <f>IF(COUNT(J413)=0,"",IF(H413=0,"n.a.",J413/H413))</f>
        <v/>
      </c>
      <c r="AB413" s="12" t="n"/>
      <c r="AC413" s="12" t="n"/>
      <c r="AD413" s="12" t="n"/>
      <c r="AE413" s="13">
        <f>IF(OR(COUNT(J413)=0,COUNT(AB413:AD413)&lt;3),"",ROUND(J413-SUM(AB413:AD413),2))</f>
        <v/>
      </c>
      <c r="AF413" s="15">
        <f>IF(COUNT(AE413)=0,"",IF(Z413=0,"n.a.",AE413/Z413))</f>
        <v/>
      </c>
      <c r="AG413" s="12" t="n"/>
      <c r="AH413" s="14">
        <f>IF(OR(A413="",COUNT(Z413)=0,COUNT(AG413)=0),"",ROUND(Z413-AG413,2))</f>
        <v/>
      </c>
      <c r="AI413" s="21" t="n"/>
      <c r="AJ413" s="11">
        <f>IF(A413="","",IF(COUNT(I413)=0,"Enter approved NTE",IF(COUNT(Z413)&gt;0,IF(Z413&gt;I413,"Invoice exceeds NTE","Invoice within NTE"),IF(COUNT(L413)=0,"Enter quote inputs",IF(L413&gt;I413,"Quote exceeds NTE","Quote within NTE")))))</f>
        <v/>
      </c>
      <c r="AK413" s="11">
        <f>IF(A413="","",IF(COUNT(H413)=0,"Enter direct cost",IF(COUNT(Z413)=0,"Enter invoice revenue",IF(COUNT(AB413:AD413)&lt;3,"Enter expenses (0 if none)","Complete"))))</f>
        <v/>
      </c>
      <c r="AL413" s="11">
        <f>IF(A413="","",IF(NOT(AND(COUNT(AH413)=1,N(AH413)&gt;0.004,V413&lt;&gt;"Void",V413&lt;&gt;"Not invoiced",V413&lt;&gt;"Draft")),"",IF(COUNT(X413)=0,"No due date",IF(TODAY()-X413&lt;=0,"Not yet due",IF(TODAY()-X413&lt;=30,"1-30 days",IF(TODAY()-X413&lt;=60,"31-60 days",IF(TODAY()-X413&lt;=90,"61-90 days","Over 90 days")))))))</f>
        <v/>
      </c>
      <c r="AM413" s="49">
        <f>IF(OR(AL413="",AL413="No due date"),"",MAX(TODAY()-X413,0))</f>
        <v/>
      </c>
      <c r="AN413" s="49">
        <f>IF(AL413="","",IF(COUNT(X413)=0,-100000,TODAY()-X413))</f>
        <v/>
      </c>
      <c r="AO413" s="49">
        <f>IF(AN413="","",COUNTIF(AN$11:AN$1010,"&gt;"&amp;AN413)+COUNTIF(AN$11:AN413,AN413))</f>
        <v/>
      </c>
      <c r="AP413" s="49">
        <f>IF(OR(A413="",B413=""),"",IF(COUNTIF(B$11:B413,B413)=1,MAX(AP$10:AP412)+1,""))</f>
        <v/>
      </c>
    </row>
    <row r="414" ht="24" customHeight="1">
      <c r="A414" s="20" t="n"/>
      <c r="B414" s="10" t="n"/>
      <c r="C414" s="10" t="n"/>
      <c r="D414" s="10" t="n"/>
      <c r="E414" s="10" t="n"/>
      <c r="F414" s="18" t="n"/>
      <c r="G414" s="10" t="n"/>
      <c r="H414" s="12" t="n"/>
      <c r="I414" s="12" t="n"/>
      <c r="J414" s="13">
        <f>IF(OR(A414="",COUNT(H414)=0,COUNT(Z414)=0),"",ROUND(Z414-H414,2))</f>
        <v/>
      </c>
      <c r="K414" s="15">
        <f>IF(COUNT(J414)=0,"",IF(Z414=0,"n.a.",J414/Z414))</f>
        <v/>
      </c>
      <c r="L414" s="14">
        <f>IF(OR(A414="",COUNT(H414)=0,COUNT(Y414)=0),"",ROUND(H414*(1+Y414),2))</f>
        <v/>
      </c>
      <c r="M414" s="10" t="n"/>
      <c r="N414" s="10" t="n"/>
      <c r="O414" s="10" t="n"/>
      <c r="P414" s="10" t="n"/>
      <c r="Q414" s="20" t="n"/>
      <c r="R414" s="10" t="n"/>
      <c r="S414" s="10" t="n"/>
      <c r="T414" s="18" t="n"/>
      <c r="U414" s="18" t="n"/>
      <c r="V414" s="10" t="n"/>
      <c r="W414" s="10" t="n"/>
      <c r="X414" s="19">
        <f>IF(OR(A414="",COUNT(U414)=0,COUNT(AI414)=0),"",U414+AI414)</f>
        <v/>
      </c>
      <c r="Y414" s="16" t="n"/>
      <c r="Z414" s="12" t="n"/>
      <c r="AA414" s="17">
        <f>IF(COUNT(J414)=0,"",IF(H414=0,"n.a.",J414/H414))</f>
        <v/>
      </c>
      <c r="AB414" s="12" t="n"/>
      <c r="AC414" s="12" t="n"/>
      <c r="AD414" s="12" t="n"/>
      <c r="AE414" s="13">
        <f>IF(OR(COUNT(J414)=0,COUNT(AB414:AD414)&lt;3),"",ROUND(J414-SUM(AB414:AD414),2))</f>
        <v/>
      </c>
      <c r="AF414" s="15">
        <f>IF(COUNT(AE414)=0,"",IF(Z414=0,"n.a.",AE414/Z414))</f>
        <v/>
      </c>
      <c r="AG414" s="12" t="n"/>
      <c r="AH414" s="14">
        <f>IF(OR(A414="",COUNT(Z414)=0,COUNT(AG414)=0),"",ROUND(Z414-AG414,2))</f>
        <v/>
      </c>
      <c r="AI414" s="21" t="n"/>
      <c r="AJ414" s="11">
        <f>IF(A414="","",IF(COUNT(I414)=0,"Enter approved NTE",IF(COUNT(Z414)&gt;0,IF(Z414&gt;I414,"Invoice exceeds NTE","Invoice within NTE"),IF(COUNT(L414)=0,"Enter quote inputs",IF(L414&gt;I414,"Quote exceeds NTE","Quote within NTE")))))</f>
        <v/>
      </c>
      <c r="AK414" s="11">
        <f>IF(A414="","",IF(COUNT(H414)=0,"Enter direct cost",IF(COUNT(Z414)=0,"Enter invoice revenue",IF(COUNT(AB414:AD414)&lt;3,"Enter expenses (0 if none)","Complete"))))</f>
        <v/>
      </c>
      <c r="AL414" s="11">
        <f>IF(A414="","",IF(NOT(AND(COUNT(AH414)=1,N(AH414)&gt;0.004,V414&lt;&gt;"Void",V414&lt;&gt;"Not invoiced",V414&lt;&gt;"Draft")),"",IF(COUNT(X414)=0,"No due date",IF(TODAY()-X414&lt;=0,"Not yet due",IF(TODAY()-X414&lt;=30,"1-30 days",IF(TODAY()-X414&lt;=60,"31-60 days",IF(TODAY()-X414&lt;=90,"61-90 days","Over 90 days")))))))</f>
        <v/>
      </c>
      <c r="AM414" s="49">
        <f>IF(OR(AL414="",AL414="No due date"),"",MAX(TODAY()-X414,0))</f>
        <v/>
      </c>
      <c r="AN414" s="49">
        <f>IF(AL414="","",IF(COUNT(X414)=0,-100000,TODAY()-X414))</f>
        <v/>
      </c>
      <c r="AO414" s="49">
        <f>IF(AN414="","",COUNTIF(AN$11:AN$1010,"&gt;"&amp;AN414)+COUNTIF(AN$11:AN414,AN414))</f>
        <v/>
      </c>
      <c r="AP414" s="49">
        <f>IF(OR(A414="",B414=""),"",IF(COUNTIF(B$11:B414,B414)=1,MAX(AP$10:AP413)+1,""))</f>
        <v/>
      </c>
    </row>
    <row r="415" ht="24" customHeight="1">
      <c r="A415" s="20" t="n"/>
      <c r="B415" s="10" t="n"/>
      <c r="C415" s="10" t="n"/>
      <c r="D415" s="10" t="n"/>
      <c r="E415" s="10" t="n"/>
      <c r="F415" s="18" t="n"/>
      <c r="G415" s="10" t="n"/>
      <c r="H415" s="12" t="n"/>
      <c r="I415" s="12" t="n"/>
      <c r="J415" s="13">
        <f>IF(OR(A415="",COUNT(H415)=0,COUNT(Z415)=0),"",ROUND(Z415-H415,2))</f>
        <v/>
      </c>
      <c r="K415" s="15">
        <f>IF(COUNT(J415)=0,"",IF(Z415=0,"n.a.",J415/Z415))</f>
        <v/>
      </c>
      <c r="L415" s="14">
        <f>IF(OR(A415="",COUNT(H415)=0,COUNT(Y415)=0),"",ROUND(H415*(1+Y415),2))</f>
        <v/>
      </c>
      <c r="M415" s="10" t="n"/>
      <c r="N415" s="10" t="n"/>
      <c r="O415" s="10" t="n"/>
      <c r="P415" s="10" t="n"/>
      <c r="Q415" s="20" t="n"/>
      <c r="R415" s="10" t="n"/>
      <c r="S415" s="10" t="n"/>
      <c r="T415" s="18" t="n"/>
      <c r="U415" s="18" t="n"/>
      <c r="V415" s="10" t="n"/>
      <c r="W415" s="10" t="n"/>
      <c r="X415" s="19">
        <f>IF(OR(A415="",COUNT(U415)=0,COUNT(AI415)=0),"",U415+AI415)</f>
        <v/>
      </c>
      <c r="Y415" s="16" t="n"/>
      <c r="Z415" s="12" t="n"/>
      <c r="AA415" s="17">
        <f>IF(COUNT(J415)=0,"",IF(H415=0,"n.a.",J415/H415))</f>
        <v/>
      </c>
      <c r="AB415" s="12" t="n"/>
      <c r="AC415" s="12" t="n"/>
      <c r="AD415" s="12" t="n"/>
      <c r="AE415" s="13">
        <f>IF(OR(COUNT(J415)=0,COUNT(AB415:AD415)&lt;3),"",ROUND(J415-SUM(AB415:AD415),2))</f>
        <v/>
      </c>
      <c r="AF415" s="15">
        <f>IF(COUNT(AE415)=0,"",IF(Z415=0,"n.a.",AE415/Z415))</f>
        <v/>
      </c>
      <c r="AG415" s="12" t="n"/>
      <c r="AH415" s="14">
        <f>IF(OR(A415="",COUNT(Z415)=0,COUNT(AG415)=0),"",ROUND(Z415-AG415,2))</f>
        <v/>
      </c>
      <c r="AI415" s="21" t="n"/>
      <c r="AJ415" s="11">
        <f>IF(A415="","",IF(COUNT(I415)=0,"Enter approved NTE",IF(COUNT(Z415)&gt;0,IF(Z415&gt;I415,"Invoice exceeds NTE","Invoice within NTE"),IF(COUNT(L415)=0,"Enter quote inputs",IF(L415&gt;I415,"Quote exceeds NTE","Quote within NTE")))))</f>
        <v/>
      </c>
      <c r="AK415" s="11">
        <f>IF(A415="","",IF(COUNT(H415)=0,"Enter direct cost",IF(COUNT(Z415)=0,"Enter invoice revenue",IF(COUNT(AB415:AD415)&lt;3,"Enter expenses (0 if none)","Complete"))))</f>
        <v/>
      </c>
      <c r="AL415" s="11">
        <f>IF(A415="","",IF(NOT(AND(COUNT(AH415)=1,N(AH415)&gt;0.004,V415&lt;&gt;"Void",V415&lt;&gt;"Not invoiced",V415&lt;&gt;"Draft")),"",IF(COUNT(X415)=0,"No due date",IF(TODAY()-X415&lt;=0,"Not yet due",IF(TODAY()-X415&lt;=30,"1-30 days",IF(TODAY()-X415&lt;=60,"31-60 days",IF(TODAY()-X415&lt;=90,"61-90 days","Over 90 days")))))))</f>
        <v/>
      </c>
      <c r="AM415" s="49">
        <f>IF(OR(AL415="",AL415="No due date"),"",MAX(TODAY()-X415,0))</f>
        <v/>
      </c>
      <c r="AN415" s="49">
        <f>IF(AL415="","",IF(COUNT(X415)=0,-100000,TODAY()-X415))</f>
        <v/>
      </c>
      <c r="AO415" s="49">
        <f>IF(AN415="","",COUNTIF(AN$11:AN$1010,"&gt;"&amp;AN415)+COUNTIF(AN$11:AN415,AN415))</f>
        <v/>
      </c>
      <c r="AP415" s="49">
        <f>IF(OR(A415="",B415=""),"",IF(COUNTIF(B$11:B415,B415)=1,MAX(AP$10:AP414)+1,""))</f>
        <v/>
      </c>
    </row>
    <row r="416" ht="24" customHeight="1">
      <c r="A416" s="20" t="n"/>
      <c r="B416" s="10" t="n"/>
      <c r="C416" s="10" t="n"/>
      <c r="D416" s="10" t="n"/>
      <c r="E416" s="10" t="n"/>
      <c r="F416" s="18" t="n"/>
      <c r="G416" s="10" t="n"/>
      <c r="H416" s="12" t="n"/>
      <c r="I416" s="12" t="n"/>
      <c r="J416" s="13">
        <f>IF(OR(A416="",COUNT(H416)=0,COUNT(Z416)=0),"",ROUND(Z416-H416,2))</f>
        <v/>
      </c>
      <c r="K416" s="15">
        <f>IF(COUNT(J416)=0,"",IF(Z416=0,"n.a.",J416/Z416))</f>
        <v/>
      </c>
      <c r="L416" s="14">
        <f>IF(OR(A416="",COUNT(H416)=0,COUNT(Y416)=0),"",ROUND(H416*(1+Y416),2))</f>
        <v/>
      </c>
      <c r="M416" s="10" t="n"/>
      <c r="N416" s="10" t="n"/>
      <c r="O416" s="10" t="n"/>
      <c r="P416" s="10" t="n"/>
      <c r="Q416" s="20" t="n"/>
      <c r="R416" s="10" t="n"/>
      <c r="S416" s="10" t="n"/>
      <c r="T416" s="18" t="n"/>
      <c r="U416" s="18" t="n"/>
      <c r="V416" s="10" t="n"/>
      <c r="W416" s="10" t="n"/>
      <c r="X416" s="19">
        <f>IF(OR(A416="",COUNT(U416)=0,COUNT(AI416)=0),"",U416+AI416)</f>
        <v/>
      </c>
      <c r="Y416" s="16" t="n"/>
      <c r="Z416" s="12" t="n"/>
      <c r="AA416" s="17">
        <f>IF(COUNT(J416)=0,"",IF(H416=0,"n.a.",J416/H416))</f>
        <v/>
      </c>
      <c r="AB416" s="12" t="n"/>
      <c r="AC416" s="12" t="n"/>
      <c r="AD416" s="12" t="n"/>
      <c r="AE416" s="13">
        <f>IF(OR(COUNT(J416)=0,COUNT(AB416:AD416)&lt;3),"",ROUND(J416-SUM(AB416:AD416),2))</f>
        <v/>
      </c>
      <c r="AF416" s="15">
        <f>IF(COUNT(AE416)=0,"",IF(Z416=0,"n.a.",AE416/Z416))</f>
        <v/>
      </c>
      <c r="AG416" s="12" t="n"/>
      <c r="AH416" s="14">
        <f>IF(OR(A416="",COUNT(Z416)=0,COUNT(AG416)=0),"",ROUND(Z416-AG416,2))</f>
        <v/>
      </c>
      <c r="AI416" s="21" t="n"/>
      <c r="AJ416" s="11">
        <f>IF(A416="","",IF(COUNT(I416)=0,"Enter approved NTE",IF(COUNT(Z416)&gt;0,IF(Z416&gt;I416,"Invoice exceeds NTE","Invoice within NTE"),IF(COUNT(L416)=0,"Enter quote inputs",IF(L416&gt;I416,"Quote exceeds NTE","Quote within NTE")))))</f>
        <v/>
      </c>
      <c r="AK416" s="11">
        <f>IF(A416="","",IF(COUNT(H416)=0,"Enter direct cost",IF(COUNT(Z416)=0,"Enter invoice revenue",IF(COUNT(AB416:AD416)&lt;3,"Enter expenses (0 if none)","Complete"))))</f>
        <v/>
      </c>
      <c r="AL416" s="11">
        <f>IF(A416="","",IF(NOT(AND(COUNT(AH416)=1,N(AH416)&gt;0.004,V416&lt;&gt;"Void",V416&lt;&gt;"Not invoiced",V416&lt;&gt;"Draft")),"",IF(COUNT(X416)=0,"No due date",IF(TODAY()-X416&lt;=0,"Not yet due",IF(TODAY()-X416&lt;=30,"1-30 days",IF(TODAY()-X416&lt;=60,"31-60 days",IF(TODAY()-X416&lt;=90,"61-90 days","Over 90 days")))))))</f>
        <v/>
      </c>
      <c r="AM416" s="49">
        <f>IF(OR(AL416="",AL416="No due date"),"",MAX(TODAY()-X416,0))</f>
        <v/>
      </c>
      <c r="AN416" s="49">
        <f>IF(AL416="","",IF(COUNT(X416)=0,-100000,TODAY()-X416))</f>
        <v/>
      </c>
      <c r="AO416" s="49">
        <f>IF(AN416="","",COUNTIF(AN$11:AN$1010,"&gt;"&amp;AN416)+COUNTIF(AN$11:AN416,AN416))</f>
        <v/>
      </c>
      <c r="AP416" s="49">
        <f>IF(OR(A416="",B416=""),"",IF(COUNTIF(B$11:B416,B416)=1,MAX(AP$10:AP415)+1,""))</f>
        <v/>
      </c>
    </row>
    <row r="417" ht="24" customHeight="1">
      <c r="A417" s="20" t="n"/>
      <c r="B417" s="10" t="n"/>
      <c r="C417" s="10" t="n"/>
      <c r="D417" s="10" t="n"/>
      <c r="E417" s="10" t="n"/>
      <c r="F417" s="18" t="n"/>
      <c r="G417" s="10" t="n"/>
      <c r="H417" s="12" t="n"/>
      <c r="I417" s="12" t="n"/>
      <c r="J417" s="13">
        <f>IF(OR(A417="",COUNT(H417)=0,COUNT(Z417)=0),"",ROUND(Z417-H417,2))</f>
        <v/>
      </c>
      <c r="K417" s="15">
        <f>IF(COUNT(J417)=0,"",IF(Z417=0,"n.a.",J417/Z417))</f>
        <v/>
      </c>
      <c r="L417" s="14">
        <f>IF(OR(A417="",COUNT(H417)=0,COUNT(Y417)=0),"",ROUND(H417*(1+Y417),2))</f>
        <v/>
      </c>
      <c r="M417" s="10" t="n"/>
      <c r="N417" s="10" t="n"/>
      <c r="O417" s="10" t="n"/>
      <c r="P417" s="10" t="n"/>
      <c r="Q417" s="20" t="n"/>
      <c r="R417" s="10" t="n"/>
      <c r="S417" s="10" t="n"/>
      <c r="T417" s="18" t="n"/>
      <c r="U417" s="18" t="n"/>
      <c r="V417" s="10" t="n"/>
      <c r="W417" s="10" t="n"/>
      <c r="X417" s="19">
        <f>IF(OR(A417="",COUNT(U417)=0,COUNT(AI417)=0),"",U417+AI417)</f>
        <v/>
      </c>
      <c r="Y417" s="16" t="n"/>
      <c r="Z417" s="12" t="n"/>
      <c r="AA417" s="17">
        <f>IF(COUNT(J417)=0,"",IF(H417=0,"n.a.",J417/H417))</f>
        <v/>
      </c>
      <c r="AB417" s="12" t="n"/>
      <c r="AC417" s="12" t="n"/>
      <c r="AD417" s="12" t="n"/>
      <c r="AE417" s="13">
        <f>IF(OR(COUNT(J417)=0,COUNT(AB417:AD417)&lt;3),"",ROUND(J417-SUM(AB417:AD417),2))</f>
        <v/>
      </c>
      <c r="AF417" s="15">
        <f>IF(COUNT(AE417)=0,"",IF(Z417=0,"n.a.",AE417/Z417))</f>
        <v/>
      </c>
      <c r="AG417" s="12" t="n"/>
      <c r="AH417" s="14">
        <f>IF(OR(A417="",COUNT(Z417)=0,COUNT(AG417)=0),"",ROUND(Z417-AG417,2))</f>
        <v/>
      </c>
      <c r="AI417" s="21" t="n"/>
      <c r="AJ417" s="11">
        <f>IF(A417="","",IF(COUNT(I417)=0,"Enter approved NTE",IF(COUNT(Z417)&gt;0,IF(Z417&gt;I417,"Invoice exceeds NTE","Invoice within NTE"),IF(COUNT(L417)=0,"Enter quote inputs",IF(L417&gt;I417,"Quote exceeds NTE","Quote within NTE")))))</f>
        <v/>
      </c>
      <c r="AK417" s="11">
        <f>IF(A417="","",IF(COUNT(H417)=0,"Enter direct cost",IF(COUNT(Z417)=0,"Enter invoice revenue",IF(COUNT(AB417:AD417)&lt;3,"Enter expenses (0 if none)","Complete"))))</f>
        <v/>
      </c>
      <c r="AL417" s="11">
        <f>IF(A417="","",IF(NOT(AND(COUNT(AH417)=1,N(AH417)&gt;0.004,V417&lt;&gt;"Void",V417&lt;&gt;"Not invoiced",V417&lt;&gt;"Draft")),"",IF(COUNT(X417)=0,"No due date",IF(TODAY()-X417&lt;=0,"Not yet due",IF(TODAY()-X417&lt;=30,"1-30 days",IF(TODAY()-X417&lt;=60,"31-60 days",IF(TODAY()-X417&lt;=90,"61-90 days","Over 90 days")))))))</f>
        <v/>
      </c>
      <c r="AM417" s="49">
        <f>IF(OR(AL417="",AL417="No due date"),"",MAX(TODAY()-X417,0))</f>
        <v/>
      </c>
      <c r="AN417" s="49">
        <f>IF(AL417="","",IF(COUNT(X417)=0,-100000,TODAY()-X417))</f>
        <v/>
      </c>
      <c r="AO417" s="49">
        <f>IF(AN417="","",COUNTIF(AN$11:AN$1010,"&gt;"&amp;AN417)+COUNTIF(AN$11:AN417,AN417))</f>
        <v/>
      </c>
      <c r="AP417" s="49">
        <f>IF(OR(A417="",B417=""),"",IF(COUNTIF(B$11:B417,B417)=1,MAX(AP$10:AP416)+1,""))</f>
        <v/>
      </c>
    </row>
    <row r="418" ht="24" customHeight="1">
      <c r="A418" s="20" t="n"/>
      <c r="B418" s="10" t="n"/>
      <c r="C418" s="10" t="n"/>
      <c r="D418" s="10" t="n"/>
      <c r="E418" s="10" t="n"/>
      <c r="F418" s="18" t="n"/>
      <c r="G418" s="10" t="n"/>
      <c r="H418" s="12" t="n"/>
      <c r="I418" s="12" t="n"/>
      <c r="J418" s="13">
        <f>IF(OR(A418="",COUNT(H418)=0,COUNT(Z418)=0),"",ROUND(Z418-H418,2))</f>
        <v/>
      </c>
      <c r="K418" s="15">
        <f>IF(COUNT(J418)=0,"",IF(Z418=0,"n.a.",J418/Z418))</f>
        <v/>
      </c>
      <c r="L418" s="14">
        <f>IF(OR(A418="",COUNT(H418)=0,COUNT(Y418)=0),"",ROUND(H418*(1+Y418),2))</f>
        <v/>
      </c>
      <c r="M418" s="10" t="n"/>
      <c r="N418" s="10" t="n"/>
      <c r="O418" s="10" t="n"/>
      <c r="P418" s="10" t="n"/>
      <c r="Q418" s="20" t="n"/>
      <c r="R418" s="10" t="n"/>
      <c r="S418" s="10" t="n"/>
      <c r="T418" s="18" t="n"/>
      <c r="U418" s="18" t="n"/>
      <c r="V418" s="10" t="n"/>
      <c r="W418" s="10" t="n"/>
      <c r="X418" s="19">
        <f>IF(OR(A418="",COUNT(U418)=0,COUNT(AI418)=0),"",U418+AI418)</f>
        <v/>
      </c>
      <c r="Y418" s="16" t="n"/>
      <c r="Z418" s="12" t="n"/>
      <c r="AA418" s="17">
        <f>IF(COUNT(J418)=0,"",IF(H418=0,"n.a.",J418/H418))</f>
        <v/>
      </c>
      <c r="AB418" s="12" t="n"/>
      <c r="AC418" s="12" t="n"/>
      <c r="AD418" s="12" t="n"/>
      <c r="AE418" s="13">
        <f>IF(OR(COUNT(J418)=0,COUNT(AB418:AD418)&lt;3),"",ROUND(J418-SUM(AB418:AD418),2))</f>
        <v/>
      </c>
      <c r="AF418" s="15">
        <f>IF(COUNT(AE418)=0,"",IF(Z418=0,"n.a.",AE418/Z418))</f>
        <v/>
      </c>
      <c r="AG418" s="12" t="n"/>
      <c r="AH418" s="14">
        <f>IF(OR(A418="",COUNT(Z418)=0,COUNT(AG418)=0),"",ROUND(Z418-AG418,2))</f>
        <v/>
      </c>
      <c r="AI418" s="21" t="n"/>
      <c r="AJ418" s="11">
        <f>IF(A418="","",IF(COUNT(I418)=0,"Enter approved NTE",IF(COUNT(Z418)&gt;0,IF(Z418&gt;I418,"Invoice exceeds NTE","Invoice within NTE"),IF(COUNT(L418)=0,"Enter quote inputs",IF(L418&gt;I418,"Quote exceeds NTE","Quote within NTE")))))</f>
        <v/>
      </c>
      <c r="AK418" s="11">
        <f>IF(A418="","",IF(COUNT(H418)=0,"Enter direct cost",IF(COUNT(Z418)=0,"Enter invoice revenue",IF(COUNT(AB418:AD418)&lt;3,"Enter expenses (0 if none)","Complete"))))</f>
        <v/>
      </c>
      <c r="AL418" s="11">
        <f>IF(A418="","",IF(NOT(AND(COUNT(AH418)=1,N(AH418)&gt;0.004,V418&lt;&gt;"Void",V418&lt;&gt;"Not invoiced",V418&lt;&gt;"Draft")),"",IF(COUNT(X418)=0,"No due date",IF(TODAY()-X418&lt;=0,"Not yet due",IF(TODAY()-X418&lt;=30,"1-30 days",IF(TODAY()-X418&lt;=60,"31-60 days",IF(TODAY()-X418&lt;=90,"61-90 days","Over 90 days")))))))</f>
        <v/>
      </c>
      <c r="AM418" s="49">
        <f>IF(OR(AL418="",AL418="No due date"),"",MAX(TODAY()-X418,0))</f>
        <v/>
      </c>
      <c r="AN418" s="49">
        <f>IF(AL418="","",IF(COUNT(X418)=0,-100000,TODAY()-X418))</f>
        <v/>
      </c>
      <c r="AO418" s="49">
        <f>IF(AN418="","",COUNTIF(AN$11:AN$1010,"&gt;"&amp;AN418)+COUNTIF(AN$11:AN418,AN418))</f>
        <v/>
      </c>
      <c r="AP418" s="49">
        <f>IF(OR(A418="",B418=""),"",IF(COUNTIF(B$11:B418,B418)=1,MAX(AP$10:AP417)+1,""))</f>
        <v/>
      </c>
    </row>
    <row r="419" ht="24" customHeight="1">
      <c r="A419" s="20" t="n"/>
      <c r="B419" s="10" t="n"/>
      <c r="C419" s="10" t="n"/>
      <c r="D419" s="10" t="n"/>
      <c r="E419" s="10" t="n"/>
      <c r="F419" s="18" t="n"/>
      <c r="G419" s="10" t="n"/>
      <c r="H419" s="12" t="n"/>
      <c r="I419" s="12" t="n"/>
      <c r="J419" s="13">
        <f>IF(OR(A419="",COUNT(H419)=0,COUNT(Z419)=0),"",ROUND(Z419-H419,2))</f>
        <v/>
      </c>
      <c r="K419" s="15">
        <f>IF(COUNT(J419)=0,"",IF(Z419=0,"n.a.",J419/Z419))</f>
        <v/>
      </c>
      <c r="L419" s="14">
        <f>IF(OR(A419="",COUNT(H419)=0,COUNT(Y419)=0),"",ROUND(H419*(1+Y419),2))</f>
        <v/>
      </c>
      <c r="M419" s="10" t="n"/>
      <c r="N419" s="10" t="n"/>
      <c r="O419" s="10" t="n"/>
      <c r="P419" s="10" t="n"/>
      <c r="Q419" s="20" t="n"/>
      <c r="R419" s="10" t="n"/>
      <c r="S419" s="10" t="n"/>
      <c r="T419" s="18" t="n"/>
      <c r="U419" s="18" t="n"/>
      <c r="V419" s="10" t="n"/>
      <c r="W419" s="10" t="n"/>
      <c r="X419" s="19">
        <f>IF(OR(A419="",COUNT(U419)=0,COUNT(AI419)=0),"",U419+AI419)</f>
        <v/>
      </c>
      <c r="Y419" s="16" t="n"/>
      <c r="Z419" s="12" t="n"/>
      <c r="AA419" s="17">
        <f>IF(COUNT(J419)=0,"",IF(H419=0,"n.a.",J419/H419))</f>
        <v/>
      </c>
      <c r="AB419" s="12" t="n"/>
      <c r="AC419" s="12" t="n"/>
      <c r="AD419" s="12" t="n"/>
      <c r="AE419" s="13">
        <f>IF(OR(COUNT(J419)=0,COUNT(AB419:AD419)&lt;3),"",ROUND(J419-SUM(AB419:AD419),2))</f>
        <v/>
      </c>
      <c r="AF419" s="15">
        <f>IF(COUNT(AE419)=0,"",IF(Z419=0,"n.a.",AE419/Z419))</f>
        <v/>
      </c>
      <c r="AG419" s="12" t="n"/>
      <c r="AH419" s="14">
        <f>IF(OR(A419="",COUNT(Z419)=0,COUNT(AG419)=0),"",ROUND(Z419-AG419,2))</f>
        <v/>
      </c>
      <c r="AI419" s="21" t="n"/>
      <c r="AJ419" s="11">
        <f>IF(A419="","",IF(COUNT(I419)=0,"Enter approved NTE",IF(COUNT(Z419)&gt;0,IF(Z419&gt;I419,"Invoice exceeds NTE","Invoice within NTE"),IF(COUNT(L419)=0,"Enter quote inputs",IF(L419&gt;I419,"Quote exceeds NTE","Quote within NTE")))))</f>
        <v/>
      </c>
      <c r="AK419" s="11">
        <f>IF(A419="","",IF(COUNT(H419)=0,"Enter direct cost",IF(COUNT(Z419)=0,"Enter invoice revenue",IF(COUNT(AB419:AD419)&lt;3,"Enter expenses (0 if none)","Complete"))))</f>
        <v/>
      </c>
      <c r="AL419" s="11">
        <f>IF(A419="","",IF(NOT(AND(COUNT(AH419)=1,N(AH419)&gt;0.004,V419&lt;&gt;"Void",V419&lt;&gt;"Not invoiced",V419&lt;&gt;"Draft")),"",IF(COUNT(X419)=0,"No due date",IF(TODAY()-X419&lt;=0,"Not yet due",IF(TODAY()-X419&lt;=30,"1-30 days",IF(TODAY()-X419&lt;=60,"31-60 days",IF(TODAY()-X419&lt;=90,"61-90 days","Over 90 days")))))))</f>
        <v/>
      </c>
      <c r="AM419" s="49">
        <f>IF(OR(AL419="",AL419="No due date"),"",MAX(TODAY()-X419,0))</f>
        <v/>
      </c>
      <c r="AN419" s="49">
        <f>IF(AL419="","",IF(COUNT(X419)=0,-100000,TODAY()-X419))</f>
        <v/>
      </c>
      <c r="AO419" s="49">
        <f>IF(AN419="","",COUNTIF(AN$11:AN$1010,"&gt;"&amp;AN419)+COUNTIF(AN$11:AN419,AN419))</f>
        <v/>
      </c>
      <c r="AP419" s="49">
        <f>IF(OR(A419="",B419=""),"",IF(COUNTIF(B$11:B419,B419)=1,MAX(AP$10:AP418)+1,""))</f>
        <v/>
      </c>
    </row>
    <row r="420" ht="24" customHeight="1">
      <c r="A420" s="20" t="n"/>
      <c r="B420" s="10" t="n"/>
      <c r="C420" s="10" t="n"/>
      <c r="D420" s="10" t="n"/>
      <c r="E420" s="10" t="n"/>
      <c r="F420" s="18" t="n"/>
      <c r="G420" s="10" t="n"/>
      <c r="H420" s="12" t="n"/>
      <c r="I420" s="12" t="n"/>
      <c r="J420" s="13">
        <f>IF(OR(A420="",COUNT(H420)=0,COUNT(Z420)=0),"",ROUND(Z420-H420,2))</f>
        <v/>
      </c>
      <c r="K420" s="15">
        <f>IF(COUNT(J420)=0,"",IF(Z420=0,"n.a.",J420/Z420))</f>
        <v/>
      </c>
      <c r="L420" s="14">
        <f>IF(OR(A420="",COUNT(H420)=0,COUNT(Y420)=0),"",ROUND(H420*(1+Y420),2))</f>
        <v/>
      </c>
      <c r="M420" s="10" t="n"/>
      <c r="N420" s="10" t="n"/>
      <c r="O420" s="10" t="n"/>
      <c r="P420" s="10" t="n"/>
      <c r="Q420" s="20" t="n"/>
      <c r="R420" s="10" t="n"/>
      <c r="S420" s="10" t="n"/>
      <c r="T420" s="18" t="n"/>
      <c r="U420" s="18" t="n"/>
      <c r="V420" s="10" t="n"/>
      <c r="W420" s="10" t="n"/>
      <c r="X420" s="19">
        <f>IF(OR(A420="",COUNT(U420)=0,COUNT(AI420)=0),"",U420+AI420)</f>
        <v/>
      </c>
      <c r="Y420" s="16" t="n"/>
      <c r="Z420" s="12" t="n"/>
      <c r="AA420" s="17">
        <f>IF(COUNT(J420)=0,"",IF(H420=0,"n.a.",J420/H420))</f>
        <v/>
      </c>
      <c r="AB420" s="12" t="n"/>
      <c r="AC420" s="12" t="n"/>
      <c r="AD420" s="12" t="n"/>
      <c r="AE420" s="13">
        <f>IF(OR(COUNT(J420)=0,COUNT(AB420:AD420)&lt;3),"",ROUND(J420-SUM(AB420:AD420),2))</f>
        <v/>
      </c>
      <c r="AF420" s="15">
        <f>IF(COUNT(AE420)=0,"",IF(Z420=0,"n.a.",AE420/Z420))</f>
        <v/>
      </c>
      <c r="AG420" s="12" t="n"/>
      <c r="AH420" s="14">
        <f>IF(OR(A420="",COUNT(Z420)=0,COUNT(AG420)=0),"",ROUND(Z420-AG420,2))</f>
        <v/>
      </c>
      <c r="AI420" s="21" t="n"/>
      <c r="AJ420" s="11">
        <f>IF(A420="","",IF(COUNT(I420)=0,"Enter approved NTE",IF(COUNT(Z420)&gt;0,IF(Z420&gt;I420,"Invoice exceeds NTE","Invoice within NTE"),IF(COUNT(L420)=0,"Enter quote inputs",IF(L420&gt;I420,"Quote exceeds NTE","Quote within NTE")))))</f>
        <v/>
      </c>
      <c r="AK420" s="11">
        <f>IF(A420="","",IF(COUNT(H420)=0,"Enter direct cost",IF(COUNT(Z420)=0,"Enter invoice revenue",IF(COUNT(AB420:AD420)&lt;3,"Enter expenses (0 if none)","Complete"))))</f>
        <v/>
      </c>
      <c r="AL420" s="11">
        <f>IF(A420="","",IF(NOT(AND(COUNT(AH420)=1,N(AH420)&gt;0.004,V420&lt;&gt;"Void",V420&lt;&gt;"Not invoiced",V420&lt;&gt;"Draft")),"",IF(COUNT(X420)=0,"No due date",IF(TODAY()-X420&lt;=0,"Not yet due",IF(TODAY()-X420&lt;=30,"1-30 days",IF(TODAY()-X420&lt;=60,"31-60 days",IF(TODAY()-X420&lt;=90,"61-90 days","Over 90 days")))))))</f>
        <v/>
      </c>
      <c r="AM420" s="49">
        <f>IF(OR(AL420="",AL420="No due date"),"",MAX(TODAY()-X420,0))</f>
        <v/>
      </c>
      <c r="AN420" s="49">
        <f>IF(AL420="","",IF(COUNT(X420)=0,-100000,TODAY()-X420))</f>
        <v/>
      </c>
      <c r="AO420" s="49">
        <f>IF(AN420="","",COUNTIF(AN$11:AN$1010,"&gt;"&amp;AN420)+COUNTIF(AN$11:AN420,AN420))</f>
        <v/>
      </c>
      <c r="AP420" s="49">
        <f>IF(OR(A420="",B420=""),"",IF(COUNTIF(B$11:B420,B420)=1,MAX(AP$10:AP419)+1,""))</f>
        <v/>
      </c>
    </row>
    <row r="421" ht="24" customHeight="1">
      <c r="A421" s="20" t="n"/>
      <c r="B421" s="10" t="n"/>
      <c r="C421" s="10" t="n"/>
      <c r="D421" s="10" t="n"/>
      <c r="E421" s="10" t="n"/>
      <c r="F421" s="18" t="n"/>
      <c r="G421" s="10" t="n"/>
      <c r="H421" s="12" t="n"/>
      <c r="I421" s="12" t="n"/>
      <c r="J421" s="13">
        <f>IF(OR(A421="",COUNT(H421)=0,COUNT(Z421)=0),"",ROUND(Z421-H421,2))</f>
        <v/>
      </c>
      <c r="K421" s="15">
        <f>IF(COUNT(J421)=0,"",IF(Z421=0,"n.a.",J421/Z421))</f>
        <v/>
      </c>
      <c r="L421" s="14">
        <f>IF(OR(A421="",COUNT(H421)=0,COUNT(Y421)=0),"",ROUND(H421*(1+Y421),2))</f>
        <v/>
      </c>
      <c r="M421" s="10" t="n"/>
      <c r="N421" s="10" t="n"/>
      <c r="O421" s="10" t="n"/>
      <c r="P421" s="10" t="n"/>
      <c r="Q421" s="20" t="n"/>
      <c r="R421" s="10" t="n"/>
      <c r="S421" s="10" t="n"/>
      <c r="T421" s="18" t="n"/>
      <c r="U421" s="18" t="n"/>
      <c r="V421" s="10" t="n"/>
      <c r="W421" s="10" t="n"/>
      <c r="X421" s="19">
        <f>IF(OR(A421="",COUNT(U421)=0,COUNT(AI421)=0),"",U421+AI421)</f>
        <v/>
      </c>
      <c r="Y421" s="16" t="n"/>
      <c r="Z421" s="12" t="n"/>
      <c r="AA421" s="17">
        <f>IF(COUNT(J421)=0,"",IF(H421=0,"n.a.",J421/H421))</f>
        <v/>
      </c>
      <c r="AB421" s="12" t="n"/>
      <c r="AC421" s="12" t="n"/>
      <c r="AD421" s="12" t="n"/>
      <c r="AE421" s="13">
        <f>IF(OR(COUNT(J421)=0,COUNT(AB421:AD421)&lt;3),"",ROUND(J421-SUM(AB421:AD421),2))</f>
        <v/>
      </c>
      <c r="AF421" s="15">
        <f>IF(COUNT(AE421)=0,"",IF(Z421=0,"n.a.",AE421/Z421))</f>
        <v/>
      </c>
      <c r="AG421" s="12" t="n"/>
      <c r="AH421" s="14">
        <f>IF(OR(A421="",COUNT(Z421)=0,COUNT(AG421)=0),"",ROUND(Z421-AG421,2))</f>
        <v/>
      </c>
      <c r="AI421" s="21" t="n"/>
      <c r="AJ421" s="11">
        <f>IF(A421="","",IF(COUNT(I421)=0,"Enter approved NTE",IF(COUNT(Z421)&gt;0,IF(Z421&gt;I421,"Invoice exceeds NTE","Invoice within NTE"),IF(COUNT(L421)=0,"Enter quote inputs",IF(L421&gt;I421,"Quote exceeds NTE","Quote within NTE")))))</f>
        <v/>
      </c>
      <c r="AK421" s="11">
        <f>IF(A421="","",IF(COUNT(H421)=0,"Enter direct cost",IF(COUNT(Z421)=0,"Enter invoice revenue",IF(COUNT(AB421:AD421)&lt;3,"Enter expenses (0 if none)","Complete"))))</f>
        <v/>
      </c>
      <c r="AL421" s="11">
        <f>IF(A421="","",IF(NOT(AND(COUNT(AH421)=1,N(AH421)&gt;0.004,V421&lt;&gt;"Void",V421&lt;&gt;"Not invoiced",V421&lt;&gt;"Draft")),"",IF(COUNT(X421)=0,"No due date",IF(TODAY()-X421&lt;=0,"Not yet due",IF(TODAY()-X421&lt;=30,"1-30 days",IF(TODAY()-X421&lt;=60,"31-60 days",IF(TODAY()-X421&lt;=90,"61-90 days","Over 90 days")))))))</f>
        <v/>
      </c>
      <c r="AM421" s="49">
        <f>IF(OR(AL421="",AL421="No due date"),"",MAX(TODAY()-X421,0))</f>
        <v/>
      </c>
      <c r="AN421" s="49">
        <f>IF(AL421="","",IF(COUNT(X421)=0,-100000,TODAY()-X421))</f>
        <v/>
      </c>
      <c r="AO421" s="49">
        <f>IF(AN421="","",COUNTIF(AN$11:AN$1010,"&gt;"&amp;AN421)+COUNTIF(AN$11:AN421,AN421))</f>
        <v/>
      </c>
      <c r="AP421" s="49">
        <f>IF(OR(A421="",B421=""),"",IF(COUNTIF(B$11:B421,B421)=1,MAX(AP$10:AP420)+1,""))</f>
        <v/>
      </c>
    </row>
    <row r="422" ht="24" customHeight="1">
      <c r="A422" s="20" t="n"/>
      <c r="B422" s="10" t="n"/>
      <c r="C422" s="10" t="n"/>
      <c r="D422" s="10" t="n"/>
      <c r="E422" s="10" t="n"/>
      <c r="F422" s="18" t="n"/>
      <c r="G422" s="10" t="n"/>
      <c r="H422" s="12" t="n"/>
      <c r="I422" s="12" t="n"/>
      <c r="J422" s="13">
        <f>IF(OR(A422="",COUNT(H422)=0,COUNT(Z422)=0),"",ROUND(Z422-H422,2))</f>
        <v/>
      </c>
      <c r="K422" s="15">
        <f>IF(COUNT(J422)=0,"",IF(Z422=0,"n.a.",J422/Z422))</f>
        <v/>
      </c>
      <c r="L422" s="14">
        <f>IF(OR(A422="",COUNT(H422)=0,COUNT(Y422)=0),"",ROUND(H422*(1+Y422),2))</f>
        <v/>
      </c>
      <c r="M422" s="10" t="n"/>
      <c r="N422" s="10" t="n"/>
      <c r="O422" s="10" t="n"/>
      <c r="P422" s="10" t="n"/>
      <c r="Q422" s="20" t="n"/>
      <c r="R422" s="10" t="n"/>
      <c r="S422" s="10" t="n"/>
      <c r="T422" s="18" t="n"/>
      <c r="U422" s="18" t="n"/>
      <c r="V422" s="10" t="n"/>
      <c r="W422" s="10" t="n"/>
      <c r="X422" s="19">
        <f>IF(OR(A422="",COUNT(U422)=0,COUNT(AI422)=0),"",U422+AI422)</f>
        <v/>
      </c>
      <c r="Y422" s="16" t="n"/>
      <c r="Z422" s="12" t="n"/>
      <c r="AA422" s="17">
        <f>IF(COUNT(J422)=0,"",IF(H422=0,"n.a.",J422/H422))</f>
        <v/>
      </c>
      <c r="AB422" s="12" t="n"/>
      <c r="AC422" s="12" t="n"/>
      <c r="AD422" s="12" t="n"/>
      <c r="AE422" s="13">
        <f>IF(OR(COUNT(J422)=0,COUNT(AB422:AD422)&lt;3),"",ROUND(J422-SUM(AB422:AD422),2))</f>
        <v/>
      </c>
      <c r="AF422" s="15">
        <f>IF(COUNT(AE422)=0,"",IF(Z422=0,"n.a.",AE422/Z422))</f>
        <v/>
      </c>
      <c r="AG422" s="12" t="n"/>
      <c r="AH422" s="14">
        <f>IF(OR(A422="",COUNT(Z422)=0,COUNT(AG422)=0),"",ROUND(Z422-AG422,2))</f>
        <v/>
      </c>
      <c r="AI422" s="21" t="n"/>
      <c r="AJ422" s="11">
        <f>IF(A422="","",IF(COUNT(I422)=0,"Enter approved NTE",IF(COUNT(Z422)&gt;0,IF(Z422&gt;I422,"Invoice exceeds NTE","Invoice within NTE"),IF(COUNT(L422)=0,"Enter quote inputs",IF(L422&gt;I422,"Quote exceeds NTE","Quote within NTE")))))</f>
        <v/>
      </c>
      <c r="AK422" s="11">
        <f>IF(A422="","",IF(COUNT(H422)=0,"Enter direct cost",IF(COUNT(Z422)=0,"Enter invoice revenue",IF(COUNT(AB422:AD422)&lt;3,"Enter expenses (0 if none)","Complete"))))</f>
        <v/>
      </c>
      <c r="AL422" s="11">
        <f>IF(A422="","",IF(NOT(AND(COUNT(AH422)=1,N(AH422)&gt;0.004,V422&lt;&gt;"Void",V422&lt;&gt;"Not invoiced",V422&lt;&gt;"Draft")),"",IF(COUNT(X422)=0,"No due date",IF(TODAY()-X422&lt;=0,"Not yet due",IF(TODAY()-X422&lt;=30,"1-30 days",IF(TODAY()-X422&lt;=60,"31-60 days",IF(TODAY()-X422&lt;=90,"61-90 days","Over 90 days")))))))</f>
        <v/>
      </c>
      <c r="AM422" s="49">
        <f>IF(OR(AL422="",AL422="No due date"),"",MAX(TODAY()-X422,0))</f>
        <v/>
      </c>
      <c r="AN422" s="49">
        <f>IF(AL422="","",IF(COUNT(X422)=0,-100000,TODAY()-X422))</f>
        <v/>
      </c>
      <c r="AO422" s="49">
        <f>IF(AN422="","",COUNTIF(AN$11:AN$1010,"&gt;"&amp;AN422)+COUNTIF(AN$11:AN422,AN422))</f>
        <v/>
      </c>
      <c r="AP422" s="49">
        <f>IF(OR(A422="",B422=""),"",IF(COUNTIF(B$11:B422,B422)=1,MAX(AP$10:AP421)+1,""))</f>
        <v/>
      </c>
    </row>
    <row r="423" ht="24" customHeight="1">
      <c r="A423" s="20" t="n"/>
      <c r="B423" s="10" t="n"/>
      <c r="C423" s="10" t="n"/>
      <c r="D423" s="10" t="n"/>
      <c r="E423" s="10" t="n"/>
      <c r="F423" s="18" t="n"/>
      <c r="G423" s="10" t="n"/>
      <c r="H423" s="12" t="n"/>
      <c r="I423" s="12" t="n"/>
      <c r="J423" s="13">
        <f>IF(OR(A423="",COUNT(H423)=0,COUNT(Z423)=0),"",ROUND(Z423-H423,2))</f>
        <v/>
      </c>
      <c r="K423" s="15">
        <f>IF(COUNT(J423)=0,"",IF(Z423=0,"n.a.",J423/Z423))</f>
        <v/>
      </c>
      <c r="L423" s="14">
        <f>IF(OR(A423="",COUNT(H423)=0,COUNT(Y423)=0),"",ROUND(H423*(1+Y423),2))</f>
        <v/>
      </c>
      <c r="M423" s="10" t="n"/>
      <c r="N423" s="10" t="n"/>
      <c r="O423" s="10" t="n"/>
      <c r="P423" s="10" t="n"/>
      <c r="Q423" s="20" t="n"/>
      <c r="R423" s="10" t="n"/>
      <c r="S423" s="10" t="n"/>
      <c r="T423" s="18" t="n"/>
      <c r="U423" s="18" t="n"/>
      <c r="V423" s="10" t="n"/>
      <c r="W423" s="10" t="n"/>
      <c r="X423" s="19">
        <f>IF(OR(A423="",COUNT(U423)=0,COUNT(AI423)=0),"",U423+AI423)</f>
        <v/>
      </c>
      <c r="Y423" s="16" t="n"/>
      <c r="Z423" s="12" t="n"/>
      <c r="AA423" s="17">
        <f>IF(COUNT(J423)=0,"",IF(H423=0,"n.a.",J423/H423))</f>
        <v/>
      </c>
      <c r="AB423" s="12" t="n"/>
      <c r="AC423" s="12" t="n"/>
      <c r="AD423" s="12" t="n"/>
      <c r="AE423" s="13">
        <f>IF(OR(COUNT(J423)=0,COUNT(AB423:AD423)&lt;3),"",ROUND(J423-SUM(AB423:AD423),2))</f>
        <v/>
      </c>
      <c r="AF423" s="15">
        <f>IF(COUNT(AE423)=0,"",IF(Z423=0,"n.a.",AE423/Z423))</f>
        <v/>
      </c>
      <c r="AG423" s="12" t="n"/>
      <c r="AH423" s="14">
        <f>IF(OR(A423="",COUNT(Z423)=0,COUNT(AG423)=0),"",ROUND(Z423-AG423,2))</f>
        <v/>
      </c>
      <c r="AI423" s="21" t="n"/>
      <c r="AJ423" s="11">
        <f>IF(A423="","",IF(COUNT(I423)=0,"Enter approved NTE",IF(COUNT(Z423)&gt;0,IF(Z423&gt;I423,"Invoice exceeds NTE","Invoice within NTE"),IF(COUNT(L423)=0,"Enter quote inputs",IF(L423&gt;I423,"Quote exceeds NTE","Quote within NTE")))))</f>
        <v/>
      </c>
      <c r="AK423" s="11">
        <f>IF(A423="","",IF(COUNT(H423)=0,"Enter direct cost",IF(COUNT(Z423)=0,"Enter invoice revenue",IF(COUNT(AB423:AD423)&lt;3,"Enter expenses (0 if none)","Complete"))))</f>
        <v/>
      </c>
      <c r="AL423" s="11">
        <f>IF(A423="","",IF(NOT(AND(COUNT(AH423)=1,N(AH423)&gt;0.004,V423&lt;&gt;"Void",V423&lt;&gt;"Not invoiced",V423&lt;&gt;"Draft")),"",IF(COUNT(X423)=0,"No due date",IF(TODAY()-X423&lt;=0,"Not yet due",IF(TODAY()-X423&lt;=30,"1-30 days",IF(TODAY()-X423&lt;=60,"31-60 days",IF(TODAY()-X423&lt;=90,"61-90 days","Over 90 days")))))))</f>
        <v/>
      </c>
      <c r="AM423" s="49">
        <f>IF(OR(AL423="",AL423="No due date"),"",MAX(TODAY()-X423,0))</f>
        <v/>
      </c>
      <c r="AN423" s="49">
        <f>IF(AL423="","",IF(COUNT(X423)=0,-100000,TODAY()-X423))</f>
        <v/>
      </c>
      <c r="AO423" s="49">
        <f>IF(AN423="","",COUNTIF(AN$11:AN$1010,"&gt;"&amp;AN423)+COUNTIF(AN$11:AN423,AN423))</f>
        <v/>
      </c>
      <c r="AP423" s="49">
        <f>IF(OR(A423="",B423=""),"",IF(COUNTIF(B$11:B423,B423)=1,MAX(AP$10:AP422)+1,""))</f>
        <v/>
      </c>
    </row>
    <row r="424" ht="24" customHeight="1">
      <c r="A424" s="20" t="n"/>
      <c r="B424" s="10" t="n"/>
      <c r="C424" s="10" t="n"/>
      <c r="D424" s="10" t="n"/>
      <c r="E424" s="10" t="n"/>
      <c r="F424" s="18" t="n"/>
      <c r="G424" s="10" t="n"/>
      <c r="H424" s="12" t="n"/>
      <c r="I424" s="12" t="n"/>
      <c r="J424" s="13">
        <f>IF(OR(A424="",COUNT(H424)=0,COUNT(Z424)=0),"",ROUND(Z424-H424,2))</f>
        <v/>
      </c>
      <c r="K424" s="15">
        <f>IF(COUNT(J424)=0,"",IF(Z424=0,"n.a.",J424/Z424))</f>
        <v/>
      </c>
      <c r="L424" s="14">
        <f>IF(OR(A424="",COUNT(H424)=0,COUNT(Y424)=0),"",ROUND(H424*(1+Y424),2))</f>
        <v/>
      </c>
      <c r="M424" s="10" t="n"/>
      <c r="N424" s="10" t="n"/>
      <c r="O424" s="10" t="n"/>
      <c r="P424" s="10" t="n"/>
      <c r="Q424" s="20" t="n"/>
      <c r="R424" s="10" t="n"/>
      <c r="S424" s="10" t="n"/>
      <c r="T424" s="18" t="n"/>
      <c r="U424" s="18" t="n"/>
      <c r="V424" s="10" t="n"/>
      <c r="W424" s="10" t="n"/>
      <c r="X424" s="19">
        <f>IF(OR(A424="",COUNT(U424)=0,COUNT(AI424)=0),"",U424+AI424)</f>
        <v/>
      </c>
      <c r="Y424" s="16" t="n"/>
      <c r="Z424" s="12" t="n"/>
      <c r="AA424" s="17">
        <f>IF(COUNT(J424)=0,"",IF(H424=0,"n.a.",J424/H424))</f>
        <v/>
      </c>
      <c r="AB424" s="12" t="n"/>
      <c r="AC424" s="12" t="n"/>
      <c r="AD424" s="12" t="n"/>
      <c r="AE424" s="13">
        <f>IF(OR(COUNT(J424)=0,COUNT(AB424:AD424)&lt;3),"",ROUND(J424-SUM(AB424:AD424),2))</f>
        <v/>
      </c>
      <c r="AF424" s="15">
        <f>IF(COUNT(AE424)=0,"",IF(Z424=0,"n.a.",AE424/Z424))</f>
        <v/>
      </c>
      <c r="AG424" s="12" t="n"/>
      <c r="AH424" s="14">
        <f>IF(OR(A424="",COUNT(Z424)=0,COUNT(AG424)=0),"",ROUND(Z424-AG424,2))</f>
        <v/>
      </c>
      <c r="AI424" s="21" t="n"/>
      <c r="AJ424" s="11">
        <f>IF(A424="","",IF(COUNT(I424)=0,"Enter approved NTE",IF(COUNT(Z424)&gt;0,IF(Z424&gt;I424,"Invoice exceeds NTE","Invoice within NTE"),IF(COUNT(L424)=0,"Enter quote inputs",IF(L424&gt;I424,"Quote exceeds NTE","Quote within NTE")))))</f>
        <v/>
      </c>
      <c r="AK424" s="11">
        <f>IF(A424="","",IF(COUNT(H424)=0,"Enter direct cost",IF(COUNT(Z424)=0,"Enter invoice revenue",IF(COUNT(AB424:AD424)&lt;3,"Enter expenses (0 if none)","Complete"))))</f>
        <v/>
      </c>
      <c r="AL424" s="11">
        <f>IF(A424="","",IF(NOT(AND(COUNT(AH424)=1,N(AH424)&gt;0.004,V424&lt;&gt;"Void",V424&lt;&gt;"Not invoiced",V424&lt;&gt;"Draft")),"",IF(COUNT(X424)=0,"No due date",IF(TODAY()-X424&lt;=0,"Not yet due",IF(TODAY()-X424&lt;=30,"1-30 days",IF(TODAY()-X424&lt;=60,"31-60 days",IF(TODAY()-X424&lt;=90,"61-90 days","Over 90 days")))))))</f>
        <v/>
      </c>
      <c r="AM424" s="49">
        <f>IF(OR(AL424="",AL424="No due date"),"",MAX(TODAY()-X424,0))</f>
        <v/>
      </c>
      <c r="AN424" s="49">
        <f>IF(AL424="","",IF(COUNT(X424)=0,-100000,TODAY()-X424))</f>
        <v/>
      </c>
      <c r="AO424" s="49">
        <f>IF(AN424="","",COUNTIF(AN$11:AN$1010,"&gt;"&amp;AN424)+COUNTIF(AN$11:AN424,AN424))</f>
        <v/>
      </c>
      <c r="AP424" s="49">
        <f>IF(OR(A424="",B424=""),"",IF(COUNTIF(B$11:B424,B424)=1,MAX(AP$10:AP423)+1,""))</f>
        <v/>
      </c>
    </row>
    <row r="425" ht="24" customHeight="1">
      <c r="A425" s="20" t="n"/>
      <c r="B425" s="10" t="n"/>
      <c r="C425" s="10" t="n"/>
      <c r="D425" s="10" t="n"/>
      <c r="E425" s="10" t="n"/>
      <c r="F425" s="18" t="n"/>
      <c r="G425" s="10" t="n"/>
      <c r="H425" s="12" t="n"/>
      <c r="I425" s="12" t="n"/>
      <c r="J425" s="13">
        <f>IF(OR(A425="",COUNT(H425)=0,COUNT(Z425)=0),"",ROUND(Z425-H425,2))</f>
        <v/>
      </c>
      <c r="K425" s="15">
        <f>IF(COUNT(J425)=0,"",IF(Z425=0,"n.a.",J425/Z425))</f>
        <v/>
      </c>
      <c r="L425" s="14">
        <f>IF(OR(A425="",COUNT(H425)=0,COUNT(Y425)=0),"",ROUND(H425*(1+Y425),2))</f>
        <v/>
      </c>
      <c r="M425" s="10" t="n"/>
      <c r="N425" s="10" t="n"/>
      <c r="O425" s="10" t="n"/>
      <c r="P425" s="10" t="n"/>
      <c r="Q425" s="20" t="n"/>
      <c r="R425" s="10" t="n"/>
      <c r="S425" s="10" t="n"/>
      <c r="T425" s="18" t="n"/>
      <c r="U425" s="18" t="n"/>
      <c r="V425" s="10" t="n"/>
      <c r="W425" s="10" t="n"/>
      <c r="X425" s="19">
        <f>IF(OR(A425="",COUNT(U425)=0,COUNT(AI425)=0),"",U425+AI425)</f>
        <v/>
      </c>
      <c r="Y425" s="16" t="n"/>
      <c r="Z425" s="12" t="n"/>
      <c r="AA425" s="17">
        <f>IF(COUNT(J425)=0,"",IF(H425=0,"n.a.",J425/H425))</f>
        <v/>
      </c>
      <c r="AB425" s="12" t="n"/>
      <c r="AC425" s="12" t="n"/>
      <c r="AD425" s="12" t="n"/>
      <c r="AE425" s="13">
        <f>IF(OR(COUNT(J425)=0,COUNT(AB425:AD425)&lt;3),"",ROUND(J425-SUM(AB425:AD425),2))</f>
        <v/>
      </c>
      <c r="AF425" s="15">
        <f>IF(COUNT(AE425)=0,"",IF(Z425=0,"n.a.",AE425/Z425))</f>
        <v/>
      </c>
      <c r="AG425" s="12" t="n"/>
      <c r="AH425" s="14">
        <f>IF(OR(A425="",COUNT(Z425)=0,COUNT(AG425)=0),"",ROUND(Z425-AG425,2))</f>
        <v/>
      </c>
      <c r="AI425" s="21" t="n"/>
      <c r="AJ425" s="11">
        <f>IF(A425="","",IF(COUNT(I425)=0,"Enter approved NTE",IF(COUNT(Z425)&gt;0,IF(Z425&gt;I425,"Invoice exceeds NTE","Invoice within NTE"),IF(COUNT(L425)=0,"Enter quote inputs",IF(L425&gt;I425,"Quote exceeds NTE","Quote within NTE")))))</f>
        <v/>
      </c>
      <c r="AK425" s="11">
        <f>IF(A425="","",IF(COUNT(H425)=0,"Enter direct cost",IF(COUNT(Z425)=0,"Enter invoice revenue",IF(COUNT(AB425:AD425)&lt;3,"Enter expenses (0 if none)","Complete"))))</f>
        <v/>
      </c>
      <c r="AL425" s="11">
        <f>IF(A425="","",IF(NOT(AND(COUNT(AH425)=1,N(AH425)&gt;0.004,V425&lt;&gt;"Void",V425&lt;&gt;"Not invoiced",V425&lt;&gt;"Draft")),"",IF(COUNT(X425)=0,"No due date",IF(TODAY()-X425&lt;=0,"Not yet due",IF(TODAY()-X425&lt;=30,"1-30 days",IF(TODAY()-X425&lt;=60,"31-60 days",IF(TODAY()-X425&lt;=90,"61-90 days","Over 90 days")))))))</f>
        <v/>
      </c>
      <c r="AM425" s="49">
        <f>IF(OR(AL425="",AL425="No due date"),"",MAX(TODAY()-X425,0))</f>
        <v/>
      </c>
      <c r="AN425" s="49">
        <f>IF(AL425="","",IF(COUNT(X425)=0,-100000,TODAY()-X425))</f>
        <v/>
      </c>
      <c r="AO425" s="49">
        <f>IF(AN425="","",COUNTIF(AN$11:AN$1010,"&gt;"&amp;AN425)+COUNTIF(AN$11:AN425,AN425))</f>
        <v/>
      </c>
      <c r="AP425" s="49">
        <f>IF(OR(A425="",B425=""),"",IF(COUNTIF(B$11:B425,B425)=1,MAX(AP$10:AP424)+1,""))</f>
        <v/>
      </c>
    </row>
    <row r="426" ht="24" customHeight="1">
      <c r="A426" s="20" t="n"/>
      <c r="B426" s="10" t="n"/>
      <c r="C426" s="10" t="n"/>
      <c r="D426" s="10" t="n"/>
      <c r="E426" s="10" t="n"/>
      <c r="F426" s="18" t="n"/>
      <c r="G426" s="10" t="n"/>
      <c r="H426" s="12" t="n"/>
      <c r="I426" s="12" t="n"/>
      <c r="J426" s="13">
        <f>IF(OR(A426="",COUNT(H426)=0,COUNT(Z426)=0),"",ROUND(Z426-H426,2))</f>
        <v/>
      </c>
      <c r="K426" s="15">
        <f>IF(COUNT(J426)=0,"",IF(Z426=0,"n.a.",J426/Z426))</f>
        <v/>
      </c>
      <c r="L426" s="14">
        <f>IF(OR(A426="",COUNT(H426)=0,COUNT(Y426)=0),"",ROUND(H426*(1+Y426),2))</f>
        <v/>
      </c>
      <c r="M426" s="10" t="n"/>
      <c r="N426" s="10" t="n"/>
      <c r="O426" s="10" t="n"/>
      <c r="P426" s="10" t="n"/>
      <c r="Q426" s="20" t="n"/>
      <c r="R426" s="10" t="n"/>
      <c r="S426" s="10" t="n"/>
      <c r="T426" s="18" t="n"/>
      <c r="U426" s="18" t="n"/>
      <c r="V426" s="10" t="n"/>
      <c r="W426" s="10" t="n"/>
      <c r="X426" s="19">
        <f>IF(OR(A426="",COUNT(U426)=0,COUNT(AI426)=0),"",U426+AI426)</f>
        <v/>
      </c>
      <c r="Y426" s="16" t="n"/>
      <c r="Z426" s="12" t="n"/>
      <c r="AA426" s="17">
        <f>IF(COUNT(J426)=0,"",IF(H426=0,"n.a.",J426/H426))</f>
        <v/>
      </c>
      <c r="AB426" s="12" t="n"/>
      <c r="AC426" s="12" t="n"/>
      <c r="AD426" s="12" t="n"/>
      <c r="AE426" s="13">
        <f>IF(OR(COUNT(J426)=0,COUNT(AB426:AD426)&lt;3),"",ROUND(J426-SUM(AB426:AD426),2))</f>
        <v/>
      </c>
      <c r="AF426" s="15">
        <f>IF(COUNT(AE426)=0,"",IF(Z426=0,"n.a.",AE426/Z426))</f>
        <v/>
      </c>
      <c r="AG426" s="12" t="n"/>
      <c r="AH426" s="14">
        <f>IF(OR(A426="",COUNT(Z426)=0,COUNT(AG426)=0),"",ROUND(Z426-AG426,2))</f>
        <v/>
      </c>
      <c r="AI426" s="21" t="n"/>
      <c r="AJ426" s="11">
        <f>IF(A426="","",IF(COUNT(I426)=0,"Enter approved NTE",IF(COUNT(Z426)&gt;0,IF(Z426&gt;I426,"Invoice exceeds NTE","Invoice within NTE"),IF(COUNT(L426)=0,"Enter quote inputs",IF(L426&gt;I426,"Quote exceeds NTE","Quote within NTE")))))</f>
        <v/>
      </c>
      <c r="AK426" s="11">
        <f>IF(A426="","",IF(COUNT(H426)=0,"Enter direct cost",IF(COUNT(Z426)=0,"Enter invoice revenue",IF(COUNT(AB426:AD426)&lt;3,"Enter expenses (0 if none)","Complete"))))</f>
        <v/>
      </c>
      <c r="AL426" s="11">
        <f>IF(A426="","",IF(NOT(AND(COUNT(AH426)=1,N(AH426)&gt;0.004,V426&lt;&gt;"Void",V426&lt;&gt;"Not invoiced",V426&lt;&gt;"Draft")),"",IF(COUNT(X426)=0,"No due date",IF(TODAY()-X426&lt;=0,"Not yet due",IF(TODAY()-X426&lt;=30,"1-30 days",IF(TODAY()-X426&lt;=60,"31-60 days",IF(TODAY()-X426&lt;=90,"61-90 days","Over 90 days")))))))</f>
        <v/>
      </c>
      <c r="AM426" s="49">
        <f>IF(OR(AL426="",AL426="No due date"),"",MAX(TODAY()-X426,0))</f>
        <v/>
      </c>
      <c r="AN426" s="49">
        <f>IF(AL426="","",IF(COUNT(X426)=0,-100000,TODAY()-X426))</f>
        <v/>
      </c>
      <c r="AO426" s="49">
        <f>IF(AN426="","",COUNTIF(AN$11:AN$1010,"&gt;"&amp;AN426)+COUNTIF(AN$11:AN426,AN426))</f>
        <v/>
      </c>
      <c r="AP426" s="49">
        <f>IF(OR(A426="",B426=""),"",IF(COUNTIF(B$11:B426,B426)=1,MAX(AP$10:AP425)+1,""))</f>
        <v/>
      </c>
    </row>
    <row r="427" ht="24" customHeight="1">
      <c r="A427" s="20" t="n"/>
      <c r="B427" s="10" t="n"/>
      <c r="C427" s="10" t="n"/>
      <c r="D427" s="10" t="n"/>
      <c r="E427" s="10" t="n"/>
      <c r="F427" s="18" t="n"/>
      <c r="G427" s="10" t="n"/>
      <c r="H427" s="12" t="n"/>
      <c r="I427" s="12" t="n"/>
      <c r="J427" s="13">
        <f>IF(OR(A427="",COUNT(H427)=0,COUNT(Z427)=0),"",ROUND(Z427-H427,2))</f>
        <v/>
      </c>
      <c r="K427" s="15">
        <f>IF(COUNT(J427)=0,"",IF(Z427=0,"n.a.",J427/Z427))</f>
        <v/>
      </c>
      <c r="L427" s="14">
        <f>IF(OR(A427="",COUNT(H427)=0,COUNT(Y427)=0),"",ROUND(H427*(1+Y427),2))</f>
        <v/>
      </c>
      <c r="M427" s="10" t="n"/>
      <c r="N427" s="10" t="n"/>
      <c r="O427" s="10" t="n"/>
      <c r="P427" s="10" t="n"/>
      <c r="Q427" s="20" t="n"/>
      <c r="R427" s="10" t="n"/>
      <c r="S427" s="10" t="n"/>
      <c r="T427" s="18" t="n"/>
      <c r="U427" s="18" t="n"/>
      <c r="V427" s="10" t="n"/>
      <c r="W427" s="10" t="n"/>
      <c r="X427" s="19">
        <f>IF(OR(A427="",COUNT(U427)=0,COUNT(AI427)=0),"",U427+AI427)</f>
        <v/>
      </c>
      <c r="Y427" s="16" t="n"/>
      <c r="Z427" s="12" t="n"/>
      <c r="AA427" s="17">
        <f>IF(COUNT(J427)=0,"",IF(H427=0,"n.a.",J427/H427))</f>
        <v/>
      </c>
      <c r="AB427" s="12" t="n"/>
      <c r="AC427" s="12" t="n"/>
      <c r="AD427" s="12" t="n"/>
      <c r="AE427" s="13">
        <f>IF(OR(COUNT(J427)=0,COUNT(AB427:AD427)&lt;3),"",ROUND(J427-SUM(AB427:AD427),2))</f>
        <v/>
      </c>
      <c r="AF427" s="15">
        <f>IF(COUNT(AE427)=0,"",IF(Z427=0,"n.a.",AE427/Z427))</f>
        <v/>
      </c>
      <c r="AG427" s="12" t="n"/>
      <c r="AH427" s="14">
        <f>IF(OR(A427="",COUNT(Z427)=0,COUNT(AG427)=0),"",ROUND(Z427-AG427,2))</f>
        <v/>
      </c>
      <c r="AI427" s="21" t="n"/>
      <c r="AJ427" s="11">
        <f>IF(A427="","",IF(COUNT(I427)=0,"Enter approved NTE",IF(COUNT(Z427)&gt;0,IF(Z427&gt;I427,"Invoice exceeds NTE","Invoice within NTE"),IF(COUNT(L427)=0,"Enter quote inputs",IF(L427&gt;I427,"Quote exceeds NTE","Quote within NTE")))))</f>
        <v/>
      </c>
      <c r="AK427" s="11">
        <f>IF(A427="","",IF(COUNT(H427)=0,"Enter direct cost",IF(COUNT(Z427)=0,"Enter invoice revenue",IF(COUNT(AB427:AD427)&lt;3,"Enter expenses (0 if none)","Complete"))))</f>
        <v/>
      </c>
      <c r="AL427" s="11">
        <f>IF(A427="","",IF(NOT(AND(COUNT(AH427)=1,N(AH427)&gt;0.004,V427&lt;&gt;"Void",V427&lt;&gt;"Not invoiced",V427&lt;&gt;"Draft")),"",IF(COUNT(X427)=0,"No due date",IF(TODAY()-X427&lt;=0,"Not yet due",IF(TODAY()-X427&lt;=30,"1-30 days",IF(TODAY()-X427&lt;=60,"31-60 days",IF(TODAY()-X427&lt;=90,"61-90 days","Over 90 days")))))))</f>
        <v/>
      </c>
      <c r="AM427" s="49">
        <f>IF(OR(AL427="",AL427="No due date"),"",MAX(TODAY()-X427,0))</f>
        <v/>
      </c>
      <c r="AN427" s="49">
        <f>IF(AL427="","",IF(COUNT(X427)=0,-100000,TODAY()-X427))</f>
        <v/>
      </c>
      <c r="AO427" s="49">
        <f>IF(AN427="","",COUNTIF(AN$11:AN$1010,"&gt;"&amp;AN427)+COUNTIF(AN$11:AN427,AN427))</f>
        <v/>
      </c>
      <c r="AP427" s="49">
        <f>IF(OR(A427="",B427=""),"",IF(COUNTIF(B$11:B427,B427)=1,MAX(AP$10:AP426)+1,""))</f>
        <v/>
      </c>
    </row>
    <row r="428" ht="24" customHeight="1">
      <c r="A428" s="20" t="n"/>
      <c r="B428" s="10" t="n"/>
      <c r="C428" s="10" t="n"/>
      <c r="D428" s="10" t="n"/>
      <c r="E428" s="10" t="n"/>
      <c r="F428" s="18" t="n"/>
      <c r="G428" s="10" t="n"/>
      <c r="H428" s="12" t="n"/>
      <c r="I428" s="12" t="n"/>
      <c r="J428" s="13">
        <f>IF(OR(A428="",COUNT(H428)=0,COUNT(Z428)=0),"",ROUND(Z428-H428,2))</f>
        <v/>
      </c>
      <c r="K428" s="15">
        <f>IF(COUNT(J428)=0,"",IF(Z428=0,"n.a.",J428/Z428))</f>
        <v/>
      </c>
      <c r="L428" s="14">
        <f>IF(OR(A428="",COUNT(H428)=0,COUNT(Y428)=0),"",ROUND(H428*(1+Y428),2))</f>
        <v/>
      </c>
      <c r="M428" s="10" t="n"/>
      <c r="N428" s="10" t="n"/>
      <c r="O428" s="10" t="n"/>
      <c r="P428" s="10" t="n"/>
      <c r="Q428" s="20" t="n"/>
      <c r="R428" s="10" t="n"/>
      <c r="S428" s="10" t="n"/>
      <c r="T428" s="18" t="n"/>
      <c r="U428" s="18" t="n"/>
      <c r="V428" s="10" t="n"/>
      <c r="W428" s="10" t="n"/>
      <c r="X428" s="19">
        <f>IF(OR(A428="",COUNT(U428)=0,COUNT(AI428)=0),"",U428+AI428)</f>
        <v/>
      </c>
      <c r="Y428" s="16" t="n"/>
      <c r="Z428" s="12" t="n"/>
      <c r="AA428" s="17">
        <f>IF(COUNT(J428)=0,"",IF(H428=0,"n.a.",J428/H428))</f>
        <v/>
      </c>
      <c r="AB428" s="12" t="n"/>
      <c r="AC428" s="12" t="n"/>
      <c r="AD428" s="12" t="n"/>
      <c r="AE428" s="13">
        <f>IF(OR(COUNT(J428)=0,COUNT(AB428:AD428)&lt;3),"",ROUND(J428-SUM(AB428:AD428),2))</f>
        <v/>
      </c>
      <c r="AF428" s="15">
        <f>IF(COUNT(AE428)=0,"",IF(Z428=0,"n.a.",AE428/Z428))</f>
        <v/>
      </c>
      <c r="AG428" s="12" t="n"/>
      <c r="AH428" s="14">
        <f>IF(OR(A428="",COUNT(Z428)=0,COUNT(AG428)=0),"",ROUND(Z428-AG428,2))</f>
        <v/>
      </c>
      <c r="AI428" s="21" t="n"/>
      <c r="AJ428" s="11">
        <f>IF(A428="","",IF(COUNT(I428)=0,"Enter approved NTE",IF(COUNT(Z428)&gt;0,IF(Z428&gt;I428,"Invoice exceeds NTE","Invoice within NTE"),IF(COUNT(L428)=0,"Enter quote inputs",IF(L428&gt;I428,"Quote exceeds NTE","Quote within NTE")))))</f>
        <v/>
      </c>
      <c r="AK428" s="11">
        <f>IF(A428="","",IF(COUNT(H428)=0,"Enter direct cost",IF(COUNT(Z428)=0,"Enter invoice revenue",IF(COUNT(AB428:AD428)&lt;3,"Enter expenses (0 if none)","Complete"))))</f>
        <v/>
      </c>
      <c r="AL428" s="11">
        <f>IF(A428="","",IF(NOT(AND(COUNT(AH428)=1,N(AH428)&gt;0.004,V428&lt;&gt;"Void",V428&lt;&gt;"Not invoiced",V428&lt;&gt;"Draft")),"",IF(COUNT(X428)=0,"No due date",IF(TODAY()-X428&lt;=0,"Not yet due",IF(TODAY()-X428&lt;=30,"1-30 days",IF(TODAY()-X428&lt;=60,"31-60 days",IF(TODAY()-X428&lt;=90,"61-90 days","Over 90 days")))))))</f>
        <v/>
      </c>
      <c r="AM428" s="49">
        <f>IF(OR(AL428="",AL428="No due date"),"",MAX(TODAY()-X428,0))</f>
        <v/>
      </c>
      <c r="AN428" s="49">
        <f>IF(AL428="","",IF(COUNT(X428)=0,-100000,TODAY()-X428))</f>
        <v/>
      </c>
      <c r="AO428" s="49">
        <f>IF(AN428="","",COUNTIF(AN$11:AN$1010,"&gt;"&amp;AN428)+COUNTIF(AN$11:AN428,AN428))</f>
        <v/>
      </c>
      <c r="AP428" s="49">
        <f>IF(OR(A428="",B428=""),"",IF(COUNTIF(B$11:B428,B428)=1,MAX(AP$10:AP427)+1,""))</f>
        <v/>
      </c>
    </row>
    <row r="429" ht="24" customHeight="1">
      <c r="A429" s="20" t="n"/>
      <c r="B429" s="10" t="n"/>
      <c r="C429" s="10" t="n"/>
      <c r="D429" s="10" t="n"/>
      <c r="E429" s="10" t="n"/>
      <c r="F429" s="18" t="n"/>
      <c r="G429" s="10" t="n"/>
      <c r="H429" s="12" t="n"/>
      <c r="I429" s="12" t="n"/>
      <c r="J429" s="13">
        <f>IF(OR(A429="",COUNT(H429)=0,COUNT(Z429)=0),"",ROUND(Z429-H429,2))</f>
        <v/>
      </c>
      <c r="K429" s="15">
        <f>IF(COUNT(J429)=0,"",IF(Z429=0,"n.a.",J429/Z429))</f>
        <v/>
      </c>
      <c r="L429" s="14">
        <f>IF(OR(A429="",COUNT(H429)=0,COUNT(Y429)=0),"",ROUND(H429*(1+Y429),2))</f>
        <v/>
      </c>
      <c r="M429" s="10" t="n"/>
      <c r="N429" s="10" t="n"/>
      <c r="O429" s="10" t="n"/>
      <c r="P429" s="10" t="n"/>
      <c r="Q429" s="20" t="n"/>
      <c r="R429" s="10" t="n"/>
      <c r="S429" s="10" t="n"/>
      <c r="T429" s="18" t="n"/>
      <c r="U429" s="18" t="n"/>
      <c r="V429" s="10" t="n"/>
      <c r="W429" s="10" t="n"/>
      <c r="X429" s="19">
        <f>IF(OR(A429="",COUNT(U429)=0,COUNT(AI429)=0),"",U429+AI429)</f>
        <v/>
      </c>
      <c r="Y429" s="16" t="n"/>
      <c r="Z429" s="12" t="n"/>
      <c r="AA429" s="17">
        <f>IF(COUNT(J429)=0,"",IF(H429=0,"n.a.",J429/H429))</f>
        <v/>
      </c>
      <c r="AB429" s="12" t="n"/>
      <c r="AC429" s="12" t="n"/>
      <c r="AD429" s="12" t="n"/>
      <c r="AE429" s="13">
        <f>IF(OR(COUNT(J429)=0,COUNT(AB429:AD429)&lt;3),"",ROUND(J429-SUM(AB429:AD429),2))</f>
        <v/>
      </c>
      <c r="AF429" s="15">
        <f>IF(COUNT(AE429)=0,"",IF(Z429=0,"n.a.",AE429/Z429))</f>
        <v/>
      </c>
      <c r="AG429" s="12" t="n"/>
      <c r="AH429" s="14">
        <f>IF(OR(A429="",COUNT(Z429)=0,COUNT(AG429)=0),"",ROUND(Z429-AG429,2))</f>
        <v/>
      </c>
      <c r="AI429" s="21" t="n"/>
      <c r="AJ429" s="11">
        <f>IF(A429="","",IF(COUNT(I429)=0,"Enter approved NTE",IF(COUNT(Z429)&gt;0,IF(Z429&gt;I429,"Invoice exceeds NTE","Invoice within NTE"),IF(COUNT(L429)=0,"Enter quote inputs",IF(L429&gt;I429,"Quote exceeds NTE","Quote within NTE")))))</f>
        <v/>
      </c>
      <c r="AK429" s="11">
        <f>IF(A429="","",IF(COUNT(H429)=0,"Enter direct cost",IF(COUNT(Z429)=0,"Enter invoice revenue",IF(COUNT(AB429:AD429)&lt;3,"Enter expenses (0 if none)","Complete"))))</f>
        <v/>
      </c>
      <c r="AL429" s="11">
        <f>IF(A429="","",IF(NOT(AND(COUNT(AH429)=1,N(AH429)&gt;0.004,V429&lt;&gt;"Void",V429&lt;&gt;"Not invoiced",V429&lt;&gt;"Draft")),"",IF(COUNT(X429)=0,"No due date",IF(TODAY()-X429&lt;=0,"Not yet due",IF(TODAY()-X429&lt;=30,"1-30 days",IF(TODAY()-X429&lt;=60,"31-60 days",IF(TODAY()-X429&lt;=90,"61-90 days","Over 90 days")))))))</f>
        <v/>
      </c>
      <c r="AM429" s="49">
        <f>IF(OR(AL429="",AL429="No due date"),"",MAX(TODAY()-X429,0))</f>
        <v/>
      </c>
      <c r="AN429" s="49">
        <f>IF(AL429="","",IF(COUNT(X429)=0,-100000,TODAY()-X429))</f>
        <v/>
      </c>
      <c r="AO429" s="49">
        <f>IF(AN429="","",COUNTIF(AN$11:AN$1010,"&gt;"&amp;AN429)+COUNTIF(AN$11:AN429,AN429))</f>
        <v/>
      </c>
      <c r="AP429" s="49">
        <f>IF(OR(A429="",B429=""),"",IF(COUNTIF(B$11:B429,B429)=1,MAX(AP$10:AP428)+1,""))</f>
        <v/>
      </c>
    </row>
    <row r="430" ht="24" customHeight="1">
      <c r="A430" s="20" t="n"/>
      <c r="B430" s="10" t="n"/>
      <c r="C430" s="10" t="n"/>
      <c r="D430" s="10" t="n"/>
      <c r="E430" s="10" t="n"/>
      <c r="F430" s="18" t="n"/>
      <c r="G430" s="10" t="n"/>
      <c r="H430" s="12" t="n"/>
      <c r="I430" s="12" t="n"/>
      <c r="J430" s="13">
        <f>IF(OR(A430="",COUNT(H430)=0,COUNT(Z430)=0),"",ROUND(Z430-H430,2))</f>
        <v/>
      </c>
      <c r="K430" s="15">
        <f>IF(COUNT(J430)=0,"",IF(Z430=0,"n.a.",J430/Z430))</f>
        <v/>
      </c>
      <c r="L430" s="14">
        <f>IF(OR(A430="",COUNT(H430)=0,COUNT(Y430)=0),"",ROUND(H430*(1+Y430),2))</f>
        <v/>
      </c>
      <c r="M430" s="10" t="n"/>
      <c r="N430" s="10" t="n"/>
      <c r="O430" s="10" t="n"/>
      <c r="P430" s="10" t="n"/>
      <c r="Q430" s="20" t="n"/>
      <c r="R430" s="10" t="n"/>
      <c r="S430" s="10" t="n"/>
      <c r="T430" s="18" t="n"/>
      <c r="U430" s="18" t="n"/>
      <c r="V430" s="10" t="n"/>
      <c r="W430" s="10" t="n"/>
      <c r="X430" s="19">
        <f>IF(OR(A430="",COUNT(U430)=0,COUNT(AI430)=0),"",U430+AI430)</f>
        <v/>
      </c>
      <c r="Y430" s="16" t="n"/>
      <c r="Z430" s="12" t="n"/>
      <c r="AA430" s="17">
        <f>IF(COUNT(J430)=0,"",IF(H430=0,"n.a.",J430/H430))</f>
        <v/>
      </c>
      <c r="AB430" s="12" t="n"/>
      <c r="AC430" s="12" t="n"/>
      <c r="AD430" s="12" t="n"/>
      <c r="AE430" s="13">
        <f>IF(OR(COUNT(J430)=0,COUNT(AB430:AD430)&lt;3),"",ROUND(J430-SUM(AB430:AD430),2))</f>
        <v/>
      </c>
      <c r="AF430" s="15">
        <f>IF(COUNT(AE430)=0,"",IF(Z430=0,"n.a.",AE430/Z430))</f>
        <v/>
      </c>
      <c r="AG430" s="12" t="n"/>
      <c r="AH430" s="14">
        <f>IF(OR(A430="",COUNT(Z430)=0,COUNT(AG430)=0),"",ROUND(Z430-AG430,2))</f>
        <v/>
      </c>
      <c r="AI430" s="21" t="n"/>
      <c r="AJ430" s="11">
        <f>IF(A430="","",IF(COUNT(I430)=0,"Enter approved NTE",IF(COUNT(Z430)&gt;0,IF(Z430&gt;I430,"Invoice exceeds NTE","Invoice within NTE"),IF(COUNT(L430)=0,"Enter quote inputs",IF(L430&gt;I430,"Quote exceeds NTE","Quote within NTE")))))</f>
        <v/>
      </c>
      <c r="AK430" s="11">
        <f>IF(A430="","",IF(COUNT(H430)=0,"Enter direct cost",IF(COUNT(Z430)=0,"Enter invoice revenue",IF(COUNT(AB430:AD430)&lt;3,"Enter expenses (0 if none)","Complete"))))</f>
        <v/>
      </c>
      <c r="AL430" s="11">
        <f>IF(A430="","",IF(NOT(AND(COUNT(AH430)=1,N(AH430)&gt;0.004,V430&lt;&gt;"Void",V430&lt;&gt;"Not invoiced",V430&lt;&gt;"Draft")),"",IF(COUNT(X430)=0,"No due date",IF(TODAY()-X430&lt;=0,"Not yet due",IF(TODAY()-X430&lt;=30,"1-30 days",IF(TODAY()-X430&lt;=60,"31-60 days",IF(TODAY()-X430&lt;=90,"61-90 days","Over 90 days")))))))</f>
        <v/>
      </c>
      <c r="AM430" s="49">
        <f>IF(OR(AL430="",AL430="No due date"),"",MAX(TODAY()-X430,0))</f>
        <v/>
      </c>
      <c r="AN430" s="49">
        <f>IF(AL430="","",IF(COUNT(X430)=0,-100000,TODAY()-X430))</f>
        <v/>
      </c>
      <c r="AO430" s="49">
        <f>IF(AN430="","",COUNTIF(AN$11:AN$1010,"&gt;"&amp;AN430)+COUNTIF(AN$11:AN430,AN430))</f>
        <v/>
      </c>
      <c r="AP430" s="49">
        <f>IF(OR(A430="",B430=""),"",IF(COUNTIF(B$11:B430,B430)=1,MAX(AP$10:AP429)+1,""))</f>
        <v/>
      </c>
    </row>
    <row r="431" ht="24" customHeight="1">
      <c r="A431" s="20" t="n"/>
      <c r="B431" s="10" t="n"/>
      <c r="C431" s="10" t="n"/>
      <c r="D431" s="10" t="n"/>
      <c r="E431" s="10" t="n"/>
      <c r="F431" s="18" t="n"/>
      <c r="G431" s="10" t="n"/>
      <c r="H431" s="12" t="n"/>
      <c r="I431" s="12" t="n"/>
      <c r="J431" s="13">
        <f>IF(OR(A431="",COUNT(H431)=0,COUNT(Z431)=0),"",ROUND(Z431-H431,2))</f>
        <v/>
      </c>
      <c r="K431" s="15">
        <f>IF(COUNT(J431)=0,"",IF(Z431=0,"n.a.",J431/Z431))</f>
        <v/>
      </c>
      <c r="L431" s="14">
        <f>IF(OR(A431="",COUNT(H431)=0,COUNT(Y431)=0),"",ROUND(H431*(1+Y431),2))</f>
        <v/>
      </c>
      <c r="M431" s="10" t="n"/>
      <c r="N431" s="10" t="n"/>
      <c r="O431" s="10" t="n"/>
      <c r="P431" s="10" t="n"/>
      <c r="Q431" s="20" t="n"/>
      <c r="R431" s="10" t="n"/>
      <c r="S431" s="10" t="n"/>
      <c r="T431" s="18" t="n"/>
      <c r="U431" s="18" t="n"/>
      <c r="V431" s="10" t="n"/>
      <c r="W431" s="10" t="n"/>
      <c r="X431" s="19">
        <f>IF(OR(A431="",COUNT(U431)=0,COUNT(AI431)=0),"",U431+AI431)</f>
        <v/>
      </c>
      <c r="Y431" s="16" t="n"/>
      <c r="Z431" s="12" t="n"/>
      <c r="AA431" s="17">
        <f>IF(COUNT(J431)=0,"",IF(H431=0,"n.a.",J431/H431))</f>
        <v/>
      </c>
      <c r="AB431" s="12" t="n"/>
      <c r="AC431" s="12" t="n"/>
      <c r="AD431" s="12" t="n"/>
      <c r="AE431" s="13">
        <f>IF(OR(COUNT(J431)=0,COUNT(AB431:AD431)&lt;3),"",ROUND(J431-SUM(AB431:AD431),2))</f>
        <v/>
      </c>
      <c r="AF431" s="15">
        <f>IF(COUNT(AE431)=0,"",IF(Z431=0,"n.a.",AE431/Z431))</f>
        <v/>
      </c>
      <c r="AG431" s="12" t="n"/>
      <c r="AH431" s="14">
        <f>IF(OR(A431="",COUNT(Z431)=0,COUNT(AG431)=0),"",ROUND(Z431-AG431,2))</f>
        <v/>
      </c>
      <c r="AI431" s="21" t="n"/>
      <c r="AJ431" s="11">
        <f>IF(A431="","",IF(COUNT(I431)=0,"Enter approved NTE",IF(COUNT(Z431)&gt;0,IF(Z431&gt;I431,"Invoice exceeds NTE","Invoice within NTE"),IF(COUNT(L431)=0,"Enter quote inputs",IF(L431&gt;I431,"Quote exceeds NTE","Quote within NTE")))))</f>
        <v/>
      </c>
      <c r="AK431" s="11">
        <f>IF(A431="","",IF(COUNT(H431)=0,"Enter direct cost",IF(COUNT(Z431)=0,"Enter invoice revenue",IF(COUNT(AB431:AD431)&lt;3,"Enter expenses (0 if none)","Complete"))))</f>
        <v/>
      </c>
      <c r="AL431" s="11">
        <f>IF(A431="","",IF(NOT(AND(COUNT(AH431)=1,N(AH431)&gt;0.004,V431&lt;&gt;"Void",V431&lt;&gt;"Not invoiced",V431&lt;&gt;"Draft")),"",IF(COUNT(X431)=0,"No due date",IF(TODAY()-X431&lt;=0,"Not yet due",IF(TODAY()-X431&lt;=30,"1-30 days",IF(TODAY()-X431&lt;=60,"31-60 days",IF(TODAY()-X431&lt;=90,"61-90 days","Over 90 days")))))))</f>
        <v/>
      </c>
      <c r="AM431" s="49">
        <f>IF(OR(AL431="",AL431="No due date"),"",MAX(TODAY()-X431,0))</f>
        <v/>
      </c>
      <c r="AN431" s="49">
        <f>IF(AL431="","",IF(COUNT(X431)=0,-100000,TODAY()-X431))</f>
        <v/>
      </c>
      <c r="AO431" s="49">
        <f>IF(AN431="","",COUNTIF(AN$11:AN$1010,"&gt;"&amp;AN431)+COUNTIF(AN$11:AN431,AN431))</f>
        <v/>
      </c>
      <c r="AP431" s="49">
        <f>IF(OR(A431="",B431=""),"",IF(COUNTIF(B$11:B431,B431)=1,MAX(AP$10:AP430)+1,""))</f>
        <v/>
      </c>
    </row>
    <row r="432" ht="24" customHeight="1">
      <c r="A432" s="20" t="n"/>
      <c r="B432" s="10" t="n"/>
      <c r="C432" s="10" t="n"/>
      <c r="D432" s="10" t="n"/>
      <c r="E432" s="10" t="n"/>
      <c r="F432" s="18" t="n"/>
      <c r="G432" s="10" t="n"/>
      <c r="H432" s="12" t="n"/>
      <c r="I432" s="12" t="n"/>
      <c r="J432" s="13">
        <f>IF(OR(A432="",COUNT(H432)=0,COUNT(Z432)=0),"",ROUND(Z432-H432,2))</f>
        <v/>
      </c>
      <c r="K432" s="15">
        <f>IF(COUNT(J432)=0,"",IF(Z432=0,"n.a.",J432/Z432))</f>
        <v/>
      </c>
      <c r="L432" s="14">
        <f>IF(OR(A432="",COUNT(H432)=0,COUNT(Y432)=0),"",ROUND(H432*(1+Y432),2))</f>
        <v/>
      </c>
      <c r="M432" s="10" t="n"/>
      <c r="N432" s="10" t="n"/>
      <c r="O432" s="10" t="n"/>
      <c r="P432" s="10" t="n"/>
      <c r="Q432" s="20" t="n"/>
      <c r="R432" s="10" t="n"/>
      <c r="S432" s="10" t="n"/>
      <c r="T432" s="18" t="n"/>
      <c r="U432" s="18" t="n"/>
      <c r="V432" s="10" t="n"/>
      <c r="W432" s="10" t="n"/>
      <c r="X432" s="19">
        <f>IF(OR(A432="",COUNT(U432)=0,COUNT(AI432)=0),"",U432+AI432)</f>
        <v/>
      </c>
      <c r="Y432" s="16" t="n"/>
      <c r="Z432" s="12" t="n"/>
      <c r="AA432" s="17">
        <f>IF(COUNT(J432)=0,"",IF(H432=0,"n.a.",J432/H432))</f>
        <v/>
      </c>
      <c r="AB432" s="12" t="n"/>
      <c r="AC432" s="12" t="n"/>
      <c r="AD432" s="12" t="n"/>
      <c r="AE432" s="13">
        <f>IF(OR(COUNT(J432)=0,COUNT(AB432:AD432)&lt;3),"",ROUND(J432-SUM(AB432:AD432),2))</f>
        <v/>
      </c>
      <c r="AF432" s="15">
        <f>IF(COUNT(AE432)=0,"",IF(Z432=0,"n.a.",AE432/Z432))</f>
        <v/>
      </c>
      <c r="AG432" s="12" t="n"/>
      <c r="AH432" s="14">
        <f>IF(OR(A432="",COUNT(Z432)=0,COUNT(AG432)=0),"",ROUND(Z432-AG432,2))</f>
        <v/>
      </c>
      <c r="AI432" s="21" t="n"/>
      <c r="AJ432" s="11">
        <f>IF(A432="","",IF(COUNT(I432)=0,"Enter approved NTE",IF(COUNT(Z432)&gt;0,IF(Z432&gt;I432,"Invoice exceeds NTE","Invoice within NTE"),IF(COUNT(L432)=0,"Enter quote inputs",IF(L432&gt;I432,"Quote exceeds NTE","Quote within NTE")))))</f>
        <v/>
      </c>
      <c r="AK432" s="11">
        <f>IF(A432="","",IF(COUNT(H432)=0,"Enter direct cost",IF(COUNT(Z432)=0,"Enter invoice revenue",IF(COUNT(AB432:AD432)&lt;3,"Enter expenses (0 if none)","Complete"))))</f>
        <v/>
      </c>
      <c r="AL432" s="11">
        <f>IF(A432="","",IF(NOT(AND(COUNT(AH432)=1,N(AH432)&gt;0.004,V432&lt;&gt;"Void",V432&lt;&gt;"Not invoiced",V432&lt;&gt;"Draft")),"",IF(COUNT(X432)=0,"No due date",IF(TODAY()-X432&lt;=0,"Not yet due",IF(TODAY()-X432&lt;=30,"1-30 days",IF(TODAY()-X432&lt;=60,"31-60 days",IF(TODAY()-X432&lt;=90,"61-90 days","Over 90 days")))))))</f>
        <v/>
      </c>
      <c r="AM432" s="49">
        <f>IF(OR(AL432="",AL432="No due date"),"",MAX(TODAY()-X432,0))</f>
        <v/>
      </c>
      <c r="AN432" s="49">
        <f>IF(AL432="","",IF(COUNT(X432)=0,-100000,TODAY()-X432))</f>
        <v/>
      </c>
      <c r="AO432" s="49">
        <f>IF(AN432="","",COUNTIF(AN$11:AN$1010,"&gt;"&amp;AN432)+COUNTIF(AN$11:AN432,AN432))</f>
        <v/>
      </c>
      <c r="AP432" s="49">
        <f>IF(OR(A432="",B432=""),"",IF(COUNTIF(B$11:B432,B432)=1,MAX(AP$10:AP431)+1,""))</f>
        <v/>
      </c>
    </row>
    <row r="433" ht="24" customHeight="1">
      <c r="A433" s="20" t="n"/>
      <c r="B433" s="10" t="n"/>
      <c r="C433" s="10" t="n"/>
      <c r="D433" s="10" t="n"/>
      <c r="E433" s="10" t="n"/>
      <c r="F433" s="18" t="n"/>
      <c r="G433" s="10" t="n"/>
      <c r="H433" s="12" t="n"/>
      <c r="I433" s="12" t="n"/>
      <c r="J433" s="13">
        <f>IF(OR(A433="",COUNT(H433)=0,COUNT(Z433)=0),"",ROUND(Z433-H433,2))</f>
        <v/>
      </c>
      <c r="K433" s="15">
        <f>IF(COUNT(J433)=0,"",IF(Z433=0,"n.a.",J433/Z433))</f>
        <v/>
      </c>
      <c r="L433" s="14">
        <f>IF(OR(A433="",COUNT(H433)=0,COUNT(Y433)=0),"",ROUND(H433*(1+Y433),2))</f>
        <v/>
      </c>
      <c r="M433" s="10" t="n"/>
      <c r="N433" s="10" t="n"/>
      <c r="O433" s="10" t="n"/>
      <c r="P433" s="10" t="n"/>
      <c r="Q433" s="20" t="n"/>
      <c r="R433" s="10" t="n"/>
      <c r="S433" s="10" t="n"/>
      <c r="T433" s="18" t="n"/>
      <c r="U433" s="18" t="n"/>
      <c r="V433" s="10" t="n"/>
      <c r="W433" s="10" t="n"/>
      <c r="X433" s="19">
        <f>IF(OR(A433="",COUNT(U433)=0,COUNT(AI433)=0),"",U433+AI433)</f>
        <v/>
      </c>
      <c r="Y433" s="16" t="n"/>
      <c r="Z433" s="12" t="n"/>
      <c r="AA433" s="17">
        <f>IF(COUNT(J433)=0,"",IF(H433=0,"n.a.",J433/H433))</f>
        <v/>
      </c>
      <c r="AB433" s="12" t="n"/>
      <c r="AC433" s="12" t="n"/>
      <c r="AD433" s="12" t="n"/>
      <c r="AE433" s="13">
        <f>IF(OR(COUNT(J433)=0,COUNT(AB433:AD433)&lt;3),"",ROUND(J433-SUM(AB433:AD433),2))</f>
        <v/>
      </c>
      <c r="AF433" s="15">
        <f>IF(COUNT(AE433)=0,"",IF(Z433=0,"n.a.",AE433/Z433))</f>
        <v/>
      </c>
      <c r="AG433" s="12" t="n"/>
      <c r="AH433" s="14">
        <f>IF(OR(A433="",COUNT(Z433)=0,COUNT(AG433)=0),"",ROUND(Z433-AG433,2))</f>
        <v/>
      </c>
      <c r="AI433" s="21" t="n"/>
      <c r="AJ433" s="11">
        <f>IF(A433="","",IF(COUNT(I433)=0,"Enter approved NTE",IF(COUNT(Z433)&gt;0,IF(Z433&gt;I433,"Invoice exceeds NTE","Invoice within NTE"),IF(COUNT(L433)=0,"Enter quote inputs",IF(L433&gt;I433,"Quote exceeds NTE","Quote within NTE")))))</f>
        <v/>
      </c>
      <c r="AK433" s="11">
        <f>IF(A433="","",IF(COUNT(H433)=0,"Enter direct cost",IF(COUNT(Z433)=0,"Enter invoice revenue",IF(COUNT(AB433:AD433)&lt;3,"Enter expenses (0 if none)","Complete"))))</f>
        <v/>
      </c>
      <c r="AL433" s="11">
        <f>IF(A433="","",IF(NOT(AND(COUNT(AH433)=1,N(AH433)&gt;0.004,V433&lt;&gt;"Void",V433&lt;&gt;"Not invoiced",V433&lt;&gt;"Draft")),"",IF(COUNT(X433)=0,"No due date",IF(TODAY()-X433&lt;=0,"Not yet due",IF(TODAY()-X433&lt;=30,"1-30 days",IF(TODAY()-X433&lt;=60,"31-60 days",IF(TODAY()-X433&lt;=90,"61-90 days","Over 90 days")))))))</f>
        <v/>
      </c>
      <c r="AM433" s="49">
        <f>IF(OR(AL433="",AL433="No due date"),"",MAX(TODAY()-X433,0))</f>
        <v/>
      </c>
      <c r="AN433" s="49">
        <f>IF(AL433="","",IF(COUNT(X433)=0,-100000,TODAY()-X433))</f>
        <v/>
      </c>
      <c r="AO433" s="49">
        <f>IF(AN433="","",COUNTIF(AN$11:AN$1010,"&gt;"&amp;AN433)+COUNTIF(AN$11:AN433,AN433))</f>
        <v/>
      </c>
      <c r="AP433" s="49">
        <f>IF(OR(A433="",B433=""),"",IF(COUNTIF(B$11:B433,B433)=1,MAX(AP$10:AP432)+1,""))</f>
        <v/>
      </c>
    </row>
    <row r="434" ht="24" customHeight="1">
      <c r="A434" s="20" t="n"/>
      <c r="B434" s="10" t="n"/>
      <c r="C434" s="10" t="n"/>
      <c r="D434" s="10" t="n"/>
      <c r="E434" s="10" t="n"/>
      <c r="F434" s="18" t="n"/>
      <c r="G434" s="10" t="n"/>
      <c r="H434" s="12" t="n"/>
      <c r="I434" s="12" t="n"/>
      <c r="J434" s="13">
        <f>IF(OR(A434="",COUNT(H434)=0,COUNT(Z434)=0),"",ROUND(Z434-H434,2))</f>
        <v/>
      </c>
      <c r="K434" s="15">
        <f>IF(COUNT(J434)=0,"",IF(Z434=0,"n.a.",J434/Z434))</f>
        <v/>
      </c>
      <c r="L434" s="14">
        <f>IF(OR(A434="",COUNT(H434)=0,COUNT(Y434)=0),"",ROUND(H434*(1+Y434),2))</f>
        <v/>
      </c>
      <c r="M434" s="10" t="n"/>
      <c r="N434" s="10" t="n"/>
      <c r="O434" s="10" t="n"/>
      <c r="P434" s="10" t="n"/>
      <c r="Q434" s="20" t="n"/>
      <c r="R434" s="10" t="n"/>
      <c r="S434" s="10" t="n"/>
      <c r="T434" s="18" t="n"/>
      <c r="U434" s="18" t="n"/>
      <c r="V434" s="10" t="n"/>
      <c r="W434" s="10" t="n"/>
      <c r="X434" s="19">
        <f>IF(OR(A434="",COUNT(U434)=0,COUNT(AI434)=0),"",U434+AI434)</f>
        <v/>
      </c>
      <c r="Y434" s="16" t="n"/>
      <c r="Z434" s="12" t="n"/>
      <c r="AA434" s="17">
        <f>IF(COUNT(J434)=0,"",IF(H434=0,"n.a.",J434/H434))</f>
        <v/>
      </c>
      <c r="AB434" s="12" t="n"/>
      <c r="AC434" s="12" t="n"/>
      <c r="AD434" s="12" t="n"/>
      <c r="AE434" s="13">
        <f>IF(OR(COUNT(J434)=0,COUNT(AB434:AD434)&lt;3),"",ROUND(J434-SUM(AB434:AD434),2))</f>
        <v/>
      </c>
      <c r="AF434" s="15">
        <f>IF(COUNT(AE434)=0,"",IF(Z434=0,"n.a.",AE434/Z434))</f>
        <v/>
      </c>
      <c r="AG434" s="12" t="n"/>
      <c r="AH434" s="14">
        <f>IF(OR(A434="",COUNT(Z434)=0,COUNT(AG434)=0),"",ROUND(Z434-AG434,2))</f>
        <v/>
      </c>
      <c r="AI434" s="21" t="n"/>
      <c r="AJ434" s="11">
        <f>IF(A434="","",IF(COUNT(I434)=0,"Enter approved NTE",IF(COUNT(Z434)&gt;0,IF(Z434&gt;I434,"Invoice exceeds NTE","Invoice within NTE"),IF(COUNT(L434)=0,"Enter quote inputs",IF(L434&gt;I434,"Quote exceeds NTE","Quote within NTE")))))</f>
        <v/>
      </c>
      <c r="AK434" s="11">
        <f>IF(A434="","",IF(COUNT(H434)=0,"Enter direct cost",IF(COUNT(Z434)=0,"Enter invoice revenue",IF(COUNT(AB434:AD434)&lt;3,"Enter expenses (0 if none)","Complete"))))</f>
        <v/>
      </c>
      <c r="AL434" s="11">
        <f>IF(A434="","",IF(NOT(AND(COUNT(AH434)=1,N(AH434)&gt;0.004,V434&lt;&gt;"Void",V434&lt;&gt;"Not invoiced",V434&lt;&gt;"Draft")),"",IF(COUNT(X434)=0,"No due date",IF(TODAY()-X434&lt;=0,"Not yet due",IF(TODAY()-X434&lt;=30,"1-30 days",IF(TODAY()-X434&lt;=60,"31-60 days",IF(TODAY()-X434&lt;=90,"61-90 days","Over 90 days")))))))</f>
        <v/>
      </c>
      <c r="AM434" s="49">
        <f>IF(OR(AL434="",AL434="No due date"),"",MAX(TODAY()-X434,0))</f>
        <v/>
      </c>
      <c r="AN434" s="49">
        <f>IF(AL434="","",IF(COUNT(X434)=0,-100000,TODAY()-X434))</f>
        <v/>
      </c>
      <c r="AO434" s="49">
        <f>IF(AN434="","",COUNTIF(AN$11:AN$1010,"&gt;"&amp;AN434)+COUNTIF(AN$11:AN434,AN434))</f>
        <v/>
      </c>
      <c r="AP434" s="49">
        <f>IF(OR(A434="",B434=""),"",IF(COUNTIF(B$11:B434,B434)=1,MAX(AP$10:AP433)+1,""))</f>
        <v/>
      </c>
    </row>
    <row r="435" ht="24" customHeight="1">
      <c r="A435" s="20" t="n"/>
      <c r="B435" s="10" t="n"/>
      <c r="C435" s="10" t="n"/>
      <c r="D435" s="10" t="n"/>
      <c r="E435" s="10" t="n"/>
      <c r="F435" s="18" t="n"/>
      <c r="G435" s="10" t="n"/>
      <c r="H435" s="12" t="n"/>
      <c r="I435" s="12" t="n"/>
      <c r="J435" s="13">
        <f>IF(OR(A435="",COUNT(H435)=0,COUNT(Z435)=0),"",ROUND(Z435-H435,2))</f>
        <v/>
      </c>
      <c r="K435" s="15">
        <f>IF(COUNT(J435)=0,"",IF(Z435=0,"n.a.",J435/Z435))</f>
        <v/>
      </c>
      <c r="L435" s="14">
        <f>IF(OR(A435="",COUNT(H435)=0,COUNT(Y435)=0),"",ROUND(H435*(1+Y435),2))</f>
        <v/>
      </c>
      <c r="M435" s="10" t="n"/>
      <c r="N435" s="10" t="n"/>
      <c r="O435" s="10" t="n"/>
      <c r="P435" s="10" t="n"/>
      <c r="Q435" s="20" t="n"/>
      <c r="R435" s="10" t="n"/>
      <c r="S435" s="10" t="n"/>
      <c r="T435" s="18" t="n"/>
      <c r="U435" s="18" t="n"/>
      <c r="V435" s="10" t="n"/>
      <c r="W435" s="10" t="n"/>
      <c r="X435" s="19">
        <f>IF(OR(A435="",COUNT(U435)=0,COUNT(AI435)=0),"",U435+AI435)</f>
        <v/>
      </c>
      <c r="Y435" s="16" t="n"/>
      <c r="Z435" s="12" t="n"/>
      <c r="AA435" s="17">
        <f>IF(COUNT(J435)=0,"",IF(H435=0,"n.a.",J435/H435))</f>
        <v/>
      </c>
      <c r="AB435" s="12" t="n"/>
      <c r="AC435" s="12" t="n"/>
      <c r="AD435" s="12" t="n"/>
      <c r="AE435" s="13">
        <f>IF(OR(COUNT(J435)=0,COUNT(AB435:AD435)&lt;3),"",ROUND(J435-SUM(AB435:AD435),2))</f>
        <v/>
      </c>
      <c r="AF435" s="15">
        <f>IF(COUNT(AE435)=0,"",IF(Z435=0,"n.a.",AE435/Z435))</f>
        <v/>
      </c>
      <c r="AG435" s="12" t="n"/>
      <c r="AH435" s="14">
        <f>IF(OR(A435="",COUNT(Z435)=0,COUNT(AG435)=0),"",ROUND(Z435-AG435,2))</f>
        <v/>
      </c>
      <c r="AI435" s="21" t="n"/>
      <c r="AJ435" s="11">
        <f>IF(A435="","",IF(COUNT(I435)=0,"Enter approved NTE",IF(COUNT(Z435)&gt;0,IF(Z435&gt;I435,"Invoice exceeds NTE","Invoice within NTE"),IF(COUNT(L435)=0,"Enter quote inputs",IF(L435&gt;I435,"Quote exceeds NTE","Quote within NTE")))))</f>
        <v/>
      </c>
      <c r="AK435" s="11">
        <f>IF(A435="","",IF(COUNT(H435)=0,"Enter direct cost",IF(COUNT(Z435)=0,"Enter invoice revenue",IF(COUNT(AB435:AD435)&lt;3,"Enter expenses (0 if none)","Complete"))))</f>
        <v/>
      </c>
      <c r="AL435" s="11">
        <f>IF(A435="","",IF(NOT(AND(COUNT(AH435)=1,N(AH435)&gt;0.004,V435&lt;&gt;"Void",V435&lt;&gt;"Not invoiced",V435&lt;&gt;"Draft")),"",IF(COUNT(X435)=0,"No due date",IF(TODAY()-X435&lt;=0,"Not yet due",IF(TODAY()-X435&lt;=30,"1-30 days",IF(TODAY()-X435&lt;=60,"31-60 days",IF(TODAY()-X435&lt;=90,"61-90 days","Over 90 days")))))))</f>
        <v/>
      </c>
      <c r="AM435" s="49">
        <f>IF(OR(AL435="",AL435="No due date"),"",MAX(TODAY()-X435,0))</f>
        <v/>
      </c>
      <c r="AN435" s="49">
        <f>IF(AL435="","",IF(COUNT(X435)=0,-100000,TODAY()-X435))</f>
        <v/>
      </c>
      <c r="AO435" s="49">
        <f>IF(AN435="","",COUNTIF(AN$11:AN$1010,"&gt;"&amp;AN435)+COUNTIF(AN$11:AN435,AN435))</f>
        <v/>
      </c>
      <c r="AP435" s="49">
        <f>IF(OR(A435="",B435=""),"",IF(COUNTIF(B$11:B435,B435)=1,MAX(AP$10:AP434)+1,""))</f>
        <v/>
      </c>
    </row>
    <row r="436" ht="24" customHeight="1">
      <c r="A436" s="20" t="n"/>
      <c r="B436" s="10" t="n"/>
      <c r="C436" s="10" t="n"/>
      <c r="D436" s="10" t="n"/>
      <c r="E436" s="10" t="n"/>
      <c r="F436" s="18" t="n"/>
      <c r="G436" s="10" t="n"/>
      <c r="H436" s="12" t="n"/>
      <c r="I436" s="12" t="n"/>
      <c r="J436" s="13">
        <f>IF(OR(A436="",COUNT(H436)=0,COUNT(Z436)=0),"",ROUND(Z436-H436,2))</f>
        <v/>
      </c>
      <c r="K436" s="15">
        <f>IF(COUNT(J436)=0,"",IF(Z436=0,"n.a.",J436/Z436))</f>
        <v/>
      </c>
      <c r="L436" s="14">
        <f>IF(OR(A436="",COUNT(H436)=0,COUNT(Y436)=0),"",ROUND(H436*(1+Y436),2))</f>
        <v/>
      </c>
      <c r="M436" s="10" t="n"/>
      <c r="N436" s="10" t="n"/>
      <c r="O436" s="10" t="n"/>
      <c r="P436" s="10" t="n"/>
      <c r="Q436" s="20" t="n"/>
      <c r="R436" s="10" t="n"/>
      <c r="S436" s="10" t="n"/>
      <c r="T436" s="18" t="n"/>
      <c r="U436" s="18" t="n"/>
      <c r="V436" s="10" t="n"/>
      <c r="W436" s="10" t="n"/>
      <c r="X436" s="19">
        <f>IF(OR(A436="",COUNT(U436)=0,COUNT(AI436)=0),"",U436+AI436)</f>
        <v/>
      </c>
      <c r="Y436" s="16" t="n"/>
      <c r="Z436" s="12" t="n"/>
      <c r="AA436" s="17">
        <f>IF(COUNT(J436)=0,"",IF(H436=0,"n.a.",J436/H436))</f>
        <v/>
      </c>
      <c r="AB436" s="12" t="n"/>
      <c r="AC436" s="12" t="n"/>
      <c r="AD436" s="12" t="n"/>
      <c r="AE436" s="13">
        <f>IF(OR(COUNT(J436)=0,COUNT(AB436:AD436)&lt;3),"",ROUND(J436-SUM(AB436:AD436),2))</f>
        <v/>
      </c>
      <c r="AF436" s="15">
        <f>IF(COUNT(AE436)=0,"",IF(Z436=0,"n.a.",AE436/Z436))</f>
        <v/>
      </c>
      <c r="AG436" s="12" t="n"/>
      <c r="AH436" s="14">
        <f>IF(OR(A436="",COUNT(Z436)=0,COUNT(AG436)=0),"",ROUND(Z436-AG436,2))</f>
        <v/>
      </c>
      <c r="AI436" s="21" t="n"/>
      <c r="AJ436" s="11">
        <f>IF(A436="","",IF(COUNT(I436)=0,"Enter approved NTE",IF(COUNT(Z436)&gt;0,IF(Z436&gt;I436,"Invoice exceeds NTE","Invoice within NTE"),IF(COUNT(L436)=0,"Enter quote inputs",IF(L436&gt;I436,"Quote exceeds NTE","Quote within NTE")))))</f>
        <v/>
      </c>
      <c r="AK436" s="11">
        <f>IF(A436="","",IF(COUNT(H436)=0,"Enter direct cost",IF(COUNT(Z436)=0,"Enter invoice revenue",IF(COUNT(AB436:AD436)&lt;3,"Enter expenses (0 if none)","Complete"))))</f>
        <v/>
      </c>
      <c r="AL436" s="11">
        <f>IF(A436="","",IF(NOT(AND(COUNT(AH436)=1,N(AH436)&gt;0.004,V436&lt;&gt;"Void",V436&lt;&gt;"Not invoiced",V436&lt;&gt;"Draft")),"",IF(COUNT(X436)=0,"No due date",IF(TODAY()-X436&lt;=0,"Not yet due",IF(TODAY()-X436&lt;=30,"1-30 days",IF(TODAY()-X436&lt;=60,"31-60 days",IF(TODAY()-X436&lt;=90,"61-90 days","Over 90 days")))))))</f>
        <v/>
      </c>
      <c r="AM436" s="49">
        <f>IF(OR(AL436="",AL436="No due date"),"",MAX(TODAY()-X436,0))</f>
        <v/>
      </c>
      <c r="AN436" s="49">
        <f>IF(AL436="","",IF(COUNT(X436)=0,-100000,TODAY()-X436))</f>
        <v/>
      </c>
      <c r="AO436" s="49">
        <f>IF(AN436="","",COUNTIF(AN$11:AN$1010,"&gt;"&amp;AN436)+COUNTIF(AN$11:AN436,AN436))</f>
        <v/>
      </c>
      <c r="AP436" s="49">
        <f>IF(OR(A436="",B436=""),"",IF(COUNTIF(B$11:B436,B436)=1,MAX(AP$10:AP435)+1,""))</f>
        <v/>
      </c>
    </row>
    <row r="437" ht="24" customHeight="1">
      <c r="A437" s="20" t="n"/>
      <c r="B437" s="10" t="n"/>
      <c r="C437" s="10" t="n"/>
      <c r="D437" s="10" t="n"/>
      <c r="E437" s="10" t="n"/>
      <c r="F437" s="18" t="n"/>
      <c r="G437" s="10" t="n"/>
      <c r="H437" s="12" t="n"/>
      <c r="I437" s="12" t="n"/>
      <c r="J437" s="13">
        <f>IF(OR(A437="",COUNT(H437)=0,COUNT(Z437)=0),"",ROUND(Z437-H437,2))</f>
        <v/>
      </c>
      <c r="K437" s="15">
        <f>IF(COUNT(J437)=0,"",IF(Z437=0,"n.a.",J437/Z437))</f>
        <v/>
      </c>
      <c r="L437" s="14">
        <f>IF(OR(A437="",COUNT(H437)=0,COUNT(Y437)=0),"",ROUND(H437*(1+Y437),2))</f>
        <v/>
      </c>
      <c r="M437" s="10" t="n"/>
      <c r="N437" s="10" t="n"/>
      <c r="O437" s="10" t="n"/>
      <c r="P437" s="10" t="n"/>
      <c r="Q437" s="20" t="n"/>
      <c r="R437" s="10" t="n"/>
      <c r="S437" s="10" t="n"/>
      <c r="T437" s="18" t="n"/>
      <c r="U437" s="18" t="n"/>
      <c r="V437" s="10" t="n"/>
      <c r="W437" s="10" t="n"/>
      <c r="X437" s="19">
        <f>IF(OR(A437="",COUNT(U437)=0,COUNT(AI437)=0),"",U437+AI437)</f>
        <v/>
      </c>
      <c r="Y437" s="16" t="n"/>
      <c r="Z437" s="12" t="n"/>
      <c r="AA437" s="17">
        <f>IF(COUNT(J437)=0,"",IF(H437=0,"n.a.",J437/H437))</f>
        <v/>
      </c>
      <c r="AB437" s="12" t="n"/>
      <c r="AC437" s="12" t="n"/>
      <c r="AD437" s="12" t="n"/>
      <c r="AE437" s="13">
        <f>IF(OR(COUNT(J437)=0,COUNT(AB437:AD437)&lt;3),"",ROUND(J437-SUM(AB437:AD437),2))</f>
        <v/>
      </c>
      <c r="AF437" s="15">
        <f>IF(COUNT(AE437)=0,"",IF(Z437=0,"n.a.",AE437/Z437))</f>
        <v/>
      </c>
      <c r="AG437" s="12" t="n"/>
      <c r="AH437" s="14">
        <f>IF(OR(A437="",COUNT(Z437)=0,COUNT(AG437)=0),"",ROUND(Z437-AG437,2))</f>
        <v/>
      </c>
      <c r="AI437" s="21" t="n"/>
      <c r="AJ437" s="11">
        <f>IF(A437="","",IF(COUNT(I437)=0,"Enter approved NTE",IF(COUNT(Z437)&gt;0,IF(Z437&gt;I437,"Invoice exceeds NTE","Invoice within NTE"),IF(COUNT(L437)=0,"Enter quote inputs",IF(L437&gt;I437,"Quote exceeds NTE","Quote within NTE")))))</f>
        <v/>
      </c>
      <c r="AK437" s="11">
        <f>IF(A437="","",IF(COUNT(H437)=0,"Enter direct cost",IF(COUNT(Z437)=0,"Enter invoice revenue",IF(COUNT(AB437:AD437)&lt;3,"Enter expenses (0 if none)","Complete"))))</f>
        <v/>
      </c>
      <c r="AL437" s="11">
        <f>IF(A437="","",IF(NOT(AND(COUNT(AH437)=1,N(AH437)&gt;0.004,V437&lt;&gt;"Void",V437&lt;&gt;"Not invoiced",V437&lt;&gt;"Draft")),"",IF(COUNT(X437)=0,"No due date",IF(TODAY()-X437&lt;=0,"Not yet due",IF(TODAY()-X437&lt;=30,"1-30 days",IF(TODAY()-X437&lt;=60,"31-60 days",IF(TODAY()-X437&lt;=90,"61-90 days","Over 90 days")))))))</f>
        <v/>
      </c>
      <c r="AM437" s="49">
        <f>IF(OR(AL437="",AL437="No due date"),"",MAX(TODAY()-X437,0))</f>
        <v/>
      </c>
      <c r="AN437" s="49">
        <f>IF(AL437="","",IF(COUNT(X437)=0,-100000,TODAY()-X437))</f>
        <v/>
      </c>
      <c r="AO437" s="49">
        <f>IF(AN437="","",COUNTIF(AN$11:AN$1010,"&gt;"&amp;AN437)+COUNTIF(AN$11:AN437,AN437))</f>
        <v/>
      </c>
      <c r="AP437" s="49">
        <f>IF(OR(A437="",B437=""),"",IF(COUNTIF(B$11:B437,B437)=1,MAX(AP$10:AP436)+1,""))</f>
        <v/>
      </c>
    </row>
    <row r="438" ht="24" customHeight="1">
      <c r="A438" s="20" t="n"/>
      <c r="B438" s="10" t="n"/>
      <c r="C438" s="10" t="n"/>
      <c r="D438" s="10" t="n"/>
      <c r="E438" s="10" t="n"/>
      <c r="F438" s="18" t="n"/>
      <c r="G438" s="10" t="n"/>
      <c r="H438" s="12" t="n"/>
      <c r="I438" s="12" t="n"/>
      <c r="J438" s="13">
        <f>IF(OR(A438="",COUNT(H438)=0,COUNT(Z438)=0),"",ROUND(Z438-H438,2))</f>
        <v/>
      </c>
      <c r="K438" s="15">
        <f>IF(COUNT(J438)=0,"",IF(Z438=0,"n.a.",J438/Z438))</f>
        <v/>
      </c>
      <c r="L438" s="14">
        <f>IF(OR(A438="",COUNT(H438)=0,COUNT(Y438)=0),"",ROUND(H438*(1+Y438),2))</f>
        <v/>
      </c>
      <c r="M438" s="10" t="n"/>
      <c r="N438" s="10" t="n"/>
      <c r="O438" s="10" t="n"/>
      <c r="P438" s="10" t="n"/>
      <c r="Q438" s="20" t="n"/>
      <c r="R438" s="10" t="n"/>
      <c r="S438" s="10" t="n"/>
      <c r="T438" s="18" t="n"/>
      <c r="U438" s="18" t="n"/>
      <c r="V438" s="10" t="n"/>
      <c r="W438" s="10" t="n"/>
      <c r="X438" s="19">
        <f>IF(OR(A438="",COUNT(U438)=0,COUNT(AI438)=0),"",U438+AI438)</f>
        <v/>
      </c>
      <c r="Y438" s="16" t="n"/>
      <c r="Z438" s="12" t="n"/>
      <c r="AA438" s="17">
        <f>IF(COUNT(J438)=0,"",IF(H438=0,"n.a.",J438/H438))</f>
        <v/>
      </c>
      <c r="AB438" s="12" t="n"/>
      <c r="AC438" s="12" t="n"/>
      <c r="AD438" s="12" t="n"/>
      <c r="AE438" s="13">
        <f>IF(OR(COUNT(J438)=0,COUNT(AB438:AD438)&lt;3),"",ROUND(J438-SUM(AB438:AD438),2))</f>
        <v/>
      </c>
      <c r="AF438" s="15">
        <f>IF(COUNT(AE438)=0,"",IF(Z438=0,"n.a.",AE438/Z438))</f>
        <v/>
      </c>
      <c r="AG438" s="12" t="n"/>
      <c r="AH438" s="14">
        <f>IF(OR(A438="",COUNT(Z438)=0,COUNT(AG438)=0),"",ROUND(Z438-AG438,2))</f>
        <v/>
      </c>
      <c r="AI438" s="21" t="n"/>
      <c r="AJ438" s="11">
        <f>IF(A438="","",IF(COUNT(I438)=0,"Enter approved NTE",IF(COUNT(Z438)&gt;0,IF(Z438&gt;I438,"Invoice exceeds NTE","Invoice within NTE"),IF(COUNT(L438)=0,"Enter quote inputs",IF(L438&gt;I438,"Quote exceeds NTE","Quote within NTE")))))</f>
        <v/>
      </c>
      <c r="AK438" s="11">
        <f>IF(A438="","",IF(COUNT(H438)=0,"Enter direct cost",IF(COUNT(Z438)=0,"Enter invoice revenue",IF(COUNT(AB438:AD438)&lt;3,"Enter expenses (0 if none)","Complete"))))</f>
        <v/>
      </c>
      <c r="AL438" s="11">
        <f>IF(A438="","",IF(NOT(AND(COUNT(AH438)=1,N(AH438)&gt;0.004,V438&lt;&gt;"Void",V438&lt;&gt;"Not invoiced",V438&lt;&gt;"Draft")),"",IF(COUNT(X438)=0,"No due date",IF(TODAY()-X438&lt;=0,"Not yet due",IF(TODAY()-X438&lt;=30,"1-30 days",IF(TODAY()-X438&lt;=60,"31-60 days",IF(TODAY()-X438&lt;=90,"61-90 days","Over 90 days")))))))</f>
        <v/>
      </c>
      <c r="AM438" s="49">
        <f>IF(OR(AL438="",AL438="No due date"),"",MAX(TODAY()-X438,0))</f>
        <v/>
      </c>
      <c r="AN438" s="49">
        <f>IF(AL438="","",IF(COUNT(X438)=0,-100000,TODAY()-X438))</f>
        <v/>
      </c>
      <c r="AO438" s="49">
        <f>IF(AN438="","",COUNTIF(AN$11:AN$1010,"&gt;"&amp;AN438)+COUNTIF(AN$11:AN438,AN438))</f>
        <v/>
      </c>
      <c r="AP438" s="49">
        <f>IF(OR(A438="",B438=""),"",IF(COUNTIF(B$11:B438,B438)=1,MAX(AP$10:AP437)+1,""))</f>
        <v/>
      </c>
    </row>
    <row r="439" ht="24" customHeight="1">
      <c r="A439" s="20" t="n"/>
      <c r="B439" s="10" t="n"/>
      <c r="C439" s="10" t="n"/>
      <c r="D439" s="10" t="n"/>
      <c r="E439" s="10" t="n"/>
      <c r="F439" s="18" t="n"/>
      <c r="G439" s="10" t="n"/>
      <c r="H439" s="12" t="n"/>
      <c r="I439" s="12" t="n"/>
      <c r="J439" s="13">
        <f>IF(OR(A439="",COUNT(H439)=0,COUNT(Z439)=0),"",ROUND(Z439-H439,2))</f>
        <v/>
      </c>
      <c r="K439" s="15">
        <f>IF(COUNT(J439)=0,"",IF(Z439=0,"n.a.",J439/Z439))</f>
        <v/>
      </c>
      <c r="L439" s="14">
        <f>IF(OR(A439="",COUNT(H439)=0,COUNT(Y439)=0),"",ROUND(H439*(1+Y439),2))</f>
        <v/>
      </c>
      <c r="M439" s="10" t="n"/>
      <c r="N439" s="10" t="n"/>
      <c r="O439" s="10" t="n"/>
      <c r="P439" s="10" t="n"/>
      <c r="Q439" s="20" t="n"/>
      <c r="R439" s="10" t="n"/>
      <c r="S439" s="10" t="n"/>
      <c r="T439" s="18" t="n"/>
      <c r="U439" s="18" t="n"/>
      <c r="V439" s="10" t="n"/>
      <c r="W439" s="10" t="n"/>
      <c r="X439" s="19">
        <f>IF(OR(A439="",COUNT(U439)=0,COUNT(AI439)=0),"",U439+AI439)</f>
        <v/>
      </c>
      <c r="Y439" s="16" t="n"/>
      <c r="Z439" s="12" t="n"/>
      <c r="AA439" s="17">
        <f>IF(COUNT(J439)=0,"",IF(H439=0,"n.a.",J439/H439))</f>
        <v/>
      </c>
      <c r="AB439" s="12" t="n"/>
      <c r="AC439" s="12" t="n"/>
      <c r="AD439" s="12" t="n"/>
      <c r="AE439" s="13">
        <f>IF(OR(COUNT(J439)=0,COUNT(AB439:AD439)&lt;3),"",ROUND(J439-SUM(AB439:AD439),2))</f>
        <v/>
      </c>
      <c r="AF439" s="15">
        <f>IF(COUNT(AE439)=0,"",IF(Z439=0,"n.a.",AE439/Z439))</f>
        <v/>
      </c>
      <c r="AG439" s="12" t="n"/>
      <c r="AH439" s="14">
        <f>IF(OR(A439="",COUNT(Z439)=0,COUNT(AG439)=0),"",ROUND(Z439-AG439,2))</f>
        <v/>
      </c>
      <c r="AI439" s="21" t="n"/>
      <c r="AJ439" s="11">
        <f>IF(A439="","",IF(COUNT(I439)=0,"Enter approved NTE",IF(COUNT(Z439)&gt;0,IF(Z439&gt;I439,"Invoice exceeds NTE","Invoice within NTE"),IF(COUNT(L439)=0,"Enter quote inputs",IF(L439&gt;I439,"Quote exceeds NTE","Quote within NTE")))))</f>
        <v/>
      </c>
      <c r="AK439" s="11">
        <f>IF(A439="","",IF(COUNT(H439)=0,"Enter direct cost",IF(COUNT(Z439)=0,"Enter invoice revenue",IF(COUNT(AB439:AD439)&lt;3,"Enter expenses (0 if none)","Complete"))))</f>
        <v/>
      </c>
      <c r="AL439" s="11">
        <f>IF(A439="","",IF(NOT(AND(COUNT(AH439)=1,N(AH439)&gt;0.004,V439&lt;&gt;"Void",V439&lt;&gt;"Not invoiced",V439&lt;&gt;"Draft")),"",IF(COUNT(X439)=0,"No due date",IF(TODAY()-X439&lt;=0,"Not yet due",IF(TODAY()-X439&lt;=30,"1-30 days",IF(TODAY()-X439&lt;=60,"31-60 days",IF(TODAY()-X439&lt;=90,"61-90 days","Over 90 days")))))))</f>
        <v/>
      </c>
      <c r="AM439" s="49">
        <f>IF(OR(AL439="",AL439="No due date"),"",MAX(TODAY()-X439,0))</f>
        <v/>
      </c>
      <c r="AN439" s="49">
        <f>IF(AL439="","",IF(COUNT(X439)=0,-100000,TODAY()-X439))</f>
        <v/>
      </c>
      <c r="AO439" s="49">
        <f>IF(AN439="","",COUNTIF(AN$11:AN$1010,"&gt;"&amp;AN439)+COUNTIF(AN$11:AN439,AN439))</f>
        <v/>
      </c>
      <c r="AP439" s="49">
        <f>IF(OR(A439="",B439=""),"",IF(COUNTIF(B$11:B439,B439)=1,MAX(AP$10:AP438)+1,""))</f>
        <v/>
      </c>
    </row>
    <row r="440" ht="24" customHeight="1">
      <c r="A440" s="20" t="n"/>
      <c r="B440" s="10" t="n"/>
      <c r="C440" s="10" t="n"/>
      <c r="D440" s="10" t="n"/>
      <c r="E440" s="10" t="n"/>
      <c r="F440" s="18" t="n"/>
      <c r="G440" s="10" t="n"/>
      <c r="H440" s="12" t="n"/>
      <c r="I440" s="12" t="n"/>
      <c r="J440" s="13">
        <f>IF(OR(A440="",COUNT(H440)=0,COUNT(Z440)=0),"",ROUND(Z440-H440,2))</f>
        <v/>
      </c>
      <c r="K440" s="15">
        <f>IF(COUNT(J440)=0,"",IF(Z440=0,"n.a.",J440/Z440))</f>
        <v/>
      </c>
      <c r="L440" s="14">
        <f>IF(OR(A440="",COUNT(H440)=0,COUNT(Y440)=0),"",ROUND(H440*(1+Y440),2))</f>
        <v/>
      </c>
      <c r="M440" s="10" t="n"/>
      <c r="N440" s="10" t="n"/>
      <c r="O440" s="10" t="n"/>
      <c r="P440" s="10" t="n"/>
      <c r="Q440" s="20" t="n"/>
      <c r="R440" s="10" t="n"/>
      <c r="S440" s="10" t="n"/>
      <c r="T440" s="18" t="n"/>
      <c r="U440" s="18" t="n"/>
      <c r="V440" s="10" t="n"/>
      <c r="W440" s="10" t="n"/>
      <c r="X440" s="19">
        <f>IF(OR(A440="",COUNT(U440)=0,COUNT(AI440)=0),"",U440+AI440)</f>
        <v/>
      </c>
      <c r="Y440" s="16" t="n"/>
      <c r="Z440" s="12" t="n"/>
      <c r="AA440" s="17">
        <f>IF(COUNT(J440)=0,"",IF(H440=0,"n.a.",J440/H440))</f>
        <v/>
      </c>
      <c r="AB440" s="12" t="n"/>
      <c r="AC440" s="12" t="n"/>
      <c r="AD440" s="12" t="n"/>
      <c r="AE440" s="13">
        <f>IF(OR(COUNT(J440)=0,COUNT(AB440:AD440)&lt;3),"",ROUND(J440-SUM(AB440:AD440),2))</f>
        <v/>
      </c>
      <c r="AF440" s="15">
        <f>IF(COUNT(AE440)=0,"",IF(Z440=0,"n.a.",AE440/Z440))</f>
        <v/>
      </c>
      <c r="AG440" s="12" t="n"/>
      <c r="AH440" s="14">
        <f>IF(OR(A440="",COUNT(Z440)=0,COUNT(AG440)=0),"",ROUND(Z440-AG440,2))</f>
        <v/>
      </c>
      <c r="AI440" s="21" t="n"/>
      <c r="AJ440" s="11">
        <f>IF(A440="","",IF(COUNT(I440)=0,"Enter approved NTE",IF(COUNT(Z440)&gt;0,IF(Z440&gt;I440,"Invoice exceeds NTE","Invoice within NTE"),IF(COUNT(L440)=0,"Enter quote inputs",IF(L440&gt;I440,"Quote exceeds NTE","Quote within NTE")))))</f>
        <v/>
      </c>
      <c r="AK440" s="11">
        <f>IF(A440="","",IF(COUNT(H440)=0,"Enter direct cost",IF(COUNT(Z440)=0,"Enter invoice revenue",IF(COUNT(AB440:AD440)&lt;3,"Enter expenses (0 if none)","Complete"))))</f>
        <v/>
      </c>
      <c r="AL440" s="11">
        <f>IF(A440="","",IF(NOT(AND(COUNT(AH440)=1,N(AH440)&gt;0.004,V440&lt;&gt;"Void",V440&lt;&gt;"Not invoiced",V440&lt;&gt;"Draft")),"",IF(COUNT(X440)=0,"No due date",IF(TODAY()-X440&lt;=0,"Not yet due",IF(TODAY()-X440&lt;=30,"1-30 days",IF(TODAY()-X440&lt;=60,"31-60 days",IF(TODAY()-X440&lt;=90,"61-90 days","Over 90 days")))))))</f>
        <v/>
      </c>
      <c r="AM440" s="49">
        <f>IF(OR(AL440="",AL440="No due date"),"",MAX(TODAY()-X440,0))</f>
        <v/>
      </c>
      <c r="AN440" s="49">
        <f>IF(AL440="","",IF(COUNT(X440)=0,-100000,TODAY()-X440))</f>
        <v/>
      </c>
      <c r="AO440" s="49">
        <f>IF(AN440="","",COUNTIF(AN$11:AN$1010,"&gt;"&amp;AN440)+COUNTIF(AN$11:AN440,AN440))</f>
        <v/>
      </c>
      <c r="AP440" s="49">
        <f>IF(OR(A440="",B440=""),"",IF(COUNTIF(B$11:B440,B440)=1,MAX(AP$10:AP439)+1,""))</f>
        <v/>
      </c>
    </row>
    <row r="441" ht="24" customHeight="1">
      <c r="A441" s="20" t="n"/>
      <c r="B441" s="10" t="n"/>
      <c r="C441" s="10" t="n"/>
      <c r="D441" s="10" t="n"/>
      <c r="E441" s="10" t="n"/>
      <c r="F441" s="18" t="n"/>
      <c r="G441" s="10" t="n"/>
      <c r="H441" s="12" t="n"/>
      <c r="I441" s="12" t="n"/>
      <c r="J441" s="13">
        <f>IF(OR(A441="",COUNT(H441)=0,COUNT(Z441)=0),"",ROUND(Z441-H441,2))</f>
        <v/>
      </c>
      <c r="K441" s="15">
        <f>IF(COUNT(J441)=0,"",IF(Z441=0,"n.a.",J441/Z441))</f>
        <v/>
      </c>
      <c r="L441" s="14">
        <f>IF(OR(A441="",COUNT(H441)=0,COUNT(Y441)=0),"",ROUND(H441*(1+Y441),2))</f>
        <v/>
      </c>
      <c r="M441" s="10" t="n"/>
      <c r="N441" s="10" t="n"/>
      <c r="O441" s="10" t="n"/>
      <c r="P441" s="10" t="n"/>
      <c r="Q441" s="20" t="n"/>
      <c r="R441" s="10" t="n"/>
      <c r="S441" s="10" t="n"/>
      <c r="T441" s="18" t="n"/>
      <c r="U441" s="18" t="n"/>
      <c r="V441" s="10" t="n"/>
      <c r="W441" s="10" t="n"/>
      <c r="X441" s="19">
        <f>IF(OR(A441="",COUNT(U441)=0,COUNT(AI441)=0),"",U441+AI441)</f>
        <v/>
      </c>
      <c r="Y441" s="16" t="n"/>
      <c r="Z441" s="12" t="n"/>
      <c r="AA441" s="17">
        <f>IF(COUNT(J441)=0,"",IF(H441=0,"n.a.",J441/H441))</f>
        <v/>
      </c>
      <c r="AB441" s="12" t="n"/>
      <c r="AC441" s="12" t="n"/>
      <c r="AD441" s="12" t="n"/>
      <c r="AE441" s="13">
        <f>IF(OR(COUNT(J441)=0,COUNT(AB441:AD441)&lt;3),"",ROUND(J441-SUM(AB441:AD441),2))</f>
        <v/>
      </c>
      <c r="AF441" s="15">
        <f>IF(COUNT(AE441)=0,"",IF(Z441=0,"n.a.",AE441/Z441))</f>
        <v/>
      </c>
      <c r="AG441" s="12" t="n"/>
      <c r="AH441" s="14">
        <f>IF(OR(A441="",COUNT(Z441)=0,COUNT(AG441)=0),"",ROUND(Z441-AG441,2))</f>
        <v/>
      </c>
      <c r="AI441" s="21" t="n"/>
      <c r="AJ441" s="11">
        <f>IF(A441="","",IF(COUNT(I441)=0,"Enter approved NTE",IF(COUNT(Z441)&gt;0,IF(Z441&gt;I441,"Invoice exceeds NTE","Invoice within NTE"),IF(COUNT(L441)=0,"Enter quote inputs",IF(L441&gt;I441,"Quote exceeds NTE","Quote within NTE")))))</f>
        <v/>
      </c>
      <c r="AK441" s="11">
        <f>IF(A441="","",IF(COUNT(H441)=0,"Enter direct cost",IF(COUNT(Z441)=0,"Enter invoice revenue",IF(COUNT(AB441:AD441)&lt;3,"Enter expenses (0 if none)","Complete"))))</f>
        <v/>
      </c>
      <c r="AL441" s="11">
        <f>IF(A441="","",IF(NOT(AND(COUNT(AH441)=1,N(AH441)&gt;0.004,V441&lt;&gt;"Void",V441&lt;&gt;"Not invoiced",V441&lt;&gt;"Draft")),"",IF(COUNT(X441)=0,"No due date",IF(TODAY()-X441&lt;=0,"Not yet due",IF(TODAY()-X441&lt;=30,"1-30 days",IF(TODAY()-X441&lt;=60,"31-60 days",IF(TODAY()-X441&lt;=90,"61-90 days","Over 90 days")))))))</f>
        <v/>
      </c>
      <c r="AM441" s="49">
        <f>IF(OR(AL441="",AL441="No due date"),"",MAX(TODAY()-X441,0))</f>
        <v/>
      </c>
      <c r="AN441" s="49">
        <f>IF(AL441="","",IF(COUNT(X441)=0,-100000,TODAY()-X441))</f>
        <v/>
      </c>
      <c r="AO441" s="49">
        <f>IF(AN441="","",COUNTIF(AN$11:AN$1010,"&gt;"&amp;AN441)+COUNTIF(AN$11:AN441,AN441))</f>
        <v/>
      </c>
      <c r="AP441" s="49">
        <f>IF(OR(A441="",B441=""),"",IF(COUNTIF(B$11:B441,B441)=1,MAX(AP$10:AP440)+1,""))</f>
        <v/>
      </c>
    </row>
    <row r="442" ht="24" customHeight="1">
      <c r="A442" s="20" t="n"/>
      <c r="B442" s="10" t="n"/>
      <c r="C442" s="10" t="n"/>
      <c r="D442" s="10" t="n"/>
      <c r="E442" s="10" t="n"/>
      <c r="F442" s="18" t="n"/>
      <c r="G442" s="10" t="n"/>
      <c r="H442" s="12" t="n"/>
      <c r="I442" s="12" t="n"/>
      <c r="J442" s="13">
        <f>IF(OR(A442="",COUNT(H442)=0,COUNT(Z442)=0),"",ROUND(Z442-H442,2))</f>
        <v/>
      </c>
      <c r="K442" s="15">
        <f>IF(COUNT(J442)=0,"",IF(Z442=0,"n.a.",J442/Z442))</f>
        <v/>
      </c>
      <c r="L442" s="14">
        <f>IF(OR(A442="",COUNT(H442)=0,COUNT(Y442)=0),"",ROUND(H442*(1+Y442),2))</f>
        <v/>
      </c>
      <c r="M442" s="10" t="n"/>
      <c r="N442" s="10" t="n"/>
      <c r="O442" s="10" t="n"/>
      <c r="P442" s="10" t="n"/>
      <c r="Q442" s="20" t="n"/>
      <c r="R442" s="10" t="n"/>
      <c r="S442" s="10" t="n"/>
      <c r="T442" s="18" t="n"/>
      <c r="U442" s="18" t="n"/>
      <c r="V442" s="10" t="n"/>
      <c r="W442" s="10" t="n"/>
      <c r="X442" s="19">
        <f>IF(OR(A442="",COUNT(U442)=0,COUNT(AI442)=0),"",U442+AI442)</f>
        <v/>
      </c>
      <c r="Y442" s="16" t="n"/>
      <c r="Z442" s="12" t="n"/>
      <c r="AA442" s="17">
        <f>IF(COUNT(J442)=0,"",IF(H442=0,"n.a.",J442/H442))</f>
        <v/>
      </c>
      <c r="AB442" s="12" t="n"/>
      <c r="AC442" s="12" t="n"/>
      <c r="AD442" s="12" t="n"/>
      <c r="AE442" s="13">
        <f>IF(OR(COUNT(J442)=0,COUNT(AB442:AD442)&lt;3),"",ROUND(J442-SUM(AB442:AD442),2))</f>
        <v/>
      </c>
      <c r="AF442" s="15">
        <f>IF(COUNT(AE442)=0,"",IF(Z442=0,"n.a.",AE442/Z442))</f>
        <v/>
      </c>
      <c r="AG442" s="12" t="n"/>
      <c r="AH442" s="14">
        <f>IF(OR(A442="",COUNT(Z442)=0,COUNT(AG442)=0),"",ROUND(Z442-AG442,2))</f>
        <v/>
      </c>
      <c r="AI442" s="21" t="n"/>
      <c r="AJ442" s="11">
        <f>IF(A442="","",IF(COUNT(I442)=0,"Enter approved NTE",IF(COUNT(Z442)&gt;0,IF(Z442&gt;I442,"Invoice exceeds NTE","Invoice within NTE"),IF(COUNT(L442)=0,"Enter quote inputs",IF(L442&gt;I442,"Quote exceeds NTE","Quote within NTE")))))</f>
        <v/>
      </c>
      <c r="AK442" s="11">
        <f>IF(A442="","",IF(COUNT(H442)=0,"Enter direct cost",IF(COUNT(Z442)=0,"Enter invoice revenue",IF(COUNT(AB442:AD442)&lt;3,"Enter expenses (0 if none)","Complete"))))</f>
        <v/>
      </c>
      <c r="AL442" s="11">
        <f>IF(A442="","",IF(NOT(AND(COUNT(AH442)=1,N(AH442)&gt;0.004,V442&lt;&gt;"Void",V442&lt;&gt;"Not invoiced",V442&lt;&gt;"Draft")),"",IF(COUNT(X442)=0,"No due date",IF(TODAY()-X442&lt;=0,"Not yet due",IF(TODAY()-X442&lt;=30,"1-30 days",IF(TODAY()-X442&lt;=60,"31-60 days",IF(TODAY()-X442&lt;=90,"61-90 days","Over 90 days")))))))</f>
        <v/>
      </c>
      <c r="AM442" s="49">
        <f>IF(OR(AL442="",AL442="No due date"),"",MAX(TODAY()-X442,0))</f>
        <v/>
      </c>
      <c r="AN442" s="49">
        <f>IF(AL442="","",IF(COUNT(X442)=0,-100000,TODAY()-X442))</f>
        <v/>
      </c>
      <c r="AO442" s="49">
        <f>IF(AN442="","",COUNTIF(AN$11:AN$1010,"&gt;"&amp;AN442)+COUNTIF(AN$11:AN442,AN442))</f>
        <v/>
      </c>
      <c r="AP442" s="49">
        <f>IF(OR(A442="",B442=""),"",IF(COUNTIF(B$11:B442,B442)=1,MAX(AP$10:AP441)+1,""))</f>
        <v/>
      </c>
    </row>
    <row r="443" ht="24" customHeight="1">
      <c r="A443" s="20" t="n"/>
      <c r="B443" s="10" t="n"/>
      <c r="C443" s="10" t="n"/>
      <c r="D443" s="10" t="n"/>
      <c r="E443" s="10" t="n"/>
      <c r="F443" s="18" t="n"/>
      <c r="G443" s="10" t="n"/>
      <c r="H443" s="12" t="n"/>
      <c r="I443" s="12" t="n"/>
      <c r="J443" s="13">
        <f>IF(OR(A443="",COUNT(H443)=0,COUNT(Z443)=0),"",ROUND(Z443-H443,2))</f>
        <v/>
      </c>
      <c r="K443" s="15">
        <f>IF(COUNT(J443)=0,"",IF(Z443=0,"n.a.",J443/Z443))</f>
        <v/>
      </c>
      <c r="L443" s="14">
        <f>IF(OR(A443="",COUNT(H443)=0,COUNT(Y443)=0),"",ROUND(H443*(1+Y443),2))</f>
        <v/>
      </c>
      <c r="M443" s="10" t="n"/>
      <c r="N443" s="10" t="n"/>
      <c r="O443" s="10" t="n"/>
      <c r="P443" s="10" t="n"/>
      <c r="Q443" s="20" t="n"/>
      <c r="R443" s="10" t="n"/>
      <c r="S443" s="10" t="n"/>
      <c r="T443" s="18" t="n"/>
      <c r="U443" s="18" t="n"/>
      <c r="V443" s="10" t="n"/>
      <c r="W443" s="10" t="n"/>
      <c r="X443" s="19">
        <f>IF(OR(A443="",COUNT(U443)=0,COUNT(AI443)=0),"",U443+AI443)</f>
        <v/>
      </c>
      <c r="Y443" s="16" t="n"/>
      <c r="Z443" s="12" t="n"/>
      <c r="AA443" s="17">
        <f>IF(COUNT(J443)=0,"",IF(H443=0,"n.a.",J443/H443))</f>
        <v/>
      </c>
      <c r="AB443" s="12" t="n"/>
      <c r="AC443" s="12" t="n"/>
      <c r="AD443" s="12" t="n"/>
      <c r="AE443" s="13">
        <f>IF(OR(COUNT(J443)=0,COUNT(AB443:AD443)&lt;3),"",ROUND(J443-SUM(AB443:AD443),2))</f>
        <v/>
      </c>
      <c r="AF443" s="15">
        <f>IF(COUNT(AE443)=0,"",IF(Z443=0,"n.a.",AE443/Z443))</f>
        <v/>
      </c>
      <c r="AG443" s="12" t="n"/>
      <c r="AH443" s="14">
        <f>IF(OR(A443="",COUNT(Z443)=0,COUNT(AG443)=0),"",ROUND(Z443-AG443,2))</f>
        <v/>
      </c>
      <c r="AI443" s="21" t="n"/>
      <c r="AJ443" s="11">
        <f>IF(A443="","",IF(COUNT(I443)=0,"Enter approved NTE",IF(COUNT(Z443)&gt;0,IF(Z443&gt;I443,"Invoice exceeds NTE","Invoice within NTE"),IF(COUNT(L443)=0,"Enter quote inputs",IF(L443&gt;I443,"Quote exceeds NTE","Quote within NTE")))))</f>
        <v/>
      </c>
      <c r="AK443" s="11">
        <f>IF(A443="","",IF(COUNT(H443)=0,"Enter direct cost",IF(COUNT(Z443)=0,"Enter invoice revenue",IF(COUNT(AB443:AD443)&lt;3,"Enter expenses (0 if none)","Complete"))))</f>
        <v/>
      </c>
      <c r="AL443" s="11">
        <f>IF(A443="","",IF(NOT(AND(COUNT(AH443)=1,N(AH443)&gt;0.004,V443&lt;&gt;"Void",V443&lt;&gt;"Not invoiced",V443&lt;&gt;"Draft")),"",IF(COUNT(X443)=0,"No due date",IF(TODAY()-X443&lt;=0,"Not yet due",IF(TODAY()-X443&lt;=30,"1-30 days",IF(TODAY()-X443&lt;=60,"31-60 days",IF(TODAY()-X443&lt;=90,"61-90 days","Over 90 days")))))))</f>
        <v/>
      </c>
      <c r="AM443" s="49">
        <f>IF(OR(AL443="",AL443="No due date"),"",MAX(TODAY()-X443,0))</f>
        <v/>
      </c>
      <c r="AN443" s="49">
        <f>IF(AL443="","",IF(COUNT(X443)=0,-100000,TODAY()-X443))</f>
        <v/>
      </c>
      <c r="AO443" s="49">
        <f>IF(AN443="","",COUNTIF(AN$11:AN$1010,"&gt;"&amp;AN443)+COUNTIF(AN$11:AN443,AN443))</f>
        <v/>
      </c>
      <c r="AP443" s="49">
        <f>IF(OR(A443="",B443=""),"",IF(COUNTIF(B$11:B443,B443)=1,MAX(AP$10:AP442)+1,""))</f>
        <v/>
      </c>
    </row>
    <row r="444" ht="24" customHeight="1">
      <c r="A444" s="20" t="n"/>
      <c r="B444" s="10" t="n"/>
      <c r="C444" s="10" t="n"/>
      <c r="D444" s="10" t="n"/>
      <c r="E444" s="10" t="n"/>
      <c r="F444" s="18" t="n"/>
      <c r="G444" s="10" t="n"/>
      <c r="H444" s="12" t="n"/>
      <c r="I444" s="12" t="n"/>
      <c r="J444" s="13">
        <f>IF(OR(A444="",COUNT(H444)=0,COUNT(Z444)=0),"",ROUND(Z444-H444,2))</f>
        <v/>
      </c>
      <c r="K444" s="15">
        <f>IF(COUNT(J444)=0,"",IF(Z444=0,"n.a.",J444/Z444))</f>
        <v/>
      </c>
      <c r="L444" s="14">
        <f>IF(OR(A444="",COUNT(H444)=0,COUNT(Y444)=0),"",ROUND(H444*(1+Y444),2))</f>
        <v/>
      </c>
      <c r="M444" s="10" t="n"/>
      <c r="N444" s="10" t="n"/>
      <c r="O444" s="10" t="n"/>
      <c r="P444" s="10" t="n"/>
      <c r="Q444" s="20" t="n"/>
      <c r="R444" s="10" t="n"/>
      <c r="S444" s="10" t="n"/>
      <c r="T444" s="18" t="n"/>
      <c r="U444" s="18" t="n"/>
      <c r="V444" s="10" t="n"/>
      <c r="W444" s="10" t="n"/>
      <c r="X444" s="19">
        <f>IF(OR(A444="",COUNT(U444)=0,COUNT(AI444)=0),"",U444+AI444)</f>
        <v/>
      </c>
      <c r="Y444" s="16" t="n"/>
      <c r="Z444" s="12" t="n"/>
      <c r="AA444" s="17">
        <f>IF(COUNT(J444)=0,"",IF(H444=0,"n.a.",J444/H444))</f>
        <v/>
      </c>
      <c r="AB444" s="12" t="n"/>
      <c r="AC444" s="12" t="n"/>
      <c r="AD444" s="12" t="n"/>
      <c r="AE444" s="13">
        <f>IF(OR(COUNT(J444)=0,COUNT(AB444:AD444)&lt;3),"",ROUND(J444-SUM(AB444:AD444),2))</f>
        <v/>
      </c>
      <c r="AF444" s="15">
        <f>IF(COUNT(AE444)=0,"",IF(Z444=0,"n.a.",AE444/Z444))</f>
        <v/>
      </c>
      <c r="AG444" s="12" t="n"/>
      <c r="AH444" s="14">
        <f>IF(OR(A444="",COUNT(Z444)=0,COUNT(AG444)=0),"",ROUND(Z444-AG444,2))</f>
        <v/>
      </c>
      <c r="AI444" s="21" t="n"/>
      <c r="AJ444" s="11">
        <f>IF(A444="","",IF(COUNT(I444)=0,"Enter approved NTE",IF(COUNT(Z444)&gt;0,IF(Z444&gt;I444,"Invoice exceeds NTE","Invoice within NTE"),IF(COUNT(L444)=0,"Enter quote inputs",IF(L444&gt;I444,"Quote exceeds NTE","Quote within NTE")))))</f>
        <v/>
      </c>
      <c r="AK444" s="11">
        <f>IF(A444="","",IF(COUNT(H444)=0,"Enter direct cost",IF(COUNT(Z444)=0,"Enter invoice revenue",IF(COUNT(AB444:AD444)&lt;3,"Enter expenses (0 if none)","Complete"))))</f>
        <v/>
      </c>
      <c r="AL444" s="11">
        <f>IF(A444="","",IF(NOT(AND(COUNT(AH444)=1,N(AH444)&gt;0.004,V444&lt;&gt;"Void",V444&lt;&gt;"Not invoiced",V444&lt;&gt;"Draft")),"",IF(COUNT(X444)=0,"No due date",IF(TODAY()-X444&lt;=0,"Not yet due",IF(TODAY()-X444&lt;=30,"1-30 days",IF(TODAY()-X444&lt;=60,"31-60 days",IF(TODAY()-X444&lt;=90,"61-90 days","Over 90 days")))))))</f>
        <v/>
      </c>
      <c r="AM444" s="49">
        <f>IF(OR(AL444="",AL444="No due date"),"",MAX(TODAY()-X444,0))</f>
        <v/>
      </c>
      <c r="AN444" s="49">
        <f>IF(AL444="","",IF(COUNT(X444)=0,-100000,TODAY()-X444))</f>
        <v/>
      </c>
      <c r="AO444" s="49">
        <f>IF(AN444="","",COUNTIF(AN$11:AN$1010,"&gt;"&amp;AN444)+COUNTIF(AN$11:AN444,AN444))</f>
        <v/>
      </c>
      <c r="AP444" s="49">
        <f>IF(OR(A444="",B444=""),"",IF(COUNTIF(B$11:B444,B444)=1,MAX(AP$10:AP443)+1,""))</f>
        <v/>
      </c>
    </row>
    <row r="445" ht="24" customHeight="1">
      <c r="A445" s="20" t="n"/>
      <c r="B445" s="10" t="n"/>
      <c r="C445" s="10" t="n"/>
      <c r="D445" s="10" t="n"/>
      <c r="E445" s="10" t="n"/>
      <c r="F445" s="18" t="n"/>
      <c r="G445" s="10" t="n"/>
      <c r="H445" s="12" t="n"/>
      <c r="I445" s="12" t="n"/>
      <c r="J445" s="13">
        <f>IF(OR(A445="",COUNT(H445)=0,COUNT(Z445)=0),"",ROUND(Z445-H445,2))</f>
        <v/>
      </c>
      <c r="K445" s="15">
        <f>IF(COUNT(J445)=0,"",IF(Z445=0,"n.a.",J445/Z445))</f>
        <v/>
      </c>
      <c r="L445" s="14">
        <f>IF(OR(A445="",COUNT(H445)=0,COUNT(Y445)=0),"",ROUND(H445*(1+Y445),2))</f>
        <v/>
      </c>
      <c r="M445" s="10" t="n"/>
      <c r="N445" s="10" t="n"/>
      <c r="O445" s="10" t="n"/>
      <c r="P445" s="10" t="n"/>
      <c r="Q445" s="20" t="n"/>
      <c r="R445" s="10" t="n"/>
      <c r="S445" s="10" t="n"/>
      <c r="T445" s="18" t="n"/>
      <c r="U445" s="18" t="n"/>
      <c r="V445" s="10" t="n"/>
      <c r="W445" s="10" t="n"/>
      <c r="X445" s="19">
        <f>IF(OR(A445="",COUNT(U445)=0,COUNT(AI445)=0),"",U445+AI445)</f>
        <v/>
      </c>
      <c r="Y445" s="16" t="n"/>
      <c r="Z445" s="12" t="n"/>
      <c r="AA445" s="17">
        <f>IF(COUNT(J445)=0,"",IF(H445=0,"n.a.",J445/H445))</f>
        <v/>
      </c>
      <c r="AB445" s="12" t="n"/>
      <c r="AC445" s="12" t="n"/>
      <c r="AD445" s="12" t="n"/>
      <c r="AE445" s="13">
        <f>IF(OR(COUNT(J445)=0,COUNT(AB445:AD445)&lt;3),"",ROUND(J445-SUM(AB445:AD445),2))</f>
        <v/>
      </c>
      <c r="AF445" s="15">
        <f>IF(COUNT(AE445)=0,"",IF(Z445=0,"n.a.",AE445/Z445))</f>
        <v/>
      </c>
      <c r="AG445" s="12" t="n"/>
      <c r="AH445" s="14">
        <f>IF(OR(A445="",COUNT(Z445)=0,COUNT(AG445)=0),"",ROUND(Z445-AG445,2))</f>
        <v/>
      </c>
      <c r="AI445" s="21" t="n"/>
      <c r="AJ445" s="11">
        <f>IF(A445="","",IF(COUNT(I445)=0,"Enter approved NTE",IF(COUNT(Z445)&gt;0,IF(Z445&gt;I445,"Invoice exceeds NTE","Invoice within NTE"),IF(COUNT(L445)=0,"Enter quote inputs",IF(L445&gt;I445,"Quote exceeds NTE","Quote within NTE")))))</f>
        <v/>
      </c>
      <c r="AK445" s="11">
        <f>IF(A445="","",IF(COUNT(H445)=0,"Enter direct cost",IF(COUNT(Z445)=0,"Enter invoice revenue",IF(COUNT(AB445:AD445)&lt;3,"Enter expenses (0 if none)","Complete"))))</f>
        <v/>
      </c>
      <c r="AL445" s="11">
        <f>IF(A445="","",IF(NOT(AND(COUNT(AH445)=1,N(AH445)&gt;0.004,V445&lt;&gt;"Void",V445&lt;&gt;"Not invoiced",V445&lt;&gt;"Draft")),"",IF(COUNT(X445)=0,"No due date",IF(TODAY()-X445&lt;=0,"Not yet due",IF(TODAY()-X445&lt;=30,"1-30 days",IF(TODAY()-X445&lt;=60,"31-60 days",IF(TODAY()-X445&lt;=90,"61-90 days","Over 90 days")))))))</f>
        <v/>
      </c>
      <c r="AM445" s="49">
        <f>IF(OR(AL445="",AL445="No due date"),"",MAX(TODAY()-X445,0))</f>
        <v/>
      </c>
      <c r="AN445" s="49">
        <f>IF(AL445="","",IF(COUNT(X445)=0,-100000,TODAY()-X445))</f>
        <v/>
      </c>
      <c r="AO445" s="49">
        <f>IF(AN445="","",COUNTIF(AN$11:AN$1010,"&gt;"&amp;AN445)+COUNTIF(AN$11:AN445,AN445))</f>
        <v/>
      </c>
      <c r="AP445" s="49">
        <f>IF(OR(A445="",B445=""),"",IF(COUNTIF(B$11:B445,B445)=1,MAX(AP$10:AP444)+1,""))</f>
        <v/>
      </c>
    </row>
    <row r="446" ht="24" customHeight="1">
      <c r="A446" s="20" t="n"/>
      <c r="B446" s="10" t="n"/>
      <c r="C446" s="10" t="n"/>
      <c r="D446" s="10" t="n"/>
      <c r="E446" s="10" t="n"/>
      <c r="F446" s="18" t="n"/>
      <c r="G446" s="10" t="n"/>
      <c r="H446" s="12" t="n"/>
      <c r="I446" s="12" t="n"/>
      <c r="J446" s="13">
        <f>IF(OR(A446="",COUNT(H446)=0,COUNT(Z446)=0),"",ROUND(Z446-H446,2))</f>
        <v/>
      </c>
      <c r="K446" s="15">
        <f>IF(COUNT(J446)=0,"",IF(Z446=0,"n.a.",J446/Z446))</f>
        <v/>
      </c>
      <c r="L446" s="14">
        <f>IF(OR(A446="",COUNT(H446)=0,COUNT(Y446)=0),"",ROUND(H446*(1+Y446),2))</f>
        <v/>
      </c>
      <c r="M446" s="10" t="n"/>
      <c r="N446" s="10" t="n"/>
      <c r="O446" s="10" t="n"/>
      <c r="P446" s="10" t="n"/>
      <c r="Q446" s="20" t="n"/>
      <c r="R446" s="10" t="n"/>
      <c r="S446" s="10" t="n"/>
      <c r="T446" s="18" t="n"/>
      <c r="U446" s="18" t="n"/>
      <c r="V446" s="10" t="n"/>
      <c r="W446" s="10" t="n"/>
      <c r="X446" s="19">
        <f>IF(OR(A446="",COUNT(U446)=0,COUNT(AI446)=0),"",U446+AI446)</f>
        <v/>
      </c>
      <c r="Y446" s="16" t="n"/>
      <c r="Z446" s="12" t="n"/>
      <c r="AA446" s="17">
        <f>IF(COUNT(J446)=0,"",IF(H446=0,"n.a.",J446/H446))</f>
        <v/>
      </c>
      <c r="AB446" s="12" t="n"/>
      <c r="AC446" s="12" t="n"/>
      <c r="AD446" s="12" t="n"/>
      <c r="AE446" s="13">
        <f>IF(OR(COUNT(J446)=0,COUNT(AB446:AD446)&lt;3),"",ROUND(J446-SUM(AB446:AD446),2))</f>
        <v/>
      </c>
      <c r="AF446" s="15">
        <f>IF(COUNT(AE446)=0,"",IF(Z446=0,"n.a.",AE446/Z446))</f>
        <v/>
      </c>
      <c r="AG446" s="12" t="n"/>
      <c r="AH446" s="14">
        <f>IF(OR(A446="",COUNT(Z446)=0,COUNT(AG446)=0),"",ROUND(Z446-AG446,2))</f>
        <v/>
      </c>
      <c r="AI446" s="21" t="n"/>
      <c r="AJ446" s="11">
        <f>IF(A446="","",IF(COUNT(I446)=0,"Enter approved NTE",IF(COUNT(Z446)&gt;0,IF(Z446&gt;I446,"Invoice exceeds NTE","Invoice within NTE"),IF(COUNT(L446)=0,"Enter quote inputs",IF(L446&gt;I446,"Quote exceeds NTE","Quote within NTE")))))</f>
        <v/>
      </c>
      <c r="AK446" s="11">
        <f>IF(A446="","",IF(COUNT(H446)=0,"Enter direct cost",IF(COUNT(Z446)=0,"Enter invoice revenue",IF(COUNT(AB446:AD446)&lt;3,"Enter expenses (0 if none)","Complete"))))</f>
        <v/>
      </c>
      <c r="AL446" s="11">
        <f>IF(A446="","",IF(NOT(AND(COUNT(AH446)=1,N(AH446)&gt;0.004,V446&lt;&gt;"Void",V446&lt;&gt;"Not invoiced",V446&lt;&gt;"Draft")),"",IF(COUNT(X446)=0,"No due date",IF(TODAY()-X446&lt;=0,"Not yet due",IF(TODAY()-X446&lt;=30,"1-30 days",IF(TODAY()-X446&lt;=60,"31-60 days",IF(TODAY()-X446&lt;=90,"61-90 days","Over 90 days")))))))</f>
        <v/>
      </c>
      <c r="AM446" s="49">
        <f>IF(OR(AL446="",AL446="No due date"),"",MAX(TODAY()-X446,0))</f>
        <v/>
      </c>
      <c r="AN446" s="49">
        <f>IF(AL446="","",IF(COUNT(X446)=0,-100000,TODAY()-X446))</f>
        <v/>
      </c>
      <c r="AO446" s="49">
        <f>IF(AN446="","",COUNTIF(AN$11:AN$1010,"&gt;"&amp;AN446)+COUNTIF(AN$11:AN446,AN446))</f>
        <v/>
      </c>
      <c r="AP446" s="49">
        <f>IF(OR(A446="",B446=""),"",IF(COUNTIF(B$11:B446,B446)=1,MAX(AP$10:AP445)+1,""))</f>
        <v/>
      </c>
    </row>
    <row r="447" ht="24" customHeight="1">
      <c r="A447" s="20" t="n"/>
      <c r="B447" s="10" t="n"/>
      <c r="C447" s="10" t="n"/>
      <c r="D447" s="10" t="n"/>
      <c r="E447" s="10" t="n"/>
      <c r="F447" s="18" t="n"/>
      <c r="G447" s="10" t="n"/>
      <c r="H447" s="12" t="n"/>
      <c r="I447" s="12" t="n"/>
      <c r="J447" s="13">
        <f>IF(OR(A447="",COUNT(H447)=0,COUNT(Z447)=0),"",ROUND(Z447-H447,2))</f>
        <v/>
      </c>
      <c r="K447" s="15">
        <f>IF(COUNT(J447)=0,"",IF(Z447=0,"n.a.",J447/Z447))</f>
        <v/>
      </c>
      <c r="L447" s="14">
        <f>IF(OR(A447="",COUNT(H447)=0,COUNT(Y447)=0),"",ROUND(H447*(1+Y447),2))</f>
        <v/>
      </c>
      <c r="M447" s="10" t="n"/>
      <c r="N447" s="10" t="n"/>
      <c r="O447" s="10" t="n"/>
      <c r="P447" s="10" t="n"/>
      <c r="Q447" s="20" t="n"/>
      <c r="R447" s="10" t="n"/>
      <c r="S447" s="10" t="n"/>
      <c r="T447" s="18" t="n"/>
      <c r="U447" s="18" t="n"/>
      <c r="V447" s="10" t="n"/>
      <c r="W447" s="10" t="n"/>
      <c r="X447" s="19">
        <f>IF(OR(A447="",COUNT(U447)=0,COUNT(AI447)=0),"",U447+AI447)</f>
        <v/>
      </c>
      <c r="Y447" s="16" t="n"/>
      <c r="Z447" s="12" t="n"/>
      <c r="AA447" s="17">
        <f>IF(COUNT(J447)=0,"",IF(H447=0,"n.a.",J447/H447))</f>
        <v/>
      </c>
      <c r="AB447" s="12" t="n"/>
      <c r="AC447" s="12" t="n"/>
      <c r="AD447" s="12" t="n"/>
      <c r="AE447" s="13">
        <f>IF(OR(COUNT(J447)=0,COUNT(AB447:AD447)&lt;3),"",ROUND(J447-SUM(AB447:AD447),2))</f>
        <v/>
      </c>
      <c r="AF447" s="15">
        <f>IF(COUNT(AE447)=0,"",IF(Z447=0,"n.a.",AE447/Z447))</f>
        <v/>
      </c>
      <c r="AG447" s="12" t="n"/>
      <c r="AH447" s="14">
        <f>IF(OR(A447="",COUNT(Z447)=0,COUNT(AG447)=0),"",ROUND(Z447-AG447,2))</f>
        <v/>
      </c>
      <c r="AI447" s="21" t="n"/>
      <c r="AJ447" s="11">
        <f>IF(A447="","",IF(COUNT(I447)=0,"Enter approved NTE",IF(COUNT(Z447)&gt;0,IF(Z447&gt;I447,"Invoice exceeds NTE","Invoice within NTE"),IF(COUNT(L447)=0,"Enter quote inputs",IF(L447&gt;I447,"Quote exceeds NTE","Quote within NTE")))))</f>
        <v/>
      </c>
      <c r="AK447" s="11">
        <f>IF(A447="","",IF(COUNT(H447)=0,"Enter direct cost",IF(COUNT(Z447)=0,"Enter invoice revenue",IF(COUNT(AB447:AD447)&lt;3,"Enter expenses (0 if none)","Complete"))))</f>
        <v/>
      </c>
      <c r="AL447" s="11">
        <f>IF(A447="","",IF(NOT(AND(COUNT(AH447)=1,N(AH447)&gt;0.004,V447&lt;&gt;"Void",V447&lt;&gt;"Not invoiced",V447&lt;&gt;"Draft")),"",IF(COUNT(X447)=0,"No due date",IF(TODAY()-X447&lt;=0,"Not yet due",IF(TODAY()-X447&lt;=30,"1-30 days",IF(TODAY()-X447&lt;=60,"31-60 days",IF(TODAY()-X447&lt;=90,"61-90 days","Over 90 days")))))))</f>
        <v/>
      </c>
      <c r="AM447" s="49">
        <f>IF(OR(AL447="",AL447="No due date"),"",MAX(TODAY()-X447,0))</f>
        <v/>
      </c>
      <c r="AN447" s="49">
        <f>IF(AL447="","",IF(COUNT(X447)=0,-100000,TODAY()-X447))</f>
        <v/>
      </c>
      <c r="AO447" s="49">
        <f>IF(AN447="","",COUNTIF(AN$11:AN$1010,"&gt;"&amp;AN447)+COUNTIF(AN$11:AN447,AN447))</f>
        <v/>
      </c>
      <c r="AP447" s="49">
        <f>IF(OR(A447="",B447=""),"",IF(COUNTIF(B$11:B447,B447)=1,MAX(AP$10:AP446)+1,""))</f>
        <v/>
      </c>
    </row>
    <row r="448" ht="24" customHeight="1">
      <c r="A448" s="20" t="n"/>
      <c r="B448" s="10" t="n"/>
      <c r="C448" s="10" t="n"/>
      <c r="D448" s="10" t="n"/>
      <c r="E448" s="10" t="n"/>
      <c r="F448" s="18" t="n"/>
      <c r="G448" s="10" t="n"/>
      <c r="H448" s="12" t="n"/>
      <c r="I448" s="12" t="n"/>
      <c r="J448" s="13">
        <f>IF(OR(A448="",COUNT(H448)=0,COUNT(Z448)=0),"",ROUND(Z448-H448,2))</f>
        <v/>
      </c>
      <c r="K448" s="15">
        <f>IF(COUNT(J448)=0,"",IF(Z448=0,"n.a.",J448/Z448))</f>
        <v/>
      </c>
      <c r="L448" s="14">
        <f>IF(OR(A448="",COUNT(H448)=0,COUNT(Y448)=0),"",ROUND(H448*(1+Y448),2))</f>
        <v/>
      </c>
      <c r="M448" s="10" t="n"/>
      <c r="N448" s="10" t="n"/>
      <c r="O448" s="10" t="n"/>
      <c r="P448" s="10" t="n"/>
      <c r="Q448" s="20" t="n"/>
      <c r="R448" s="10" t="n"/>
      <c r="S448" s="10" t="n"/>
      <c r="T448" s="18" t="n"/>
      <c r="U448" s="18" t="n"/>
      <c r="V448" s="10" t="n"/>
      <c r="W448" s="10" t="n"/>
      <c r="X448" s="19">
        <f>IF(OR(A448="",COUNT(U448)=0,COUNT(AI448)=0),"",U448+AI448)</f>
        <v/>
      </c>
      <c r="Y448" s="16" t="n"/>
      <c r="Z448" s="12" t="n"/>
      <c r="AA448" s="17">
        <f>IF(COUNT(J448)=0,"",IF(H448=0,"n.a.",J448/H448))</f>
        <v/>
      </c>
      <c r="AB448" s="12" t="n"/>
      <c r="AC448" s="12" t="n"/>
      <c r="AD448" s="12" t="n"/>
      <c r="AE448" s="13">
        <f>IF(OR(COUNT(J448)=0,COUNT(AB448:AD448)&lt;3),"",ROUND(J448-SUM(AB448:AD448),2))</f>
        <v/>
      </c>
      <c r="AF448" s="15">
        <f>IF(COUNT(AE448)=0,"",IF(Z448=0,"n.a.",AE448/Z448))</f>
        <v/>
      </c>
      <c r="AG448" s="12" t="n"/>
      <c r="AH448" s="14">
        <f>IF(OR(A448="",COUNT(Z448)=0,COUNT(AG448)=0),"",ROUND(Z448-AG448,2))</f>
        <v/>
      </c>
      <c r="AI448" s="21" t="n"/>
      <c r="AJ448" s="11">
        <f>IF(A448="","",IF(COUNT(I448)=0,"Enter approved NTE",IF(COUNT(Z448)&gt;0,IF(Z448&gt;I448,"Invoice exceeds NTE","Invoice within NTE"),IF(COUNT(L448)=0,"Enter quote inputs",IF(L448&gt;I448,"Quote exceeds NTE","Quote within NTE")))))</f>
        <v/>
      </c>
      <c r="AK448" s="11">
        <f>IF(A448="","",IF(COUNT(H448)=0,"Enter direct cost",IF(COUNT(Z448)=0,"Enter invoice revenue",IF(COUNT(AB448:AD448)&lt;3,"Enter expenses (0 if none)","Complete"))))</f>
        <v/>
      </c>
      <c r="AL448" s="11">
        <f>IF(A448="","",IF(NOT(AND(COUNT(AH448)=1,N(AH448)&gt;0.004,V448&lt;&gt;"Void",V448&lt;&gt;"Not invoiced",V448&lt;&gt;"Draft")),"",IF(COUNT(X448)=0,"No due date",IF(TODAY()-X448&lt;=0,"Not yet due",IF(TODAY()-X448&lt;=30,"1-30 days",IF(TODAY()-X448&lt;=60,"31-60 days",IF(TODAY()-X448&lt;=90,"61-90 days","Over 90 days")))))))</f>
        <v/>
      </c>
      <c r="AM448" s="49">
        <f>IF(OR(AL448="",AL448="No due date"),"",MAX(TODAY()-X448,0))</f>
        <v/>
      </c>
      <c r="AN448" s="49">
        <f>IF(AL448="","",IF(COUNT(X448)=0,-100000,TODAY()-X448))</f>
        <v/>
      </c>
      <c r="AO448" s="49">
        <f>IF(AN448="","",COUNTIF(AN$11:AN$1010,"&gt;"&amp;AN448)+COUNTIF(AN$11:AN448,AN448))</f>
        <v/>
      </c>
      <c r="AP448" s="49">
        <f>IF(OR(A448="",B448=""),"",IF(COUNTIF(B$11:B448,B448)=1,MAX(AP$10:AP447)+1,""))</f>
        <v/>
      </c>
    </row>
    <row r="449" ht="24" customHeight="1">
      <c r="A449" s="20" t="n"/>
      <c r="B449" s="10" t="n"/>
      <c r="C449" s="10" t="n"/>
      <c r="D449" s="10" t="n"/>
      <c r="E449" s="10" t="n"/>
      <c r="F449" s="18" t="n"/>
      <c r="G449" s="10" t="n"/>
      <c r="H449" s="12" t="n"/>
      <c r="I449" s="12" t="n"/>
      <c r="J449" s="13">
        <f>IF(OR(A449="",COUNT(H449)=0,COUNT(Z449)=0),"",ROUND(Z449-H449,2))</f>
        <v/>
      </c>
      <c r="K449" s="15">
        <f>IF(COUNT(J449)=0,"",IF(Z449=0,"n.a.",J449/Z449))</f>
        <v/>
      </c>
      <c r="L449" s="14">
        <f>IF(OR(A449="",COUNT(H449)=0,COUNT(Y449)=0),"",ROUND(H449*(1+Y449),2))</f>
        <v/>
      </c>
      <c r="M449" s="10" t="n"/>
      <c r="N449" s="10" t="n"/>
      <c r="O449" s="10" t="n"/>
      <c r="P449" s="10" t="n"/>
      <c r="Q449" s="20" t="n"/>
      <c r="R449" s="10" t="n"/>
      <c r="S449" s="10" t="n"/>
      <c r="T449" s="18" t="n"/>
      <c r="U449" s="18" t="n"/>
      <c r="V449" s="10" t="n"/>
      <c r="W449" s="10" t="n"/>
      <c r="X449" s="19">
        <f>IF(OR(A449="",COUNT(U449)=0,COUNT(AI449)=0),"",U449+AI449)</f>
        <v/>
      </c>
      <c r="Y449" s="16" t="n"/>
      <c r="Z449" s="12" t="n"/>
      <c r="AA449" s="17">
        <f>IF(COUNT(J449)=0,"",IF(H449=0,"n.a.",J449/H449))</f>
        <v/>
      </c>
      <c r="AB449" s="12" t="n"/>
      <c r="AC449" s="12" t="n"/>
      <c r="AD449" s="12" t="n"/>
      <c r="AE449" s="13">
        <f>IF(OR(COUNT(J449)=0,COUNT(AB449:AD449)&lt;3),"",ROUND(J449-SUM(AB449:AD449),2))</f>
        <v/>
      </c>
      <c r="AF449" s="15">
        <f>IF(COUNT(AE449)=0,"",IF(Z449=0,"n.a.",AE449/Z449))</f>
        <v/>
      </c>
      <c r="AG449" s="12" t="n"/>
      <c r="AH449" s="14">
        <f>IF(OR(A449="",COUNT(Z449)=0,COUNT(AG449)=0),"",ROUND(Z449-AG449,2))</f>
        <v/>
      </c>
      <c r="AI449" s="21" t="n"/>
      <c r="AJ449" s="11">
        <f>IF(A449="","",IF(COUNT(I449)=0,"Enter approved NTE",IF(COUNT(Z449)&gt;0,IF(Z449&gt;I449,"Invoice exceeds NTE","Invoice within NTE"),IF(COUNT(L449)=0,"Enter quote inputs",IF(L449&gt;I449,"Quote exceeds NTE","Quote within NTE")))))</f>
        <v/>
      </c>
      <c r="AK449" s="11">
        <f>IF(A449="","",IF(COUNT(H449)=0,"Enter direct cost",IF(COUNT(Z449)=0,"Enter invoice revenue",IF(COUNT(AB449:AD449)&lt;3,"Enter expenses (0 if none)","Complete"))))</f>
        <v/>
      </c>
      <c r="AL449" s="11">
        <f>IF(A449="","",IF(NOT(AND(COUNT(AH449)=1,N(AH449)&gt;0.004,V449&lt;&gt;"Void",V449&lt;&gt;"Not invoiced",V449&lt;&gt;"Draft")),"",IF(COUNT(X449)=0,"No due date",IF(TODAY()-X449&lt;=0,"Not yet due",IF(TODAY()-X449&lt;=30,"1-30 days",IF(TODAY()-X449&lt;=60,"31-60 days",IF(TODAY()-X449&lt;=90,"61-90 days","Over 90 days")))))))</f>
        <v/>
      </c>
      <c r="AM449" s="49">
        <f>IF(OR(AL449="",AL449="No due date"),"",MAX(TODAY()-X449,0))</f>
        <v/>
      </c>
      <c r="AN449" s="49">
        <f>IF(AL449="","",IF(COUNT(X449)=0,-100000,TODAY()-X449))</f>
        <v/>
      </c>
      <c r="AO449" s="49">
        <f>IF(AN449="","",COUNTIF(AN$11:AN$1010,"&gt;"&amp;AN449)+COUNTIF(AN$11:AN449,AN449))</f>
        <v/>
      </c>
      <c r="AP449" s="49">
        <f>IF(OR(A449="",B449=""),"",IF(COUNTIF(B$11:B449,B449)=1,MAX(AP$10:AP448)+1,""))</f>
        <v/>
      </c>
    </row>
    <row r="450" ht="24" customHeight="1">
      <c r="A450" s="20" t="n"/>
      <c r="B450" s="10" t="n"/>
      <c r="C450" s="10" t="n"/>
      <c r="D450" s="10" t="n"/>
      <c r="E450" s="10" t="n"/>
      <c r="F450" s="18" t="n"/>
      <c r="G450" s="10" t="n"/>
      <c r="H450" s="12" t="n"/>
      <c r="I450" s="12" t="n"/>
      <c r="J450" s="13">
        <f>IF(OR(A450="",COUNT(H450)=0,COUNT(Z450)=0),"",ROUND(Z450-H450,2))</f>
        <v/>
      </c>
      <c r="K450" s="15">
        <f>IF(COUNT(J450)=0,"",IF(Z450=0,"n.a.",J450/Z450))</f>
        <v/>
      </c>
      <c r="L450" s="14">
        <f>IF(OR(A450="",COUNT(H450)=0,COUNT(Y450)=0),"",ROUND(H450*(1+Y450),2))</f>
        <v/>
      </c>
      <c r="M450" s="10" t="n"/>
      <c r="N450" s="10" t="n"/>
      <c r="O450" s="10" t="n"/>
      <c r="P450" s="10" t="n"/>
      <c r="Q450" s="20" t="n"/>
      <c r="R450" s="10" t="n"/>
      <c r="S450" s="10" t="n"/>
      <c r="T450" s="18" t="n"/>
      <c r="U450" s="18" t="n"/>
      <c r="V450" s="10" t="n"/>
      <c r="W450" s="10" t="n"/>
      <c r="X450" s="19">
        <f>IF(OR(A450="",COUNT(U450)=0,COUNT(AI450)=0),"",U450+AI450)</f>
        <v/>
      </c>
      <c r="Y450" s="16" t="n"/>
      <c r="Z450" s="12" t="n"/>
      <c r="AA450" s="17">
        <f>IF(COUNT(J450)=0,"",IF(H450=0,"n.a.",J450/H450))</f>
        <v/>
      </c>
      <c r="AB450" s="12" t="n"/>
      <c r="AC450" s="12" t="n"/>
      <c r="AD450" s="12" t="n"/>
      <c r="AE450" s="13">
        <f>IF(OR(COUNT(J450)=0,COUNT(AB450:AD450)&lt;3),"",ROUND(J450-SUM(AB450:AD450),2))</f>
        <v/>
      </c>
      <c r="AF450" s="15">
        <f>IF(COUNT(AE450)=0,"",IF(Z450=0,"n.a.",AE450/Z450))</f>
        <v/>
      </c>
      <c r="AG450" s="12" t="n"/>
      <c r="AH450" s="14">
        <f>IF(OR(A450="",COUNT(Z450)=0,COUNT(AG450)=0),"",ROUND(Z450-AG450,2))</f>
        <v/>
      </c>
      <c r="AI450" s="21" t="n"/>
      <c r="AJ450" s="11">
        <f>IF(A450="","",IF(COUNT(I450)=0,"Enter approved NTE",IF(COUNT(Z450)&gt;0,IF(Z450&gt;I450,"Invoice exceeds NTE","Invoice within NTE"),IF(COUNT(L450)=0,"Enter quote inputs",IF(L450&gt;I450,"Quote exceeds NTE","Quote within NTE")))))</f>
        <v/>
      </c>
      <c r="AK450" s="11">
        <f>IF(A450="","",IF(COUNT(H450)=0,"Enter direct cost",IF(COUNT(Z450)=0,"Enter invoice revenue",IF(COUNT(AB450:AD450)&lt;3,"Enter expenses (0 if none)","Complete"))))</f>
        <v/>
      </c>
      <c r="AL450" s="11">
        <f>IF(A450="","",IF(NOT(AND(COUNT(AH450)=1,N(AH450)&gt;0.004,V450&lt;&gt;"Void",V450&lt;&gt;"Not invoiced",V450&lt;&gt;"Draft")),"",IF(COUNT(X450)=0,"No due date",IF(TODAY()-X450&lt;=0,"Not yet due",IF(TODAY()-X450&lt;=30,"1-30 days",IF(TODAY()-X450&lt;=60,"31-60 days",IF(TODAY()-X450&lt;=90,"61-90 days","Over 90 days")))))))</f>
        <v/>
      </c>
      <c r="AM450" s="49">
        <f>IF(OR(AL450="",AL450="No due date"),"",MAX(TODAY()-X450,0))</f>
        <v/>
      </c>
      <c r="AN450" s="49">
        <f>IF(AL450="","",IF(COUNT(X450)=0,-100000,TODAY()-X450))</f>
        <v/>
      </c>
      <c r="AO450" s="49">
        <f>IF(AN450="","",COUNTIF(AN$11:AN$1010,"&gt;"&amp;AN450)+COUNTIF(AN$11:AN450,AN450))</f>
        <v/>
      </c>
      <c r="AP450" s="49">
        <f>IF(OR(A450="",B450=""),"",IF(COUNTIF(B$11:B450,B450)=1,MAX(AP$10:AP449)+1,""))</f>
        <v/>
      </c>
    </row>
    <row r="451" ht="24" customHeight="1">
      <c r="A451" s="20" t="n"/>
      <c r="B451" s="10" t="n"/>
      <c r="C451" s="10" t="n"/>
      <c r="D451" s="10" t="n"/>
      <c r="E451" s="10" t="n"/>
      <c r="F451" s="18" t="n"/>
      <c r="G451" s="10" t="n"/>
      <c r="H451" s="12" t="n"/>
      <c r="I451" s="12" t="n"/>
      <c r="J451" s="13">
        <f>IF(OR(A451="",COUNT(H451)=0,COUNT(Z451)=0),"",ROUND(Z451-H451,2))</f>
        <v/>
      </c>
      <c r="K451" s="15">
        <f>IF(COUNT(J451)=0,"",IF(Z451=0,"n.a.",J451/Z451))</f>
        <v/>
      </c>
      <c r="L451" s="14">
        <f>IF(OR(A451="",COUNT(H451)=0,COUNT(Y451)=0),"",ROUND(H451*(1+Y451),2))</f>
        <v/>
      </c>
      <c r="M451" s="10" t="n"/>
      <c r="N451" s="10" t="n"/>
      <c r="O451" s="10" t="n"/>
      <c r="P451" s="10" t="n"/>
      <c r="Q451" s="20" t="n"/>
      <c r="R451" s="10" t="n"/>
      <c r="S451" s="10" t="n"/>
      <c r="T451" s="18" t="n"/>
      <c r="U451" s="18" t="n"/>
      <c r="V451" s="10" t="n"/>
      <c r="W451" s="10" t="n"/>
      <c r="X451" s="19">
        <f>IF(OR(A451="",COUNT(U451)=0,COUNT(AI451)=0),"",U451+AI451)</f>
        <v/>
      </c>
      <c r="Y451" s="16" t="n"/>
      <c r="Z451" s="12" t="n"/>
      <c r="AA451" s="17">
        <f>IF(COUNT(J451)=0,"",IF(H451=0,"n.a.",J451/H451))</f>
        <v/>
      </c>
      <c r="AB451" s="12" t="n"/>
      <c r="AC451" s="12" t="n"/>
      <c r="AD451" s="12" t="n"/>
      <c r="AE451" s="13">
        <f>IF(OR(COUNT(J451)=0,COUNT(AB451:AD451)&lt;3),"",ROUND(J451-SUM(AB451:AD451),2))</f>
        <v/>
      </c>
      <c r="AF451" s="15">
        <f>IF(COUNT(AE451)=0,"",IF(Z451=0,"n.a.",AE451/Z451))</f>
        <v/>
      </c>
      <c r="AG451" s="12" t="n"/>
      <c r="AH451" s="14">
        <f>IF(OR(A451="",COUNT(Z451)=0,COUNT(AG451)=0),"",ROUND(Z451-AG451,2))</f>
        <v/>
      </c>
      <c r="AI451" s="21" t="n"/>
      <c r="AJ451" s="11">
        <f>IF(A451="","",IF(COUNT(I451)=0,"Enter approved NTE",IF(COUNT(Z451)&gt;0,IF(Z451&gt;I451,"Invoice exceeds NTE","Invoice within NTE"),IF(COUNT(L451)=0,"Enter quote inputs",IF(L451&gt;I451,"Quote exceeds NTE","Quote within NTE")))))</f>
        <v/>
      </c>
      <c r="AK451" s="11">
        <f>IF(A451="","",IF(COUNT(H451)=0,"Enter direct cost",IF(COUNT(Z451)=0,"Enter invoice revenue",IF(COUNT(AB451:AD451)&lt;3,"Enter expenses (0 if none)","Complete"))))</f>
        <v/>
      </c>
      <c r="AL451" s="11">
        <f>IF(A451="","",IF(NOT(AND(COUNT(AH451)=1,N(AH451)&gt;0.004,V451&lt;&gt;"Void",V451&lt;&gt;"Not invoiced",V451&lt;&gt;"Draft")),"",IF(COUNT(X451)=0,"No due date",IF(TODAY()-X451&lt;=0,"Not yet due",IF(TODAY()-X451&lt;=30,"1-30 days",IF(TODAY()-X451&lt;=60,"31-60 days",IF(TODAY()-X451&lt;=90,"61-90 days","Over 90 days")))))))</f>
        <v/>
      </c>
      <c r="AM451" s="49">
        <f>IF(OR(AL451="",AL451="No due date"),"",MAX(TODAY()-X451,0))</f>
        <v/>
      </c>
      <c r="AN451" s="49">
        <f>IF(AL451="","",IF(COUNT(X451)=0,-100000,TODAY()-X451))</f>
        <v/>
      </c>
      <c r="AO451" s="49">
        <f>IF(AN451="","",COUNTIF(AN$11:AN$1010,"&gt;"&amp;AN451)+COUNTIF(AN$11:AN451,AN451))</f>
        <v/>
      </c>
      <c r="AP451" s="49">
        <f>IF(OR(A451="",B451=""),"",IF(COUNTIF(B$11:B451,B451)=1,MAX(AP$10:AP450)+1,""))</f>
        <v/>
      </c>
    </row>
    <row r="452" ht="24" customHeight="1">
      <c r="A452" s="20" t="n"/>
      <c r="B452" s="10" t="n"/>
      <c r="C452" s="10" t="n"/>
      <c r="D452" s="10" t="n"/>
      <c r="E452" s="10" t="n"/>
      <c r="F452" s="18" t="n"/>
      <c r="G452" s="10" t="n"/>
      <c r="H452" s="12" t="n"/>
      <c r="I452" s="12" t="n"/>
      <c r="J452" s="13">
        <f>IF(OR(A452="",COUNT(H452)=0,COUNT(Z452)=0),"",ROUND(Z452-H452,2))</f>
        <v/>
      </c>
      <c r="K452" s="15">
        <f>IF(COUNT(J452)=0,"",IF(Z452=0,"n.a.",J452/Z452))</f>
        <v/>
      </c>
      <c r="L452" s="14">
        <f>IF(OR(A452="",COUNT(H452)=0,COUNT(Y452)=0),"",ROUND(H452*(1+Y452),2))</f>
        <v/>
      </c>
      <c r="M452" s="10" t="n"/>
      <c r="N452" s="10" t="n"/>
      <c r="O452" s="10" t="n"/>
      <c r="P452" s="10" t="n"/>
      <c r="Q452" s="20" t="n"/>
      <c r="R452" s="10" t="n"/>
      <c r="S452" s="10" t="n"/>
      <c r="T452" s="18" t="n"/>
      <c r="U452" s="18" t="n"/>
      <c r="V452" s="10" t="n"/>
      <c r="W452" s="10" t="n"/>
      <c r="X452" s="19">
        <f>IF(OR(A452="",COUNT(U452)=0,COUNT(AI452)=0),"",U452+AI452)</f>
        <v/>
      </c>
      <c r="Y452" s="16" t="n"/>
      <c r="Z452" s="12" t="n"/>
      <c r="AA452" s="17">
        <f>IF(COUNT(J452)=0,"",IF(H452=0,"n.a.",J452/H452))</f>
        <v/>
      </c>
      <c r="AB452" s="12" t="n"/>
      <c r="AC452" s="12" t="n"/>
      <c r="AD452" s="12" t="n"/>
      <c r="AE452" s="13">
        <f>IF(OR(COUNT(J452)=0,COUNT(AB452:AD452)&lt;3),"",ROUND(J452-SUM(AB452:AD452),2))</f>
        <v/>
      </c>
      <c r="AF452" s="15">
        <f>IF(COUNT(AE452)=0,"",IF(Z452=0,"n.a.",AE452/Z452))</f>
        <v/>
      </c>
      <c r="AG452" s="12" t="n"/>
      <c r="AH452" s="14">
        <f>IF(OR(A452="",COUNT(Z452)=0,COUNT(AG452)=0),"",ROUND(Z452-AG452,2))</f>
        <v/>
      </c>
      <c r="AI452" s="21" t="n"/>
      <c r="AJ452" s="11">
        <f>IF(A452="","",IF(COUNT(I452)=0,"Enter approved NTE",IF(COUNT(Z452)&gt;0,IF(Z452&gt;I452,"Invoice exceeds NTE","Invoice within NTE"),IF(COUNT(L452)=0,"Enter quote inputs",IF(L452&gt;I452,"Quote exceeds NTE","Quote within NTE")))))</f>
        <v/>
      </c>
      <c r="AK452" s="11">
        <f>IF(A452="","",IF(COUNT(H452)=0,"Enter direct cost",IF(COUNT(Z452)=0,"Enter invoice revenue",IF(COUNT(AB452:AD452)&lt;3,"Enter expenses (0 if none)","Complete"))))</f>
        <v/>
      </c>
      <c r="AL452" s="11">
        <f>IF(A452="","",IF(NOT(AND(COUNT(AH452)=1,N(AH452)&gt;0.004,V452&lt;&gt;"Void",V452&lt;&gt;"Not invoiced",V452&lt;&gt;"Draft")),"",IF(COUNT(X452)=0,"No due date",IF(TODAY()-X452&lt;=0,"Not yet due",IF(TODAY()-X452&lt;=30,"1-30 days",IF(TODAY()-X452&lt;=60,"31-60 days",IF(TODAY()-X452&lt;=90,"61-90 days","Over 90 days")))))))</f>
        <v/>
      </c>
      <c r="AM452" s="49">
        <f>IF(OR(AL452="",AL452="No due date"),"",MAX(TODAY()-X452,0))</f>
        <v/>
      </c>
      <c r="AN452" s="49">
        <f>IF(AL452="","",IF(COUNT(X452)=0,-100000,TODAY()-X452))</f>
        <v/>
      </c>
      <c r="AO452" s="49">
        <f>IF(AN452="","",COUNTIF(AN$11:AN$1010,"&gt;"&amp;AN452)+COUNTIF(AN$11:AN452,AN452))</f>
        <v/>
      </c>
      <c r="AP452" s="49">
        <f>IF(OR(A452="",B452=""),"",IF(COUNTIF(B$11:B452,B452)=1,MAX(AP$10:AP451)+1,""))</f>
        <v/>
      </c>
    </row>
    <row r="453" ht="24" customHeight="1">
      <c r="A453" s="20" t="n"/>
      <c r="B453" s="10" t="n"/>
      <c r="C453" s="10" t="n"/>
      <c r="D453" s="10" t="n"/>
      <c r="E453" s="10" t="n"/>
      <c r="F453" s="18" t="n"/>
      <c r="G453" s="10" t="n"/>
      <c r="H453" s="12" t="n"/>
      <c r="I453" s="12" t="n"/>
      <c r="J453" s="13">
        <f>IF(OR(A453="",COUNT(H453)=0,COUNT(Z453)=0),"",ROUND(Z453-H453,2))</f>
        <v/>
      </c>
      <c r="K453" s="15">
        <f>IF(COUNT(J453)=0,"",IF(Z453=0,"n.a.",J453/Z453))</f>
        <v/>
      </c>
      <c r="L453" s="14">
        <f>IF(OR(A453="",COUNT(H453)=0,COUNT(Y453)=0),"",ROUND(H453*(1+Y453),2))</f>
        <v/>
      </c>
      <c r="M453" s="10" t="n"/>
      <c r="N453" s="10" t="n"/>
      <c r="O453" s="10" t="n"/>
      <c r="P453" s="10" t="n"/>
      <c r="Q453" s="20" t="n"/>
      <c r="R453" s="10" t="n"/>
      <c r="S453" s="10" t="n"/>
      <c r="T453" s="18" t="n"/>
      <c r="U453" s="18" t="n"/>
      <c r="V453" s="10" t="n"/>
      <c r="W453" s="10" t="n"/>
      <c r="X453" s="19">
        <f>IF(OR(A453="",COUNT(U453)=0,COUNT(AI453)=0),"",U453+AI453)</f>
        <v/>
      </c>
      <c r="Y453" s="16" t="n"/>
      <c r="Z453" s="12" t="n"/>
      <c r="AA453" s="17">
        <f>IF(COUNT(J453)=0,"",IF(H453=0,"n.a.",J453/H453))</f>
        <v/>
      </c>
      <c r="AB453" s="12" t="n"/>
      <c r="AC453" s="12" t="n"/>
      <c r="AD453" s="12" t="n"/>
      <c r="AE453" s="13">
        <f>IF(OR(COUNT(J453)=0,COUNT(AB453:AD453)&lt;3),"",ROUND(J453-SUM(AB453:AD453),2))</f>
        <v/>
      </c>
      <c r="AF453" s="15">
        <f>IF(COUNT(AE453)=0,"",IF(Z453=0,"n.a.",AE453/Z453))</f>
        <v/>
      </c>
      <c r="AG453" s="12" t="n"/>
      <c r="AH453" s="14">
        <f>IF(OR(A453="",COUNT(Z453)=0,COUNT(AG453)=0),"",ROUND(Z453-AG453,2))</f>
        <v/>
      </c>
      <c r="AI453" s="21" t="n"/>
      <c r="AJ453" s="11">
        <f>IF(A453="","",IF(COUNT(I453)=0,"Enter approved NTE",IF(COUNT(Z453)&gt;0,IF(Z453&gt;I453,"Invoice exceeds NTE","Invoice within NTE"),IF(COUNT(L453)=0,"Enter quote inputs",IF(L453&gt;I453,"Quote exceeds NTE","Quote within NTE")))))</f>
        <v/>
      </c>
      <c r="AK453" s="11">
        <f>IF(A453="","",IF(COUNT(H453)=0,"Enter direct cost",IF(COUNT(Z453)=0,"Enter invoice revenue",IF(COUNT(AB453:AD453)&lt;3,"Enter expenses (0 if none)","Complete"))))</f>
        <v/>
      </c>
      <c r="AL453" s="11">
        <f>IF(A453="","",IF(NOT(AND(COUNT(AH453)=1,N(AH453)&gt;0.004,V453&lt;&gt;"Void",V453&lt;&gt;"Not invoiced",V453&lt;&gt;"Draft")),"",IF(COUNT(X453)=0,"No due date",IF(TODAY()-X453&lt;=0,"Not yet due",IF(TODAY()-X453&lt;=30,"1-30 days",IF(TODAY()-X453&lt;=60,"31-60 days",IF(TODAY()-X453&lt;=90,"61-90 days","Over 90 days")))))))</f>
        <v/>
      </c>
      <c r="AM453" s="49">
        <f>IF(OR(AL453="",AL453="No due date"),"",MAX(TODAY()-X453,0))</f>
        <v/>
      </c>
      <c r="AN453" s="49">
        <f>IF(AL453="","",IF(COUNT(X453)=0,-100000,TODAY()-X453))</f>
        <v/>
      </c>
      <c r="AO453" s="49">
        <f>IF(AN453="","",COUNTIF(AN$11:AN$1010,"&gt;"&amp;AN453)+COUNTIF(AN$11:AN453,AN453))</f>
        <v/>
      </c>
      <c r="AP453" s="49">
        <f>IF(OR(A453="",B453=""),"",IF(COUNTIF(B$11:B453,B453)=1,MAX(AP$10:AP452)+1,""))</f>
        <v/>
      </c>
    </row>
    <row r="454" ht="24" customHeight="1">
      <c r="A454" s="20" t="n"/>
      <c r="B454" s="10" t="n"/>
      <c r="C454" s="10" t="n"/>
      <c r="D454" s="10" t="n"/>
      <c r="E454" s="10" t="n"/>
      <c r="F454" s="18" t="n"/>
      <c r="G454" s="10" t="n"/>
      <c r="H454" s="12" t="n"/>
      <c r="I454" s="12" t="n"/>
      <c r="J454" s="13">
        <f>IF(OR(A454="",COUNT(H454)=0,COUNT(Z454)=0),"",ROUND(Z454-H454,2))</f>
        <v/>
      </c>
      <c r="K454" s="15">
        <f>IF(COUNT(J454)=0,"",IF(Z454=0,"n.a.",J454/Z454))</f>
        <v/>
      </c>
      <c r="L454" s="14">
        <f>IF(OR(A454="",COUNT(H454)=0,COUNT(Y454)=0),"",ROUND(H454*(1+Y454),2))</f>
        <v/>
      </c>
      <c r="M454" s="10" t="n"/>
      <c r="N454" s="10" t="n"/>
      <c r="O454" s="10" t="n"/>
      <c r="P454" s="10" t="n"/>
      <c r="Q454" s="20" t="n"/>
      <c r="R454" s="10" t="n"/>
      <c r="S454" s="10" t="n"/>
      <c r="T454" s="18" t="n"/>
      <c r="U454" s="18" t="n"/>
      <c r="V454" s="10" t="n"/>
      <c r="W454" s="10" t="n"/>
      <c r="X454" s="19">
        <f>IF(OR(A454="",COUNT(U454)=0,COUNT(AI454)=0),"",U454+AI454)</f>
        <v/>
      </c>
      <c r="Y454" s="16" t="n"/>
      <c r="Z454" s="12" t="n"/>
      <c r="AA454" s="17">
        <f>IF(COUNT(J454)=0,"",IF(H454=0,"n.a.",J454/H454))</f>
        <v/>
      </c>
      <c r="AB454" s="12" t="n"/>
      <c r="AC454" s="12" t="n"/>
      <c r="AD454" s="12" t="n"/>
      <c r="AE454" s="13">
        <f>IF(OR(COUNT(J454)=0,COUNT(AB454:AD454)&lt;3),"",ROUND(J454-SUM(AB454:AD454),2))</f>
        <v/>
      </c>
      <c r="AF454" s="15">
        <f>IF(COUNT(AE454)=0,"",IF(Z454=0,"n.a.",AE454/Z454))</f>
        <v/>
      </c>
      <c r="AG454" s="12" t="n"/>
      <c r="AH454" s="14">
        <f>IF(OR(A454="",COUNT(Z454)=0,COUNT(AG454)=0),"",ROUND(Z454-AG454,2))</f>
        <v/>
      </c>
      <c r="AI454" s="21" t="n"/>
      <c r="AJ454" s="11">
        <f>IF(A454="","",IF(COUNT(I454)=0,"Enter approved NTE",IF(COUNT(Z454)&gt;0,IF(Z454&gt;I454,"Invoice exceeds NTE","Invoice within NTE"),IF(COUNT(L454)=0,"Enter quote inputs",IF(L454&gt;I454,"Quote exceeds NTE","Quote within NTE")))))</f>
        <v/>
      </c>
      <c r="AK454" s="11">
        <f>IF(A454="","",IF(COUNT(H454)=0,"Enter direct cost",IF(COUNT(Z454)=0,"Enter invoice revenue",IF(COUNT(AB454:AD454)&lt;3,"Enter expenses (0 if none)","Complete"))))</f>
        <v/>
      </c>
      <c r="AL454" s="11">
        <f>IF(A454="","",IF(NOT(AND(COUNT(AH454)=1,N(AH454)&gt;0.004,V454&lt;&gt;"Void",V454&lt;&gt;"Not invoiced",V454&lt;&gt;"Draft")),"",IF(COUNT(X454)=0,"No due date",IF(TODAY()-X454&lt;=0,"Not yet due",IF(TODAY()-X454&lt;=30,"1-30 days",IF(TODAY()-X454&lt;=60,"31-60 days",IF(TODAY()-X454&lt;=90,"61-90 days","Over 90 days")))))))</f>
        <v/>
      </c>
      <c r="AM454" s="49">
        <f>IF(OR(AL454="",AL454="No due date"),"",MAX(TODAY()-X454,0))</f>
        <v/>
      </c>
      <c r="AN454" s="49">
        <f>IF(AL454="","",IF(COUNT(X454)=0,-100000,TODAY()-X454))</f>
        <v/>
      </c>
      <c r="AO454" s="49">
        <f>IF(AN454="","",COUNTIF(AN$11:AN$1010,"&gt;"&amp;AN454)+COUNTIF(AN$11:AN454,AN454))</f>
        <v/>
      </c>
      <c r="AP454" s="49">
        <f>IF(OR(A454="",B454=""),"",IF(COUNTIF(B$11:B454,B454)=1,MAX(AP$10:AP453)+1,""))</f>
        <v/>
      </c>
    </row>
    <row r="455" ht="24" customHeight="1">
      <c r="A455" s="20" t="n"/>
      <c r="B455" s="10" t="n"/>
      <c r="C455" s="10" t="n"/>
      <c r="D455" s="10" t="n"/>
      <c r="E455" s="10" t="n"/>
      <c r="F455" s="18" t="n"/>
      <c r="G455" s="10" t="n"/>
      <c r="H455" s="12" t="n"/>
      <c r="I455" s="12" t="n"/>
      <c r="J455" s="13">
        <f>IF(OR(A455="",COUNT(H455)=0,COUNT(Z455)=0),"",ROUND(Z455-H455,2))</f>
        <v/>
      </c>
      <c r="K455" s="15">
        <f>IF(COUNT(J455)=0,"",IF(Z455=0,"n.a.",J455/Z455))</f>
        <v/>
      </c>
      <c r="L455" s="14">
        <f>IF(OR(A455="",COUNT(H455)=0,COUNT(Y455)=0),"",ROUND(H455*(1+Y455),2))</f>
        <v/>
      </c>
      <c r="M455" s="10" t="n"/>
      <c r="N455" s="10" t="n"/>
      <c r="O455" s="10" t="n"/>
      <c r="P455" s="10" t="n"/>
      <c r="Q455" s="20" t="n"/>
      <c r="R455" s="10" t="n"/>
      <c r="S455" s="10" t="n"/>
      <c r="T455" s="18" t="n"/>
      <c r="U455" s="18" t="n"/>
      <c r="V455" s="10" t="n"/>
      <c r="W455" s="10" t="n"/>
      <c r="X455" s="19">
        <f>IF(OR(A455="",COUNT(U455)=0,COUNT(AI455)=0),"",U455+AI455)</f>
        <v/>
      </c>
      <c r="Y455" s="16" t="n"/>
      <c r="Z455" s="12" t="n"/>
      <c r="AA455" s="17">
        <f>IF(COUNT(J455)=0,"",IF(H455=0,"n.a.",J455/H455))</f>
        <v/>
      </c>
      <c r="AB455" s="12" t="n"/>
      <c r="AC455" s="12" t="n"/>
      <c r="AD455" s="12" t="n"/>
      <c r="AE455" s="13">
        <f>IF(OR(COUNT(J455)=0,COUNT(AB455:AD455)&lt;3),"",ROUND(J455-SUM(AB455:AD455),2))</f>
        <v/>
      </c>
      <c r="AF455" s="15">
        <f>IF(COUNT(AE455)=0,"",IF(Z455=0,"n.a.",AE455/Z455))</f>
        <v/>
      </c>
      <c r="AG455" s="12" t="n"/>
      <c r="AH455" s="14">
        <f>IF(OR(A455="",COUNT(Z455)=0,COUNT(AG455)=0),"",ROUND(Z455-AG455,2))</f>
        <v/>
      </c>
      <c r="AI455" s="21" t="n"/>
      <c r="AJ455" s="11">
        <f>IF(A455="","",IF(COUNT(I455)=0,"Enter approved NTE",IF(COUNT(Z455)&gt;0,IF(Z455&gt;I455,"Invoice exceeds NTE","Invoice within NTE"),IF(COUNT(L455)=0,"Enter quote inputs",IF(L455&gt;I455,"Quote exceeds NTE","Quote within NTE")))))</f>
        <v/>
      </c>
      <c r="AK455" s="11">
        <f>IF(A455="","",IF(COUNT(H455)=0,"Enter direct cost",IF(COUNT(Z455)=0,"Enter invoice revenue",IF(COUNT(AB455:AD455)&lt;3,"Enter expenses (0 if none)","Complete"))))</f>
        <v/>
      </c>
      <c r="AL455" s="11">
        <f>IF(A455="","",IF(NOT(AND(COUNT(AH455)=1,N(AH455)&gt;0.004,V455&lt;&gt;"Void",V455&lt;&gt;"Not invoiced",V455&lt;&gt;"Draft")),"",IF(COUNT(X455)=0,"No due date",IF(TODAY()-X455&lt;=0,"Not yet due",IF(TODAY()-X455&lt;=30,"1-30 days",IF(TODAY()-X455&lt;=60,"31-60 days",IF(TODAY()-X455&lt;=90,"61-90 days","Over 90 days")))))))</f>
        <v/>
      </c>
      <c r="AM455" s="49">
        <f>IF(OR(AL455="",AL455="No due date"),"",MAX(TODAY()-X455,0))</f>
        <v/>
      </c>
      <c r="AN455" s="49">
        <f>IF(AL455="","",IF(COUNT(X455)=0,-100000,TODAY()-X455))</f>
        <v/>
      </c>
      <c r="AO455" s="49">
        <f>IF(AN455="","",COUNTIF(AN$11:AN$1010,"&gt;"&amp;AN455)+COUNTIF(AN$11:AN455,AN455))</f>
        <v/>
      </c>
      <c r="AP455" s="49">
        <f>IF(OR(A455="",B455=""),"",IF(COUNTIF(B$11:B455,B455)=1,MAX(AP$10:AP454)+1,""))</f>
        <v/>
      </c>
    </row>
    <row r="456" ht="24" customHeight="1">
      <c r="A456" s="20" t="n"/>
      <c r="B456" s="10" t="n"/>
      <c r="C456" s="10" t="n"/>
      <c r="D456" s="10" t="n"/>
      <c r="E456" s="10" t="n"/>
      <c r="F456" s="18" t="n"/>
      <c r="G456" s="10" t="n"/>
      <c r="H456" s="12" t="n"/>
      <c r="I456" s="12" t="n"/>
      <c r="J456" s="13">
        <f>IF(OR(A456="",COUNT(H456)=0,COUNT(Z456)=0),"",ROUND(Z456-H456,2))</f>
        <v/>
      </c>
      <c r="K456" s="15">
        <f>IF(COUNT(J456)=0,"",IF(Z456=0,"n.a.",J456/Z456))</f>
        <v/>
      </c>
      <c r="L456" s="14">
        <f>IF(OR(A456="",COUNT(H456)=0,COUNT(Y456)=0),"",ROUND(H456*(1+Y456),2))</f>
        <v/>
      </c>
      <c r="M456" s="10" t="n"/>
      <c r="N456" s="10" t="n"/>
      <c r="O456" s="10" t="n"/>
      <c r="P456" s="10" t="n"/>
      <c r="Q456" s="20" t="n"/>
      <c r="R456" s="10" t="n"/>
      <c r="S456" s="10" t="n"/>
      <c r="T456" s="18" t="n"/>
      <c r="U456" s="18" t="n"/>
      <c r="V456" s="10" t="n"/>
      <c r="W456" s="10" t="n"/>
      <c r="X456" s="19">
        <f>IF(OR(A456="",COUNT(U456)=0,COUNT(AI456)=0),"",U456+AI456)</f>
        <v/>
      </c>
      <c r="Y456" s="16" t="n"/>
      <c r="Z456" s="12" t="n"/>
      <c r="AA456" s="17">
        <f>IF(COUNT(J456)=0,"",IF(H456=0,"n.a.",J456/H456))</f>
        <v/>
      </c>
      <c r="AB456" s="12" t="n"/>
      <c r="AC456" s="12" t="n"/>
      <c r="AD456" s="12" t="n"/>
      <c r="AE456" s="13">
        <f>IF(OR(COUNT(J456)=0,COUNT(AB456:AD456)&lt;3),"",ROUND(J456-SUM(AB456:AD456),2))</f>
        <v/>
      </c>
      <c r="AF456" s="15">
        <f>IF(COUNT(AE456)=0,"",IF(Z456=0,"n.a.",AE456/Z456))</f>
        <v/>
      </c>
      <c r="AG456" s="12" t="n"/>
      <c r="AH456" s="14">
        <f>IF(OR(A456="",COUNT(Z456)=0,COUNT(AG456)=0),"",ROUND(Z456-AG456,2))</f>
        <v/>
      </c>
      <c r="AI456" s="21" t="n"/>
      <c r="AJ456" s="11">
        <f>IF(A456="","",IF(COUNT(I456)=0,"Enter approved NTE",IF(COUNT(Z456)&gt;0,IF(Z456&gt;I456,"Invoice exceeds NTE","Invoice within NTE"),IF(COUNT(L456)=0,"Enter quote inputs",IF(L456&gt;I456,"Quote exceeds NTE","Quote within NTE")))))</f>
        <v/>
      </c>
      <c r="AK456" s="11">
        <f>IF(A456="","",IF(COUNT(H456)=0,"Enter direct cost",IF(COUNT(Z456)=0,"Enter invoice revenue",IF(COUNT(AB456:AD456)&lt;3,"Enter expenses (0 if none)","Complete"))))</f>
        <v/>
      </c>
      <c r="AL456" s="11">
        <f>IF(A456="","",IF(NOT(AND(COUNT(AH456)=1,N(AH456)&gt;0.004,V456&lt;&gt;"Void",V456&lt;&gt;"Not invoiced",V456&lt;&gt;"Draft")),"",IF(COUNT(X456)=0,"No due date",IF(TODAY()-X456&lt;=0,"Not yet due",IF(TODAY()-X456&lt;=30,"1-30 days",IF(TODAY()-X456&lt;=60,"31-60 days",IF(TODAY()-X456&lt;=90,"61-90 days","Over 90 days")))))))</f>
        <v/>
      </c>
      <c r="AM456" s="49">
        <f>IF(OR(AL456="",AL456="No due date"),"",MAX(TODAY()-X456,0))</f>
        <v/>
      </c>
      <c r="AN456" s="49">
        <f>IF(AL456="","",IF(COUNT(X456)=0,-100000,TODAY()-X456))</f>
        <v/>
      </c>
      <c r="AO456" s="49">
        <f>IF(AN456="","",COUNTIF(AN$11:AN$1010,"&gt;"&amp;AN456)+COUNTIF(AN$11:AN456,AN456))</f>
        <v/>
      </c>
      <c r="AP456" s="49">
        <f>IF(OR(A456="",B456=""),"",IF(COUNTIF(B$11:B456,B456)=1,MAX(AP$10:AP455)+1,""))</f>
        <v/>
      </c>
    </row>
    <row r="457" ht="24" customHeight="1">
      <c r="A457" s="20" t="n"/>
      <c r="B457" s="10" t="n"/>
      <c r="C457" s="10" t="n"/>
      <c r="D457" s="10" t="n"/>
      <c r="E457" s="10" t="n"/>
      <c r="F457" s="18" t="n"/>
      <c r="G457" s="10" t="n"/>
      <c r="H457" s="12" t="n"/>
      <c r="I457" s="12" t="n"/>
      <c r="J457" s="13">
        <f>IF(OR(A457="",COUNT(H457)=0,COUNT(Z457)=0),"",ROUND(Z457-H457,2))</f>
        <v/>
      </c>
      <c r="K457" s="15">
        <f>IF(COUNT(J457)=0,"",IF(Z457=0,"n.a.",J457/Z457))</f>
        <v/>
      </c>
      <c r="L457" s="14">
        <f>IF(OR(A457="",COUNT(H457)=0,COUNT(Y457)=0),"",ROUND(H457*(1+Y457),2))</f>
        <v/>
      </c>
      <c r="M457" s="10" t="n"/>
      <c r="N457" s="10" t="n"/>
      <c r="O457" s="10" t="n"/>
      <c r="P457" s="10" t="n"/>
      <c r="Q457" s="20" t="n"/>
      <c r="R457" s="10" t="n"/>
      <c r="S457" s="10" t="n"/>
      <c r="T457" s="18" t="n"/>
      <c r="U457" s="18" t="n"/>
      <c r="V457" s="10" t="n"/>
      <c r="W457" s="10" t="n"/>
      <c r="X457" s="19">
        <f>IF(OR(A457="",COUNT(U457)=0,COUNT(AI457)=0),"",U457+AI457)</f>
        <v/>
      </c>
      <c r="Y457" s="16" t="n"/>
      <c r="Z457" s="12" t="n"/>
      <c r="AA457" s="17">
        <f>IF(COUNT(J457)=0,"",IF(H457=0,"n.a.",J457/H457))</f>
        <v/>
      </c>
      <c r="AB457" s="12" t="n"/>
      <c r="AC457" s="12" t="n"/>
      <c r="AD457" s="12" t="n"/>
      <c r="AE457" s="13">
        <f>IF(OR(COUNT(J457)=0,COUNT(AB457:AD457)&lt;3),"",ROUND(J457-SUM(AB457:AD457),2))</f>
        <v/>
      </c>
      <c r="AF457" s="15">
        <f>IF(COUNT(AE457)=0,"",IF(Z457=0,"n.a.",AE457/Z457))</f>
        <v/>
      </c>
      <c r="AG457" s="12" t="n"/>
      <c r="AH457" s="14">
        <f>IF(OR(A457="",COUNT(Z457)=0,COUNT(AG457)=0),"",ROUND(Z457-AG457,2))</f>
        <v/>
      </c>
      <c r="AI457" s="21" t="n"/>
      <c r="AJ457" s="11">
        <f>IF(A457="","",IF(COUNT(I457)=0,"Enter approved NTE",IF(COUNT(Z457)&gt;0,IF(Z457&gt;I457,"Invoice exceeds NTE","Invoice within NTE"),IF(COUNT(L457)=0,"Enter quote inputs",IF(L457&gt;I457,"Quote exceeds NTE","Quote within NTE")))))</f>
        <v/>
      </c>
      <c r="AK457" s="11">
        <f>IF(A457="","",IF(COUNT(H457)=0,"Enter direct cost",IF(COUNT(Z457)=0,"Enter invoice revenue",IF(COUNT(AB457:AD457)&lt;3,"Enter expenses (0 if none)","Complete"))))</f>
        <v/>
      </c>
      <c r="AL457" s="11">
        <f>IF(A457="","",IF(NOT(AND(COUNT(AH457)=1,N(AH457)&gt;0.004,V457&lt;&gt;"Void",V457&lt;&gt;"Not invoiced",V457&lt;&gt;"Draft")),"",IF(COUNT(X457)=0,"No due date",IF(TODAY()-X457&lt;=0,"Not yet due",IF(TODAY()-X457&lt;=30,"1-30 days",IF(TODAY()-X457&lt;=60,"31-60 days",IF(TODAY()-X457&lt;=90,"61-90 days","Over 90 days")))))))</f>
        <v/>
      </c>
      <c r="AM457" s="49">
        <f>IF(OR(AL457="",AL457="No due date"),"",MAX(TODAY()-X457,0))</f>
        <v/>
      </c>
      <c r="AN457" s="49">
        <f>IF(AL457="","",IF(COUNT(X457)=0,-100000,TODAY()-X457))</f>
        <v/>
      </c>
      <c r="AO457" s="49">
        <f>IF(AN457="","",COUNTIF(AN$11:AN$1010,"&gt;"&amp;AN457)+COUNTIF(AN$11:AN457,AN457))</f>
        <v/>
      </c>
      <c r="AP457" s="49">
        <f>IF(OR(A457="",B457=""),"",IF(COUNTIF(B$11:B457,B457)=1,MAX(AP$10:AP456)+1,""))</f>
        <v/>
      </c>
    </row>
    <row r="458" ht="24" customHeight="1">
      <c r="A458" s="20" t="n"/>
      <c r="B458" s="10" t="n"/>
      <c r="C458" s="10" t="n"/>
      <c r="D458" s="10" t="n"/>
      <c r="E458" s="10" t="n"/>
      <c r="F458" s="18" t="n"/>
      <c r="G458" s="10" t="n"/>
      <c r="H458" s="12" t="n"/>
      <c r="I458" s="12" t="n"/>
      <c r="J458" s="13">
        <f>IF(OR(A458="",COUNT(H458)=0,COUNT(Z458)=0),"",ROUND(Z458-H458,2))</f>
        <v/>
      </c>
      <c r="K458" s="15">
        <f>IF(COUNT(J458)=0,"",IF(Z458=0,"n.a.",J458/Z458))</f>
        <v/>
      </c>
      <c r="L458" s="14">
        <f>IF(OR(A458="",COUNT(H458)=0,COUNT(Y458)=0),"",ROUND(H458*(1+Y458),2))</f>
        <v/>
      </c>
      <c r="M458" s="10" t="n"/>
      <c r="N458" s="10" t="n"/>
      <c r="O458" s="10" t="n"/>
      <c r="P458" s="10" t="n"/>
      <c r="Q458" s="20" t="n"/>
      <c r="R458" s="10" t="n"/>
      <c r="S458" s="10" t="n"/>
      <c r="T458" s="18" t="n"/>
      <c r="U458" s="18" t="n"/>
      <c r="V458" s="10" t="n"/>
      <c r="W458" s="10" t="n"/>
      <c r="X458" s="19">
        <f>IF(OR(A458="",COUNT(U458)=0,COUNT(AI458)=0),"",U458+AI458)</f>
        <v/>
      </c>
      <c r="Y458" s="16" t="n"/>
      <c r="Z458" s="12" t="n"/>
      <c r="AA458" s="17">
        <f>IF(COUNT(J458)=0,"",IF(H458=0,"n.a.",J458/H458))</f>
        <v/>
      </c>
      <c r="AB458" s="12" t="n"/>
      <c r="AC458" s="12" t="n"/>
      <c r="AD458" s="12" t="n"/>
      <c r="AE458" s="13">
        <f>IF(OR(COUNT(J458)=0,COUNT(AB458:AD458)&lt;3),"",ROUND(J458-SUM(AB458:AD458),2))</f>
        <v/>
      </c>
      <c r="AF458" s="15">
        <f>IF(COUNT(AE458)=0,"",IF(Z458=0,"n.a.",AE458/Z458))</f>
        <v/>
      </c>
      <c r="AG458" s="12" t="n"/>
      <c r="AH458" s="14">
        <f>IF(OR(A458="",COUNT(Z458)=0,COUNT(AG458)=0),"",ROUND(Z458-AG458,2))</f>
        <v/>
      </c>
      <c r="AI458" s="21" t="n"/>
      <c r="AJ458" s="11">
        <f>IF(A458="","",IF(COUNT(I458)=0,"Enter approved NTE",IF(COUNT(Z458)&gt;0,IF(Z458&gt;I458,"Invoice exceeds NTE","Invoice within NTE"),IF(COUNT(L458)=0,"Enter quote inputs",IF(L458&gt;I458,"Quote exceeds NTE","Quote within NTE")))))</f>
        <v/>
      </c>
      <c r="AK458" s="11">
        <f>IF(A458="","",IF(COUNT(H458)=0,"Enter direct cost",IF(COUNT(Z458)=0,"Enter invoice revenue",IF(COUNT(AB458:AD458)&lt;3,"Enter expenses (0 if none)","Complete"))))</f>
        <v/>
      </c>
      <c r="AL458" s="11">
        <f>IF(A458="","",IF(NOT(AND(COUNT(AH458)=1,N(AH458)&gt;0.004,V458&lt;&gt;"Void",V458&lt;&gt;"Not invoiced",V458&lt;&gt;"Draft")),"",IF(COUNT(X458)=0,"No due date",IF(TODAY()-X458&lt;=0,"Not yet due",IF(TODAY()-X458&lt;=30,"1-30 days",IF(TODAY()-X458&lt;=60,"31-60 days",IF(TODAY()-X458&lt;=90,"61-90 days","Over 90 days")))))))</f>
        <v/>
      </c>
      <c r="AM458" s="49">
        <f>IF(OR(AL458="",AL458="No due date"),"",MAX(TODAY()-X458,0))</f>
        <v/>
      </c>
      <c r="AN458" s="49">
        <f>IF(AL458="","",IF(COUNT(X458)=0,-100000,TODAY()-X458))</f>
        <v/>
      </c>
      <c r="AO458" s="49">
        <f>IF(AN458="","",COUNTIF(AN$11:AN$1010,"&gt;"&amp;AN458)+COUNTIF(AN$11:AN458,AN458))</f>
        <v/>
      </c>
      <c r="AP458" s="49">
        <f>IF(OR(A458="",B458=""),"",IF(COUNTIF(B$11:B458,B458)=1,MAX(AP$10:AP457)+1,""))</f>
        <v/>
      </c>
    </row>
    <row r="459" ht="24" customHeight="1">
      <c r="A459" s="20" t="n"/>
      <c r="B459" s="10" t="n"/>
      <c r="C459" s="10" t="n"/>
      <c r="D459" s="10" t="n"/>
      <c r="E459" s="10" t="n"/>
      <c r="F459" s="18" t="n"/>
      <c r="G459" s="10" t="n"/>
      <c r="H459" s="12" t="n"/>
      <c r="I459" s="12" t="n"/>
      <c r="J459" s="13">
        <f>IF(OR(A459="",COUNT(H459)=0,COUNT(Z459)=0),"",ROUND(Z459-H459,2))</f>
        <v/>
      </c>
      <c r="K459" s="15">
        <f>IF(COUNT(J459)=0,"",IF(Z459=0,"n.a.",J459/Z459))</f>
        <v/>
      </c>
      <c r="L459" s="14">
        <f>IF(OR(A459="",COUNT(H459)=0,COUNT(Y459)=0),"",ROUND(H459*(1+Y459),2))</f>
        <v/>
      </c>
      <c r="M459" s="10" t="n"/>
      <c r="N459" s="10" t="n"/>
      <c r="O459" s="10" t="n"/>
      <c r="P459" s="10" t="n"/>
      <c r="Q459" s="20" t="n"/>
      <c r="R459" s="10" t="n"/>
      <c r="S459" s="10" t="n"/>
      <c r="T459" s="18" t="n"/>
      <c r="U459" s="18" t="n"/>
      <c r="V459" s="10" t="n"/>
      <c r="W459" s="10" t="n"/>
      <c r="X459" s="19">
        <f>IF(OR(A459="",COUNT(U459)=0,COUNT(AI459)=0),"",U459+AI459)</f>
        <v/>
      </c>
      <c r="Y459" s="16" t="n"/>
      <c r="Z459" s="12" t="n"/>
      <c r="AA459" s="17">
        <f>IF(COUNT(J459)=0,"",IF(H459=0,"n.a.",J459/H459))</f>
        <v/>
      </c>
      <c r="AB459" s="12" t="n"/>
      <c r="AC459" s="12" t="n"/>
      <c r="AD459" s="12" t="n"/>
      <c r="AE459" s="13">
        <f>IF(OR(COUNT(J459)=0,COUNT(AB459:AD459)&lt;3),"",ROUND(J459-SUM(AB459:AD459),2))</f>
        <v/>
      </c>
      <c r="AF459" s="15">
        <f>IF(COUNT(AE459)=0,"",IF(Z459=0,"n.a.",AE459/Z459))</f>
        <v/>
      </c>
      <c r="AG459" s="12" t="n"/>
      <c r="AH459" s="14">
        <f>IF(OR(A459="",COUNT(Z459)=0,COUNT(AG459)=0),"",ROUND(Z459-AG459,2))</f>
        <v/>
      </c>
      <c r="AI459" s="21" t="n"/>
      <c r="AJ459" s="11">
        <f>IF(A459="","",IF(COUNT(I459)=0,"Enter approved NTE",IF(COUNT(Z459)&gt;0,IF(Z459&gt;I459,"Invoice exceeds NTE","Invoice within NTE"),IF(COUNT(L459)=0,"Enter quote inputs",IF(L459&gt;I459,"Quote exceeds NTE","Quote within NTE")))))</f>
        <v/>
      </c>
      <c r="AK459" s="11">
        <f>IF(A459="","",IF(COUNT(H459)=0,"Enter direct cost",IF(COUNT(Z459)=0,"Enter invoice revenue",IF(COUNT(AB459:AD459)&lt;3,"Enter expenses (0 if none)","Complete"))))</f>
        <v/>
      </c>
      <c r="AL459" s="11">
        <f>IF(A459="","",IF(NOT(AND(COUNT(AH459)=1,N(AH459)&gt;0.004,V459&lt;&gt;"Void",V459&lt;&gt;"Not invoiced",V459&lt;&gt;"Draft")),"",IF(COUNT(X459)=0,"No due date",IF(TODAY()-X459&lt;=0,"Not yet due",IF(TODAY()-X459&lt;=30,"1-30 days",IF(TODAY()-X459&lt;=60,"31-60 days",IF(TODAY()-X459&lt;=90,"61-90 days","Over 90 days")))))))</f>
        <v/>
      </c>
      <c r="AM459" s="49">
        <f>IF(OR(AL459="",AL459="No due date"),"",MAX(TODAY()-X459,0))</f>
        <v/>
      </c>
      <c r="AN459" s="49">
        <f>IF(AL459="","",IF(COUNT(X459)=0,-100000,TODAY()-X459))</f>
        <v/>
      </c>
      <c r="AO459" s="49">
        <f>IF(AN459="","",COUNTIF(AN$11:AN$1010,"&gt;"&amp;AN459)+COUNTIF(AN$11:AN459,AN459))</f>
        <v/>
      </c>
      <c r="AP459" s="49">
        <f>IF(OR(A459="",B459=""),"",IF(COUNTIF(B$11:B459,B459)=1,MAX(AP$10:AP458)+1,""))</f>
        <v/>
      </c>
    </row>
    <row r="460" ht="24" customHeight="1">
      <c r="A460" s="20" t="n"/>
      <c r="B460" s="10" t="n"/>
      <c r="C460" s="10" t="n"/>
      <c r="D460" s="10" t="n"/>
      <c r="E460" s="10" t="n"/>
      <c r="F460" s="18" t="n"/>
      <c r="G460" s="10" t="n"/>
      <c r="H460" s="12" t="n"/>
      <c r="I460" s="12" t="n"/>
      <c r="J460" s="13">
        <f>IF(OR(A460="",COUNT(H460)=0,COUNT(Z460)=0),"",ROUND(Z460-H460,2))</f>
        <v/>
      </c>
      <c r="K460" s="15">
        <f>IF(COUNT(J460)=0,"",IF(Z460=0,"n.a.",J460/Z460))</f>
        <v/>
      </c>
      <c r="L460" s="14">
        <f>IF(OR(A460="",COUNT(H460)=0,COUNT(Y460)=0),"",ROUND(H460*(1+Y460),2))</f>
        <v/>
      </c>
      <c r="M460" s="10" t="n"/>
      <c r="N460" s="10" t="n"/>
      <c r="O460" s="10" t="n"/>
      <c r="P460" s="10" t="n"/>
      <c r="Q460" s="20" t="n"/>
      <c r="R460" s="10" t="n"/>
      <c r="S460" s="10" t="n"/>
      <c r="T460" s="18" t="n"/>
      <c r="U460" s="18" t="n"/>
      <c r="V460" s="10" t="n"/>
      <c r="W460" s="10" t="n"/>
      <c r="X460" s="19">
        <f>IF(OR(A460="",COUNT(U460)=0,COUNT(AI460)=0),"",U460+AI460)</f>
        <v/>
      </c>
      <c r="Y460" s="16" t="n"/>
      <c r="Z460" s="12" t="n"/>
      <c r="AA460" s="17">
        <f>IF(COUNT(J460)=0,"",IF(H460=0,"n.a.",J460/H460))</f>
        <v/>
      </c>
      <c r="AB460" s="12" t="n"/>
      <c r="AC460" s="12" t="n"/>
      <c r="AD460" s="12" t="n"/>
      <c r="AE460" s="13">
        <f>IF(OR(COUNT(J460)=0,COUNT(AB460:AD460)&lt;3),"",ROUND(J460-SUM(AB460:AD460),2))</f>
        <v/>
      </c>
      <c r="AF460" s="15">
        <f>IF(COUNT(AE460)=0,"",IF(Z460=0,"n.a.",AE460/Z460))</f>
        <v/>
      </c>
      <c r="AG460" s="12" t="n"/>
      <c r="AH460" s="14">
        <f>IF(OR(A460="",COUNT(Z460)=0,COUNT(AG460)=0),"",ROUND(Z460-AG460,2))</f>
        <v/>
      </c>
      <c r="AI460" s="21" t="n"/>
      <c r="AJ460" s="11">
        <f>IF(A460="","",IF(COUNT(I460)=0,"Enter approved NTE",IF(COUNT(Z460)&gt;0,IF(Z460&gt;I460,"Invoice exceeds NTE","Invoice within NTE"),IF(COUNT(L460)=0,"Enter quote inputs",IF(L460&gt;I460,"Quote exceeds NTE","Quote within NTE")))))</f>
        <v/>
      </c>
      <c r="AK460" s="11">
        <f>IF(A460="","",IF(COUNT(H460)=0,"Enter direct cost",IF(COUNT(Z460)=0,"Enter invoice revenue",IF(COUNT(AB460:AD460)&lt;3,"Enter expenses (0 if none)","Complete"))))</f>
        <v/>
      </c>
      <c r="AL460" s="11">
        <f>IF(A460="","",IF(NOT(AND(COUNT(AH460)=1,N(AH460)&gt;0.004,V460&lt;&gt;"Void",V460&lt;&gt;"Not invoiced",V460&lt;&gt;"Draft")),"",IF(COUNT(X460)=0,"No due date",IF(TODAY()-X460&lt;=0,"Not yet due",IF(TODAY()-X460&lt;=30,"1-30 days",IF(TODAY()-X460&lt;=60,"31-60 days",IF(TODAY()-X460&lt;=90,"61-90 days","Over 90 days")))))))</f>
        <v/>
      </c>
      <c r="AM460" s="49">
        <f>IF(OR(AL460="",AL460="No due date"),"",MAX(TODAY()-X460,0))</f>
        <v/>
      </c>
      <c r="AN460" s="49">
        <f>IF(AL460="","",IF(COUNT(X460)=0,-100000,TODAY()-X460))</f>
        <v/>
      </c>
      <c r="AO460" s="49">
        <f>IF(AN460="","",COUNTIF(AN$11:AN$1010,"&gt;"&amp;AN460)+COUNTIF(AN$11:AN460,AN460))</f>
        <v/>
      </c>
      <c r="AP460" s="49">
        <f>IF(OR(A460="",B460=""),"",IF(COUNTIF(B$11:B460,B460)=1,MAX(AP$10:AP459)+1,""))</f>
        <v/>
      </c>
    </row>
    <row r="461" ht="24" customHeight="1">
      <c r="A461" s="20" t="n"/>
      <c r="B461" s="10" t="n"/>
      <c r="C461" s="10" t="n"/>
      <c r="D461" s="10" t="n"/>
      <c r="E461" s="10" t="n"/>
      <c r="F461" s="18" t="n"/>
      <c r="G461" s="10" t="n"/>
      <c r="H461" s="12" t="n"/>
      <c r="I461" s="12" t="n"/>
      <c r="J461" s="13">
        <f>IF(OR(A461="",COUNT(H461)=0,COUNT(Z461)=0),"",ROUND(Z461-H461,2))</f>
        <v/>
      </c>
      <c r="K461" s="15">
        <f>IF(COUNT(J461)=0,"",IF(Z461=0,"n.a.",J461/Z461))</f>
        <v/>
      </c>
      <c r="L461" s="14">
        <f>IF(OR(A461="",COUNT(H461)=0,COUNT(Y461)=0),"",ROUND(H461*(1+Y461),2))</f>
        <v/>
      </c>
      <c r="M461" s="10" t="n"/>
      <c r="N461" s="10" t="n"/>
      <c r="O461" s="10" t="n"/>
      <c r="P461" s="10" t="n"/>
      <c r="Q461" s="20" t="n"/>
      <c r="R461" s="10" t="n"/>
      <c r="S461" s="10" t="n"/>
      <c r="T461" s="18" t="n"/>
      <c r="U461" s="18" t="n"/>
      <c r="V461" s="10" t="n"/>
      <c r="W461" s="10" t="n"/>
      <c r="X461" s="19">
        <f>IF(OR(A461="",COUNT(U461)=0,COUNT(AI461)=0),"",U461+AI461)</f>
        <v/>
      </c>
      <c r="Y461" s="16" t="n"/>
      <c r="Z461" s="12" t="n"/>
      <c r="AA461" s="17">
        <f>IF(COUNT(J461)=0,"",IF(H461=0,"n.a.",J461/H461))</f>
        <v/>
      </c>
      <c r="AB461" s="12" t="n"/>
      <c r="AC461" s="12" t="n"/>
      <c r="AD461" s="12" t="n"/>
      <c r="AE461" s="13">
        <f>IF(OR(COUNT(J461)=0,COUNT(AB461:AD461)&lt;3),"",ROUND(J461-SUM(AB461:AD461),2))</f>
        <v/>
      </c>
      <c r="AF461" s="15">
        <f>IF(COUNT(AE461)=0,"",IF(Z461=0,"n.a.",AE461/Z461))</f>
        <v/>
      </c>
      <c r="AG461" s="12" t="n"/>
      <c r="AH461" s="14">
        <f>IF(OR(A461="",COUNT(Z461)=0,COUNT(AG461)=0),"",ROUND(Z461-AG461,2))</f>
        <v/>
      </c>
      <c r="AI461" s="21" t="n"/>
      <c r="AJ461" s="11">
        <f>IF(A461="","",IF(COUNT(I461)=0,"Enter approved NTE",IF(COUNT(Z461)&gt;0,IF(Z461&gt;I461,"Invoice exceeds NTE","Invoice within NTE"),IF(COUNT(L461)=0,"Enter quote inputs",IF(L461&gt;I461,"Quote exceeds NTE","Quote within NTE")))))</f>
        <v/>
      </c>
      <c r="AK461" s="11">
        <f>IF(A461="","",IF(COUNT(H461)=0,"Enter direct cost",IF(COUNT(Z461)=0,"Enter invoice revenue",IF(COUNT(AB461:AD461)&lt;3,"Enter expenses (0 if none)","Complete"))))</f>
        <v/>
      </c>
      <c r="AL461" s="11">
        <f>IF(A461="","",IF(NOT(AND(COUNT(AH461)=1,N(AH461)&gt;0.004,V461&lt;&gt;"Void",V461&lt;&gt;"Not invoiced",V461&lt;&gt;"Draft")),"",IF(COUNT(X461)=0,"No due date",IF(TODAY()-X461&lt;=0,"Not yet due",IF(TODAY()-X461&lt;=30,"1-30 days",IF(TODAY()-X461&lt;=60,"31-60 days",IF(TODAY()-X461&lt;=90,"61-90 days","Over 90 days")))))))</f>
        <v/>
      </c>
      <c r="AM461" s="49">
        <f>IF(OR(AL461="",AL461="No due date"),"",MAX(TODAY()-X461,0))</f>
        <v/>
      </c>
      <c r="AN461" s="49">
        <f>IF(AL461="","",IF(COUNT(X461)=0,-100000,TODAY()-X461))</f>
        <v/>
      </c>
      <c r="AO461" s="49">
        <f>IF(AN461="","",COUNTIF(AN$11:AN$1010,"&gt;"&amp;AN461)+COUNTIF(AN$11:AN461,AN461))</f>
        <v/>
      </c>
      <c r="AP461" s="49">
        <f>IF(OR(A461="",B461=""),"",IF(COUNTIF(B$11:B461,B461)=1,MAX(AP$10:AP460)+1,""))</f>
        <v/>
      </c>
    </row>
    <row r="462" ht="24" customHeight="1">
      <c r="A462" s="20" t="n"/>
      <c r="B462" s="10" t="n"/>
      <c r="C462" s="10" t="n"/>
      <c r="D462" s="10" t="n"/>
      <c r="E462" s="10" t="n"/>
      <c r="F462" s="18" t="n"/>
      <c r="G462" s="10" t="n"/>
      <c r="H462" s="12" t="n"/>
      <c r="I462" s="12" t="n"/>
      <c r="J462" s="13">
        <f>IF(OR(A462="",COUNT(H462)=0,COUNT(Z462)=0),"",ROUND(Z462-H462,2))</f>
        <v/>
      </c>
      <c r="K462" s="15">
        <f>IF(COUNT(J462)=0,"",IF(Z462=0,"n.a.",J462/Z462))</f>
        <v/>
      </c>
      <c r="L462" s="14">
        <f>IF(OR(A462="",COUNT(H462)=0,COUNT(Y462)=0),"",ROUND(H462*(1+Y462),2))</f>
        <v/>
      </c>
      <c r="M462" s="10" t="n"/>
      <c r="N462" s="10" t="n"/>
      <c r="O462" s="10" t="n"/>
      <c r="P462" s="10" t="n"/>
      <c r="Q462" s="20" t="n"/>
      <c r="R462" s="10" t="n"/>
      <c r="S462" s="10" t="n"/>
      <c r="T462" s="18" t="n"/>
      <c r="U462" s="18" t="n"/>
      <c r="V462" s="10" t="n"/>
      <c r="W462" s="10" t="n"/>
      <c r="X462" s="19">
        <f>IF(OR(A462="",COUNT(U462)=0,COUNT(AI462)=0),"",U462+AI462)</f>
        <v/>
      </c>
      <c r="Y462" s="16" t="n"/>
      <c r="Z462" s="12" t="n"/>
      <c r="AA462" s="17">
        <f>IF(COUNT(J462)=0,"",IF(H462=0,"n.a.",J462/H462))</f>
        <v/>
      </c>
      <c r="AB462" s="12" t="n"/>
      <c r="AC462" s="12" t="n"/>
      <c r="AD462" s="12" t="n"/>
      <c r="AE462" s="13">
        <f>IF(OR(COUNT(J462)=0,COUNT(AB462:AD462)&lt;3),"",ROUND(J462-SUM(AB462:AD462),2))</f>
        <v/>
      </c>
      <c r="AF462" s="15">
        <f>IF(COUNT(AE462)=0,"",IF(Z462=0,"n.a.",AE462/Z462))</f>
        <v/>
      </c>
      <c r="AG462" s="12" t="n"/>
      <c r="AH462" s="14">
        <f>IF(OR(A462="",COUNT(Z462)=0,COUNT(AG462)=0),"",ROUND(Z462-AG462,2))</f>
        <v/>
      </c>
      <c r="AI462" s="21" t="n"/>
      <c r="AJ462" s="11">
        <f>IF(A462="","",IF(COUNT(I462)=0,"Enter approved NTE",IF(COUNT(Z462)&gt;0,IF(Z462&gt;I462,"Invoice exceeds NTE","Invoice within NTE"),IF(COUNT(L462)=0,"Enter quote inputs",IF(L462&gt;I462,"Quote exceeds NTE","Quote within NTE")))))</f>
        <v/>
      </c>
      <c r="AK462" s="11">
        <f>IF(A462="","",IF(COUNT(H462)=0,"Enter direct cost",IF(COUNT(Z462)=0,"Enter invoice revenue",IF(COUNT(AB462:AD462)&lt;3,"Enter expenses (0 if none)","Complete"))))</f>
        <v/>
      </c>
      <c r="AL462" s="11">
        <f>IF(A462="","",IF(NOT(AND(COUNT(AH462)=1,N(AH462)&gt;0.004,V462&lt;&gt;"Void",V462&lt;&gt;"Not invoiced",V462&lt;&gt;"Draft")),"",IF(COUNT(X462)=0,"No due date",IF(TODAY()-X462&lt;=0,"Not yet due",IF(TODAY()-X462&lt;=30,"1-30 days",IF(TODAY()-X462&lt;=60,"31-60 days",IF(TODAY()-X462&lt;=90,"61-90 days","Over 90 days")))))))</f>
        <v/>
      </c>
      <c r="AM462" s="49">
        <f>IF(OR(AL462="",AL462="No due date"),"",MAX(TODAY()-X462,0))</f>
        <v/>
      </c>
      <c r="AN462" s="49">
        <f>IF(AL462="","",IF(COUNT(X462)=0,-100000,TODAY()-X462))</f>
        <v/>
      </c>
      <c r="AO462" s="49">
        <f>IF(AN462="","",COUNTIF(AN$11:AN$1010,"&gt;"&amp;AN462)+COUNTIF(AN$11:AN462,AN462))</f>
        <v/>
      </c>
      <c r="AP462" s="49">
        <f>IF(OR(A462="",B462=""),"",IF(COUNTIF(B$11:B462,B462)=1,MAX(AP$10:AP461)+1,""))</f>
        <v/>
      </c>
    </row>
    <row r="463" ht="24" customHeight="1">
      <c r="A463" s="20" t="n"/>
      <c r="B463" s="10" t="n"/>
      <c r="C463" s="10" t="n"/>
      <c r="D463" s="10" t="n"/>
      <c r="E463" s="10" t="n"/>
      <c r="F463" s="18" t="n"/>
      <c r="G463" s="10" t="n"/>
      <c r="H463" s="12" t="n"/>
      <c r="I463" s="12" t="n"/>
      <c r="J463" s="13">
        <f>IF(OR(A463="",COUNT(H463)=0,COUNT(Z463)=0),"",ROUND(Z463-H463,2))</f>
        <v/>
      </c>
      <c r="K463" s="15">
        <f>IF(COUNT(J463)=0,"",IF(Z463=0,"n.a.",J463/Z463))</f>
        <v/>
      </c>
      <c r="L463" s="14">
        <f>IF(OR(A463="",COUNT(H463)=0,COUNT(Y463)=0),"",ROUND(H463*(1+Y463),2))</f>
        <v/>
      </c>
      <c r="M463" s="10" t="n"/>
      <c r="N463" s="10" t="n"/>
      <c r="O463" s="10" t="n"/>
      <c r="P463" s="10" t="n"/>
      <c r="Q463" s="20" t="n"/>
      <c r="R463" s="10" t="n"/>
      <c r="S463" s="10" t="n"/>
      <c r="T463" s="18" t="n"/>
      <c r="U463" s="18" t="n"/>
      <c r="V463" s="10" t="n"/>
      <c r="W463" s="10" t="n"/>
      <c r="X463" s="19">
        <f>IF(OR(A463="",COUNT(U463)=0,COUNT(AI463)=0),"",U463+AI463)</f>
        <v/>
      </c>
      <c r="Y463" s="16" t="n"/>
      <c r="Z463" s="12" t="n"/>
      <c r="AA463" s="17">
        <f>IF(COUNT(J463)=0,"",IF(H463=0,"n.a.",J463/H463))</f>
        <v/>
      </c>
      <c r="AB463" s="12" t="n"/>
      <c r="AC463" s="12" t="n"/>
      <c r="AD463" s="12" t="n"/>
      <c r="AE463" s="13">
        <f>IF(OR(COUNT(J463)=0,COUNT(AB463:AD463)&lt;3),"",ROUND(J463-SUM(AB463:AD463),2))</f>
        <v/>
      </c>
      <c r="AF463" s="15">
        <f>IF(COUNT(AE463)=0,"",IF(Z463=0,"n.a.",AE463/Z463))</f>
        <v/>
      </c>
      <c r="AG463" s="12" t="n"/>
      <c r="AH463" s="14">
        <f>IF(OR(A463="",COUNT(Z463)=0,COUNT(AG463)=0),"",ROUND(Z463-AG463,2))</f>
        <v/>
      </c>
      <c r="AI463" s="21" t="n"/>
      <c r="AJ463" s="11">
        <f>IF(A463="","",IF(COUNT(I463)=0,"Enter approved NTE",IF(COUNT(Z463)&gt;0,IF(Z463&gt;I463,"Invoice exceeds NTE","Invoice within NTE"),IF(COUNT(L463)=0,"Enter quote inputs",IF(L463&gt;I463,"Quote exceeds NTE","Quote within NTE")))))</f>
        <v/>
      </c>
      <c r="AK463" s="11">
        <f>IF(A463="","",IF(COUNT(H463)=0,"Enter direct cost",IF(COUNT(Z463)=0,"Enter invoice revenue",IF(COUNT(AB463:AD463)&lt;3,"Enter expenses (0 if none)","Complete"))))</f>
        <v/>
      </c>
      <c r="AL463" s="11">
        <f>IF(A463="","",IF(NOT(AND(COUNT(AH463)=1,N(AH463)&gt;0.004,V463&lt;&gt;"Void",V463&lt;&gt;"Not invoiced",V463&lt;&gt;"Draft")),"",IF(COUNT(X463)=0,"No due date",IF(TODAY()-X463&lt;=0,"Not yet due",IF(TODAY()-X463&lt;=30,"1-30 days",IF(TODAY()-X463&lt;=60,"31-60 days",IF(TODAY()-X463&lt;=90,"61-90 days","Over 90 days")))))))</f>
        <v/>
      </c>
      <c r="AM463" s="49">
        <f>IF(OR(AL463="",AL463="No due date"),"",MAX(TODAY()-X463,0))</f>
        <v/>
      </c>
      <c r="AN463" s="49">
        <f>IF(AL463="","",IF(COUNT(X463)=0,-100000,TODAY()-X463))</f>
        <v/>
      </c>
      <c r="AO463" s="49">
        <f>IF(AN463="","",COUNTIF(AN$11:AN$1010,"&gt;"&amp;AN463)+COUNTIF(AN$11:AN463,AN463))</f>
        <v/>
      </c>
      <c r="AP463" s="49">
        <f>IF(OR(A463="",B463=""),"",IF(COUNTIF(B$11:B463,B463)=1,MAX(AP$10:AP462)+1,""))</f>
        <v/>
      </c>
    </row>
    <row r="464" ht="24" customHeight="1">
      <c r="A464" s="20" t="n"/>
      <c r="B464" s="10" t="n"/>
      <c r="C464" s="10" t="n"/>
      <c r="D464" s="10" t="n"/>
      <c r="E464" s="10" t="n"/>
      <c r="F464" s="18" t="n"/>
      <c r="G464" s="10" t="n"/>
      <c r="H464" s="12" t="n"/>
      <c r="I464" s="12" t="n"/>
      <c r="J464" s="13">
        <f>IF(OR(A464="",COUNT(H464)=0,COUNT(Z464)=0),"",ROUND(Z464-H464,2))</f>
        <v/>
      </c>
      <c r="K464" s="15">
        <f>IF(COUNT(J464)=0,"",IF(Z464=0,"n.a.",J464/Z464))</f>
        <v/>
      </c>
      <c r="L464" s="14">
        <f>IF(OR(A464="",COUNT(H464)=0,COUNT(Y464)=0),"",ROUND(H464*(1+Y464),2))</f>
        <v/>
      </c>
      <c r="M464" s="10" t="n"/>
      <c r="N464" s="10" t="n"/>
      <c r="O464" s="10" t="n"/>
      <c r="P464" s="10" t="n"/>
      <c r="Q464" s="20" t="n"/>
      <c r="R464" s="10" t="n"/>
      <c r="S464" s="10" t="n"/>
      <c r="T464" s="18" t="n"/>
      <c r="U464" s="18" t="n"/>
      <c r="V464" s="10" t="n"/>
      <c r="W464" s="10" t="n"/>
      <c r="X464" s="19">
        <f>IF(OR(A464="",COUNT(U464)=0,COUNT(AI464)=0),"",U464+AI464)</f>
        <v/>
      </c>
      <c r="Y464" s="16" t="n"/>
      <c r="Z464" s="12" t="n"/>
      <c r="AA464" s="17">
        <f>IF(COUNT(J464)=0,"",IF(H464=0,"n.a.",J464/H464))</f>
        <v/>
      </c>
      <c r="AB464" s="12" t="n"/>
      <c r="AC464" s="12" t="n"/>
      <c r="AD464" s="12" t="n"/>
      <c r="AE464" s="13">
        <f>IF(OR(COUNT(J464)=0,COUNT(AB464:AD464)&lt;3),"",ROUND(J464-SUM(AB464:AD464),2))</f>
        <v/>
      </c>
      <c r="AF464" s="15">
        <f>IF(COUNT(AE464)=0,"",IF(Z464=0,"n.a.",AE464/Z464))</f>
        <v/>
      </c>
      <c r="AG464" s="12" t="n"/>
      <c r="AH464" s="14">
        <f>IF(OR(A464="",COUNT(Z464)=0,COUNT(AG464)=0),"",ROUND(Z464-AG464,2))</f>
        <v/>
      </c>
      <c r="AI464" s="21" t="n"/>
      <c r="AJ464" s="11">
        <f>IF(A464="","",IF(COUNT(I464)=0,"Enter approved NTE",IF(COUNT(Z464)&gt;0,IF(Z464&gt;I464,"Invoice exceeds NTE","Invoice within NTE"),IF(COUNT(L464)=0,"Enter quote inputs",IF(L464&gt;I464,"Quote exceeds NTE","Quote within NTE")))))</f>
        <v/>
      </c>
      <c r="AK464" s="11">
        <f>IF(A464="","",IF(COUNT(H464)=0,"Enter direct cost",IF(COUNT(Z464)=0,"Enter invoice revenue",IF(COUNT(AB464:AD464)&lt;3,"Enter expenses (0 if none)","Complete"))))</f>
        <v/>
      </c>
      <c r="AL464" s="11">
        <f>IF(A464="","",IF(NOT(AND(COUNT(AH464)=1,N(AH464)&gt;0.004,V464&lt;&gt;"Void",V464&lt;&gt;"Not invoiced",V464&lt;&gt;"Draft")),"",IF(COUNT(X464)=0,"No due date",IF(TODAY()-X464&lt;=0,"Not yet due",IF(TODAY()-X464&lt;=30,"1-30 days",IF(TODAY()-X464&lt;=60,"31-60 days",IF(TODAY()-X464&lt;=90,"61-90 days","Over 90 days")))))))</f>
        <v/>
      </c>
      <c r="AM464" s="49">
        <f>IF(OR(AL464="",AL464="No due date"),"",MAX(TODAY()-X464,0))</f>
        <v/>
      </c>
      <c r="AN464" s="49">
        <f>IF(AL464="","",IF(COUNT(X464)=0,-100000,TODAY()-X464))</f>
        <v/>
      </c>
      <c r="AO464" s="49">
        <f>IF(AN464="","",COUNTIF(AN$11:AN$1010,"&gt;"&amp;AN464)+COUNTIF(AN$11:AN464,AN464))</f>
        <v/>
      </c>
      <c r="AP464" s="49">
        <f>IF(OR(A464="",B464=""),"",IF(COUNTIF(B$11:B464,B464)=1,MAX(AP$10:AP463)+1,""))</f>
        <v/>
      </c>
    </row>
    <row r="465" ht="24" customHeight="1">
      <c r="A465" s="20" t="n"/>
      <c r="B465" s="10" t="n"/>
      <c r="C465" s="10" t="n"/>
      <c r="D465" s="10" t="n"/>
      <c r="E465" s="10" t="n"/>
      <c r="F465" s="18" t="n"/>
      <c r="G465" s="10" t="n"/>
      <c r="H465" s="12" t="n"/>
      <c r="I465" s="12" t="n"/>
      <c r="J465" s="13">
        <f>IF(OR(A465="",COUNT(H465)=0,COUNT(Z465)=0),"",ROUND(Z465-H465,2))</f>
        <v/>
      </c>
      <c r="K465" s="15">
        <f>IF(COUNT(J465)=0,"",IF(Z465=0,"n.a.",J465/Z465))</f>
        <v/>
      </c>
      <c r="L465" s="14">
        <f>IF(OR(A465="",COUNT(H465)=0,COUNT(Y465)=0),"",ROUND(H465*(1+Y465),2))</f>
        <v/>
      </c>
      <c r="M465" s="10" t="n"/>
      <c r="N465" s="10" t="n"/>
      <c r="O465" s="10" t="n"/>
      <c r="P465" s="10" t="n"/>
      <c r="Q465" s="20" t="n"/>
      <c r="R465" s="10" t="n"/>
      <c r="S465" s="10" t="n"/>
      <c r="T465" s="18" t="n"/>
      <c r="U465" s="18" t="n"/>
      <c r="V465" s="10" t="n"/>
      <c r="W465" s="10" t="n"/>
      <c r="X465" s="19">
        <f>IF(OR(A465="",COUNT(U465)=0,COUNT(AI465)=0),"",U465+AI465)</f>
        <v/>
      </c>
      <c r="Y465" s="16" t="n"/>
      <c r="Z465" s="12" t="n"/>
      <c r="AA465" s="17">
        <f>IF(COUNT(J465)=0,"",IF(H465=0,"n.a.",J465/H465))</f>
        <v/>
      </c>
      <c r="AB465" s="12" t="n"/>
      <c r="AC465" s="12" t="n"/>
      <c r="AD465" s="12" t="n"/>
      <c r="AE465" s="13">
        <f>IF(OR(COUNT(J465)=0,COUNT(AB465:AD465)&lt;3),"",ROUND(J465-SUM(AB465:AD465),2))</f>
        <v/>
      </c>
      <c r="AF465" s="15">
        <f>IF(COUNT(AE465)=0,"",IF(Z465=0,"n.a.",AE465/Z465))</f>
        <v/>
      </c>
      <c r="AG465" s="12" t="n"/>
      <c r="AH465" s="14">
        <f>IF(OR(A465="",COUNT(Z465)=0,COUNT(AG465)=0),"",ROUND(Z465-AG465,2))</f>
        <v/>
      </c>
      <c r="AI465" s="21" t="n"/>
      <c r="AJ465" s="11">
        <f>IF(A465="","",IF(COUNT(I465)=0,"Enter approved NTE",IF(COUNT(Z465)&gt;0,IF(Z465&gt;I465,"Invoice exceeds NTE","Invoice within NTE"),IF(COUNT(L465)=0,"Enter quote inputs",IF(L465&gt;I465,"Quote exceeds NTE","Quote within NTE")))))</f>
        <v/>
      </c>
      <c r="AK465" s="11">
        <f>IF(A465="","",IF(COUNT(H465)=0,"Enter direct cost",IF(COUNT(Z465)=0,"Enter invoice revenue",IF(COUNT(AB465:AD465)&lt;3,"Enter expenses (0 if none)","Complete"))))</f>
        <v/>
      </c>
      <c r="AL465" s="11">
        <f>IF(A465="","",IF(NOT(AND(COUNT(AH465)=1,N(AH465)&gt;0.004,V465&lt;&gt;"Void",V465&lt;&gt;"Not invoiced",V465&lt;&gt;"Draft")),"",IF(COUNT(X465)=0,"No due date",IF(TODAY()-X465&lt;=0,"Not yet due",IF(TODAY()-X465&lt;=30,"1-30 days",IF(TODAY()-X465&lt;=60,"31-60 days",IF(TODAY()-X465&lt;=90,"61-90 days","Over 90 days")))))))</f>
        <v/>
      </c>
      <c r="AM465" s="49">
        <f>IF(OR(AL465="",AL465="No due date"),"",MAX(TODAY()-X465,0))</f>
        <v/>
      </c>
      <c r="AN465" s="49">
        <f>IF(AL465="","",IF(COUNT(X465)=0,-100000,TODAY()-X465))</f>
        <v/>
      </c>
      <c r="AO465" s="49">
        <f>IF(AN465="","",COUNTIF(AN$11:AN$1010,"&gt;"&amp;AN465)+COUNTIF(AN$11:AN465,AN465))</f>
        <v/>
      </c>
      <c r="AP465" s="49">
        <f>IF(OR(A465="",B465=""),"",IF(COUNTIF(B$11:B465,B465)=1,MAX(AP$10:AP464)+1,""))</f>
        <v/>
      </c>
    </row>
    <row r="466" ht="24" customHeight="1">
      <c r="A466" s="20" t="n"/>
      <c r="B466" s="10" t="n"/>
      <c r="C466" s="10" t="n"/>
      <c r="D466" s="10" t="n"/>
      <c r="E466" s="10" t="n"/>
      <c r="F466" s="18" t="n"/>
      <c r="G466" s="10" t="n"/>
      <c r="H466" s="12" t="n"/>
      <c r="I466" s="12" t="n"/>
      <c r="J466" s="13">
        <f>IF(OR(A466="",COUNT(H466)=0,COUNT(Z466)=0),"",ROUND(Z466-H466,2))</f>
        <v/>
      </c>
      <c r="K466" s="15">
        <f>IF(COUNT(J466)=0,"",IF(Z466=0,"n.a.",J466/Z466))</f>
        <v/>
      </c>
      <c r="L466" s="14">
        <f>IF(OR(A466="",COUNT(H466)=0,COUNT(Y466)=0),"",ROUND(H466*(1+Y466),2))</f>
        <v/>
      </c>
      <c r="M466" s="10" t="n"/>
      <c r="N466" s="10" t="n"/>
      <c r="O466" s="10" t="n"/>
      <c r="P466" s="10" t="n"/>
      <c r="Q466" s="20" t="n"/>
      <c r="R466" s="10" t="n"/>
      <c r="S466" s="10" t="n"/>
      <c r="T466" s="18" t="n"/>
      <c r="U466" s="18" t="n"/>
      <c r="V466" s="10" t="n"/>
      <c r="W466" s="10" t="n"/>
      <c r="X466" s="19">
        <f>IF(OR(A466="",COUNT(U466)=0,COUNT(AI466)=0),"",U466+AI466)</f>
        <v/>
      </c>
      <c r="Y466" s="16" t="n"/>
      <c r="Z466" s="12" t="n"/>
      <c r="AA466" s="17">
        <f>IF(COUNT(J466)=0,"",IF(H466=0,"n.a.",J466/H466))</f>
        <v/>
      </c>
      <c r="AB466" s="12" t="n"/>
      <c r="AC466" s="12" t="n"/>
      <c r="AD466" s="12" t="n"/>
      <c r="AE466" s="13">
        <f>IF(OR(COUNT(J466)=0,COUNT(AB466:AD466)&lt;3),"",ROUND(J466-SUM(AB466:AD466),2))</f>
        <v/>
      </c>
      <c r="AF466" s="15">
        <f>IF(COUNT(AE466)=0,"",IF(Z466=0,"n.a.",AE466/Z466))</f>
        <v/>
      </c>
      <c r="AG466" s="12" t="n"/>
      <c r="AH466" s="14">
        <f>IF(OR(A466="",COUNT(Z466)=0,COUNT(AG466)=0),"",ROUND(Z466-AG466,2))</f>
        <v/>
      </c>
      <c r="AI466" s="21" t="n"/>
      <c r="AJ466" s="11">
        <f>IF(A466="","",IF(COUNT(I466)=0,"Enter approved NTE",IF(COUNT(Z466)&gt;0,IF(Z466&gt;I466,"Invoice exceeds NTE","Invoice within NTE"),IF(COUNT(L466)=0,"Enter quote inputs",IF(L466&gt;I466,"Quote exceeds NTE","Quote within NTE")))))</f>
        <v/>
      </c>
      <c r="AK466" s="11">
        <f>IF(A466="","",IF(COUNT(H466)=0,"Enter direct cost",IF(COUNT(Z466)=0,"Enter invoice revenue",IF(COUNT(AB466:AD466)&lt;3,"Enter expenses (0 if none)","Complete"))))</f>
        <v/>
      </c>
      <c r="AL466" s="11">
        <f>IF(A466="","",IF(NOT(AND(COUNT(AH466)=1,N(AH466)&gt;0.004,V466&lt;&gt;"Void",V466&lt;&gt;"Not invoiced",V466&lt;&gt;"Draft")),"",IF(COUNT(X466)=0,"No due date",IF(TODAY()-X466&lt;=0,"Not yet due",IF(TODAY()-X466&lt;=30,"1-30 days",IF(TODAY()-X466&lt;=60,"31-60 days",IF(TODAY()-X466&lt;=90,"61-90 days","Over 90 days")))))))</f>
        <v/>
      </c>
      <c r="AM466" s="49">
        <f>IF(OR(AL466="",AL466="No due date"),"",MAX(TODAY()-X466,0))</f>
        <v/>
      </c>
      <c r="AN466" s="49">
        <f>IF(AL466="","",IF(COUNT(X466)=0,-100000,TODAY()-X466))</f>
        <v/>
      </c>
      <c r="AO466" s="49">
        <f>IF(AN466="","",COUNTIF(AN$11:AN$1010,"&gt;"&amp;AN466)+COUNTIF(AN$11:AN466,AN466))</f>
        <v/>
      </c>
      <c r="AP466" s="49">
        <f>IF(OR(A466="",B466=""),"",IF(COUNTIF(B$11:B466,B466)=1,MAX(AP$10:AP465)+1,""))</f>
        <v/>
      </c>
    </row>
    <row r="467" ht="24" customHeight="1">
      <c r="A467" s="20" t="n"/>
      <c r="B467" s="10" t="n"/>
      <c r="C467" s="10" t="n"/>
      <c r="D467" s="10" t="n"/>
      <c r="E467" s="10" t="n"/>
      <c r="F467" s="18" t="n"/>
      <c r="G467" s="10" t="n"/>
      <c r="H467" s="12" t="n"/>
      <c r="I467" s="12" t="n"/>
      <c r="J467" s="13">
        <f>IF(OR(A467="",COUNT(H467)=0,COUNT(Z467)=0),"",ROUND(Z467-H467,2))</f>
        <v/>
      </c>
      <c r="K467" s="15">
        <f>IF(COUNT(J467)=0,"",IF(Z467=0,"n.a.",J467/Z467))</f>
        <v/>
      </c>
      <c r="L467" s="14">
        <f>IF(OR(A467="",COUNT(H467)=0,COUNT(Y467)=0),"",ROUND(H467*(1+Y467),2))</f>
        <v/>
      </c>
      <c r="M467" s="10" t="n"/>
      <c r="N467" s="10" t="n"/>
      <c r="O467" s="10" t="n"/>
      <c r="P467" s="10" t="n"/>
      <c r="Q467" s="20" t="n"/>
      <c r="R467" s="10" t="n"/>
      <c r="S467" s="10" t="n"/>
      <c r="T467" s="18" t="n"/>
      <c r="U467" s="18" t="n"/>
      <c r="V467" s="10" t="n"/>
      <c r="W467" s="10" t="n"/>
      <c r="X467" s="19">
        <f>IF(OR(A467="",COUNT(U467)=0,COUNT(AI467)=0),"",U467+AI467)</f>
        <v/>
      </c>
      <c r="Y467" s="16" t="n"/>
      <c r="Z467" s="12" t="n"/>
      <c r="AA467" s="17">
        <f>IF(COUNT(J467)=0,"",IF(H467=0,"n.a.",J467/H467))</f>
        <v/>
      </c>
      <c r="AB467" s="12" t="n"/>
      <c r="AC467" s="12" t="n"/>
      <c r="AD467" s="12" t="n"/>
      <c r="AE467" s="13">
        <f>IF(OR(COUNT(J467)=0,COUNT(AB467:AD467)&lt;3),"",ROUND(J467-SUM(AB467:AD467),2))</f>
        <v/>
      </c>
      <c r="AF467" s="15">
        <f>IF(COUNT(AE467)=0,"",IF(Z467=0,"n.a.",AE467/Z467))</f>
        <v/>
      </c>
      <c r="AG467" s="12" t="n"/>
      <c r="AH467" s="14">
        <f>IF(OR(A467="",COUNT(Z467)=0,COUNT(AG467)=0),"",ROUND(Z467-AG467,2))</f>
        <v/>
      </c>
      <c r="AI467" s="21" t="n"/>
      <c r="AJ467" s="11">
        <f>IF(A467="","",IF(COUNT(I467)=0,"Enter approved NTE",IF(COUNT(Z467)&gt;0,IF(Z467&gt;I467,"Invoice exceeds NTE","Invoice within NTE"),IF(COUNT(L467)=0,"Enter quote inputs",IF(L467&gt;I467,"Quote exceeds NTE","Quote within NTE")))))</f>
        <v/>
      </c>
      <c r="AK467" s="11">
        <f>IF(A467="","",IF(COUNT(H467)=0,"Enter direct cost",IF(COUNT(Z467)=0,"Enter invoice revenue",IF(COUNT(AB467:AD467)&lt;3,"Enter expenses (0 if none)","Complete"))))</f>
        <v/>
      </c>
      <c r="AL467" s="11">
        <f>IF(A467="","",IF(NOT(AND(COUNT(AH467)=1,N(AH467)&gt;0.004,V467&lt;&gt;"Void",V467&lt;&gt;"Not invoiced",V467&lt;&gt;"Draft")),"",IF(COUNT(X467)=0,"No due date",IF(TODAY()-X467&lt;=0,"Not yet due",IF(TODAY()-X467&lt;=30,"1-30 days",IF(TODAY()-X467&lt;=60,"31-60 days",IF(TODAY()-X467&lt;=90,"61-90 days","Over 90 days")))))))</f>
        <v/>
      </c>
      <c r="AM467" s="49">
        <f>IF(OR(AL467="",AL467="No due date"),"",MAX(TODAY()-X467,0))</f>
        <v/>
      </c>
      <c r="AN467" s="49">
        <f>IF(AL467="","",IF(COUNT(X467)=0,-100000,TODAY()-X467))</f>
        <v/>
      </c>
      <c r="AO467" s="49">
        <f>IF(AN467="","",COUNTIF(AN$11:AN$1010,"&gt;"&amp;AN467)+COUNTIF(AN$11:AN467,AN467))</f>
        <v/>
      </c>
      <c r="AP467" s="49">
        <f>IF(OR(A467="",B467=""),"",IF(COUNTIF(B$11:B467,B467)=1,MAX(AP$10:AP466)+1,""))</f>
        <v/>
      </c>
    </row>
    <row r="468" ht="24" customHeight="1">
      <c r="A468" s="20" t="n"/>
      <c r="B468" s="10" t="n"/>
      <c r="C468" s="10" t="n"/>
      <c r="D468" s="10" t="n"/>
      <c r="E468" s="10" t="n"/>
      <c r="F468" s="18" t="n"/>
      <c r="G468" s="10" t="n"/>
      <c r="H468" s="12" t="n"/>
      <c r="I468" s="12" t="n"/>
      <c r="J468" s="13">
        <f>IF(OR(A468="",COUNT(H468)=0,COUNT(Z468)=0),"",ROUND(Z468-H468,2))</f>
        <v/>
      </c>
      <c r="K468" s="15">
        <f>IF(COUNT(J468)=0,"",IF(Z468=0,"n.a.",J468/Z468))</f>
        <v/>
      </c>
      <c r="L468" s="14">
        <f>IF(OR(A468="",COUNT(H468)=0,COUNT(Y468)=0),"",ROUND(H468*(1+Y468),2))</f>
        <v/>
      </c>
      <c r="M468" s="10" t="n"/>
      <c r="N468" s="10" t="n"/>
      <c r="O468" s="10" t="n"/>
      <c r="P468" s="10" t="n"/>
      <c r="Q468" s="20" t="n"/>
      <c r="R468" s="10" t="n"/>
      <c r="S468" s="10" t="n"/>
      <c r="T468" s="18" t="n"/>
      <c r="U468" s="18" t="n"/>
      <c r="V468" s="10" t="n"/>
      <c r="W468" s="10" t="n"/>
      <c r="X468" s="19">
        <f>IF(OR(A468="",COUNT(U468)=0,COUNT(AI468)=0),"",U468+AI468)</f>
        <v/>
      </c>
      <c r="Y468" s="16" t="n"/>
      <c r="Z468" s="12" t="n"/>
      <c r="AA468" s="17">
        <f>IF(COUNT(J468)=0,"",IF(H468=0,"n.a.",J468/H468))</f>
        <v/>
      </c>
      <c r="AB468" s="12" t="n"/>
      <c r="AC468" s="12" t="n"/>
      <c r="AD468" s="12" t="n"/>
      <c r="AE468" s="13">
        <f>IF(OR(COUNT(J468)=0,COUNT(AB468:AD468)&lt;3),"",ROUND(J468-SUM(AB468:AD468),2))</f>
        <v/>
      </c>
      <c r="AF468" s="15">
        <f>IF(COUNT(AE468)=0,"",IF(Z468=0,"n.a.",AE468/Z468))</f>
        <v/>
      </c>
      <c r="AG468" s="12" t="n"/>
      <c r="AH468" s="14">
        <f>IF(OR(A468="",COUNT(Z468)=0,COUNT(AG468)=0),"",ROUND(Z468-AG468,2))</f>
        <v/>
      </c>
      <c r="AI468" s="21" t="n"/>
      <c r="AJ468" s="11">
        <f>IF(A468="","",IF(COUNT(I468)=0,"Enter approved NTE",IF(COUNT(Z468)&gt;0,IF(Z468&gt;I468,"Invoice exceeds NTE","Invoice within NTE"),IF(COUNT(L468)=0,"Enter quote inputs",IF(L468&gt;I468,"Quote exceeds NTE","Quote within NTE")))))</f>
        <v/>
      </c>
      <c r="AK468" s="11">
        <f>IF(A468="","",IF(COUNT(H468)=0,"Enter direct cost",IF(COUNT(Z468)=0,"Enter invoice revenue",IF(COUNT(AB468:AD468)&lt;3,"Enter expenses (0 if none)","Complete"))))</f>
        <v/>
      </c>
      <c r="AL468" s="11">
        <f>IF(A468="","",IF(NOT(AND(COUNT(AH468)=1,N(AH468)&gt;0.004,V468&lt;&gt;"Void",V468&lt;&gt;"Not invoiced",V468&lt;&gt;"Draft")),"",IF(COUNT(X468)=0,"No due date",IF(TODAY()-X468&lt;=0,"Not yet due",IF(TODAY()-X468&lt;=30,"1-30 days",IF(TODAY()-X468&lt;=60,"31-60 days",IF(TODAY()-X468&lt;=90,"61-90 days","Over 90 days")))))))</f>
        <v/>
      </c>
      <c r="AM468" s="49">
        <f>IF(OR(AL468="",AL468="No due date"),"",MAX(TODAY()-X468,0))</f>
        <v/>
      </c>
      <c r="AN468" s="49">
        <f>IF(AL468="","",IF(COUNT(X468)=0,-100000,TODAY()-X468))</f>
        <v/>
      </c>
      <c r="AO468" s="49">
        <f>IF(AN468="","",COUNTIF(AN$11:AN$1010,"&gt;"&amp;AN468)+COUNTIF(AN$11:AN468,AN468))</f>
        <v/>
      </c>
      <c r="AP468" s="49">
        <f>IF(OR(A468="",B468=""),"",IF(COUNTIF(B$11:B468,B468)=1,MAX(AP$10:AP467)+1,""))</f>
        <v/>
      </c>
    </row>
    <row r="469" ht="24" customHeight="1">
      <c r="A469" s="20" t="n"/>
      <c r="B469" s="10" t="n"/>
      <c r="C469" s="10" t="n"/>
      <c r="D469" s="10" t="n"/>
      <c r="E469" s="10" t="n"/>
      <c r="F469" s="18" t="n"/>
      <c r="G469" s="10" t="n"/>
      <c r="H469" s="12" t="n"/>
      <c r="I469" s="12" t="n"/>
      <c r="J469" s="13">
        <f>IF(OR(A469="",COUNT(H469)=0,COUNT(Z469)=0),"",ROUND(Z469-H469,2))</f>
        <v/>
      </c>
      <c r="K469" s="15">
        <f>IF(COUNT(J469)=0,"",IF(Z469=0,"n.a.",J469/Z469))</f>
        <v/>
      </c>
      <c r="L469" s="14">
        <f>IF(OR(A469="",COUNT(H469)=0,COUNT(Y469)=0),"",ROUND(H469*(1+Y469),2))</f>
        <v/>
      </c>
      <c r="M469" s="10" t="n"/>
      <c r="N469" s="10" t="n"/>
      <c r="O469" s="10" t="n"/>
      <c r="P469" s="10" t="n"/>
      <c r="Q469" s="20" t="n"/>
      <c r="R469" s="10" t="n"/>
      <c r="S469" s="10" t="n"/>
      <c r="T469" s="18" t="n"/>
      <c r="U469" s="18" t="n"/>
      <c r="V469" s="10" t="n"/>
      <c r="W469" s="10" t="n"/>
      <c r="X469" s="19">
        <f>IF(OR(A469="",COUNT(U469)=0,COUNT(AI469)=0),"",U469+AI469)</f>
        <v/>
      </c>
      <c r="Y469" s="16" t="n"/>
      <c r="Z469" s="12" t="n"/>
      <c r="AA469" s="17">
        <f>IF(COUNT(J469)=0,"",IF(H469=0,"n.a.",J469/H469))</f>
        <v/>
      </c>
      <c r="AB469" s="12" t="n"/>
      <c r="AC469" s="12" t="n"/>
      <c r="AD469" s="12" t="n"/>
      <c r="AE469" s="13">
        <f>IF(OR(COUNT(J469)=0,COUNT(AB469:AD469)&lt;3),"",ROUND(J469-SUM(AB469:AD469),2))</f>
        <v/>
      </c>
      <c r="AF469" s="15">
        <f>IF(COUNT(AE469)=0,"",IF(Z469=0,"n.a.",AE469/Z469))</f>
        <v/>
      </c>
      <c r="AG469" s="12" t="n"/>
      <c r="AH469" s="14">
        <f>IF(OR(A469="",COUNT(Z469)=0,COUNT(AG469)=0),"",ROUND(Z469-AG469,2))</f>
        <v/>
      </c>
      <c r="AI469" s="21" t="n"/>
      <c r="AJ469" s="11">
        <f>IF(A469="","",IF(COUNT(I469)=0,"Enter approved NTE",IF(COUNT(Z469)&gt;0,IF(Z469&gt;I469,"Invoice exceeds NTE","Invoice within NTE"),IF(COUNT(L469)=0,"Enter quote inputs",IF(L469&gt;I469,"Quote exceeds NTE","Quote within NTE")))))</f>
        <v/>
      </c>
      <c r="AK469" s="11">
        <f>IF(A469="","",IF(COUNT(H469)=0,"Enter direct cost",IF(COUNT(Z469)=0,"Enter invoice revenue",IF(COUNT(AB469:AD469)&lt;3,"Enter expenses (0 if none)","Complete"))))</f>
        <v/>
      </c>
      <c r="AL469" s="11">
        <f>IF(A469="","",IF(NOT(AND(COUNT(AH469)=1,N(AH469)&gt;0.004,V469&lt;&gt;"Void",V469&lt;&gt;"Not invoiced",V469&lt;&gt;"Draft")),"",IF(COUNT(X469)=0,"No due date",IF(TODAY()-X469&lt;=0,"Not yet due",IF(TODAY()-X469&lt;=30,"1-30 days",IF(TODAY()-X469&lt;=60,"31-60 days",IF(TODAY()-X469&lt;=90,"61-90 days","Over 90 days")))))))</f>
        <v/>
      </c>
      <c r="AM469" s="49">
        <f>IF(OR(AL469="",AL469="No due date"),"",MAX(TODAY()-X469,0))</f>
        <v/>
      </c>
      <c r="AN469" s="49">
        <f>IF(AL469="","",IF(COUNT(X469)=0,-100000,TODAY()-X469))</f>
        <v/>
      </c>
      <c r="AO469" s="49">
        <f>IF(AN469="","",COUNTIF(AN$11:AN$1010,"&gt;"&amp;AN469)+COUNTIF(AN$11:AN469,AN469))</f>
        <v/>
      </c>
      <c r="AP469" s="49">
        <f>IF(OR(A469="",B469=""),"",IF(COUNTIF(B$11:B469,B469)=1,MAX(AP$10:AP468)+1,""))</f>
        <v/>
      </c>
    </row>
    <row r="470" ht="24" customHeight="1">
      <c r="A470" s="20" t="n"/>
      <c r="B470" s="10" t="n"/>
      <c r="C470" s="10" t="n"/>
      <c r="D470" s="10" t="n"/>
      <c r="E470" s="10" t="n"/>
      <c r="F470" s="18" t="n"/>
      <c r="G470" s="10" t="n"/>
      <c r="H470" s="12" t="n"/>
      <c r="I470" s="12" t="n"/>
      <c r="J470" s="13">
        <f>IF(OR(A470="",COUNT(H470)=0,COUNT(Z470)=0),"",ROUND(Z470-H470,2))</f>
        <v/>
      </c>
      <c r="K470" s="15">
        <f>IF(COUNT(J470)=0,"",IF(Z470=0,"n.a.",J470/Z470))</f>
        <v/>
      </c>
      <c r="L470" s="14">
        <f>IF(OR(A470="",COUNT(H470)=0,COUNT(Y470)=0),"",ROUND(H470*(1+Y470),2))</f>
        <v/>
      </c>
      <c r="M470" s="10" t="n"/>
      <c r="N470" s="10" t="n"/>
      <c r="O470" s="10" t="n"/>
      <c r="P470" s="10" t="n"/>
      <c r="Q470" s="20" t="n"/>
      <c r="R470" s="10" t="n"/>
      <c r="S470" s="10" t="n"/>
      <c r="T470" s="18" t="n"/>
      <c r="U470" s="18" t="n"/>
      <c r="V470" s="10" t="n"/>
      <c r="W470" s="10" t="n"/>
      <c r="X470" s="19">
        <f>IF(OR(A470="",COUNT(U470)=0,COUNT(AI470)=0),"",U470+AI470)</f>
        <v/>
      </c>
      <c r="Y470" s="16" t="n"/>
      <c r="Z470" s="12" t="n"/>
      <c r="AA470" s="17">
        <f>IF(COUNT(J470)=0,"",IF(H470=0,"n.a.",J470/H470))</f>
        <v/>
      </c>
      <c r="AB470" s="12" t="n"/>
      <c r="AC470" s="12" t="n"/>
      <c r="AD470" s="12" t="n"/>
      <c r="AE470" s="13">
        <f>IF(OR(COUNT(J470)=0,COUNT(AB470:AD470)&lt;3),"",ROUND(J470-SUM(AB470:AD470),2))</f>
        <v/>
      </c>
      <c r="AF470" s="15">
        <f>IF(COUNT(AE470)=0,"",IF(Z470=0,"n.a.",AE470/Z470))</f>
        <v/>
      </c>
      <c r="AG470" s="12" t="n"/>
      <c r="AH470" s="14">
        <f>IF(OR(A470="",COUNT(Z470)=0,COUNT(AG470)=0),"",ROUND(Z470-AG470,2))</f>
        <v/>
      </c>
      <c r="AI470" s="21" t="n"/>
      <c r="AJ470" s="11">
        <f>IF(A470="","",IF(COUNT(I470)=0,"Enter approved NTE",IF(COUNT(Z470)&gt;0,IF(Z470&gt;I470,"Invoice exceeds NTE","Invoice within NTE"),IF(COUNT(L470)=0,"Enter quote inputs",IF(L470&gt;I470,"Quote exceeds NTE","Quote within NTE")))))</f>
        <v/>
      </c>
      <c r="AK470" s="11">
        <f>IF(A470="","",IF(COUNT(H470)=0,"Enter direct cost",IF(COUNT(Z470)=0,"Enter invoice revenue",IF(COUNT(AB470:AD470)&lt;3,"Enter expenses (0 if none)","Complete"))))</f>
        <v/>
      </c>
      <c r="AL470" s="11">
        <f>IF(A470="","",IF(NOT(AND(COUNT(AH470)=1,N(AH470)&gt;0.004,V470&lt;&gt;"Void",V470&lt;&gt;"Not invoiced",V470&lt;&gt;"Draft")),"",IF(COUNT(X470)=0,"No due date",IF(TODAY()-X470&lt;=0,"Not yet due",IF(TODAY()-X470&lt;=30,"1-30 days",IF(TODAY()-X470&lt;=60,"31-60 days",IF(TODAY()-X470&lt;=90,"61-90 days","Over 90 days")))))))</f>
        <v/>
      </c>
      <c r="AM470" s="49">
        <f>IF(OR(AL470="",AL470="No due date"),"",MAX(TODAY()-X470,0))</f>
        <v/>
      </c>
      <c r="AN470" s="49">
        <f>IF(AL470="","",IF(COUNT(X470)=0,-100000,TODAY()-X470))</f>
        <v/>
      </c>
      <c r="AO470" s="49">
        <f>IF(AN470="","",COUNTIF(AN$11:AN$1010,"&gt;"&amp;AN470)+COUNTIF(AN$11:AN470,AN470))</f>
        <v/>
      </c>
      <c r="AP470" s="49">
        <f>IF(OR(A470="",B470=""),"",IF(COUNTIF(B$11:B470,B470)=1,MAX(AP$10:AP469)+1,""))</f>
        <v/>
      </c>
    </row>
    <row r="471" ht="24" customHeight="1">
      <c r="A471" s="20" t="n"/>
      <c r="B471" s="10" t="n"/>
      <c r="C471" s="10" t="n"/>
      <c r="D471" s="10" t="n"/>
      <c r="E471" s="10" t="n"/>
      <c r="F471" s="18" t="n"/>
      <c r="G471" s="10" t="n"/>
      <c r="H471" s="12" t="n"/>
      <c r="I471" s="12" t="n"/>
      <c r="J471" s="13">
        <f>IF(OR(A471="",COUNT(H471)=0,COUNT(Z471)=0),"",ROUND(Z471-H471,2))</f>
        <v/>
      </c>
      <c r="K471" s="15">
        <f>IF(COUNT(J471)=0,"",IF(Z471=0,"n.a.",J471/Z471))</f>
        <v/>
      </c>
      <c r="L471" s="14">
        <f>IF(OR(A471="",COUNT(H471)=0,COUNT(Y471)=0),"",ROUND(H471*(1+Y471),2))</f>
        <v/>
      </c>
      <c r="M471" s="10" t="n"/>
      <c r="N471" s="10" t="n"/>
      <c r="O471" s="10" t="n"/>
      <c r="P471" s="10" t="n"/>
      <c r="Q471" s="20" t="n"/>
      <c r="R471" s="10" t="n"/>
      <c r="S471" s="10" t="n"/>
      <c r="T471" s="18" t="n"/>
      <c r="U471" s="18" t="n"/>
      <c r="V471" s="10" t="n"/>
      <c r="W471" s="10" t="n"/>
      <c r="X471" s="19">
        <f>IF(OR(A471="",COUNT(U471)=0,COUNT(AI471)=0),"",U471+AI471)</f>
        <v/>
      </c>
      <c r="Y471" s="16" t="n"/>
      <c r="Z471" s="12" t="n"/>
      <c r="AA471" s="17">
        <f>IF(COUNT(J471)=0,"",IF(H471=0,"n.a.",J471/H471))</f>
        <v/>
      </c>
      <c r="AB471" s="12" t="n"/>
      <c r="AC471" s="12" t="n"/>
      <c r="AD471" s="12" t="n"/>
      <c r="AE471" s="13">
        <f>IF(OR(COUNT(J471)=0,COUNT(AB471:AD471)&lt;3),"",ROUND(J471-SUM(AB471:AD471),2))</f>
        <v/>
      </c>
      <c r="AF471" s="15">
        <f>IF(COUNT(AE471)=0,"",IF(Z471=0,"n.a.",AE471/Z471))</f>
        <v/>
      </c>
      <c r="AG471" s="12" t="n"/>
      <c r="AH471" s="14">
        <f>IF(OR(A471="",COUNT(Z471)=0,COUNT(AG471)=0),"",ROUND(Z471-AG471,2))</f>
        <v/>
      </c>
      <c r="AI471" s="21" t="n"/>
      <c r="AJ471" s="11">
        <f>IF(A471="","",IF(COUNT(I471)=0,"Enter approved NTE",IF(COUNT(Z471)&gt;0,IF(Z471&gt;I471,"Invoice exceeds NTE","Invoice within NTE"),IF(COUNT(L471)=0,"Enter quote inputs",IF(L471&gt;I471,"Quote exceeds NTE","Quote within NTE")))))</f>
        <v/>
      </c>
      <c r="AK471" s="11">
        <f>IF(A471="","",IF(COUNT(H471)=0,"Enter direct cost",IF(COUNT(Z471)=0,"Enter invoice revenue",IF(COUNT(AB471:AD471)&lt;3,"Enter expenses (0 if none)","Complete"))))</f>
        <v/>
      </c>
      <c r="AL471" s="11">
        <f>IF(A471="","",IF(NOT(AND(COUNT(AH471)=1,N(AH471)&gt;0.004,V471&lt;&gt;"Void",V471&lt;&gt;"Not invoiced",V471&lt;&gt;"Draft")),"",IF(COUNT(X471)=0,"No due date",IF(TODAY()-X471&lt;=0,"Not yet due",IF(TODAY()-X471&lt;=30,"1-30 days",IF(TODAY()-X471&lt;=60,"31-60 days",IF(TODAY()-X471&lt;=90,"61-90 days","Over 90 days")))))))</f>
        <v/>
      </c>
      <c r="AM471" s="49">
        <f>IF(OR(AL471="",AL471="No due date"),"",MAX(TODAY()-X471,0))</f>
        <v/>
      </c>
      <c r="AN471" s="49">
        <f>IF(AL471="","",IF(COUNT(X471)=0,-100000,TODAY()-X471))</f>
        <v/>
      </c>
      <c r="AO471" s="49">
        <f>IF(AN471="","",COUNTIF(AN$11:AN$1010,"&gt;"&amp;AN471)+COUNTIF(AN$11:AN471,AN471))</f>
        <v/>
      </c>
      <c r="AP471" s="49">
        <f>IF(OR(A471="",B471=""),"",IF(COUNTIF(B$11:B471,B471)=1,MAX(AP$10:AP470)+1,""))</f>
        <v/>
      </c>
    </row>
    <row r="472" ht="24" customHeight="1">
      <c r="A472" s="20" t="n"/>
      <c r="B472" s="10" t="n"/>
      <c r="C472" s="10" t="n"/>
      <c r="D472" s="10" t="n"/>
      <c r="E472" s="10" t="n"/>
      <c r="F472" s="18" t="n"/>
      <c r="G472" s="10" t="n"/>
      <c r="H472" s="12" t="n"/>
      <c r="I472" s="12" t="n"/>
      <c r="J472" s="13">
        <f>IF(OR(A472="",COUNT(H472)=0,COUNT(Z472)=0),"",ROUND(Z472-H472,2))</f>
        <v/>
      </c>
      <c r="K472" s="15">
        <f>IF(COUNT(J472)=0,"",IF(Z472=0,"n.a.",J472/Z472))</f>
        <v/>
      </c>
      <c r="L472" s="14">
        <f>IF(OR(A472="",COUNT(H472)=0,COUNT(Y472)=0),"",ROUND(H472*(1+Y472),2))</f>
        <v/>
      </c>
      <c r="M472" s="10" t="n"/>
      <c r="N472" s="10" t="n"/>
      <c r="O472" s="10" t="n"/>
      <c r="P472" s="10" t="n"/>
      <c r="Q472" s="20" t="n"/>
      <c r="R472" s="10" t="n"/>
      <c r="S472" s="10" t="n"/>
      <c r="T472" s="18" t="n"/>
      <c r="U472" s="18" t="n"/>
      <c r="V472" s="10" t="n"/>
      <c r="W472" s="10" t="n"/>
      <c r="X472" s="19">
        <f>IF(OR(A472="",COUNT(U472)=0,COUNT(AI472)=0),"",U472+AI472)</f>
        <v/>
      </c>
      <c r="Y472" s="16" t="n"/>
      <c r="Z472" s="12" t="n"/>
      <c r="AA472" s="17">
        <f>IF(COUNT(J472)=0,"",IF(H472=0,"n.a.",J472/H472))</f>
        <v/>
      </c>
      <c r="AB472" s="12" t="n"/>
      <c r="AC472" s="12" t="n"/>
      <c r="AD472" s="12" t="n"/>
      <c r="AE472" s="13">
        <f>IF(OR(COUNT(J472)=0,COUNT(AB472:AD472)&lt;3),"",ROUND(J472-SUM(AB472:AD472),2))</f>
        <v/>
      </c>
      <c r="AF472" s="15">
        <f>IF(COUNT(AE472)=0,"",IF(Z472=0,"n.a.",AE472/Z472))</f>
        <v/>
      </c>
      <c r="AG472" s="12" t="n"/>
      <c r="AH472" s="14">
        <f>IF(OR(A472="",COUNT(Z472)=0,COUNT(AG472)=0),"",ROUND(Z472-AG472,2))</f>
        <v/>
      </c>
      <c r="AI472" s="21" t="n"/>
      <c r="AJ472" s="11">
        <f>IF(A472="","",IF(COUNT(I472)=0,"Enter approved NTE",IF(COUNT(Z472)&gt;0,IF(Z472&gt;I472,"Invoice exceeds NTE","Invoice within NTE"),IF(COUNT(L472)=0,"Enter quote inputs",IF(L472&gt;I472,"Quote exceeds NTE","Quote within NTE")))))</f>
        <v/>
      </c>
      <c r="AK472" s="11">
        <f>IF(A472="","",IF(COUNT(H472)=0,"Enter direct cost",IF(COUNT(Z472)=0,"Enter invoice revenue",IF(COUNT(AB472:AD472)&lt;3,"Enter expenses (0 if none)","Complete"))))</f>
        <v/>
      </c>
      <c r="AL472" s="11">
        <f>IF(A472="","",IF(NOT(AND(COUNT(AH472)=1,N(AH472)&gt;0.004,V472&lt;&gt;"Void",V472&lt;&gt;"Not invoiced",V472&lt;&gt;"Draft")),"",IF(COUNT(X472)=0,"No due date",IF(TODAY()-X472&lt;=0,"Not yet due",IF(TODAY()-X472&lt;=30,"1-30 days",IF(TODAY()-X472&lt;=60,"31-60 days",IF(TODAY()-X472&lt;=90,"61-90 days","Over 90 days")))))))</f>
        <v/>
      </c>
      <c r="AM472" s="49">
        <f>IF(OR(AL472="",AL472="No due date"),"",MAX(TODAY()-X472,0))</f>
        <v/>
      </c>
      <c r="AN472" s="49">
        <f>IF(AL472="","",IF(COUNT(X472)=0,-100000,TODAY()-X472))</f>
        <v/>
      </c>
      <c r="AO472" s="49">
        <f>IF(AN472="","",COUNTIF(AN$11:AN$1010,"&gt;"&amp;AN472)+COUNTIF(AN$11:AN472,AN472))</f>
        <v/>
      </c>
      <c r="AP472" s="49">
        <f>IF(OR(A472="",B472=""),"",IF(COUNTIF(B$11:B472,B472)=1,MAX(AP$10:AP471)+1,""))</f>
        <v/>
      </c>
    </row>
    <row r="473" ht="24" customHeight="1">
      <c r="A473" s="20" t="n"/>
      <c r="B473" s="10" t="n"/>
      <c r="C473" s="10" t="n"/>
      <c r="D473" s="10" t="n"/>
      <c r="E473" s="10" t="n"/>
      <c r="F473" s="18" t="n"/>
      <c r="G473" s="10" t="n"/>
      <c r="H473" s="12" t="n"/>
      <c r="I473" s="12" t="n"/>
      <c r="J473" s="13">
        <f>IF(OR(A473="",COUNT(H473)=0,COUNT(Z473)=0),"",ROUND(Z473-H473,2))</f>
        <v/>
      </c>
      <c r="K473" s="15">
        <f>IF(COUNT(J473)=0,"",IF(Z473=0,"n.a.",J473/Z473))</f>
        <v/>
      </c>
      <c r="L473" s="14">
        <f>IF(OR(A473="",COUNT(H473)=0,COUNT(Y473)=0),"",ROUND(H473*(1+Y473),2))</f>
        <v/>
      </c>
      <c r="M473" s="10" t="n"/>
      <c r="N473" s="10" t="n"/>
      <c r="O473" s="10" t="n"/>
      <c r="P473" s="10" t="n"/>
      <c r="Q473" s="20" t="n"/>
      <c r="R473" s="10" t="n"/>
      <c r="S473" s="10" t="n"/>
      <c r="T473" s="18" t="n"/>
      <c r="U473" s="18" t="n"/>
      <c r="V473" s="10" t="n"/>
      <c r="W473" s="10" t="n"/>
      <c r="X473" s="19">
        <f>IF(OR(A473="",COUNT(U473)=0,COUNT(AI473)=0),"",U473+AI473)</f>
        <v/>
      </c>
      <c r="Y473" s="16" t="n"/>
      <c r="Z473" s="12" t="n"/>
      <c r="AA473" s="17">
        <f>IF(COUNT(J473)=0,"",IF(H473=0,"n.a.",J473/H473))</f>
        <v/>
      </c>
      <c r="AB473" s="12" t="n"/>
      <c r="AC473" s="12" t="n"/>
      <c r="AD473" s="12" t="n"/>
      <c r="AE473" s="13">
        <f>IF(OR(COUNT(J473)=0,COUNT(AB473:AD473)&lt;3),"",ROUND(J473-SUM(AB473:AD473),2))</f>
        <v/>
      </c>
      <c r="AF473" s="15">
        <f>IF(COUNT(AE473)=0,"",IF(Z473=0,"n.a.",AE473/Z473))</f>
        <v/>
      </c>
      <c r="AG473" s="12" t="n"/>
      <c r="AH473" s="14">
        <f>IF(OR(A473="",COUNT(Z473)=0,COUNT(AG473)=0),"",ROUND(Z473-AG473,2))</f>
        <v/>
      </c>
      <c r="AI473" s="21" t="n"/>
      <c r="AJ473" s="11">
        <f>IF(A473="","",IF(COUNT(I473)=0,"Enter approved NTE",IF(COUNT(Z473)&gt;0,IF(Z473&gt;I473,"Invoice exceeds NTE","Invoice within NTE"),IF(COUNT(L473)=0,"Enter quote inputs",IF(L473&gt;I473,"Quote exceeds NTE","Quote within NTE")))))</f>
        <v/>
      </c>
      <c r="AK473" s="11">
        <f>IF(A473="","",IF(COUNT(H473)=0,"Enter direct cost",IF(COUNT(Z473)=0,"Enter invoice revenue",IF(COUNT(AB473:AD473)&lt;3,"Enter expenses (0 if none)","Complete"))))</f>
        <v/>
      </c>
      <c r="AL473" s="11">
        <f>IF(A473="","",IF(NOT(AND(COUNT(AH473)=1,N(AH473)&gt;0.004,V473&lt;&gt;"Void",V473&lt;&gt;"Not invoiced",V473&lt;&gt;"Draft")),"",IF(COUNT(X473)=0,"No due date",IF(TODAY()-X473&lt;=0,"Not yet due",IF(TODAY()-X473&lt;=30,"1-30 days",IF(TODAY()-X473&lt;=60,"31-60 days",IF(TODAY()-X473&lt;=90,"61-90 days","Over 90 days")))))))</f>
        <v/>
      </c>
      <c r="AM473" s="49">
        <f>IF(OR(AL473="",AL473="No due date"),"",MAX(TODAY()-X473,0))</f>
        <v/>
      </c>
      <c r="AN473" s="49">
        <f>IF(AL473="","",IF(COUNT(X473)=0,-100000,TODAY()-X473))</f>
        <v/>
      </c>
      <c r="AO473" s="49">
        <f>IF(AN473="","",COUNTIF(AN$11:AN$1010,"&gt;"&amp;AN473)+COUNTIF(AN$11:AN473,AN473))</f>
        <v/>
      </c>
      <c r="AP473" s="49">
        <f>IF(OR(A473="",B473=""),"",IF(COUNTIF(B$11:B473,B473)=1,MAX(AP$10:AP472)+1,""))</f>
        <v/>
      </c>
    </row>
    <row r="474" ht="24" customHeight="1">
      <c r="A474" s="20" t="n"/>
      <c r="B474" s="10" t="n"/>
      <c r="C474" s="10" t="n"/>
      <c r="D474" s="10" t="n"/>
      <c r="E474" s="10" t="n"/>
      <c r="F474" s="18" t="n"/>
      <c r="G474" s="10" t="n"/>
      <c r="H474" s="12" t="n"/>
      <c r="I474" s="12" t="n"/>
      <c r="J474" s="13">
        <f>IF(OR(A474="",COUNT(H474)=0,COUNT(Z474)=0),"",ROUND(Z474-H474,2))</f>
        <v/>
      </c>
      <c r="K474" s="15">
        <f>IF(COUNT(J474)=0,"",IF(Z474=0,"n.a.",J474/Z474))</f>
        <v/>
      </c>
      <c r="L474" s="14">
        <f>IF(OR(A474="",COUNT(H474)=0,COUNT(Y474)=0),"",ROUND(H474*(1+Y474),2))</f>
        <v/>
      </c>
      <c r="M474" s="10" t="n"/>
      <c r="N474" s="10" t="n"/>
      <c r="O474" s="10" t="n"/>
      <c r="P474" s="10" t="n"/>
      <c r="Q474" s="20" t="n"/>
      <c r="R474" s="10" t="n"/>
      <c r="S474" s="10" t="n"/>
      <c r="T474" s="18" t="n"/>
      <c r="U474" s="18" t="n"/>
      <c r="V474" s="10" t="n"/>
      <c r="W474" s="10" t="n"/>
      <c r="X474" s="19">
        <f>IF(OR(A474="",COUNT(U474)=0,COUNT(AI474)=0),"",U474+AI474)</f>
        <v/>
      </c>
      <c r="Y474" s="16" t="n"/>
      <c r="Z474" s="12" t="n"/>
      <c r="AA474" s="17">
        <f>IF(COUNT(J474)=0,"",IF(H474=0,"n.a.",J474/H474))</f>
        <v/>
      </c>
      <c r="AB474" s="12" t="n"/>
      <c r="AC474" s="12" t="n"/>
      <c r="AD474" s="12" t="n"/>
      <c r="AE474" s="13">
        <f>IF(OR(COUNT(J474)=0,COUNT(AB474:AD474)&lt;3),"",ROUND(J474-SUM(AB474:AD474),2))</f>
        <v/>
      </c>
      <c r="AF474" s="15">
        <f>IF(COUNT(AE474)=0,"",IF(Z474=0,"n.a.",AE474/Z474))</f>
        <v/>
      </c>
      <c r="AG474" s="12" t="n"/>
      <c r="AH474" s="14">
        <f>IF(OR(A474="",COUNT(Z474)=0,COUNT(AG474)=0),"",ROUND(Z474-AG474,2))</f>
        <v/>
      </c>
      <c r="AI474" s="21" t="n"/>
      <c r="AJ474" s="11">
        <f>IF(A474="","",IF(COUNT(I474)=0,"Enter approved NTE",IF(COUNT(Z474)&gt;0,IF(Z474&gt;I474,"Invoice exceeds NTE","Invoice within NTE"),IF(COUNT(L474)=0,"Enter quote inputs",IF(L474&gt;I474,"Quote exceeds NTE","Quote within NTE")))))</f>
        <v/>
      </c>
      <c r="AK474" s="11">
        <f>IF(A474="","",IF(COUNT(H474)=0,"Enter direct cost",IF(COUNT(Z474)=0,"Enter invoice revenue",IF(COUNT(AB474:AD474)&lt;3,"Enter expenses (0 if none)","Complete"))))</f>
        <v/>
      </c>
      <c r="AL474" s="11">
        <f>IF(A474="","",IF(NOT(AND(COUNT(AH474)=1,N(AH474)&gt;0.004,V474&lt;&gt;"Void",V474&lt;&gt;"Not invoiced",V474&lt;&gt;"Draft")),"",IF(COUNT(X474)=0,"No due date",IF(TODAY()-X474&lt;=0,"Not yet due",IF(TODAY()-X474&lt;=30,"1-30 days",IF(TODAY()-X474&lt;=60,"31-60 days",IF(TODAY()-X474&lt;=90,"61-90 days","Over 90 days")))))))</f>
        <v/>
      </c>
      <c r="AM474" s="49">
        <f>IF(OR(AL474="",AL474="No due date"),"",MAX(TODAY()-X474,0))</f>
        <v/>
      </c>
      <c r="AN474" s="49">
        <f>IF(AL474="","",IF(COUNT(X474)=0,-100000,TODAY()-X474))</f>
        <v/>
      </c>
      <c r="AO474" s="49">
        <f>IF(AN474="","",COUNTIF(AN$11:AN$1010,"&gt;"&amp;AN474)+COUNTIF(AN$11:AN474,AN474))</f>
        <v/>
      </c>
      <c r="AP474" s="49">
        <f>IF(OR(A474="",B474=""),"",IF(COUNTIF(B$11:B474,B474)=1,MAX(AP$10:AP473)+1,""))</f>
        <v/>
      </c>
    </row>
    <row r="475" ht="24" customHeight="1">
      <c r="A475" s="20" t="n"/>
      <c r="B475" s="10" t="n"/>
      <c r="C475" s="10" t="n"/>
      <c r="D475" s="10" t="n"/>
      <c r="E475" s="10" t="n"/>
      <c r="F475" s="18" t="n"/>
      <c r="G475" s="10" t="n"/>
      <c r="H475" s="12" t="n"/>
      <c r="I475" s="12" t="n"/>
      <c r="J475" s="13">
        <f>IF(OR(A475="",COUNT(H475)=0,COUNT(Z475)=0),"",ROUND(Z475-H475,2))</f>
        <v/>
      </c>
      <c r="K475" s="15">
        <f>IF(COUNT(J475)=0,"",IF(Z475=0,"n.a.",J475/Z475))</f>
        <v/>
      </c>
      <c r="L475" s="14">
        <f>IF(OR(A475="",COUNT(H475)=0,COUNT(Y475)=0),"",ROUND(H475*(1+Y475),2))</f>
        <v/>
      </c>
      <c r="M475" s="10" t="n"/>
      <c r="N475" s="10" t="n"/>
      <c r="O475" s="10" t="n"/>
      <c r="P475" s="10" t="n"/>
      <c r="Q475" s="20" t="n"/>
      <c r="R475" s="10" t="n"/>
      <c r="S475" s="10" t="n"/>
      <c r="T475" s="18" t="n"/>
      <c r="U475" s="18" t="n"/>
      <c r="V475" s="10" t="n"/>
      <c r="W475" s="10" t="n"/>
      <c r="X475" s="19">
        <f>IF(OR(A475="",COUNT(U475)=0,COUNT(AI475)=0),"",U475+AI475)</f>
        <v/>
      </c>
      <c r="Y475" s="16" t="n"/>
      <c r="Z475" s="12" t="n"/>
      <c r="AA475" s="17">
        <f>IF(COUNT(J475)=0,"",IF(H475=0,"n.a.",J475/H475))</f>
        <v/>
      </c>
      <c r="AB475" s="12" t="n"/>
      <c r="AC475" s="12" t="n"/>
      <c r="AD475" s="12" t="n"/>
      <c r="AE475" s="13">
        <f>IF(OR(COUNT(J475)=0,COUNT(AB475:AD475)&lt;3),"",ROUND(J475-SUM(AB475:AD475),2))</f>
        <v/>
      </c>
      <c r="AF475" s="15">
        <f>IF(COUNT(AE475)=0,"",IF(Z475=0,"n.a.",AE475/Z475))</f>
        <v/>
      </c>
      <c r="AG475" s="12" t="n"/>
      <c r="AH475" s="14">
        <f>IF(OR(A475="",COUNT(Z475)=0,COUNT(AG475)=0),"",ROUND(Z475-AG475,2))</f>
        <v/>
      </c>
      <c r="AI475" s="21" t="n"/>
      <c r="AJ475" s="11">
        <f>IF(A475="","",IF(COUNT(I475)=0,"Enter approved NTE",IF(COUNT(Z475)&gt;0,IF(Z475&gt;I475,"Invoice exceeds NTE","Invoice within NTE"),IF(COUNT(L475)=0,"Enter quote inputs",IF(L475&gt;I475,"Quote exceeds NTE","Quote within NTE")))))</f>
        <v/>
      </c>
      <c r="AK475" s="11">
        <f>IF(A475="","",IF(COUNT(H475)=0,"Enter direct cost",IF(COUNT(Z475)=0,"Enter invoice revenue",IF(COUNT(AB475:AD475)&lt;3,"Enter expenses (0 if none)","Complete"))))</f>
        <v/>
      </c>
      <c r="AL475" s="11">
        <f>IF(A475="","",IF(NOT(AND(COUNT(AH475)=1,N(AH475)&gt;0.004,V475&lt;&gt;"Void",V475&lt;&gt;"Not invoiced",V475&lt;&gt;"Draft")),"",IF(COUNT(X475)=0,"No due date",IF(TODAY()-X475&lt;=0,"Not yet due",IF(TODAY()-X475&lt;=30,"1-30 days",IF(TODAY()-X475&lt;=60,"31-60 days",IF(TODAY()-X475&lt;=90,"61-90 days","Over 90 days")))))))</f>
        <v/>
      </c>
      <c r="AM475" s="49">
        <f>IF(OR(AL475="",AL475="No due date"),"",MAX(TODAY()-X475,0))</f>
        <v/>
      </c>
      <c r="AN475" s="49">
        <f>IF(AL475="","",IF(COUNT(X475)=0,-100000,TODAY()-X475))</f>
        <v/>
      </c>
      <c r="AO475" s="49">
        <f>IF(AN475="","",COUNTIF(AN$11:AN$1010,"&gt;"&amp;AN475)+COUNTIF(AN$11:AN475,AN475))</f>
        <v/>
      </c>
      <c r="AP475" s="49">
        <f>IF(OR(A475="",B475=""),"",IF(COUNTIF(B$11:B475,B475)=1,MAX(AP$10:AP474)+1,""))</f>
        <v/>
      </c>
    </row>
    <row r="476" ht="24" customHeight="1">
      <c r="A476" s="20" t="n"/>
      <c r="B476" s="10" t="n"/>
      <c r="C476" s="10" t="n"/>
      <c r="D476" s="10" t="n"/>
      <c r="E476" s="10" t="n"/>
      <c r="F476" s="18" t="n"/>
      <c r="G476" s="10" t="n"/>
      <c r="H476" s="12" t="n"/>
      <c r="I476" s="12" t="n"/>
      <c r="J476" s="13">
        <f>IF(OR(A476="",COUNT(H476)=0,COUNT(Z476)=0),"",ROUND(Z476-H476,2))</f>
        <v/>
      </c>
      <c r="K476" s="15">
        <f>IF(COUNT(J476)=0,"",IF(Z476=0,"n.a.",J476/Z476))</f>
        <v/>
      </c>
      <c r="L476" s="14">
        <f>IF(OR(A476="",COUNT(H476)=0,COUNT(Y476)=0),"",ROUND(H476*(1+Y476),2))</f>
        <v/>
      </c>
      <c r="M476" s="10" t="n"/>
      <c r="N476" s="10" t="n"/>
      <c r="O476" s="10" t="n"/>
      <c r="P476" s="10" t="n"/>
      <c r="Q476" s="20" t="n"/>
      <c r="R476" s="10" t="n"/>
      <c r="S476" s="10" t="n"/>
      <c r="T476" s="18" t="n"/>
      <c r="U476" s="18" t="n"/>
      <c r="V476" s="10" t="n"/>
      <c r="W476" s="10" t="n"/>
      <c r="X476" s="19">
        <f>IF(OR(A476="",COUNT(U476)=0,COUNT(AI476)=0),"",U476+AI476)</f>
        <v/>
      </c>
      <c r="Y476" s="16" t="n"/>
      <c r="Z476" s="12" t="n"/>
      <c r="AA476" s="17">
        <f>IF(COUNT(J476)=0,"",IF(H476=0,"n.a.",J476/H476))</f>
        <v/>
      </c>
      <c r="AB476" s="12" t="n"/>
      <c r="AC476" s="12" t="n"/>
      <c r="AD476" s="12" t="n"/>
      <c r="AE476" s="13">
        <f>IF(OR(COUNT(J476)=0,COUNT(AB476:AD476)&lt;3),"",ROUND(J476-SUM(AB476:AD476),2))</f>
        <v/>
      </c>
      <c r="AF476" s="15">
        <f>IF(COUNT(AE476)=0,"",IF(Z476=0,"n.a.",AE476/Z476))</f>
        <v/>
      </c>
      <c r="AG476" s="12" t="n"/>
      <c r="AH476" s="14">
        <f>IF(OR(A476="",COUNT(Z476)=0,COUNT(AG476)=0),"",ROUND(Z476-AG476,2))</f>
        <v/>
      </c>
      <c r="AI476" s="21" t="n"/>
      <c r="AJ476" s="11">
        <f>IF(A476="","",IF(COUNT(I476)=0,"Enter approved NTE",IF(COUNT(Z476)&gt;0,IF(Z476&gt;I476,"Invoice exceeds NTE","Invoice within NTE"),IF(COUNT(L476)=0,"Enter quote inputs",IF(L476&gt;I476,"Quote exceeds NTE","Quote within NTE")))))</f>
        <v/>
      </c>
      <c r="AK476" s="11">
        <f>IF(A476="","",IF(COUNT(H476)=0,"Enter direct cost",IF(COUNT(Z476)=0,"Enter invoice revenue",IF(COUNT(AB476:AD476)&lt;3,"Enter expenses (0 if none)","Complete"))))</f>
        <v/>
      </c>
      <c r="AL476" s="11">
        <f>IF(A476="","",IF(NOT(AND(COUNT(AH476)=1,N(AH476)&gt;0.004,V476&lt;&gt;"Void",V476&lt;&gt;"Not invoiced",V476&lt;&gt;"Draft")),"",IF(COUNT(X476)=0,"No due date",IF(TODAY()-X476&lt;=0,"Not yet due",IF(TODAY()-X476&lt;=30,"1-30 days",IF(TODAY()-X476&lt;=60,"31-60 days",IF(TODAY()-X476&lt;=90,"61-90 days","Over 90 days")))))))</f>
        <v/>
      </c>
      <c r="AM476" s="49">
        <f>IF(OR(AL476="",AL476="No due date"),"",MAX(TODAY()-X476,0))</f>
        <v/>
      </c>
      <c r="AN476" s="49">
        <f>IF(AL476="","",IF(COUNT(X476)=0,-100000,TODAY()-X476))</f>
        <v/>
      </c>
      <c r="AO476" s="49">
        <f>IF(AN476="","",COUNTIF(AN$11:AN$1010,"&gt;"&amp;AN476)+COUNTIF(AN$11:AN476,AN476))</f>
        <v/>
      </c>
      <c r="AP476" s="49">
        <f>IF(OR(A476="",B476=""),"",IF(COUNTIF(B$11:B476,B476)=1,MAX(AP$10:AP475)+1,""))</f>
        <v/>
      </c>
    </row>
    <row r="477" ht="24" customHeight="1">
      <c r="A477" s="20" t="n"/>
      <c r="B477" s="10" t="n"/>
      <c r="C477" s="10" t="n"/>
      <c r="D477" s="10" t="n"/>
      <c r="E477" s="10" t="n"/>
      <c r="F477" s="18" t="n"/>
      <c r="G477" s="10" t="n"/>
      <c r="H477" s="12" t="n"/>
      <c r="I477" s="12" t="n"/>
      <c r="J477" s="13">
        <f>IF(OR(A477="",COUNT(H477)=0,COUNT(Z477)=0),"",ROUND(Z477-H477,2))</f>
        <v/>
      </c>
      <c r="K477" s="15">
        <f>IF(COUNT(J477)=0,"",IF(Z477=0,"n.a.",J477/Z477))</f>
        <v/>
      </c>
      <c r="L477" s="14">
        <f>IF(OR(A477="",COUNT(H477)=0,COUNT(Y477)=0),"",ROUND(H477*(1+Y477),2))</f>
        <v/>
      </c>
      <c r="M477" s="10" t="n"/>
      <c r="N477" s="10" t="n"/>
      <c r="O477" s="10" t="n"/>
      <c r="P477" s="10" t="n"/>
      <c r="Q477" s="20" t="n"/>
      <c r="R477" s="10" t="n"/>
      <c r="S477" s="10" t="n"/>
      <c r="T477" s="18" t="n"/>
      <c r="U477" s="18" t="n"/>
      <c r="V477" s="10" t="n"/>
      <c r="W477" s="10" t="n"/>
      <c r="X477" s="19">
        <f>IF(OR(A477="",COUNT(U477)=0,COUNT(AI477)=0),"",U477+AI477)</f>
        <v/>
      </c>
      <c r="Y477" s="16" t="n"/>
      <c r="Z477" s="12" t="n"/>
      <c r="AA477" s="17">
        <f>IF(COUNT(J477)=0,"",IF(H477=0,"n.a.",J477/H477))</f>
        <v/>
      </c>
      <c r="AB477" s="12" t="n"/>
      <c r="AC477" s="12" t="n"/>
      <c r="AD477" s="12" t="n"/>
      <c r="AE477" s="13">
        <f>IF(OR(COUNT(J477)=0,COUNT(AB477:AD477)&lt;3),"",ROUND(J477-SUM(AB477:AD477),2))</f>
        <v/>
      </c>
      <c r="AF477" s="15">
        <f>IF(COUNT(AE477)=0,"",IF(Z477=0,"n.a.",AE477/Z477))</f>
        <v/>
      </c>
      <c r="AG477" s="12" t="n"/>
      <c r="AH477" s="14">
        <f>IF(OR(A477="",COUNT(Z477)=0,COUNT(AG477)=0),"",ROUND(Z477-AG477,2))</f>
        <v/>
      </c>
      <c r="AI477" s="21" t="n"/>
      <c r="AJ477" s="11">
        <f>IF(A477="","",IF(COUNT(I477)=0,"Enter approved NTE",IF(COUNT(Z477)&gt;0,IF(Z477&gt;I477,"Invoice exceeds NTE","Invoice within NTE"),IF(COUNT(L477)=0,"Enter quote inputs",IF(L477&gt;I477,"Quote exceeds NTE","Quote within NTE")))))</f>
        <v/>
      </c>
      <c r="AK477" s="11">
        <f>IF(A477="","",IF(COUNT(H477)=0,"Enter direct cost",IF(COUNT(Z477)=0,"Enter invoice revenue",IF(COUNT(AB477:AD477)&lt;3,"Enter expenses (0 if none)","Complete"))))</f>
        <v/>
      </c>
      <c r="AL477" s="11">
        <f>IF(A477="","",IF(NOT(AND(COUNT(AH477)=1,N(AH477)&gt;0.004,V477&lt;&gt;"Void",V477&lt;&gt;"Not invoiced",V477&lt;&gt;"Draft")),"",IF(COUNT(X477)=0,"No due date",IF(TODAY()-X477&lt;=0,"Not yet due",IF(TODAY()-X477&lt;=30,"1-30 days",IF(TODAY()-X477&lt;=60,"31-60 days",IF(TODAY()-X477&lt;=90,"61-90 days","Over 90 days")))))))</f>
        <v/>
      </c>
      <c r="AM477" s="49">
        <f>IF(OR(AL477="",AL477="No due date"),"",MAX(TODAY()-X477,0))</f>
        <v/>
      </c>
      <c r="AN477" s="49">
        <f>IF(AL477="","",IF(COUNT(X477)=0,-100000,TODAY()-X477))</f>
        <v/>
      </c>
      <c r="AO477" s="49">
        <f>IF(AN477="","",COUNTIF(AN$11:AN$1010,"&gt;"&amp;AN477)+COUNTIF(AN$11:AN477,AN477))</f>
        <v/>
      </c>
      <c r="AP477" s="49">
        <f>IF(OR(A477="",B477=""),"",IF(COUNTIF(B$11:B477,B477)=1,MAX(AP$10:AP476)+1,""))</f>
        <v/>
      </c>
    </row>
    <row r="478" ht="24" customHeight="1">
      <c r="A478" s="20" t="n"/>
      <c r="B478" s="10" t="n"/>
      <c r="C478" s="10" t="n"/>
      <c r="D478" s="10" t="n"/>
      <c r="E478" s="10" t="n"/>
      <c r="F478" s="18" t="n"/>
      <c r="G478" s="10" t="n"/>
      <c r="H478" s="12" t="n"/>
      <c r="I478" s="12" t="n"/>
      <c r="J478" s="13">
        <f>IF(OR(A478="",COUNT(H478)=0,COUNT(Z478)=0),"",ROUND(Z478-H478,2))</f>
        <v/>
      </c>
      <c r="K478" s="15">
        <f>IF(COUNT(J478)=0,"",IF(Z478=0,"n.a.",J478/Z478))</f>
        <v/>
      </c>
      <c r="L478" s="14">
        <f>IF(OR(A478="",COUNT(H478)=0,COUNT(Y478)=0),"",ROUND(H478*(1+Y478),2))</f>
        <v/>
      </c>
      <c r="M478" s="10" t="n"/>
      <c r="N478" s="10" t="n"/>
      <c r="O478" s="10" t="n"/>
      <c r="P478" s="10" t="n"/>
      <c r="Q478" s="20" t="n"/>
      <c r="R478" s="10" t="n"/>
      <c r="S478" s="10" t="n"/>
      <c r="T478" s="18" t="n"/>
      <c r="U478" s="18" t="n"/>
      <c r="V478" s="10" t="n"/>
      <c r="W478" s="10" t="n"/>
      <c r="X478" s="19">
        <f>IF(OR(A478="",COUNT(U478)=0,COUNT(AI478)=0),"",U478+AI478)</f>
        <v/>
      </c>
      <c r="Y478" s="16" t="n"/>
      <c r="Z478" s="12" t="n"/>
      <c r="AA478" s="17">
        <f>IF(COUNT(J478)=0,"",IF(H478=0,"n.a.",J478/H478))</f>
        <v/>
      </c>
      <c r="AB478" s="12" t="n"/>
      <c r="AC478" s="12" t="n"/>
      <c r="AD478" s="12" t="n"/>
      <c r="AE478" s="13">
        <f>IF(OR(COUNT(J478)=0,COUNT(AB478:AD478)&lt;3),"",ROUND(J478-SUM(AB478:AD478),2))</f>
        <v/>
      </c>
      <c r="AF478" s="15">
        <f>IF(COUNT(AE478)=0,"",IF(Z478=0,"n.a.",AE478/Z478))</f>
        <v/>
      </c>
      <c r="AG478" s="12" t="n"/>
      <c r="AH478" s="14">
        <f>IF(OR(A478="",COUNT(Z478)=0,COUNT(AG478)=0),"",ROUND(Z478-AG478,2))</f>
        <v/>
      </c>
      <c r="AI478" s="21" t="n"/>
      <c r="AJ478" s="11">
        <f>IF(A478="","",IF(COUNT(I478)=0,"Enter approved NTE",IF(COUNT(Z478)&gt;0,IF(Z478&gt;I478,"Invoice exceeds NTE","Invoice within NTE"),IF(COUNT(L478)=0,"Enter quote inputs",IF(L478&gt;I478,"Quote exceeds NTE","Quote within NTE")))))</f>
        <v/>
      </c>
      <c r="AK478" s="11">
        <f>IF(A478="","",IF(COUNT(H478)=0,"Enter direct cost",IF(COUNT(Z478)=0,"Enter invoice revenue",IF(COUNT(AB478:AD478)&lt;3,"Enter expenses (0 if none)","Complete"))))</f>
        <v/>
      </c>
      <c r="AL478" s="11">
        <f>IF(A478="","",IF(NOT(AND(COUNT(AH478)=1,N(AH478)&gt;0.004,V478&lt;&gt;"Void",V478&lt;&gt;"Not invoiced",V478&lt;&gt;"Draft")),"",IF(COUNT(X478)=0,"No due date",IF(TODAY()-X478&lt;=0,"Not yet due",IF(TODAY()-X478&lt;=30,"1-30 days",IF(TODAY()-X478&lt;=60,"31-60 days",IF(TODAY()-X478&lt;=90,"61-90 days","Over 90 days")))))))</f>
        <v/>
      </c>
      <c r="AM478" s="49">
        <f>IF(OR(AL478="",AL478="No due date"),"",MAX(TODAY()-X478,0))</f>
        <v/>
      </c>
      <c r="AN478" s="49">
        <f>IF(AL478="","",IF(COUNT(X478)=0,-100000,TODAY()-X478))</f>
        <v/>
      </c>
      <c r="AO478" s="49">
        <f>IF(AN478="","",COUNTIF(AN$11:AN$1010,"&gt;"&amp;AN478)+COUNTIF(AN$11:AN478,AN478))</f>
        <v/>
      </c>
      <c r="AP478" s="49">
        <f>IF(OR(A478="",B478=""),"",IF(COUNTIF(B$11:B478,B478)=1,MAX(AP$10:AP477)+1,""))</f>
        <v/>
      </c>
    </row>
    <row r="479" ht="24" customHeight="1">
      <c r="A479" s="20" t="n"/>
      <c r="B479" s="10" t="n"/>
      <c r="C479" s="10" t="n"/>
      <c r="D479" s="10" t="n"/>
      <c r="E479" s="10" t="n"/>
      <c r="F479" s="18" t="n"/>
      <c r="G479" s="10" t="n"/>
      <c r="H479" s="12" t="n"/>
      <c r="I479" s="12" t="n"/>
      <c r="J479" s="13">
        <f>IF(OR(A479="",COUNT(H479)=0,COUNT(Z479)=0),"",ROUND(Z479-H479,2))</f>
        <v/>
      </c>
      <c r="K479" s="15">
        <f>IF(COUNT(J479)=0,"",IF(Z479=0,"n.a.",J479/Z479))</f>
        <v/>
      </c>
      <c r="L479" s="14">
        <f>IF(OR(A479="",COUNT(H479)=0,COUNT(Y479)=0),"",ROUND(H479*(1+Y479),2))</f>
        <v/>
      </c>
      <c r="M479" s="10" t="n"/>
      <c r="N479" s="10" t="n"/>
      <c r="O479" s="10" t="n"/>
      <c r="P479" s="10" t="n"/>
      <c r="Q479" s="20" t="n"/>
      <c r="R479" s="10" t="n"/>
      <c r="S479" s="10" t="n"/>
      <c r="T479" s="18" t="n"/>
      <c r="U479" s="18" t="n"/>
      <c r="V479" s="10" t="n"/>
      <c r="W479" s="10" t="n"/>
      <c r="X479" s="19">
        <f>IF(OR(A479="",COUNT(U479)=0,COUNT(AI479)=0),"",U479+AI479)</f>
        <v/>
      </c>
      <c r="Y479" s="16" t="n"/>
      <c r="Z479" s="12" t="n"/>
      <c r="AA479" s="17">
        <f>IF(COUNT(J479)=0,"",IF(H479=0,"n.a.",J479/H479))</f>
        <v/>
      </c>
      <c r="AB479" s="12" t="n"/>
      <c r="AC479" s="12" t="n"/>
      <c r="AD479" s="12" t="n"/>
      <c r="AE479" s="13">
        <f>IF(OR(COUNT(J479)=0,COUNT(AB479:AD479)&lt;3),"",ROUND(J479-SUM(AB479:AD479),2))</f>
        <v/>
      </c>
      <c r="AF479" s="15">
        <f>IF(COUNT(AE479)=0,"",IF(Z479=0,"n.a.",AE479/Z479))</f>
        <v/>
      </c>
      <c r="AG479" s="12" t="n"/>
      <c r="AH479" s="14">
        <f>IF(OR(A479="",COUNT(Z479)=0,COUNT(AG479)=0),"",ROUND(Z479-AG479,2))</f>
        <v/>
      </c>
      <c r="AI479" s="21" t="n"/>
      <c r="AJ479" s="11">
        <f>IF(A479="","",IF(COUNT(I479)=0,"Enter approved NTE",IF(COUNT(Z479)&gt;0,IF(Z479&gt;I479,"Invoice exceeds NTE","Invoice within NTE"),IF(COUNT(L479)=0,"Enter quote inputs",IF(L479&gt;I479,"Quote exceeds NTE","Quote within NTE")))))</f>
        <v/>
      </c>
      <c r="AK479" s="11">
        <f>IF(A479="","",IF(COUNT(H479)=0,"Enter direct cost",IF(COUNT(Z479)=0,"Enter invoice revenue",IF(COUNT(AB479:AD479)&lt;3,"Enter expenses (0 if none)","Complete"))))</f>
        <v/>
      </c>
      <c r="AL479" s="11">
        <f>IF(A479="","",IF(NOT(AND(COUNT(AH479)=1,N(AH479)&gt;0.004,V479&lt;&gt;"Void",V479&lt;&gt;"Not invoiced",V479&lt;&gt;"Draft")),"",IF(COUNT(X479)=0,"No due date",IF(TODAY()-X479&lt;=0,"Not yet due",IF(TODAY()-X479&lt;=30,"1-30 days",IF(TODAY()-X479&lt;=60,"31-60 days",IF(TODAY()-X479&lt;=90,"61-90 days","Over 90 days")))))))</f>
        <v/>
      </c>
      <c r="AM479" s="49">
        <f>IF(OR(AL479="",AL479="No due date"),"",MAX(TODAY()-X479,0))</f>
        <v/>
      </c>
      <c r="AN479" s="49">
        <f>IF(AL479="","",IF(COUNT(X479)=0,-100000,TODAY()-X479))</f>
        <v/>
      </c>
      <c r="AO479" s="49">
        <f>IF(AN479="","",COUNTIF(AN$11:AN$1010,"&gt;"&amp;AN479)+COUNTIF(AN$11:AN479,AN479))</f>
        <v/>
      </c>
      <c r="AP479" s="49">
        <f>IF(OR(A479="",B479=""),"",IF(COUNTIF(B$11:B479,B479)=1,MAX(AP$10:AP478)+1,""))</f>
        <v/>
      </c>
    </row>
    <row r="480" ht="24" customHeight="1">
      <c r="A480" s="20" t="n"/>
      <c r="B480" s="10" t="n"/>
      <c r="C480" s="10" t="n"/>
      <c r="D480" s="10" t="n"/>
      <c r="E480" s="10" t="n"/>
      <c r="F480" s="18" t="n"/>
      <c r="G480" s="10" t="n"/>
      <c r="H480" s="12" t="n"/>
      <c r="I480" s="12" t="n"/>
      <c r="J480" s="13">
        <f>IF(OR(A480="",COUNT(H480)=0,COUNT(Z480)=0),"",ROUND(Z480-H480,2))</f>
        <v/>
      </c>
      <c r="K480" s="15">
        <f>IF(COUNT(J480)=0,"",IF(Z480=0,"n.a.",J480/Z480))</f>
        <v/>
      </c>
      <c r="L480" s="14">
        <f>IF(OR(A480="",COUNT(H480)=0,COUNT(Y480)=0),"",ROUND(H480*(1+Y480),2))</f>
        <v/>
      </c>
      <c r="M480" s="10" t="n"/>
      <c r="N480" s="10" t="n"/>
      <c r="O480" s="10" t="n"/>
      <c r="P480" s="10" t="n"/>
      <c r="Q480" s="20" t="n"/>
      <c r="R480" s="10" t="n"/>
      <c r="S480" s="10" t="n"/>
      <c r="T480" s="18" t="n"/>
      <c r="U480" s="18" t="n"/>
      <c r="V480" s="10" t="n"/>
      <c r="W480" s="10" t="n"/>
      <c r="X480" s="19">
        <f>IF(OR(A480="",COUNT(U480)=0,COUNT(AI480)=0),"",U480+AI480)</f>
        <v/>
      </c>
      <c r="Y480" s="16" t="n"/>
      <c r="Z480" s="12" t="n"/>
      <c r="AA480" s="17">
        <f>IF(COUNT(J480)=0,"",IF(H480=0,"n.a.",J480/H480))</f>
        <v/>
      </c>
      <c r="AB480" s="12" t="n"/>
      <c r="AC480" s="12" t="n"/>
      <c r="AD480" s="12" t="n"/>
      <c r="AE480" s="13">
        <f>IF(OR(COUNT(J480)=0,COUNT(AB480:AD480)&lt;3),"",ROUND(J480-SUM(AB480:AD480),2))</f>
        <v/>
      </c>
      <c r="AF480" s="15">
        <f>IF(COUNT(AE480)=0,"",IF(Z480=0,"n.a.",AE480/Z480))</f>
        <v/>
      </c>
      <c r="AG480" s="12" t="n"/>
      <c r="AH480" s="14">
        <f>IF(OR(A480="",COUNT(Z480)=0,COUNT(AG480)=0),"",ROUND(Z480-AG480,2))</f>
        <v/>
      </c>
      <c r="AI480" s="21" t="n"/>
      <c r="AJ480" s="11">
        <f>IF(A480="","",IF(COUNT(I480)=0,"Enter approved NTE",IF(COUNT(Z480)&gt;0,IF(Z480&gt;I480,"Invoice exceeds NTE","Invoice within NTE"),IF(COUNT(L480)=0,"Enter quote inputs",IF(L480&gt;I480,"Quote exceeds NTE","Quote within NTE")))))</f>
        <v/>
      </c>
      <c r="AK480" s="11">
        <f>IF(A480="","",IF(COUNT(H480)=0,"Enter direct cost",IF(COUNT(Z480)=0,"Enter invoice revenue",IF(COUNT(AB480:AD480)&lt;3,"Enter expenses (0 if none)","Complete"))))</f>
        <v/>
      </c>
      <c r="AL480" s="11">
        <f>IF(A480="","",IF(NOT(AND(COUNT(AH480)=1,N(AH480)&gt;0.004,V480&lt;&gt;"Void",V480&lt;&gt;"Not invoiced",V480&lt;&gt;"Draft")),"",IF(COUNT(X480)=0,"No due date",IF(TODAY()-X480&lt;=0,"Not yet due",IF(TODAY()-X480&lt;=30,"1-30 days",IF(TODAY()-X480&lt;=60,"31-60 days",IF(TODAY()-X480&lt;=90,"61-90 days","Over 90 days")))))))</f>
        <v/>
      </c>
      <c r="AM480" s="49">
        <f>IF(OR(AL480="",AL480="No due date"),"",MAX(TODAY()-X480,0))</f>
        <v/>
      </c>
      <c r="AN480" s="49">
        <f>IF(AL480="","",IF(COUNT(X480)=0,-100000,TODAY()-X480))</f>
        <v/>
      </c>
      <c r="AO480" s="49">
        <f>IF(AN480="","",COUNTIF(AN$11:AN$1010,"&gt;"&amp;AN480)+COUNTIF(AN$11:AN480,AN480))</f>
        <v/>
      </c>
      <c r="AP480" s="49">
        <f>IF(OR(A480="",B480=""),"",IF(COUNTIF(B$11:B480,B480)=1,MAX(AP$10:AP479)+1,""))</f>
        <v/>
      </c>
    </row>
    <row r="481" ht="24" customHeight="1">
      <c r="A481" s="20" t="n"/>
      <c r="B481" s="10" t="n"/>
      <c r="C481" s="10" t="n"/>
      <c r="D481" s="10" t="n"/>
      <c r="E481" s="10" t="n"/>
      <c r="F481" s="18" t="n"/>
      <c r="G481" s="10" t="n"/>
      <c r="H481" s="12" t="n"/>
      <c r="I481" s="12" t="n"/>
      <c r="J481" s="13">
        <f>IF(OR(A481="",COUNT(H481)=0,COUNT(Z481)=0),"",ROUND(Z481-H481,2))</f>
        <v/>
      </c>
      <c r="K481" s="15">
        <f>IF(COUNT(J481)=0,"",IF(Z481=0,"n.a.",J481/Z481))</f>
        <v/>
      </c>
      <c r="L481" s="14">
        <f>IF(OR(A481="",COUNT(H481)=0,COUNT(Y481)=0),"",ROUND(H481*(1+Y481),2))</f>
        <v/>
      </c>
      <c r="M481" s="10" t="n"/>
      <c r="N481" s="10" t="n"/>
      <c r="O481" s="10" t="n"/>
      <c r="P481" s="10" t="n"/>
      <c r="Q481" s="20" t="n"/>
      <c r="R481" s="10" t="n"/>
      <c r="S481" s="10" t="n"/>
      <c r="T481" s="18" t="n"/>
      <c r="U481" s="18" t="n"/>
      <c r="V481" s="10" t="n"/>
      <c r="W481" s="10" t="n"/>
      <c r="X481" s="19">
        <f>IF(OR(A481="",COUNT(U481)=0,COUNT(AI481)=0),"",U481+AI481)</f>
        <v/>
      </c>
      <c r="Y481" s="16" t="n"/>
      <c r="Z481" s="12" t="n"/>
      <c r="AA481" s="17">
        <f>IF(COUNT(J481)=0,"",IF(H481=0,"n.a.",J481/H481))</f>
        <v/>
      </c>
      <c r="AB481" s="12" t="n"/>
      <c r="AC481" s="12" t="n"/>
      <c r="AD481" s="12" t="n"/>
      <c r="AE481" s="13">
        <f>IF(OR(COUNT(J481)=0,COUNT(AB481:AD481)&lt;3),"",ROUND(J481-SUM(AB481:AD481),2))</f>
        <v/>
      </c>
      <c r="AF481" s="15">
        <f>IF(COUNT(AE481)=0,"",IF(Z481=0,"n.a.",AE481/Z481))</f>
        <v/>
      </c>
      <c r="AG481" s="12" t="n"/>
      <c r="AH481" s="14">
        <f>IF(OR(A481="",COUNT(Z481)=0,COUNT(AG481)=0),"",ROUND(Z481-AG481,2))</f>
        <v/>
      </c>
      <c r="AI481" s="21" t="n"/>
      <c r="AJ481" s="11">
        <f>IF(A481="","",IF(COUNT(I481)=0,"Enter approved NTE",IF(COUNT(Z481)&gt;0,IF(Z481&gt;I481,"Invoice exceeds NTE","Invoice within NTE"),IF(COUNT(L481)=0,"Enter quote inputs",IF(L481&gt;I481,"Quote exceeds NTE","Quote within NTE")))))</f>
        <v/>
      </c>
      <c r="AK481" s="11">
        <f>IF(A481="","",IF(COUNT(H481)=0,"Enter direct cost",IF(COUNT(Z481)=0,"Enter invoice revenue",IF(COUNT(AB481:AD481)&lt;3,"Enter expenses (0 if none)","Complete"))))</f>
        <v/>
      </c>
      <c r="AL481" s="11">
        <f>IF(A481="","",IF(NOT(AND(COUNT(AH481)=1,N(AH481)&gt;0.004,V481&lt;&gt;"Void",V481&lt;&gt;"Not invoiced",V481&lt;&gt;"Draft")),"",IF(COUNT(X481)=0,"No due date",IF(TODAY()-X481&lt;=0,"Not yet due",IF(TODAY()-X481&lt;=30,"1-30 days",IF(TODAY()-X481&lt;=60,"31-60 days",IF(TODAY()-X481&lt;=90,"61-90 days","Over 90 days")))))))</f>
        <v/>
      </c>
      <c r="AM481" s="49">
        <f>IF(OR(AL481="",AL481="No due date"),"",MAX(TODAY()-X481,0))</f>
        <v/>
      </c>
      <c r="AN481" s="49">
        <f>IF(AL481="","",IF(COUNT(X481)=0,-100000,TODAY()-X481))</f>
        <v/>
      </c>
      <c r="AO481" s="49">
        <f>IF(AN481="","",COUNTIF(AN$11:AN$1010,"&gt;"&amp;AN481)+COUNTIF(AN$11:AN481,AN481))</f>
        <v/>
      </c>
      <c r="AP481" s="49">
        <f>IF(OR(A481="",B481=""),"",IF(COUNTIF(B$11:B481,B481)=1,MAX(AP$10:AP480)+1,""))</f>
        <v/>
      </c>
    </row>
    <row r="482" ht="24" customHeight="1">
      <c r="A482" s="20" t="n"/>
      <c r="B482" s="10" t="n"/>
      <c r="C482" s="10" t="n"/>
      <c r="D482" s="10" t="n"/>
      <c r="E482" s="10" t="n"/>
      <c r="F482" s="18" t="n"/>
      <c r="G482" s="10" t="n"/>
      <c r="H482" s="12" t="n"/>
      <c r="I482" s="12" t="n"/>
      <c r="J482" s="13">
        <f>IF(OR(A482="",COUNT(H482)=0,COUNT(Z482)=0),"",ROUND(Z482-H482,2))</f>
        <v/>
      </c>
      <c r="K482" s="15">
        <f>IF(COUNT(J482)=0,"",IF(Z482=0,"n.a.",J482/Z482))</f>
        <v/>
      </c>
      <c r="L482" s="14">
        <f>IF(OR(A482="",COUNT(H482)=0,COUNT(Y482)=0),"",ROUND(H482*(1+Y482),2))</f>
        <v/>
      </c>
      <c r="M482" s="10" t="n"/>
      <c r="N482" s="10" t="n"/>
      <c r="O482" s="10" t="n"/>
      <c r="P482" s="10" t="n"/>
      <c r="Q482" s="20" t="n"/>
      <c r="R482" s="10" t="n"/>
      <c r="S482" s="10" t="n"/>
      <c r="T482" s="18" t="n"/>
      <c r="U482" s="18" t="n"/>
      <c r="V482" s="10" t="n"/>
      <c r="W482" s="10" t="n"/>
      <c r="X482" s="19">
        <f>IF(OR(A482="",COUNT(U482)=0,COUNT(AI482)=0),"",U482+AI482)</f>
        <v/>
      </c>
      <c r="Y482" s="16" t="n"/>
      <c r="Z482" s="12" t="n"/>
      <c r="AA482" s="17">
        <f>IF(COUNT(J482)=0,"",IF(H482=0,"n.a.",J482/H482))</f>
        <v/>
      </c>
      <c r="AB482" s="12" t="n"/>
      <c r="AC482" s="12" t="n"/>
      <c r="AD482" s="12" t="n"/>
      <c r="AE482" s="13">
        <f>IF(OR(COUNT(J482)=0,COUNT(AB482:AD482)&lt;3),"",ROUND(J482-SUM(AB482:AD482),2))</f>
        <v/>
      </c>
      <c r="AF482" s="15">
        <f>IF(COUNT(AE482)=0,"",IF(Z482=0,"n.a.",AE482/Z482))</f>
        <v/>
      </c>
      <c r="AG482" s="12" t="n"/>
      <c r="AH482" s="14">
        <f>IF(OR(A482="",COUNT(Z482)=0,COUNT(AG482)=0),"",ROUND(Z482-AG482,2))</f>
        <v/>
      </c>
      <c r="AI482" s="21" t="n"/>
      <c r="AJ482" s="11">
        <f>IF(A482="","",IF(COUNT(I482)=0,"Enter approved NTE",IF(COUNT(Z482)&gt;0,IF(Z482&gt;I482,"Invoice exceeds NTE","Invoice within NTE"),IF(COUNT(L482)=0,"Enter quote inputs",IF(L482&gt;I482,"Quote exceeds NTE","Quote within NTE")))))</f>
        <v/>
      </c>
      <c r="AK482" s="11">
        <f>IF(A482="","",IF(COUNT(H482)=0,"Enter direct cost",IF(COUNT(Z482)=0,"Enter invoice revenue",IF(COUNT(AB482:AD482)&lt;3,"Enter expenses (0 if none)","Complete"))))</f>
        <v/>
      </c>
      <c r="AL482" s="11">
        <f>IF(A482="","",IF(NOT(AND(COUNT(AH482)=1,N(AH482)&gt;0.004,V482&lt;&gt;"Void",V482&lt;&gt;"Not invoiced",V482&lt;&gt;"Draft")),"",IF(COUNT(X482)=0,"No due date",IF(TODAY()-X482&lt;=0,"Not yet due",IF(TODAY()-X482&lt;=30,"1-30 days",IF(TODAY()-X482&lt;=60,"31-60 days",IF(TODAY()-X482&lt;=90,"61-90 days","Over 90 days")))))))</f>
        <v/>
      </c>
      <c r="AM482" s="49">
        <f>IF(OR(AL482="",AL482="No due date"),"",MAX(TODAY()-X482,0))</f>
        <v/>
      </c>
      <c r="AN482" s="49">
        <f>IF(AL482="","",IF(COUNT(X482)=0,-100000,TODAY()-X482))</f>
        <v/>
      </c>
      <c r="AO482" s="49">
        <f>IF(AN482="","",COUNTIF(AN$11:AN$1010,"&gt;"&amp;AN482)+COUNTIF(AN$11:AN482,AN482))</f>
        <v/>
      </c>
      <c r="AP482" s="49">
        <f>IF(OR(A482="",B482=""),"",IF(COUNTIF(B$11:B482,B482)=1,MAX(AP$10:AP481)+1,""))</f>
        <v/>
      </c>
    </row>
    <row r="483" ht="24" customHeight="1">
      <c r="A483" s="20" t="n"/>
      <c r="B483" s="10" t="n"/>
      <c r="C483" s="10" t="n"/>
      <c r="D483" s="10" t="n"/>
      <c r="E483" s="10" t="n"/>
      <c r="F483" s="18" t="n"/>
      <c r="G483" s="10" t="n"/>
      <c r="H483" s="12" t="n"/>
      <c r="I483" s="12" t="n"/>
      <c r="J483" s="13">
        <f>IF(OR(A483="",COUNT(H483)=0,COUNT(Z483)=0),"",ROUND(Z483-H483,2))</f>
        <v/>
      </c>
      <c r="K483" s="15">
        <f>IF(COUNT(J483)=0,"",IF(Z483=0,"n.a.",J483/Z483))</f>
        <v/>
      </c>
      <c r="L483" s="14">
        <f>IF(OR(A483="",COUNT(H483)=0,COUNT(Y483)=0),"",ROUND(H483*(1+Y483),2))</f>
        <v/>
      </c>
      <c r="M483" s="10" t="n"/>
      <c r="N483" s="10" t="n"/>
      <c r="O483" s="10" t="n"/>
      <c r="P483" s="10" t="n"/>
      <c r="Q483" s="20" t="n"/>
      <c r="R483" s="10" t="n"/>
      <c r="S483" s="10" t="n"/>
      <c r="T483" s="18" t="n"/>
      <c r="U483" s="18" t="n"/>
      <c r="V483" s="10" t="n"/>
      <c r="W483" s="10" t="n"/>
      <c r="X483" s="19">
        <f>IF(OR(A483="",COUNT(U483)=0,COUNT(AI483)=0),"",U483+AI483)</f>
        <v/>
      </c>
      <c r="Y483" s="16" t="n"/>
      <c r="Z483" s="12" t="n"/>
      <c r="AA483" s="17">
        <f>IF(COUNT(J483)=0,"",IF(H483=0,"n.a.",J483/H483))</f>
        <v/>
      </c>
      <c r="AB483" s="12" t="n"/>
      <c r="AC483" s="12" t="n"/>
      <c r="AD483" s="12" t="n"/>
      <c r="AE483" s="13">
        <f>IF(OR(COUNT(J483)=0,COUNT(AB483:AD483)&lt;3),"",ROUND(J483-SUM(AB483:AD483),2))</f>
        <v/>
      </c>
      <c r="AF483" s="15">
        <f>IF(COUNT(AE483)=0,"",IF(Z483=0,"n.a.",AE483/Z483))</f>
        <v/>
      </c>
      <c r="AG483" s="12" t="n"/>
      <c r="AH483" s="14">
        <f>IF(OR(A483="",COUNT(Z483)=0,COUNT(AG483)=0),"",ROUND(Z483-AG483,2))</f>
        <v/>
      </c>
      <c r="AI483" s="21" t="n"/>
      <c r="AJ483" s="11">
        <f>IF(A483="","",IF(COUNT(I483)=0,"Enter approved NTE",IF(COUNT(Z483)&gt;0,IF(Z483&gt;I483,"Invoice exceeds NTE","Invoice within NTE"),IF(COUNT(L483)=0,"Enter quote inputs",IF(L483&gt;I483,"Quote exceeds NTE","Quote within NTE")))))</f>
        <v/>
      </c>
      <c r="AK483" s="11">
        <f>IF(A483="","",IF(COUNT(H483)=0,"Enter direct cost",IF(COUNT(Z483)=0,"Enter invoice revenue",IF(COUNT(AB483:AD483)&lt;3,"Enter expenses (0 if none)","Complete"))))</f>
        <v/>
      </c>
      <c r="AL483" s="11">
        <f>IF(A483="","",IF(NOT(AND(COUNT(AH483)=1,N(AH483)&gt;0.004,V483&lt;&gt;"Void",V483&lt;&gt;"Not invoiced",V483&lt;&gt;"Draft")),"",IF(COUNT(X483)=0,"No due date",IF(TODAY()-X483&lt;=0,"Not yet due",IF(TODAY()-X483&lt;=30,"1-30 days",IF(TODAY()-X483&lt;=60,"31-60 days",IF(TODAY()-X483&lt;=90,"61-90 days","Over 90 days")))))))</f>
        <v/>
      </c>
      <c r="AM483" s="49">
        <f>IF(OR(AL483="",AL483="No due date"),"",MAX(TODAY()-X483,0))</f>
        <v/>
      </c>
      <c r="AN483" s="49">
        <f>IF(AL483="","",IF(COUNT(X483)=0,-100000,TODAY()-X483))</f>
        <v/>
      </c>
      <c r="AO483" s="49">
        <f>IF(AN483="","",COUNTIF(AN$11:AN$1010,"&gt;"&amp;AN483)+COUNTIF(AN$11:AN483,AN483))</f>
        <v/>
      </c>
      <c r="AP483" s="49">
        <f>IF(OR(A483="",B483=""),"",IF(COUNTIF(B$11:B483,B483)=1,MAX(AP$10:AP482)+1,""))</f>
        <v/>
      </c>
    </row>
    <row r="484" ht="24" customHeight="1">
      <c r="A484" s="20" t="n"/>
      <c r="B484" s="10" t="n"/>
      <c r="C484" s="10" t="n"/>
      <c r="D484" s="10" t="n"/>
      <c r="E484" s="10" t="n"/>
      <c r="F484" s="18" t="n"/>
      <c r="G484" s="10" t="n"/>
      <c r="H484" s="12" t="n"/>
      <c r="I484" s="12" t="n"/>
      <c r="J484" s="13">
        <f>IF(OR(A484="",COUNT(H484)=0,COUNT(Z484)=0),"",ROUND(Z484-H484,2))</f>
        <v/>
      </c>
      <c r="K484" s="15">
        <f>IF(COUNT(J484)=0,"",IF(Z484=0,"n.a.",J484/Z484))</f>
        <v/>
      </c>
      <c r="L484" s="14">
        <f>IF(OR(A484="",COUNT(H484)=0,COUNT(Y484)=0),"",ROUND(H484*(1+Y484),2))</f>
        <v/>
      </c>
      <c r="M484" s="10" t="n"/>
      <c r="N484" s="10" t="n"/>
      <c r="O484" s="10" t="n"/>
      <c r="P484" s="10" t="n"/>
      <c r="Q484" s="20" t="n"/>
      <c r="R484" s="10" t="n"/>
      <c r="S484" s="10" t="n"/>
      <c r="T484" s="18" t="n"/>
      <c r="U484" s="18" t="n"/>
      <c r="V484" s="10" t="n"/>
      <c r="W484" s="10" t="n"/>
      <c r="X484" s="19">
        <f>IF(OR(A484="",COUNT(U484)=0,COUNT(AI484)=0),"",U484+AI484)</f>
        <v/>
      </c>
      <c r="Y484" s="16" t="n"/>
      <c r="Z484" s="12" t="n"/>
      <c r="AA484" s="17">
        <f>IF(COUNT(J484)=0,"",IF(H484=0,"n.a.",J484/H484))</f>
        <v/>
      </c>
      <c r="AB484" s="12" t="n"/>
      <c r="AC484" s="12" t="n"/>
      <c r="AD484" s="12" t="n"/>
      <c r="AE484" s="13">
        <f>IF(OR(COUNT(J484)=0,COUNT(AB484:AD484)&lt;3),"",ROUND(J484-SUM(AB484:AD484),2))</f>
        <v/>
      </c>
      <c r="AF484" s="15">
        <f>IF(COUNT(AE484)=0,"",IF(Z484=0,"n.a.",AE484/Z484))</f>
        <v/>
      </c>
      <c r="AG484" s="12" t="n"/>
      <c r="AH484" s="14">
        <f>IF(OR(A484="",COUNT(Z484)=0,COUNT(AG484)=0),"",ROUND(Z484-AG484,2))</f>
        <v/>
      </c>
      <c r="AI484" s="21" t="n"/>
      <c r="AJ484" s="11">
        <f>IF(A484="","",IF(COUNT(I484)=0,"Enter approved NTE",IF(COUNT(Z484)&gt;0,IF(Z484&gt;I484,"Invoice exceeds NTE","Invoice within NTE"),IF(COUNT(L484)=0,"Enter quote inputs",IF(L484&gt;I484,"Quote exceeds NTE","Quote within NTE")))))</f>
        <v/>
      </c>
      <c r="AK484" s="11">
        <f>IF(A484="","",IF(COUNT(H484)=0,"Enter direct cost",IF(COUNT(Z484)=0,"Enter invoice revenue",IF(COUNT(AB484:AD484)&lt;3,"Enter expenses (0 if none)","Complete"))))</f>
        <v/>
      </c>
      <c r="AL484" s="11">
        <f>IF(A484="","",IF(NOT(AND(COUNT(AH484)=1,N(AH484)&gt;0.004,V484&lt;&gt;"Void",V484&lt;&gt;"Not invoiced",V484&lt;&gt;"Draft")),"",IF(COUNT(X484)=0,"No due date",IF(TODAY()-X484&lt;=0,"Not yet due",IF(TODAY()-X484&lt;=30,"1-30 days",IF(TODAY()-X484&lt;=60,"31-60 days",IF(TODAY()-X484&lt;=90,"61-90 days","Over 90 days")))))))</f>
        <v/>
      </c>
      <c r="AM484" s="49">
        <f>IF(OR(AL484="",AL484="No due date"),"",MAX(TODAY()-X484,0))</f>
        <v/>
      </c>
      <c r="AN484" s="49">
        <f>IF(AL484="","",IF(COUNT(X484)=0,-100000,TODAY()-X484))</f>
        <v/>
      </c>
      <c r="AO484" s="49">
        <f>IF(AN484="","",COUNTIF(AN$11:AN$1010,"&gt;"&amp;AN484)+COUNTIF(AN$11:AN484,AN484))</f>
        <v/>
      </c>
      <c r="AP484" s="49">
        <f>IF(OR(A484="",B484=""),"",IF(COUNTIF(B$11:B484,B484)=1,MAX(AP$10:AP483)+1,""))</f>
        <v/>
      </c>
    </row>
    <row r="485" ht="24" customHeight="1">
      <c r="A485" s="20" t="n"/>
      <c r="B485" s="10" t="n"/>
      <c r="C485" s="10" t="n"/>
      <c r="D485" s="10" t="n"/>
      <c r="E485" s="10" t="n"/>
      <c r="F485" s="18" t="n"/>
      <c r="G485" s="10" t="n"/>
      <c r="H485" s="12" t="n"/>
      <c r="I485" s="12" t="n"/>
      <c r="J485" s="13">
        <f>IF(OR(A485="",COUNT(H485)=0,COUNT(Z485)=0),"",ROUND(Z485-H485,2))</f>
        <v/>
      </c>
      <c r="K485" s="15">
        <f>IF(COUNT(J485)=0,"",IF(Z485=0,"n.a.",J485/Z485))</f>
        <v/>
      </c>
      <c r="L485" s="14">
        <f>IF(OR(A485="",COUNT(H485)=0,COUNT(Y485)=0),"",ROUND(H485*(1+Y485),2))</f>
        <v/>
      </c>
      <c r="M485" s="10" t="n"/>
      <c r="N485" s="10" t="n"/>
      <c r="O485" s="10" t="n"/>
      <c r="P485" s="10" t="n"/>
      <c r="Q485" s="20" t="n"/>
      <c r="R485" s="10" t="n"/>
      <c r="S485" s="10" t="n"/>
      <c r="T485" s="18" t="n"/>
      <c r="U485" s="18" t="n"/>
      <c r="V485" s="10" t="n"/>
      <c r="W485" s="10" t="n"/>
      <c r="X485" s="19">
        <f>IF(OR(A485="",COUNT(U485)=0,COUNT(AI485)=0),"",U485+AI485)</f>
        <v/>
      </c>
      <c r="Y485" s="16" t="n"/>
      <c r="Z485" s="12" t="n"/>
      <c r="AA485" s="17">
        <f>IF(COUNT(J485)=0,"",IF(H485=0,"n.a.",J485/H485))</f>
        <v/>
      </c>
      <c r="AB485" s="12" t="n"/>
      <c r="AC485" s="12" t="n"/>
      <c r="AD485" s="12" t="n"/>
      <c r="AE485" s="13">
        <f>IF(OR(COUNT(J485)=0,COUNT(AB485:AD485)&lt;3),"",ROUND(J485-SUM(AB485:AD485),2))</f>
        <v/>
      </c>
      <c r="AF485" s="15">
        <f>IF(COUNT(AE485)=0,"",IF(Z485=0,"n.a.",AE485/Z485))</f>
        <v/>
      </c>
      <c r="AG485" s="12" t="n"/>
      <c r="AH485" s="14">
        <f>IF(OR(A485="",COUNT(Z485)=0,COUNT(AG485)=0),"",ROUND(Z485-AG485,2))</f>
        <v/>
      </c>
      <c r="AI485" s="21" t="n"/>
      <c r="AJ485" s="11">
        <f>IF(A485="","",IF(COUNT(I485)=0,"Enter approved NTE",IF(COUNT(Z485)&gt;0,IF(Z485&gt;I485,"Invoice exceeds NTE","Invoice within NTE"),IF(COUNT(L485)=0,"Enter quote inputs",IF(L485&gt;I485,"Quote exceeds NTE","Quote within NTE")))))</f>
        <v/>
      </c>
      <c r="AK485" s="11">
        <f>IF(A485="","",IF(COUNT(H485)=0,"Enter direct cost",IF(COUNT(Z485)=0,"Enter invoice revenue",IF(COUNT(AB485:AD485)&lt;3,"Enter expenses (0 if none)","Complete"))))</f>
        <v/>
      </c>
      <c r="AL485" s="11">
        <f>IF(A485="","",IF(NOT(AND(COUNT(AH485)=1,N(AH485)&gt;0.004,V485&lt;&gt;"Void",V485&lt;&gt;"Not invoiced",V485&lt;&gt;"Draft")),"",IF(COUNT(X485)=0,"No due date",IF(TODAY()-X485&lt;=0,"Not yet due",IF(TODAY()-X485&lt;=30,"1-30 days",IF(TODAY()-X485&lt;=60,"31-60 days",IF(TODAY()-X485&lt;=90,"61-90 days","Over 90 days")))))))</f>
        <v/>
      </c>
      <c r="AM485" s="49">
        <f>IF(OR(AL485="",AL485="No due date"),"",MAX(TODAY()-X485,0))</f>
        <v/>
      </c>
      <c r="AN485" s="49">
        <f>IF(AL485="","",IF(COUNT(X485)=0,-100000,TODAY()-X485))</f>
        <v/>
      </c>
      <c r="AO485" s="49">
        <f>IF(AN485="","",COUNTIF(AN$11:AN$1010,"&gt;"&amp;AN485)+COUNTIF(AN$11:AN485,AN485))</f>
        <v/>
      </c>
      <c r="AP485" s="49">
        <f>IF(OR(A485="",B485=""),"",IF(COUNTIF(B$11:B485,B485)=1,MAX(AP$10:AP484)+1,""))</f>
        <v/>
      </c>
    </row>
    <row r="486" ht="24" customHeight="1">
      <c r="A486" s="20" t="n"/>
      <c r="B486" s="10" t="n"/>
      <c r="C486" s="10" t="n"/>
      <c r="D486" s="10" t="n"/>
      <c r="E486" s="10" t="n"/>
      <c r="F486" s="18" t="n"/>
      <c r="G486" s="10" t="n"/>
      <c r="H486" s="12" t="n"/>
      <c r="I486" s="12" t="n"/>
      <c r="J486" s="13">
        <f>IF(OR(A486="",COUNT(H486)=0,COUNT(Z486)=0),"",ROUND(Z486-H486,2))</f>
        <v/>
      </c>
      <c r="K486" s="15">
        <f>IF(COUNT(J486)=0,"",IF(Z486=0,"n.a.",J486/Z486))</f>
        <v/>
      </c>
      <c r="L486" s="14">
        <f>IF(OR(A486="",COUNT(H486)=0,COUNT(Y486)=0),"",ROUND(H486*(1+Y486),2))</f>
        <v/>
      </c>
      <c r="M486" s="10" t="n"/>
      <c r="N486" s="10" t="n"/>
      <c r="O486" s="10" t="n"/>
      <c r="P486" s="10" t="n"/>
      <c r="Q486" s="20" t="n"/>
      <c r="R486" s="10" t="n"/>
      <c r="S486" s="10" t="n"/>
      <c r="T486" s="18" t="n"/>
      <c r="U486" s="18" t="n"/>
      <c r="V486" s="10" t="n"/>
      <c r="W486" s="10" t="n"/>
      <c r="X486" s="19">
        <f>IF(OR(A486="",COUNT(U486)=0,COUNT(AI486)=0),"",U486+AI486)</f>
        <v/>
      </c>
      <c r="Y486" s="16" t="n"/>
      <c r="Z486" s="12" t="n"/>
      <c r="AA486" s="17">
        <f>IF(COUNT(J486)=0,"",IF(H486=0,"n.a.",J486/H486))</f>
        <v/>
      </c>
      <c r="AB486" s="12" t="n"/>
      <c r="AC486" s="12" t="n"/>
      <c r="AD486" s="12" t="n"/>
      <c r="AE486" s="13">
        <f>IF(OR(COUNT(J486)=0,COUNT(AB486:AD486)&lt;3),"",ROUND(J486-SUM(AB486:AD486),2))</f>
        <v/>
      </c>
      <c r="AF486" s="15">
        <f>IF(COUNT(AE486)=0,"",IF(Z486=0,"n.a.",AE486/Z486))</f>
        <v/>
      </c>
      <c r="AG486" s="12" t="n"/>
      <c r="AH486" s="14">
        <f>IF(OR(A486="",COUNT(Z486)=0,COUNT(AG486)=0),"",ROUND(Z486-AG486,2))</f>
        <v/>
      </c>
      <c r="AI486" s="21" t="n"/>
      <c r="AJ486" s="11">
        <f>IF(A486="","",IF(COUNT(I486)=0,"Enter approved NTE",IF(COUNT(Z486)&gt;0,IF(Z486&gt;I486,"Invoice exceeds NTE","Invoice within NTE"),IF(COUNT(L486)=0,"Enter quote inputs",IF(L486&gt;I486,"Quote exceeds NTE","Quote within NTE")))))</f>
        <v/>
      </c>
      <c r="AK486" s="11">
        <f>IF(A486="","",IF(COUNT(H486)=0,"Enter direct cost",IF(COUNT(Z486)=0,"Enter invoice revenue",IF(COUNT(AB486:AD486)&lt;3,"Enter expenses (0 if none)","Complete"))))</f>
        <v/>
      </c>
      <c r="AL486" s="11">
        <f>IF(A486="","",IF(NOT(AND(COUNT(AH486)=1,N(AH486)&gt;0.004,V486&lt;&gt;"Void",V486&lt;&gt;"Not invoiced",V486&lt;&gt;"Draft")),"",IF(COUNT(X486)=0,"No due date",IF(TODAY()-X486&lt;=0,"Not yet due",IF(TODAY()-X486&lt;=30,"1-30 days",IF(TODAY()-X486&lt;=60,"31-60 days",IF(TODAY()-X486&lt;=90,"61-90 days","Over 90 days")))))))</f>
        <v/>
      </c>
      <c r="AM486" s="49">
        <f>IF(OR(AL486="",AL486="No due date"),"",MAX(TODAY()-X486,0))</f>
        <v/>
      </c>
      <c r="AN486" s="49">
        <f>IF(AL486="","",IF(COUNT(X486)=0,-100000,TODAY()-X486))</f>
        <v/>
      </c>
      <c r="AO486" s="49">
        <f>IF(AN486="","",COUNTIF(AN$11:AN$1010,"&gt;"&amp;AN486)+COUNTIF(AN$11:AN486,AN486))</f>
        <v/>
      </c>
      <c r="AP486" s="49">
        <f>IF(OR(A486="",B486=""),"",IF(COUNTIF(B$11:B486,B486)=1,MAX(AP$10:AP485)+1,""))</f>
        <v/>
      </c>
    </row>
    <row r="487" ht="24" customHeight="1">
      <c r="A487" s="20" t="n"/>
      <c r="B487" s="10" t="n"/>
      <c r="C487" s="10" t="n"/>
      <c r="D487" s="10" t="n"/>
      <c r="E487" s="10" t="n"/>
      <c r="F487" s="18" t="n"/>
      <c r="G487" s="10" t="n"/>
      <c r="H487" s="12" t="n"/>
      <c r="I487" s="12" t="n"/>
      <c r="J487" s="13">
        <f>IF(OR(A487="",COUNT(H487)=0,COUNT(Z487)=0),"",ROUND(Z487-H487,2))</f>
        <v/>
      </c>
      <c r="K487" s="15">
        <f>IF(COUNT(J487)=0,"",IF(Z487=0,"n.a.",J487/Z487))</f>
        <v/>
      </c>
      <c r="L487" s="14">
        <f>IF(OR(A487="",COUNT(H487)=0,COUNT(Y487)=0),"",ROUND(H487*(1+Y487),2))</f>
        <v/>
      </c>
      <c r="M487" s="10" t="n"/>
      <c r="N487" s="10" t="n"/>
      <c r="O487" s="10" t="n"/>
      <c r="P487" s="10" t="n"/>
      <c r="Q487" s="20" t="n"/>
      <c r="R487" s="10" t="n"/>
      <c r="S487" s="10" t="n"/>
      <c r="T487" s="18" t="n"/>
      <c r="U487" s="18" t="n"/>
      <c r="V487" s="10" t="n"/>
      <c r="W487" s="10" t="n"/>
      <c r="X487" s="19">
        <f>IF(OR(A487="",COUNT(U487)=0,COUNT(AI487)=0),"",U487+AI487)</f>
        <v/>
      </c>
      <c r="Y487" s="16" t="n"/>
      <c r="Z487" s="12" t="n"/>
      <c r="AA487" s="17">
        <f>IF(COUNT(J487)=0,"",IF(H487=0,"n.a.",J487/H487))</f>
        <v/>
      </c>
      <c r="AB487" s="12" t="n"/>
      <c r="AC487" s="12" t="n"/>
      <c r="AD487" s="12" t="n"/>
      <c r="AE487" s="13">
        <f>IF(OR(COUNT(J487)=0,COUNT(AB487:AD487)&lt;3),"",ROUND(J487-SUM(AB487:AD487),2))</f>
        <v/>
      </c>
      <c r="AF487" s="15">
        <f>IF(COUNT(AE487)=0,"",IF(Z487=0,"n.a.",AE487/Z487))</f>
        <v/>
      </c>
      <c r="AG487" s="12" t="n"/>
      <c r="AH487" s="14">
        <f>IF(OR(A487="",COUNT(Z487)=0,COUNT(AG487)=0),"",ROUND(Z487-AG487,2))</f>
        <v/>
      </c>
      <c r="AI487" s="21" t="n"/>
      <c r="AJ487" s="11">
        <f>IF(A487="","",IF(COUNT(I487)=0,"Enter approved NTE",IF(COUNT(Z487)&gt;0,IF(Z487&gt;I487,"Invoice exceeds NTE","Invoice within NTE"),IF(COUNT(L487)=0,"Enter quote inputs",IF(L487&gt;I487,"Quote exceeds NTE","Quote within NTE")))))</f>
        <v/>
      </c>
      <c r="AK487" s="11">
        <f>IF(A487="","",IF(COUNT(H487)=0,"Enter direct cost",IF(COUNT(Z487)=0,"Enter invoice revenue",IF(COUNT(AB487:AD487)&lt;3,"Enter expenses (0 if none)","Complete"))))</f>
        <v/>
      </c>
      <c r="AL487" s="11">
        <f>IF(A487="","",IF(NOT(AND(COUNT(AH487)=1,N(AH487)&gt;0.004,V487&lt;&gt;"Void",V487&lt;&gt;"Not invoiced",V487&lt;&gt;"Draft")),"",IF(COUNT(X487)=0,"No due date",IF(TODAY()-X487&lt;=0,"Not yet due",IF(TODAY()-X487&lt;=30,"1-30 days",IF(TODAY()-X487&lt;=60,"31-60 days",IF(TODAY()-X487&lt;=90,"61-90 days","Over 90 days")))))))</f>
        <v/>
      </c>
      <c r="AM487" s="49">
        <f>IF(OR(AL487="",AL487="No due date"),"",MAX(TODAY()-X487,0))</f>
        <v/>
      </c>
      <c r="AN487" s="49">
        <f>IF(AL487="","",IF(COUNT(X487)=0,-100000,TODAY()-X487))</f>
        <v/>
      </c>
      <c r="AO487" s="49">
        <f>IF(AN487="","",COUNTIF(AN$11:AN$1010,"&gt;"&amp;AN487)+COUNTIF(AN$11:AN487,AN487))</f>
        <v/>
      </c>
      <c r="AP487" s="49">
        <f>IF(OR(A487="",B487=""),"",IF(COUNTIF(B$11:B487,B487)=1,MAX(AP$10:AP486)+1,""))</f>
        <v/>
      </c>
    </row>
    <row r="488" ht="24" customHeight="1">
      <c r="A488" s="20" t="n"/>
      <c r="B488" s="10" t="n"/>
      <c r="C488" s="10" t="n"/>
      <c r="D488" s="10" t="n"/>
      <c r="E488" s="10" t="n"/>
      <c r="F488" s="18" t="n"/>
      <c r="G488" s="10" t="n"/>
      <c r="H488" s="12" t="n"/>
      <c r="I488" s="12" t="n"/>
      <c r="J488" s="13">
        <f>IF(OR(A488="",COUNT(H488)=0,COUNT(Z488)=0),"",ROUND(Z488-H488,2))</f>
        <v/>
      </c>
      <c r="K488" s="15">
        <f>IF(COUNT(J488)=0,"",IF(Z488=0,"n.a.",J488/Z488))</f>
        <v/>
      </c>
      <c r="L488" s="14">
        <f>IF(OR(A488="",COUNT(H488)=0,COUNT(Y488)=0),"",ROUND(H488*(1+Y488),2))</f>
        <v/>
      </c>
      <c r="M488" s="10" t="n"/>
      <c r="N488" s="10" t="n"/>
      <c r="O488" s="10" t="n"/>
      <c r="P488" s="10" t="n"/>
      <c r="Q488" s="20" t="n"/>
      <c r="R488" s="10" t="n"/>
      <c r="S488" s="10" t="n"/>
      <c r="T488" s="18" t="n"/>
      <c r="U488" s="18" t="n"/>
      <c r="V488" s="10" t="n"/>
      <c r="W488" s="10" t="n"/>
      <c r="X488" s="19">
        <f>IF(OR(A488="",COUNT(U488)=0,COUNT(AI488)=0),"",U488+AI488)</f>
        <v/>
      </c>
      <c r="Y488" s="16" t="n"/>
      <c r="Z488" s="12" t="n"/>
      <c r="AA488" s="17">
        <f>IF(COUNT(J488)=0,"",IF(H488=0,"n.a.",J488/H488))</f>
        <v/>
      </c>
      <c r="AB488" s="12" t="n"/>
      <c r="AC488" s="12" t="n"/>
      <c r="AD488" s="12" t="n"/>
      <c r="AE488" s="13">
        <f>IF(OR(COUNT(J488)=0,COUNT(AB488:AD488)&lt;3),"",ROUND(J488-SUM(AB488:AD488),2))</f>
        <v/>
      </c>
      <c r="AF488" s="15">
        <f>IF(COUNT(AE488)=0,"",IF(Z488=0,"n.a.",AE488/Z488))</f>
        <v/>
      </c>
      <c r="AG488" s="12" t="n"/>
      <c r="AH488" s="14">
        <f>IF(OR(A488="",COUNT(Z488)=0,COUNT(AG488)=0),"",ROUND(Z488-AG488,2))</f>
        <v/>
      </c>
      <c r="AI488" s="21" t="n"/>
      <c r="AJ488" s="11">
        <f>IF(A488="","",IF(COUNT(I488)=0,"Enter approved NTE",IF(COUNT(Z488)&gt;0,IF(Z488&gt;I488,"Invoice exceeds NTE","Invoice within NTE"),IF(COUNT(L488)=0,"Enter quote inputs",IF(L488&gt;I488,"Quote exceeds NTE","Quote within NTE")))))</f>
        <v/>
      </c>
      <c r="AK488" s="11">
        <f>IF(A488="","",IF(COUNT(H488)=0,"Enter direct cost",IF(COUNT(Z488)=0,"Enter invoice revenue",IF(COUNT(AB488:AD488)&lt;3,"Enter expenses (0 if none)","Complete"))))</f>
        <v/>
      </c>
      <c r="AL488" s="11">
        <f>IF(A488="","",IF(NOT(AND(COUNT(AH488)=1,N(AH488)&gt;0.004,V488&lt;&gt;"Void",V488&lt;&gt;"Not invoiced",V488&lt;&gt;"Draft")),"",IF(COUNT(X488)=0,"No due date",IF(TODAY()-X488&lt;=0,"Not yet due",IF(TODAY()-X488&lt;=30,"1-30 days",IF(TODAY()-X488&lt;=60,"31-60 days",IF(TODAY()-X488&lt;=90,"61-90 days","Over 90 days")))))))</f>
        <v/>
      </c>
      <c r="AM488" s="49">
        <f>IF(OR(AL488="",AL488="No due date"),"",MAX(TODAY()-X488,0))</f>
        <v/>
      </c>
      <c r="AN488" s="49">
        <f>IF(AL488="","",IF(COUNT(X488)=0,-100000,TODAY()-X488))</f>
        <v/>
      </c>
      <c r="AO488" s="49">
        <f>IF(AN488="","",COUNTIF(AN$11:AN$1010,"&gt;"&amp;AN488)+COUNTIF(AN$11:AN488,AN488))</f>
        <v/>
      </c>
      <c r="AP488" s="49">
        <f>IF(OR(A488="",B488=""),"",IF(COUNTIF(B$11:B488,B488)=1,MAX(AP$10:AP487)+1,""))</f>
        <v/>
      </c>
    </row>
    <row r="489" ht="24" customHeight="1">
      <c r="A489" s="20" t="n"/>
      <c r="B489" s="10" t="n"/>
      <c r="C489" s="10" t="n"/>
      <c r="D489" s="10" t="n"/>
      <c r="E489" s="10" t="n"/>
      <c r="F489" s="18" t="n"/>
      <c r="G489" s="10" t="n"/>
      <c r="H489" s="12" t="n"/>
      <c r="I489" s="12" t="n"/>
      <c r="J489" s="13">
        <f>IF(OR(A489="",COUNT(H489)=0,COUNT(Z489)=0),"",ROUND(Z489-H489,2))</f>
        <v/>
      </c>
      <c r="K489" s="15">
        <f>IF(COUNT(J489)=0,"",IF(Z489=0,"n.a.",J489/Z489))</f>
        <v/>
      </c>
      <c r="L489" s="14">
        <f>IF(OR(A489="",COUNT(H489)=0,COUNT(Y489)=0),"",ROUND(H489*(1+Y489),2))</f>
        <v/>
      </c>
      <c r="M489" s="10" t="n"/>
      <c r="N489" s="10" t="n"/>
      <c r="O489" s="10" t="n"/>
      <c r="P489" s="10" t="n"/>
      <c r="Q489" s="20" t="n"/>
      <c r="R489" s="10" t="n"/>
      <c r="S489" s="10" t="n"/>
      <c r="T489" s="18" t="n"/>
      <c r="U489" s="18" t="n"/>
      <c r="V489" s="10" t="n"/>
      <c r="W489" s="10" t="n"/>
      <c r="X489" s="19">
        <f>IF(OR(A489="",COUNT(U489)=0,COUNT(AI489)=0),"",U489+AI489)</f>
        <v/>
      </c>
      <c r="Y489" s="16" t="n"/>
      <c r="Z489" s="12" t="n"/>
      <c r="AA489" s="17">
        <f>IF(COUNT(J489)=0,"",IF(H489=0,"n.a.",J489/H489))</f>
        <v/>
      </c>
      <c r="AB489" s="12" t="n"/>
      <c r="AC489" s="12" t="n"/>
      <c r="AD489" s="12" t="n"/>
      <c r="AE489" s="13">
        <f>IF(OR(COUNT(J489)=0,COUNT(AB489:AD489)&lt;3),"",ROUND(J489-SUM(AB489:AD489),2))</f>
        <v/>
      </c>
      <c r="AF489" s="15">
        <f>IF(COUNT(AE489)=0,"",IF(Z489=0,"n.a.",AE489/Z489))</f>
        <v/>
      </c>
      <c r="AG489" s="12" t="n"/>
      <c r="AH489" s="14">
        <f>IF(OR(A489="",COUNT(Z489)=0,COUNT(AG489)=0),"",ROUND(Z489-AG489,2))</f>
        <v/>
      </c>
      <c r="AI489" s="21" t="n"/>
      <c r="AJ489" s="11">
        <f>IF(A489="","",IF(COUNT(I489)=0,"Enter approved NTE",IF(COUNT(Z489)&gt;0,IF(Z489&gt;I489,"Invoice exceeds NTE","Invoice within NTE"),IF(COUNT(L489)=0,"Enter quote inputs",IF(L489&gt;I489,"Quote exceeds NTE","Quote within NTE")))))</f>
        <v/>
      </c>
      <c r="AK489" s="11">
        <f>IF(A489="","",IF(COUNT(H489)=0,"Enter direct cost",IF(COUNT(Z489)=0,"Enter invoice revenue",IF(COUNT(AB489:AD489)&lt;3,"Enter expenses (0 if none)","Complete"))))</f>
        <v/>
      </c>
      <c r="AL489" s="11">
        <f>IF(A489="","",IF(NOT(AND(COUNT(AH489)=1,N(AH489)&gt;0.004,V489&lt;&gt;"Void",V489&lt;&gt;"Not invoiced",V489&lt;&gt;"Draft")),"",IF(COUNT(X489)=0,"No due date",IF(TODAY()-X489&lt;=0,"Not yet due",IF(TODAY()-X489&lt;=30,"1-30 days",IF(TODAY()-X489&lt;=60,"31-60 days",IF(TODAY()-X489&lt;=90,"61-90 days","Over 90 days")))))))</f>
        <v/>
      </c>
      <c r="AM489" s="49">
        <f>IF(OR(AL489="",AL489="No due date"),"",MAX(TODAY()-X489,0))</f>
        <v/>
      </c>
      <c r="AN489" s="49">
        <f>IF(AL489="","",IF(COUNT(X489)=0,-100000,TODAY()-X489))</f>
        <v/>
      </c>
      <c r="AO489" s="49">
        <f>IF(AN489="","",COUNTIF(AN$11:AN$1010,"&gt;"&amp;AN489)+COUNTIF(AN$11:AN489,AN489))</f>
        <v/>
      </c>
      <c r="AP489" s="49">
        <f>IF(OR(A489="",B489=""),"",IF(COUNTIF(B$11:B489,B489)=1,MAX(AP$10:AP488)+1,""))</f>
        <v/>
      </c>
    </row>
    <row r="490" ht="24" customHeight="1">
      <c r="A490" s="20" t="n"/>
      <c r="B490" s="10" t="n"/>
      <c r="C490" s="10" t="n"/>
      <c r="D490" s="10" t="n"/>
      <c r="E490" s="10" t="n"/>
      <c r="F490" s="18" t="n"/>
      <c r="G490" s="10" t="n"/>
      <c r="H490" s="12" t="n"/>
      <c r="I490" s="12" t="n"/>
      <c r="J490" s="13">
        <f>IF(OR(A490="",COUNT(H490)=0,COUNT(Z490)=0),"",ROUND(Z490-H490,2))</f>
        <v/>
      </c>
      <c r="K490" s="15">
        <f>IF(COUNT(J490)=0,"",IF(Z490=0,"n.a.",J490/Z490))</f>
        <v/>
      </c>
      <c r="L490" s="14">
        <f>IF(OR(A490="",COUNT(H490)=0,COUNT(Y490)=0),"",ROUND(H490*(1+Y490),2))</f>
        <v/>
      </c>
      <c r="M490" s="10" t="n"/>
      <c r="N490" s="10" t="n"/>
      <c r="O490" s="10" t="n"/>
      <c r="P490" s="10" t="n"/>
      <c r="Q490" s="20" t="n"/>
      <c r="R490" s="10" t="n"/>
      <c r="S490" s="10" t="n"/>
      <c r="T490" s="18" t="n"/>
      <c r="U490" s="18" t="n"/>
      <c r="V490" s="10" t="n"/>
      <c r="W490" s="10" t="n"/>
      <c r="X490" s="19">
        <f>IF(OR(A490="",COUNT(U490)=0,COUNT(AI490)=0),"",U490+AI490)</f>
        <v/>
      </c>
      <c r="Y490" s="16" t="n"/>
      <c r="Z490" s="12" t="n"/>
      <c r="AA490" s="17">
        <f>IF(COUNT(J490)=0,"",IF(H490=0,"n.a.",J490/H490))</f>
        <v/>
      </c>
      <c r="AB490" s="12" t="n"/>
      <c r="AC490" s="12" t="n"/>
      <c r="AD490" s="12" t="n"/>
      <c r="AE490" s="13">
        <f>IF(OR(COUNT(J490)=0,COUNT(AB490:AD490)&lt;3),"",ROUND(J490-SUM(AB490:AD490),2))</f>
        <v/>
      </c>
      <c r="AF490" s="15">
        <f>IF(COUNT(AE490)=0,"",IF(Z490=0,"n.a.",AE490/Z490))</f>
        <v/>
      </c>
      <c r="AG490" s="12" t="n"/>
      <c r="AH490" s="14">
        <f>IF(OR(A490="",COUNT(Z490)=0,COUNT(AG490)=0),"",ROUND(Z490-AG490,2))</f>
        <v/>
      </c>
      <c r="AI490" s="21" t="n"/>
      <c r="AJ490" s="11">
        <f>IF(A490="","",IF(COUNT(I490)=0,"Enter approved NTE",IF(COUNT(Z490)&gt;0,IF(Z490&gt;I490,"Invoice exceeds NTE","Invoice within NTE"),IF(COUNT(L490)=0,"Enter quote inputs",IF(L490&gt;I490,"Quote exceeds NTE","Quote within NTE")))))</f>
        <v/>
      </c>
      <c r="AK490" s="11">
        <f>IF(A490="","",IF(COUNT(H490)=0,"Enter direct cost",IF(COUNT(Z490)=0,"Enter invoice revenue",IF(COUNT(AB490:AD490)&lt;3,"Enter expenses (0 if none)","Complete"))))</f>
        <v/>
      </c>
      <c r="AL490" s="11">
        <f>IF(A490="","",IF(NOT(AND(COUNT(AH490)=1,N(AH490)&gt;0.004,V490&lt;&gt;"Void",V490&lt;&gt;"Not invoiced",V490&lt;&gt;"Draft")),"",IF(COUNT(X490)=0,"No due date",IF(TODAY()-X490&lt;=0,"Not yet due",IF(TODAY()-X490&lt;=30,"1-30 days",IF(TODAY()-X490&lt;=60,"31-60 days",IF(TODAY()-X490&lt;=90,"61-90 days","Over 90 days")))))))</f>
        <v/>
      </c>
      <c r="AM490" s="49">
        <f>IF(OR(AL490="",AL490="No due date"),"",MAX(TODAY()-X490,0))</f>
        <v/>
      </c>
      <c r="AN490" s="49">
        <f>IF(AL490="","",IF(COUNT(X490)=0,-100000,TODAY()-X490))</f>
        <v/>
      </c>
      <c r="AO490" s="49">
        <f>IF(AN490="","",COUNTIF(AN$11:AN$1010,"&gt;"&amp;AN490)+COUNTIF(AN$11:AN490,AN490))</f>
        <v/>
      </c>
      <c r="AP490" s="49">
        <f>IF(OR(A490="",B490=""),"",IF(COUNTIF(B$11:B490,B490)=1,MAX(AP$10:AP489)+1,""))</f>
        <v/>
      </c>
    </row>
    <row r="491" ht="24" customHeight="1">
      <c r="A491" s="20" t="n"/>
      <c r="B491" s="10" t="n"/>
      <c r="C491" s="10" t="n"/>
      <c r="D491" s="10" t="n"/>
      <c r="E491" s="10" t="n"/>
      <c r="F491" s="18" t="n"/>
      <c r="G491" s="10" t="n"/>
      <c r="H491" s="12" t="n"/>
      <c r="I491" s="12" t="n"/>
      <c r="J491" s="13">
        <f>IF(OR(A491="",COUNT(H491)=0,COUNT(Z491)=0),"",ROUND(Z491-H491,2))</f>
        <v/>
      </c>
      <c r="K491" s="15">
        <f>IF(COUNT(J491)=0,"",IF(Z491=0,"n.a.",J491/Z491))</f>
        <v/>
      </c>
      <c r="L491" s="14">
        <f>IF(OR(A491="",COUNT(H491)=0,COUNT(Y491)=0),"",ROUND(H491*(1+Y491),2))</f>
        <v/>
      </c>
      <c r="M491" s="10" t="n"/>
      <c r="N491" s="10" t="n"/>
      <c r="O491" s="10" t="n"/>
      <c r="P491" s="10" t="n"/>
      <c r="Q491" s="20" t="n"/>
      <c r="R491" s="10" t="n"/>
      <c r="S491" s="10" t="n"/>
      <c r="T491" s="18" t="n"/>
      <c r="U491" s="18" t="n"/>
      <c r="V491" s="10" t="n"/>
      <c r="W491" s="10" t="n"/>
      <c r="X491" s="19">
        <f>IF(OR(A491="",COUNT(U491)=0,COUNT(AI491)=0),"",U491+AI491)</f>
        <v/>
      </c>
      <c r="Y491" s="16" t="n"/>
      <c r="Z491" s="12" t="n"/>
      <c r="AA491" s="17">
        <f>IF(COUNT(J491)=0,"",IF(H491=0,"n.a.",J491/H491))</f>
        <v/>
      </c>
      <c r="AB491" s="12" t="n"/>
      <c r="AC491" s="12" t="n"/>
      <c r="AD491" s="12" t="n"/>
      <c r="AE491" s="13">
        <f>IF(OR(COUNT(J491)=0,COUNT(AB491:AD491)&lt;3),"",ROUND(J491-SUM(AB491:AD491),2))</f>
        <v/>
      </c>
      <c r="AF491" s="15">
        <f>IF(COUNT(AE491)=0,"",IF(Z491=0,"n.a.",AE491/Z491))</f>
        <v/>
      </c>
      <c r="AG491" s="12" t="n"/>
      <c r="AH491" s="14">
        <f>IF(OR(A491="",COUNT(Z491)=0,COUNT(AG491)=0),"",ROUND(Z491-AG491,2))</f>
        <v/>
      </c>
      <c r="AI491" s="21" t="n"/>
      <c r="AJ491" s="11">
        <f>IF(A491="","",IF(COUNT(I491)=0,"Enter approved NTE",IF(COUNT(Z491)&gt;0,IF(Z491&gt;I491,"Invoice exceeds NTE","Invoice within NTE"),IF(COUNT(L491)=0,"Enter quote inputs",IF(L491&gt;I491,"Quote exceeds NTE","Quote within NTE")))))</f>
        <v/>
      </c>
      <c r="AK491" s="11">
        <f>IF(A491="","",IF(COUNT(H491)=0,"Enter direct cost",IF(COUNT(Z491)=0,"Enter invoice revenue",IF(COUNT(AB491:AD491)&lt;3,"Enter expenses (0 if none)","Complete"))))</f>
        <v/>
      </c>
      <c r="AL491" s="11">
        <f>IF(A491="","",IF(NOT(AND(COUNT(AH491)=1,N(AH491)&gt;0.004,V491&lt;&gt;"Void",V491&lt;&gt;"Not invoiced",V491&lt;&gt;"Draft")),"",IF(COUNT(X491)=0,"No due date",IF(TODAY()-X491&lt;=0,"Not yet due",IF(TODAY()-X491&lt;=30,"1-30 days",IF(TODAY()-X491&lt;=60,"31-60 days",IF(TODAY()-X491&lt;=90,"61-90 days","Over 90 days")))))))</f>
        <v/>
      </c>
      <c r="AM491" s="49">
        <f>IF(OR(AL491="",AL491="No due date"),"",MAX(TODAY()-X491,0))</f>
        <v/>
      </c>
      <c r="AN491" s="49">
        <f>IF(AL491="","",IF(COUNT(X491)=0,-100000,TODAY()-X491))</f>
        <v/>
      </c>
      <c r="AO491" s="49">
        <f>IF(AN491="","",COUNTIF(AN$11:AN$1010,"&gt;"&amp;AN491)+COUNTIF(AN$11:AN491,AN491))</f>
        <v/>
      </c>
      <c r="AP491" s="49">
        <f>IF(OR(A491="",B491=""),"",IF(COUNTIF(B$11:B491,B491)=1,MAX(AP$10:AP490)+1,""))</f>
        <v/>
      </c>
    </row>
    <row r="492" ht="24" customHeight="1">
      <c r="A492" s="20" t="n"/>
      <c r="B492" s="10" t="n"/>
      <c r="C492" s="10" t="n"/>
      <c r="D492" s="10" t="n"/>
      <c r="E492" s="10" t="n"/>
      <c r="F492" s="18" t="n"/>
      <c r="G492" s="10" t="n"/>
      <c r="H492" s="12" t="n"/>
      <c r="I492" s="12" t="n"/>
      <c r="J492" s="13">
        <f>IF(OR(A492="",COUNT(H492)=0,COUNT(Z492)=0),"",ROUND(Z492-H492,2))</f>
        <v/>
      </c>
      <c r="K492" s="15">
        <f>IF(COUNT(J492)=0,"",IF(Z492=0,"n.a.",J492/Z492))</f>
        <v/>
      </c>
      <c r="L492" s="14">
        <f>IF(OR(A492="",COUNT(H492)=0,COUNT(Y492)=0),"",ROUND(H492*(1+Y492),2))</f>
        <v/>
      </c>
      <c r="M492" s="10" t="n"/>
      <c r="N492" s="10" t="n"/>
      <c r="O492" s="10" t="n"/>
      <c r="P492" s="10" t="n"/>
      <c r="Q492" s="20" t="n"/>
      <c r="R492" s="10" t="n"/>
      <c r="S492" s="10" t="n"/>
      <c r="T492" s="18" t="n"/>
      <c r="U492" s="18" t="n"/>
      <c r="V492" s="10" t="n"/>
      <c r="W492" s="10" t="n"/>
      <c r="X492" s="19">
        <f>IF(OR(A492="",COUNT(U492)=0,COUNT(AI492)=0),"",U492+AI492)</f>
        <v/>
      </c>
      <c r="Y492" s="16" t="n"/>
      <c r="Z492" s="12" t="n"/>
      <c r="AA492" s="17">
        <f>IF(COUNT(J492)=0,"",IF(H492=0,"n.a.",J492/H492))</f>
        <v/>
      </c>
      <c r="AB492" s="12" t="n"/>
      <c r="AC492" s="12" t="n"/>
      <c r="AD492" s="12" t="n"/>
      <c r="AE492" s="13">
        <f>IF(OR(COUNT(J492)=0,COUNT(AB492:AD492)&lt;3),"",ROUND(J492-SUM(AB492:AD492),2))</f>
        <v/>
      </c>
      <c r="AF492" s="15">
        <f>IF(COUNT(AE492)=0,"",IF(Z492=0,"n.a.",AE492/Z492))</f>
        <v/>
      </c>
      <c r="AG492" s="12" t="n"/>
      <c r="AH492" s="14">
        <f>IF(OR(A492="",COUNT(Z492)=0,COUNT(AG492)=0),"",ROUND(Z492-AG492,2))</f>
        <v/>
      </c>
      <c r="AI492" s="21" t="n"/>
      <c r="AJ492" s="11">
        <f>IF(A492="","",IF(COUNT(I492)=0,"Enter approved NTE",IF(COUNT(Z492)&gt;0,IF(Z492&gt;I492,"Invoice exceeds NTE","Invoice within NTE"),IF(COUNT(L492)=0,"Enter quote inputs",IF(L492&gt;I492,"Quote exceeds NTE","Quote within NTE")))))</f>
        <v/>
      </c>
      <c r="AK492" s="11">
        <f>IF(A492="","",IF(COUNT(H492)=0,"Enter direct cost",IF(COUNT(Z492)=0,"Enter invoice revenue",IF(COUNT(AB492:AD492)&lt;3,"Enter expenses (0 if none)","Complete"))))</f>
        <v/>
      </c>
      <c r="AL492" s="11">
        <f>IF(A492="","",IF(NOT(AND(COUNT(AH492)=1,N(AH492)&gt;0.004,V492&lt;&gt;"Void",V492&lt;&gt;"Not invoiced",V492&lt;&gt;"Draft")),"",IF(COUNT(X492)=0,"No due date",IF(TODAY()-X492&lt;=0,"Not yet due",IF(TODAY()-X492&lt;=30,"1-30 days",IF(TODAY()-X492&lt;=60,"31-60 days",IF(TODAY()-X492&lt;=90,"61-90 days","Over 90 days")))))))</f>
        <v/>
      </c>
      <c r="AM492" s="49">
        <f>IF(OR(AL492="",AL492="No due date"),"",MAX(TODAY()-X492,0))</f>
        <v/>
      </c>
      <c r="AN492" s="49">
        <f>IF(AL492="","",IF(COUNT(X492)=0,-100000,TODAY()-X492))</f>
        <v/>
      </c>
      <c r="AO492" s="49">
        <f>IF(AN492="","",COUNTIF(AN$11:AN$1010,"&gt;"&amp;AN492)+COUNTIF(AN$11:AN492,AN492))</f>
        <v/>
      </c>
      <c r="AP492" s="49">
        <f>IF(OR(A492="",B492=""),"",IF(COUNTIF(B$11:B492,B492)=1,MAX(AP$10:AP491)+1,""))</f>
        <v/>
      </c>
    </row>
    <row r="493" ht="24" customHeight="1">
      <c r="A493" s="20" t="n"/>
      <c r="B493" s="10" t="n"/>
      <c r="C493" s="10" t="n"/>
      <c r="D493" s="10" t="n"/>
      <c r="E493" s="10" t="n"/>
      <c r="F493" s="18" t="n"/>
      <c r="G493" s="10" t="n"/>
      <c r="H493" s="12" t="n"/>
      <c r="I493" s="12" t="n"/>
      <c r="J493" s="13">
        <f>IF(OR(A493="",COUNT(H493)=0,COUNT(Z493)=0),"",ROUND(Z493-H493,2))</f>
        <v/>
      </c>
      <c r="K493" s="15">
        <f>IF(COUNT(J493)=0,"",IF(Z493=0,"n.a.",J493/Z493))</f>
        <v/>
      </c>
      <c r="L493" s="14">
        <f>IF(OR(A493="",COUNT(H493)=0,COUNT(Y493)=0),"",ROUND(H493*(1+Y493),2))</f>
        <v/>
      </c>
      <c r="M493" s="10" t="n"/>
      <c r="N493" s="10" t="n"/>
      <c r="O493" s="10" t="n"/>
      <c r="P493" s="10" t="n"/>
      <c r="Q493" s="20" t="n"/>
      <c r="R493" s="10" t="n"/>
      <c r="S493" s="10" t="n"/>
      <c r="T493" s="18" t="n"/>
      <c r="U493" s="18" t="n"/>
      <c r="V493" s="10" t="n"/>
      <c r="W493" s="10" t="n"/>
      <c r="X493" s="19">
        <f>IF(OR(A493="",COUNT(U493)=0,COUNT(AI493)=0),"",U493+AI493)</f>
        <v/>
      </c>
      <c r="Y493" s="16" t="n"/>
      <c r="Z493" s="12" t="n"/>
      <c r="AA493" s="17">
        <f>IF(COUNT(J493)=0,"",IF(H493=0,"n.a.",J493/H493))</f>
        <v/>
      </c>
      <c r="AB493" s="12" t="n"/>
      <c r="AC493" s="12" t="n"/>
      <c r="AD493" s="12" t="n"/>
      <c r="AE493" s="13">
        <f>IF(OR(COUNT(J493)=0,COUNT(AB493:AD493)&lt;3),"",ROUND(J493-SUM(AB493:AD493),2))</f>
        <v/>
      </c>
      <c r="AF493" s="15">
        <f>IF(COUNT(AE493)=0,"",IF(Z493=0,"n.a.",AE493/Z493))</f>
        <v/>
      </c>
      <c r="AG493" s="12" t="n"/>
      <c r="AH493" s="14">
        <f>IF(OR(A493="",COUNT(Z493)=0,COUNT(AG493)=0),"",ROUND(Z493-AG493,2))</f>
        <v/>
      </c>
      <c r="AI493" s="21" t="n"/>
      <c r="AJ493" s="11">
        <f>IF(A493="","",IF(COUNT(I493)=0,"Enter approved NTE",IF(COUNT(Z493)&gt;0,IF(Z493&gt;I493,"Invoice exceeds NTE","Invoice within NTE"),IF(COUNT(L493)=0,"Enter quote inputs",IF(L493&gt;I493,"Quote exceeds NTE","Quote within NTE")))))</f>
        <v/>
      </c>
      <c r="AK493" s="11">
        <f>IF(A493="","",IF(COUNT(H493)=0,"Enter direct cost",IF(COUNT(Z493)=0,"Enter invoice revenue",IF(COUNT(AB493:AD493)&lt;3,"Enter expenses (0 if none)","Complete"))))</f>
        <v/>
      </c>
      <c r="AL493" s="11">
        <f>IF(A493="","",IF(NOT(AND(COUNT(AH493)=1,N(AH493)&gt;0.004,V493&lt;&gt;"Void",V493&lt;&gt;"Not invoiced",V493&lt;&gt;"Draft")),"",IF(COUNT(X493)=0,"No due date",IF(TODAY()-X493&lt;=0,"Not yet due",IF(TODAY()-X493&lt;=30,"1-30 days",IF(TODAY()-X493&lt;=60,"31-60 days",IF(TODAY()-X493&lt;=90,"61-90 days","Over 90 days")))))))</f>
        <v/>
      </c>
      <c r="AM493" s="49">
        <f>IF(OR(AL493="",AL493="No due date"),"",MAX(TODAY()-X493,0))</f>
        <v/>
      </c>
      <c r="AN493" s="49">
        <f>IF(AL493="","",IF(COUNT(X493)=0,-100000,TODAY()-X493))</f>
        <v/>
      </c>
      <c r="AO493" s="49">
        <f>IF(AN493="","",COUNTIF(AN$11:AN$1010,"&gt;"&amp;AN493)+COUNTIF(AN$11:AN493,AN493))</f>
        <v/>
      </c>
      <c r="AP493" s="49">
        <f>IF(OR(A493="",B493=""),"",IF(COUNTIF(B$11:B493,B493)=1,MAX(AP$10:AP492)+1,""))</f>
        <v/>
      </c>
    </row>
    <row r="494" ht="24" customHeight="1">
      <c r="A494" s="20" t="n"/>
      <c r="B494" s="10" t="n"/>
      <c r="C494" s="10" t="n"/>
      <c r="D494" s="10" t="n"/>
      <c r="E494" s="10" t="n"/>
      <c r="F494" s="18" t="n"/>
      <c r="G494" s="10" t="n"/>
      <c r="H494" s="12" t="n"/>
      <c r="I494" s="12" t="n"/>
      <c r="J494" s="13">
        <f>IF(OR(A494="",COUNT(H494)=0,COUNT(Z494)=0),"",ROUND(Z494-H494,2))</f>
        <v/>
      </c>
      <c r="K494" s="15">
        <f>IF(COUNT(J494)=0,"",IF(Z494=0,"n.a.",J494/Z494))</f>
        <v/>
      </c>
      <c r="L494" s="14">
        <f>IF(OR(A494="",COUNT(H494)=0,COUNT(Y494)=0),"",ROUND(H494*(1+Y494),2))</f>
        <v/>
      </c>
      <c r="M494" s="10" t="n"/>
      <c r="N494" s="10" t="n"/>
      <c r="O494" s="10" t="n"/>
      <c r="P494" s="10" t="n"/>
      <c r="Q494" s="20" t="n"/>
      <c r="R494" s="10" t="n"/>
      <c r="S494" s="10" t="n"/>
      <c r="T494" s="18" t="n"/>
      <c r="U494" s="18" t="n"/>
      <c r="V494" s="10" t="n"/>
      <c r="W494" s="10" t="n"/>
      <c r="X494" s="19">
        <f>IF(OR(A494="",COUNT(U494)=0,COUNT(AI494)=0),"",U494+AI494)</f>
        <v/>
      </c>
      <c r="Y494" s="16" t="n"/>
      <c r="Z494" s="12" t="n"/>
      <c r="AA494" s="17">
        <f>IF(COUNT(J494)=0,"",IF(H494=0,"n.a.",J494/H494))</f>
        <v/>
      </c>
      <c r="AB494" s="12" t="n"/>
      <c r="AC494" s="12" t="n"/>
      <c r="AD494" s="12" t="n"/>
      <c r="AE494" s="13">
        <f>IF(OR(COUNT(J494)=0,COUNT(AB494:AD494)&lt;3),"",ROUND(J494-SUM(AB494:AD494),2))</f>
        <v/>
      </c>
      <c r="AF494" s="15">
        <f>IF(COUNT(AE494)=0,"",IF(Z494=0,"n.a.",AE494/Z494))</f>
        <v/>
      </c>
      <c r="AG494" s="12" t="n"/>
      <c r="AH494" s="14">
        <f>IF(OR(A494="",COUNT(Z494)=0,COUNT(AG494)=0),"",ROUND(Z494-AG494,2))</f>
        <v/>
      </c>
      <c r="AI494" s="21" t="n"/>
      <c r="AJ494" s="11">
        <f>IF(A494="","",IF(COUNT(I494)=0,"Enter approved NTE",IF(COUNT(Z494)&gt;0,IF(Z494&gt;I494,"Invoice exceeds NTE","Invoice within NTE"),IF(COUNT(L494)=0,"Enter quote inputs",IF(L494&gt;I494,"Quote exceeds NTE","Quote within NTE")))))</f>
        <v/>
      </c>
      <c r="AK494" s="11">
        <f>IF(A494="","",IF(COUNT(H494)=0,"Enter direct cost",IF(COUNT(Z494)=0,"Enter invoice revenue",IF(COUNT(AB494:AD494)&lt;3,"Enter expenses (0 if none)","Complete"))))</f>
        <v/>
      </c>
      <c r="AL494" s="11">
        <f>IF(A494="","",IF(NOT(AND(COUNT(AH494)=1,N(AH494)&gt;0.004,V494&lt;&gt;"Void",V494&lt;&gt;"Not invoiced",V494&lt;&gt;"Draft")),"",IF(COUNT(X494)=0,"No due date",IF(TODAY()-X494&lt;=0,"Not yet due",IF(TODAY()-X494&lt;=30,"1-30 days",IF(TODAY()-X494&lt;=60,"31-60 days",IF(TODAY()-X494&lt;=90,"61-90 days","Over 90 days")))))))</f>
        <v/>
      </c>
      <c r="AM494" s="49">
        <f>IF(OR(AL494="",AL494="No due date"),"",MAX(TODAY()-X494,0))</f>
        <v/>
      </c>
      <c r="AN494" s="49">
        <f>IF(AL494="","",IF(COUNT(X494)=0,-100000,TODAY()-X494))</f>
        <v/>
      </c>
      <c r="AO494" s="49">
        <f>IF(AN494="","",COUNTIF(AN$11:AN$1010,"&gt;"&amp;AN494)+COUNTIF(AN$11:AN494,AN494))</f>
        <v/>
      </c>
      <c r="AP494" s="49">
        <f>IF(OR(A494="",B494=""),"",IF(COUNTIF(B$11:B494,B494)=1,MAX(AP$10:AP493)+1,""))</f>
        <v/>
      </c>
    </row>
    <row r="495" ht="24" customHeight="1">
      <c r="A495" s="20" t="n"/>
      <c r="B495" s="10" t="n"/>
      <c r="C495" s="10" t="n"/>
      <c r="D495" s="10" t="n"/>
      <c r="E495" s="10" t="n"/>
      <c r="F495" s="18" t="n"/>
      <c r="G495" s="10" t="n"/>
      <c r="H495" s="12" t="n"/>
      <c r="I495" s="12" t="n"/>
      <c r="J495" s="13">
        <f>IF(OR(A495="",COUNT(H495)=0,COUNT(Z495)=0),"",ROUND(Z495-H495,2))</f>
        <v/>
      </c>
      <c r="K495" s="15">
        <f>IF(COUNT(J495)=0,"",IF(Z495=0,"n.a.",J495/Z495))</f>
        <v/>
      </c>
      <c r="L495" s="14">
        <f>IF(OR(A495="",COUNT(H495)=0,COUNT(Y495)=0),"",ROUND(H495*(1+Y495),2))</f>
        <v/>
      </c>
      <c r="M495" s="10" t="n"/>
      <c r="N495" s="10" t="n"/>
      <c r="O495" s="10" t="n"/>
      <c r="P495" s="10" t="n"/>
      <c r="Q495" s="20" t="n"/>
      <c r="R495" s="10" t="n"/>
      <c r="S495" s="10" t="n"/>
      <c r="T495" s="18" t="n"/>
      <c r="U495" s="18" t="n"/>
      <c r="V495" s="10" t="n"/>
      <c r="W495" s="10" t="n"/>
      <c r="X495" s="19">
        <f>IF(OR(A495="",COUNT(U495)=0,COUNT(AI495)=0),"",U495+AI495)</f>
        <v/>
      </c>
      <c r="Y495" s="16" t="n"/>
      <c r="Z495" s="12" t="n"/>
      <c r="AA495" s="17">
        <f>IF(COUNT(J495)=0,"",IF(H495=0,"n.a.",J495/H495))</f>
        <v/>
      </c>
      <c r="AB495" s="12" t="n"/>
      <c r="AC495" s="12" t="n"/>
      <c r="AD495" s="12" t="n"/>
      <c r="AE495" s="13">
        <f>IF(OR(COUNT(J495)=0,COUNT(AB495:AD495)&lt;3),"",ROUND(J495-SUM(AB495:AD495),2))</f>
        <v/>
      </c>
      <c r="AF495" s="15">
        <f>IF(COUNT(AE495)=0,"",IF(Z495=0,"n.a.",AE495/Z495))</f>
        <v/>
      </c>
      <c r="AG495" s="12" t="n"/>
      <c r="AH495" s="14">
        <f>IF(OR(A495="",COUNT(Z495)=0,COUNT(AG495)=0),"",ROUND(Z495-AG495,2))</f>
        <v/>
      </c>
      <c r="AI495" s="21" t="n"/>
      <c r="AJ495" s="11">
        <f>IF(A495="","",IF(COUNT(I495)=0,"Enter approved NTE",IF(COUNT(Z495)&gt;0,IF(Z495&gt;I495,"Invoice exceeds NTE","Invoice within NTE"),IF(COUNT(L495)=0,"Enter quote inputs",IF(L495&gt;I495,"Quote exceeds NTE","Quote within NTE")))))</f>
        <v/>
      </c>
      <c r="AK495" s="11">
        <f>IF(A495="","",IF(COUNT(H495)=0,"Enter direct cost",IF(COUNT(Z495)=0,"Enter invoice revenue",IF(COUNT(AB495:AD495)&lt;3,"Enter expenses (0 if none)","Complete"))))</f>
        <v/>
      </c>
      <c r="AL495" s="11">
        <f>IF(A495="","",IF(NOT(AND(COUNT(AH495)=1,N(AH495)&gt;0.004,V495&lt;&gt;"Void",V495&lt;&gt;"Not invoiced",V495&lt;&gt;"Draft")),"",IF(COUNT(X495)=0,"No due date",IF(TODAY()-X495&lt;=0,"Not yet due",IF(TODAY()-X495&lt;=30,"1-30 days",IF(TODAY()-X495&lt;=60,"31-60 days",IF(TODAY()-X495&lt;=90,"61-90 days","Over 90 days")))))))</f>
        <v/>
      </c>
      <c r="AM495" s="49">
        <f>IF(OR(AL495="",AL495="No due date"),"",MAX(TODAY()-X495,0))</f>
        <v/>
      </c>
      <c r="AN495" s="49">
        <f>IF(AL495="","",IF(COUNT(X495)=0,-100000,TODAY()-X495))</f>
        <v/>
      </c>
      <c r="AO495" s="49">
        <f>IF(AN495="","",COUNTIF(AN$11:AN$1010,"&gt;"&amp;AN495)+COUNTIF(AN$11:AN495,AN495))</f>
        <v/>
      </c>
      <c r="AP495" s="49">
        <f>IF(OR(A495="",B495=""),"",IF(COUNTIF(B$11:B495,B495)=1,MAX(AP$10:AP494)+1,""))</f>
        <v/>
      </c>
    </row>
    <row r="496" ht="24" customHeight="1">
      <c r="A496" s="20" t="n"/>
      <c r="B496" s="10" t="n"/>
      <c r="C496" s="10" t="n"/>
      <c r="D496" s="10" t="n"/>
      <c r="E496" s="10" t="n"/>
      <c r="F496" s="18" t="n"/>
      <c r="G496" s="10" t="n"/>
      <c r="H496" s="12" t="n"/>
      <c r="I496" s="12" t="n"/>
      <c r="J496" s="13">
        <f>IF(OR(A496="",COUNT(H496)=0,COUNT(Z496)=0),"",ROUND(Z496-H496,2))</f>
        <v/>
      </c>
      <c r="K496" s="15">
        <f>IF(COUNT(J496)=0,"",IF(Z496=0,"n.a.",J496/Z496))</f>
        <v/>
      </c>
      <c r="L496" s="14">
        <f>IF(OR(A496="",COUNT(H496)=0,COUNT(Y496)=0),"",ROUND(H496*(1+Y496),2))</f>
        <v/>
      </c>
      <c r="M496" s="10" t="n"/>
      <c r="N496" s="10" t="n"/>
      <c r="O496" s="10" t="n"/>
      <c r="P496" s="10" t="n"/>
      <c r="Q496" s="20" t="n"/>
      <c r="R496" s="10" t="n"/>
      <c r="S496" s="10" t="n"/>
      <c r="T496" s="18" t="n"/>
      <c r="U496" s="18" t="n"/>
      <c r="V496" s="10" t="n"/>
      <c r="W496" s="10" t="n"/>
      <c r="X496" s="19">
        <f>IF(OR(A496="",COUNT(U496)=0,COUNT(AI496)=0),"",U496+AI496)</f>
        <v/>
      </c>
      <c r="Y496" s="16" t="n"/>
      <c r="Z496" s="12" t="n"/>
      <c r="AA496" s="17">
        <f>IF(COUNT(J496)=0,"",IF(H496=0,"n.a.",J496/H496))</f>
        <v/>
      </c>
      <c r="AB496" s="12" t="n"/>
      <c r="AC496" s="12" t="n"/>
      <c r="AD496" s="12" t="n"/>
      <c r="AE496" s="13">
        <f>IF(OR(COUNT(J496)=0,COUNT(AB496:AD496)&lt;3),"",ROUND(J496-SUM(AB496:AD496),2))</f>
        <v/>
      </c>
      <c r="AF496" s="15">
        <f>IF(COUNT(AE496)=0,"",IF(Z496=0,"n.a.",AE496/Z496))</f>
        <v/>
      </c>
      <c r="AG496" s="12" t="n"/>
      <c r="AH496" s="14">
        <f>IF(OR(A496="",COUNT(Z496)=0,COUNT(AG496)=0),"",ROUND(Z496-AG496,2))</f>
        <v/>
      </c>
      <c r="AI496" s="21" t="n"/>
      <c r="AJ496" s="11">
        <f>IF(A496="","",IF(COUNT(I496)=0,"Enter approved NTE",IF(COUNT(Z496)&gt;0,IF(Z496&gt;I496,"Invoice exceeds NTE","Invoice within NTE"),IF(COUNT(L496)=0,"Enter quote inputs",IF(L496&gt;I496,"Quote exceeds NTE","Quote within NTE")))))</f>
        <v/>
      </c>
      <c r="AK496" s="11">
        <f>IF(A496="","",IF(COUNT(H496)=0,"Enter direct cost",IF(COUNT(Z496)=0,"Enter invoice revenue",IF(COUNT(AB496:AD496)&lt;3,"Enter expenses (0 if none)","Complete"))))</f>
        <v/>
      </c>
      <c r="AL496" s="11">
        <f>IF(A496="","",IF(NOT(AND(COUNT(AH496)=1,N(AH496)&gt;0.004,V496&lt;&gt;"Void",V496&lt;&gt;"Not invoiced",V496&lt;&gt;"Draft")),"",IF(COUNT(X496)=0,"No due date",IF(TODAY()-X496&lt;=0,"Not yet due",IF(TODAY()-X496&lt;=30,"1-30 days",IF(TODAY()-X496&lt;=60,"31-60 days",IF(TODAY()-X496&lt;=90,"61-90 days","Over 90 days")))))))</f>
        <v/>
      </c>
      <c r="AM496" s="49">
        <f>IF(OR(AL496="",AL496="No due date"),"",MAX(TODAY()-X496,0))</f>
        <v/>
      </c>
      <c r="AN496" s="49">
        <f>IF(AL496="","",IF(COUNT(X496)=0,-100000,TODAY()-X496))</f>
        <v/>
      </c>
      <c r="AO496" s="49">
        <f>IF(AN496="","",COUNTIF(AN$11:AN$1010,"&gt;"&amp;AN496)+COUNTIF(AN$11:AN496,AN496))</f>
        <v/>
      </c>
      <c r="AP496" s="49">
        <f>IF(OR(A496="",B496=""),"",IF(COUNTIF(B$11:B496,B496)=1,MAX(AP$10:AP495)+1,""))</f>
        <v/>
      </c>
    </row>
    <row r="497" ht="24" customHeight="1">
      <c r="A497" s="20" t="n"/>
      <c r="B497" s="10" t="n"/>
      <c r="C497" s="10" t="n"/>
      <c r="D497" s="10" t="n"/>
      <c r="E497" s="10" t="n"/>
      <c r="F497" s="18" t="n"/>
      <c r="G497" s="10" t="n"/>
      <c r="H497" s="12" t="n"/>
      <c r="I497" s="12" t="n"/>
      <c r="J497" s="13">
        <f>IF(OR(A497="",COUNT(H497)=0,COUNT(Z497)=0),"",ROUND(Z497-H497,2))</f>
        <v/>
      </c>
      <c r="K497" s="15">
        <f>IF(COUNT(J497)=0,"",IF(Z497=0,"n.a.",J497/Z497))</f>
        <v/>
      </c>
      <c r="L497" s="14">
        <f>IF(OR(A497="",COUNT(H497)=0,COUNT(Y497)=0),"",ROUND(H497*(1+Y497),2))</f>
        <v/>
      </c>
      <c r="M497" s="10" t="n"/>
      <c r="N497" s="10" t="n"/>
      <c r="O497" s="10" t="n"/>
      <c r="P497" s="10" t="n"/>
      <c r="Q497" s="20" t="n"/>
      <c r="R497" s="10" t="n"/>
      <c r="S497" s="10" t="n"/>
      <c r="T497" s="18" t="n"/>
      <c r="U497" s="18" t="n"/>
      <c r="V497" s="10" t="n"/>
      <c r="W497" s="10" t="n"/>
      <c r="X497" s="19">
        <f>IF(OR(A497="",COUNT(U497)=0,COUNT(AI497)=0),"",U497+AI497)</f>
        <v/>
      </c>
      <c r="Y497" s="16" t="n"/>
      <c r="Z497" s="12" t="n"/>
      <c r="AA497" s="17">
        <f>IF(COUNT(J497)=0,"",IF(H497=0,"n.a.",J497/H497))</f>
        <v/>
      </c>
      <c r="AB497" s="12" t="n"/>
      <c r="AC497" s="12" t="n"/>
      <c r="AD497" s="12" t="n"/>
      <c r="AE497" s="13">
        <f>IF(OR(COUNT(J497)=0,COUNT(AB497:AD497)&lt;3),"",ROUND(J497-SUM(AB497:AD497),2))</f>
        <v/>
      </c>
      <c r="AF497" s="15">
        <f>IF(COUNT(AE497)=0,"",IF(Z497=0,"n.a.",AE497/Z497))</f>
        <v/>
      </c>
      <c r="AG497" s="12" t="n"/>
      <c r="AH497" s="14">
        <f>IF(OR(A497="",COUNT(Z497)=0,COUNT(AG497)=0),"",ROUND(Z497-AG497,2))</f>
        <v/>
      </c>
      <c r="AI497" s="21" t="n"/>
      <c r="AJ497" s="11">
        <f>IF(A497="","",IF(COUNT(I497)=0,"Enter approved NTE",IF(COUNT(Z497)&gt;0,IF(Z497&gt;I497,"Invoice exceeds NTE","Invoice within NTE"),IF(COUNT(L497)=0,"Enter quote inputs",IF(L497&gt;I497,"Quote exceeds NTE","Quote within NTE")))))</f>
        <v/>
      </c>
      <c r="AK497" s="11">
        <f>IF(A497="","",IF(COUNT(H497)=0,"Enter direct cost",IF(COUNT(Z497)=0,"Enter invoice revenue",IF(COUNT(AB497:AD497)&lt;3,"Enter expenses (0 if none)","Complete"))))</f>
        <v/>
      </c>
      <c r="AL497" s="11">
        <f>IF(A497="","",IF(NOT(AND(COUNT(AH497)=1,N(AH497)&gt;0.004,V497&lt;&gt;"Void",V497&lt;&gt;"Not invoiced",V497&lt;&gt;"Draft")),"",IF(COUNT(X497)=0,"No due date",IF(TODAY()-X497&lt;=0,"Not yet due",IF(TODAY()-X497&lt;=30,"1-30 days",IF(TODAY()-X497&lt;=60,"31-60 days",IF(TODAY()-X497&lt;=90,"61-90 days","Over 90 days")))))))</f>
        <v/>
      </c>
      <c r="AM497" s="49">
        <f>IF(OR(AL497="",AL497="No due date"),"",MAX(TODAY()-X497,0))</f>
        <v/>
      </c>
      <c r="AN497" s="49">
        <f>IF(AL497="","",IF(COUNT(X497)=0,-100000,TODAY()-X497))</f>
        <v/>
      </c>
      <c r="AO497" s="49">
        <f>IF(AN497="","",COUNTIF(AN$11:AN$1010,"&gt;"&amp;AN497)+COUNTIF(AN$11:AN497,AN497))</f>
        <v/>
      </c>
      <c r="AP497" s="49">
        <f>IF(OR(A497="",B497=""),"",IF(COUNTIF(B$11:B497,B497)=1,MAX(AP$10:AP496)+1,""))</f>
        <v/>
      </c>
    </row>
    <row r="498" ht="24" customHeight="1">
      <c r="A498" s="20" t="n"/>
      <c r="B498" s="10" t="n"/>
      <c r="C498" s="10" t="n"/>
      <c r="D498" s="10" t="n"/>
      <c r="E498" s="10" t="n"/>
      <c r="F498" s="18" t="n"/>
      <c r="G498" s="10" t="n"/>
      <c r="H498" s="12" t="n"/>
      <c r="I498" s="12" t="n"/>
      <c r="J498" s="13">
        <f>IF(OR(A498="",COUNT(H498)=0,COUNT(Z498)=0),"",ROUND(Z498-H498,2))</f>
        <v/>
      </c>
      <c r="K498" s="15">
        <f>IF(COUNT(J498)=0,"",IF(Z498=0,"n.a.",J498/Z498))</f>
        <v/>
      </c>
      <c r="L498" s="14">
        <f>IF(OR(A498="",COUNT(H498)=0,COUNT(Y498)=0),"",ROUND(H498*(1+Y498),2))</f>
        <v/>
      </c>
      <c r="M498" s="10" t="n"/>
      <c r="N498" s="10" t="n"/>
      <c r="O498" s="10" t="n"/>
      <c r="P498" s="10" t="n"/>
      <c r="Q498" s="20" t="n"/>
      <c r="R498" s="10" t="n"/>
      <c r="S498" s="10" t="n"/>
      <c r="T498" s="18" t="n"/>
      <c r="U498" s="18" t="n"/>
      <c r="V498" s="10" t="n"/>
      <c r="W498" s="10" t="n"/>
      <c r="X498" s="19">
        <f>IF(OR(A498="",COUNT(U498)=0,COUNT(AI498)=0),"",U498+AI498)</f>
        <v/>
      </c>
      <c r="Y498" s="16" t="n"/>
      <c r="Z498" s="12" t="n"/>
      <c r="AA498" s="17">
        <f>IF(COUNT(J498)=0,"",IF(H498=0,"n.a.",J498/H498))</f>
        <v/>
      </c>
      <c r="AB498" s="12" t="n"/>
      <c r="AC498" s="12" t="n"/>
      <c r="AD498" s="12" t="n"/>
      <c r="AE498" s="13">
        <f>IF(OR(COUNT(J498)=0,COUNT(AB498:AD498)&lt;3),"",ROUND(J498-SUM(AB498:AD498),2))</f>
        <v/>
      </c>
      <c r="AF498" s="15">
        <f>IF(COUNT(AE498)=0,"",IF(Z498=0,"n.a.",AE498/Z498))</f>
        <v/>
      </c>
      <c r="AG498" s="12" t="n"/>
      <c r="AH498" s="14">
        <f>IF(OR(A498="",COUNT(Z498)=0,COUNT(AG498)=0),"",ROUND(Z498-AG498,2))</f>
        <v/>
      </c>
      <c r="AI498" s="21" t="n"/>
      <c r="AJ498" s="11">
        <f>IF(A498="","",IF(COUNT(I498)=0,"Enter approved NTE",IF(COUNT(Z498)&gt;0,IF(Z498&gt;I498,"Invoice exceeds NTE","Invoice within NTE"),IF(COUNT(L498)=0,"Enter quote inputs",IF(L498&gt;I498,"Quote exceeds NTE","Quote within NTE")))))</f>
        <v/>
      </c>
      <c r="AK498" s="11">
        <f>IF(A498="","",IF(COUNT(H498)=0,"Enter direct cost",IF(COUNT(Z498)=0,"Enter invoice revenue",IF(COUNT(AB498:AD498)&lt;3,"Enter expenses (0 if none)","Complete"))))</f>
        <v/>
      </c>
      <c r="AL498" s="11">
        <f>IF(A498="","",IF(NOT(AND(COUNT(AH498)=1,N(AH498)&gt;0.004,V498&lt;&gt;"Void",V498&lt;&gt;"Not invoiced",V498&lt;&gt;"Draft")),"",IF(COUNT(X498)=0,"No due date",IF(TODAY()-X498&lt;=0,"Not yet due",IF(TODAY()-X498&lt;=30,"1-30 days",IF(TODAY()-X498&lt;=60,"31-60 days",IF(TODAY()-X498&lt;=90,"61-90 days","Over 90 days")))))))</f>
        <v/>
      </c>
      <c r="AM498" s="49">
        <f>IF(OR(AL498="",AL498="No due date"),"",MAX(TODAY()-X498,0))</f>
        <v/>
      </c>
      <c r="AN498" s="49">
        <f>IF(AL498="","",IF(COUNT(X498)=0,-100000,TODAY()-X498))</f>
        <v/>
      </c>
      <c r="AO498" s="49">
        <f>IF(AN498="","",COUNTIF(AN$11:AN$1010,"&gt;"&amp;AN498)+COUNTIF(AN$11:AN498,AN498))</f>
        <v/>
      </c>
      <c r="AP498" s="49">
        <f>IF(OR(A498="",B498=""),"",IF(COUNTIF(B$11:B498,B498)=1,MAX(AP$10:AP497)+1,""))</f>
        <v/>
      </c>
    </row>
    <row r="499" ht="24" customHeight="1">
      <c r="A499" s="20" t="n"/>
      <c r="B499" s="10" t="n"/>
      <c r="C499" s="10" t="n"/>
      <c r="D499" s="10" t="n"/>
      <c r="E499" s="10" t="n"/>
      <c r="F499" s="18" t="n"/>
      <c r="G499" s="10" t="n"/>
      <c r="H499" s="12" t="n"/>
      <c r="I499" s="12" t="n"/>
      <c r="J499" s="13">
        <f>IF(OR(A499="",COUNT(H499)=0,COUNT(Z499)=0),"",ROUND(Z499-H499,2))</f>
        <v/>
      </c>
      <c r="K499" s="15">
        <f>IF(COUNT(J499)=0,"",IF(Z499=0,"n.a.",J499/Z499))</f>
        <v/>
      </c>
      <c r="L499" s="14">
        <f>IF(OR(A499="",COUNT(H499)=0,COUNT(Y499)=0),"",ROUND(H499*(1+Y499),2))</f>
        <v/>
      </c>
      <c r="M499" s="10" t="n"/>
      <c r="N499" s="10" t="n"/>
      <c r="O499" s="10" t="n"/>
      <c r="P499" s="10" t="n"/>
      <c r="Q499" s="20" t="n"/>
      <c r="R499" s="10" t="n"/>
      <c r="S499" s="10" t="n"/>
      <c r="T499" s="18" t="n"/>
      <c r="U499" s="18" t="n"/>
      <c r="V499" s="10" t="n"/>
      <c r="W499" s="10" t="n"/>
      <c r="X499" s="19">
        <f>IF(OR(A499="",COUNT(U499)=0,COUNT(AI499)=0),"",U499+AI499)</f>
        <v/>
      </c>
      <c r="Y499" s="16" t="n"/>
      <c r="Z499" s="12" t="n"/>
      <c r="AA499" s="17">
        <f>IF(COUNT(J499)=0,"",IF(H499=0,"n.a.",J499/H499))</f>
        <v/>
      </c>
      <c r="AB499" s="12" t="n"/>
      <c r="AC499" s="12" t="n"/>
      <c r="AD499" s="12" t="n"/>
      <c r="AE499" s="13">
        <f>IF(OR(COUNT(J499)=0,COUNT(AB499:AD499)&lt;3),"",ROUND(J499-SUM(AB499:AD499),2))</f>
        <v/>
      </c>
      <c r="AF499" s="15">
        <f>IF(COUNT(AE499)=0,"",IF(Z499=0,"n.a.",AE499/Z499))</f>
        <v/>
      </c>
      <c r="AG499" s="12" t="n"/>
      <c r="AH499" s="14">
        <f>IF(OR(A499="",COUNT(Z499)=0,COUNT(AG499)=0),"",ROUND(Z499-AG499,2))</f>
        <v/>
      </c>
      <c r="AI499" s="21" t="n"/>
      <c r="AJ499" s="11">
        <f>IF(A499="","",IF(COUNT(I499)=0,"Enter approved NTE",IF(COUNT(Z499)&gt;0,IF(Z499&gt;I499,"Invoice exceeds NTE","Invoice within NTE"),IF(COUNT(L499)=0,"Enter quote inputs",IF(L499&gt;I499,"Quote exceeds NTE","Quote within NTE")))))</f>
        <v/>
      </c>
      <c r="AK499" s="11">
        <f>IF(A499="","",IF(COUNT(H499)=0,"Enter direct cost",IF(COUNT(Z499)=0,"Enter invoice revenue",IF(COUNT(AB499:AD499)&lt;3,"Enter expenses (0 if none)","Complete"))))</f>
        <v/>
      </c>
      <c r="AL499" s="11">
        <f>IF(A499="","",IF(NOT(AND(COUNT(AH499)=1,N(AH499)&gt;0.004,V499&lt;&gt;"Void",V499&lt;&gt;"Not invoiced",V499&lt;&gt;"Draft")),"",IF(COUNT(X499)=0,"No due date",IF(TODAY()-X499&lt;=0,"Not yet due",IF(TODAY()-X499&lt;=30,"1-30 days",IF(TODAY()-X499&lt;=60,"31-60 days",IF(TODAY()-X499&lt;=90,"61-90 days","Over 90 days")))))))</f>
        <v/>
      </c>
      <c r="AM499" s="49">
        <f>IF(OR(AL499="",AL499="No due date"),"",MAX(TODAY()-X499,0))</f>
        <v/>
      </c>
      <c r="AN499" s="49">
        <f>IF(AL499="","",IF(COUNT(X499)=0,-100000,TODAY()-X499))</f>
        <v/>
      </c>
      <c r="AO499" s="49">
        <f>IF(AN499="","",COUNTIF(AN$11:AN$1010,"&gt;"&amp;AN499)+COUNTIF(AN$11:AN499,AN499))</f>
        <v/>
      </c>
      <c r="AP499" s="49">
        <f>IF(OR(A499="",B499=""),"",IF(COUNTIF(B$11:B499,B499)=1,MAX(AP$10:AP498)+1,""))</f>
        <v/>
      </c>
    </row>
    <row r="500" ht="24" customHeight="1">
      <c r="A500" s="20" t="n"/>
      <c r="B500" s="10" t="n"/>
      <c r="C500" s="10" t="n"/>
      <c r="D500" s="10" t="n"/>
      <c r="E500" s="10" t="n"/>
      <c r="F500" s="18" t="n"/>
      <c r="G500" s="10" t="n"/>
      <c r="H500" s="12" t="n"/>
      <c r="I500" s="12" t="n"/>
      <c r="J500" s="13">
        <f>IF(OR(A500="",COUNT(H500)=0,COUNT(Z500)=0),"",ROUND(Z500-H500,2))</f>
        <v/>
      </c>
      <c r="K500" s="15">
        <f>IF(COUNT(J500)=0,"",IF(Z500=0,"n.a.",J500/Z500))</f>
        <v/>
      </c>
      <c r="L500" s="14">
        <f>IF(OR(A500="",COUNT(H500)=0,COUNT(Y500)=0),"",ROUND(H500*(1+Y500),2))</f>
        <v/>
      </c>
      <c r="M500" s="10" t="n"/>
      <c r="N500" s="10" t="n"/>
      <c r="O500" s="10" t="n"/>
      <c r="P500" s="10" t="n"/>
      <c r="Q500" s="20" t="n"/>
      <c r="R500" s="10" t="n"/>
      <c r="S500" s="10" t="n"/>
      <c r="T500" s="18" t="n"/>
      <c r="U500" s="18" t="n"/>
      <c r="V500" s="10" t="n"/>
      <c r="W500" s="10" t="n"/>
      <c r="X500" s="19">
        <f>IF(OR(A500="",COUNT(U500)=0,COUNT(AI500)=0),"",U500+AI500)</f>
        <v/>
      </c>
      <c r="Y500" s="16" t="n"/>
      <c r="Z500" s="12" t="n"/>
      <c r="AA500" s="17">
        <f>IF(COUNT(J500)=0,"",IF(H500=0,"n.a.",J500/H500))</f>
        <v/>
      </c>
      <c r="AB500" s="12" t="n"/>
      <c r="AC500" s="12" t="n"/>
      <c r="AD500" s="12" t="n"/>
      <c r="AE500" s="13">
        <f>IF(OR(COUNT(J500)=0,COUNT(AB500:AD500)&lt;3),"",ROUND(J500-SUM(AB500:AD500),2))</f>
        <v/>
      </c>
      <c r="AF500" s="15">
        <f>IF(COUNT(AE500)=0,"",IF(Z500=0,"n.a.",AE500/Z500))</f>
        <v/>
      </c>
      <c r="AG500" s="12" t="n"/>
      <c r="AH500" s="14">
        <f>IF(OR(A500="",COUNT(Z500)=0,COUNT(AG500)=0),"",ROUND(Z500-AG500,2))</f>
        <v/>
      </c>
      <c r="AI500" s="21" t="n"/>
      <c r="AJ500" s="11">
        <f>IF(A500="","",IF(COUNT(I500)=0,"Enter approved NTE",IF(COUNT(Z500)&gt;0,IF(Z500&gt;I500,"Invoice exceeds NTE","Invoice within NTE"),IF(COUNT(L500)=0,"Enter quote inputs",IF(L500&gt;I500,"Quote exceeds NTE","Quote within NTE")))))</f>
        <v/>
      </c>
      <c r="AK500" s="11">
        <f>IF(A500="","",IF(COUNT(H500)=0,"Enter direct cost",IF(COUNT(Z500)=0,"Enter invoice revenue",IF(COUNT(AB500:AD500)&lt;3,"Enter expenses (0 if none)","Complete"))))</f>
        <v/>
      </c>
      <c r="AL500" s="11">
        <f>IF(A500="","",IF(NOT(AND(COUNT(AH500)=1,N(AH500)&gt;0.004,V500&lt;&gt;"Void",V500&lt;&gt;"Not invoiced",V500&lt;&gt;"Draft")),"",IF(COUNT(X500)=0,"No due date",IF(TODAY()-X500&lt;=0,"Not yet due",IF(TODAY()-X500&lt;=30,"1-30 days",IF(TODAY()-X500&lt;=60,"31-60 days",IF(TODAY()-X500&lt;=90,"61-90 days","Over 90 days")))))))</f>
        <v/>
      </c>
      <c r="AM500" s="49">
        <f>IF(OR(AL500="",AL500="No due date"),"",MAX(TODAY()-X500,0))</f>
        <v/>
      </c>
      <c r="AN500" s="49">
        <f>IF(AL500="","",IF(COUNT(X500)=0,-100000,TODAY()-X500))</f>
        <v/>
      </c>
      <c r="AO500" s="49">
        <f>IF(AN500="","",COUNTIF(AN$11:AN$1010,"&gt;"&amp;AN500)+COUNTIF(AN$11:AN500,AN500))</f>
        <v/>
      </c>
      <c r="AP500" s="49">
        <f>IF(OR(A500="",B500=""),"",IF(COUNTIF(B$11:B500,B500)=1,MAX(AP$10:AP499)+1,""))</f>
        <v/>
      </c>
    </row>
    <row r="501" ht="24" customHeight="1">
      <c r="A501" s="20" t="n"/>
      <c r="B501" s="10" t="n"/>
      <c r="C501" s="10" t="n"/>
      <c r="D501" s="10" t="n"/>
      <c r="E501" s="10" t="n"/>
      <c r="F501" s="18" t="n"/>
      <c r="G501" s="10" t="n"/>
      <c r="H501" s="12" t="n"/>
      <c r="I501" s="12" t="n"/>
      <c r="J501" s="13">
        <f>IF(OR(A501="",COUNT(H501)=0,COUNT(Z501)=0),"",ROUND(Z501-H501,2))</f>
        <v/>
      </c>
      <c r="K501" s="15">
        <f>IF(COUNT(J501)=0,"",IF(Z501=0,"n.a.",J501/Z501))</f>
        <v/>
      </c>
      <c r="L501" s="14">
        <f>IF(OR(A501="",COUNT(H501)=0,COUNT(Y501)=0),"",ROUND(H501*(1+Y501),2))</f>
        <v/>
      </c>
      <c r="M501" s="10" t="n"/>
      <c r="N501" s="10" t="n"/>
      <c r="O501" s="10" t="n"/>
      <c r="P501" s="10" t="n"/>
      <c r="Q501" s="20" t="n"/>
      <c r="R501" s="10" t="n"/>
      <c r="S501" s="10" t="n"/>
      <c r="T501" s="18" t="n"/>
      <c r="U501" s="18" t="n"/>
      <c r="V501" s="10" t="n"/>
      <c r="W501" s="10" t="n"/>
      <c r="X501" s="19">
        <f>IF(OR(A501="",COUNT(U501)=0,COUNT(AI501)=0),"",U501+AI501)</f>
        <v/>
      </c>
      <c r="Y501" s="16" t="n"/>
      <c r="Z501" s="12" t="n"/>
      <c r="AA501" s="17">
        <f>IF(COUNT(J501)=0,"",IF(H501=0,"n.a.",J501/H501))</f>
        <v/>
      </c>
      <c r="AB501" s="12" t="n"/>
      <c r="AC501" s="12" t="n"/>
      <c r="AD501" s="12" t="n"/>
      <c r="AE501" s="13">
        <f>IF(OR(COUNT(J501)=0,COUNT(AB501:AD501)&lt;3),"",ROUND(J501-SUM(AB501:AD501),2))</f>
        <v/>
      </c>
      <c r="AF501" s="15">
        <f>IF(COUNT(AE501)=0,"",IF(Z501=0,"n.a.",AE501/Z501))</f>
        <v/>
      </c>
      <c r="AG501" s="12" t="n"/>
      <c r="AH501" s="14">
        <f>IF(OR(A501="",COUNT(Z501)=0,COUNT(AG501)=0),"",ROUND(Z501-AG501,2))</f>
        <v/>
      </c>
      <c r="AI501" s="21" t="n"/>
      <c r="AJ501" s="11">
        <f>IF(A501="","",IF(COUNT(I501)=0,"Enter approved NTE",IF(COUNT(Z501)&gt;0,IF(Z501&gt;I501,"Invoice exceeds NTE","Invoice within NTE"),IF(COUNT(L501)=0,"Enter quote inputs",IF(L501&gt;I501,"Quote exceeds NTE","Quote within NTE")))))</f>
        <v/>
      </c>
      <c r="AK501" s="11">
        <f>IF(A501="","",IF(COUNT(H501)=0,"Enter direct cost",IF(COUNT(Z501)=0,"Enter invoice revenue",IF(COUNT(AB501:AD501)&lt;3,"Enter expenses (0 if none)","Complete"))))</f>
        <v/>
      </c>
      <c r="AL501" s="11">
        <f>IF(A501="","",IF(NOT(AND(COUNT(AH501)=1,N(AH501)&gt;0.004,V501&lt;&gt;"Void",V501&lt;&gt;"Not invoiced",V501&lt;&gt;"Draft")),"",IF(COUNT(X501)=0,"No due date",IF(TODAY()-X501&lt;=0,"Not yet due",IF(TODAY()-X501&lt;=30,"1-30 days",IF(TODAY()-X501&lt;=60,"31-60 days",IF(TODAY()-X501&lt;=90,"61-90 days","Over 90 days")))))))</f>
        <v/>
      </c>
      <c r="AM501" s="49">
        <f>IF(OR(AL501="",AL501="No due date"),"",MAX(TODAY()-X501,0))</f>
        <v/>
      </c>
      <c r="AN501" s="49">
        <f>IF(AL501="","",IF(COUNT(X501)=0,-100000,TODAY()-X501))</f>
        <v/>
      </c>
      <c r="AO501" s="49">
        <f>IF(AN501="","",COUNTIF(AN$11:AN$1010,"&gt;"&amp;AN501)+COUNTIF(AN$11:AN501,AN501))</f>
        <v/>
      </c>
      <c r="AP501" s="49">
        <f>IF(OR(A501="",B501=""),"",IF(COUNTIF(B$11:B501,B501)=1,MAX(AP$10:AP500)+1,""))</f>
        <v/>
      </c>
    </row>
    <row r="502" ht="24" customHeight="1">
      <c r="A502" s="20" t="n"/>
      <c r="B502" s="10" t="n"/>
      <c r="C502" s="10" t="n"/>
      <c r="D502" s="10" t="n"/>
      <c r="E502" s="10" t="n"/>
      <c r="F502" s="18" t="n"/>
      <c r="G502" s="10" t="n"/>
      <c r="H502" s="12" t="n"/>
      <c r="I502" s="12" t="n"/>
      <c r="J502" s="13">
        <f>IF(OR(A502="",COUNT(H502)=0,COUNT(Z502)=0),"",ROUND(Z502-H502,2))</f>
        <v/>
      </c>
      <c r="K502" s="15">
        <f>IF(COUNT(J502)=0,"",IF(Z502=0,"n.a.",J502/Z502))</f>
        <v/>
      </c>
      <c r="L502" s="14">
        <f>IF(OR(A502="",COUNT(H502)=0,COUNT(Y502)=0),"",ROUND(H502*(1+Y502),2))</f>
        <v/>
      </c>
      <c r="M502" s="10" t="n"/>
      <c r="N502" s="10" t="n"/>
      <c r="O502" s="10" t="n"/>
      <c r="P502" s="10" t="n"/>
      <c r="Q502" s="20" t="n"/>
      <c r="R502" s="10" t="n"/>
      <c r="S502" s="10" t="n"/>
      <c r="T502" s="18" t="n"/>
      <c r="U502" s="18" t="n"/>
      <c r="V502" s="10" t="n"/>
      <c r="W502" s="10" t="n"/>
      <c r="X502" s="19">
        <f>IF(OR(A502="",COUNT(U502)=0,COUNT(AI502)=0),"",U502+AI502)</f>
        <v/>
      </c>
      <c r="Y502" s="16" t="n"/>
      <c r="Z502" s="12" t="n"/>
      <c r="AA502" s="17">
        <f>IF(COUNT(J502)=0,"",IF(H502=0,"n.a.",J502/H502))</f>
        <v/>
      </c>
      <c r="AB502" s="12" t="n"/>
      <c r="AC502" s="12" t="n"/>
      <c r="AD502" s="12" t="n"/>
      <c r="AE502" s="13">
        <f>IF(OR(COUNT(J502)=0,COUNT(AB502:AD502)&lt;3),"",ROUND(J502-SUM(AB502:AD502),2))</f>
        <v/>
      </c>
      <c r="AF502" s="15">
        <f>IF(COUNT(AE502)=0,"",IF(Z502=0,"n.a.",AE502/Z502))</f>
        <v/>
      </c>
      <c r="AG502" s="12" t="n"/>
      <c r="AH502" s="14">
        <f>IF(OR(A502="",COUNT(Z502)=0,COUNT(AG502)=0),"",ROUND(Z502-AG502,2))</f>
        <v/>
      </c>
      <c r="AI502" s="21" t="n"/>
      <c r="AJ502" s="11">
        <f>IF(A502="","",IF(COUNT(I502)=0,"Enter approved NTE",IF(COUNT(Z502)&gt;0,IF(Z502&gt;I502,"Invoice exceeds NTE","Invoice within NTE"),IF(COUNT(L502)=0,"Enter quote inputs",IF(L502&gt;I502,"Quote exceeds NTE","Quote within NTE")))))</f>
        <v/>
      </c>
      <c r="AK502" s="11">
        <f>IF(A502="","",IF(COUNT(H502)=0,"Enter direct cost",IF(COUNT(Z502)=0,"Enter invoice revenue",IF(COUNT(AB502:AD502)&lt;3,"Enter expenses (0 if none)","Complete"))))</f>
        <v/>
      </c>
      <c r="AL502" s="11">
        <f>IF(A502="","",IF(NOT(AND(COUNT(AH502)=1,N(AH502)&gt;0.004,V502&lt;&gt;"Void",V502&lt;&gt;"Not invoiced",V502&lt;&gt;"Draft")),"",IF(COUNT(X502)=0,"No due date",IF(TODAY()-X502&lt;=0,"Not yet due",IF(TODAY()-X502&lt;=30,"1-30 days",IF(TODAY()-X502&lt;=60,"31-60 days",IF(TODAY()-X502&lt;=90,"61-90 days","Over 90 days")))))))</f>
        <v/>
      </c>
      <c r="AM502" s="49">
        <f>IF(OR(AL502="",AL502="No due date"),"",MAX(TODAY()-X502,0))</f>
        <v/>
      </c>
      <c r="AN502" s="49">
        <f>IF(AL502="","",IF(COUNT(X502)=0,-100000,TODAY()-X502))</f>
        <v/>
      </c>
      <c r="AO502" s="49">
        <f>IF(AN502="","",COUNTIF(AN$11:AN$1010,"&gt;"&amp;AN502)+COUNTIF(AN$11:AN502,AN502))</f>
        <v/>
      </c>
      <c r="AP502" s="49">
        <f>IF(OR(A502="",B502=""),"",IF(COUNTIF(B$11:B502,B502)=1,MAX(AP$10:AP501)+1,""))</f>
        <v/>
      </c>
    </row>
    <row r="503" ht="24" customHeight="1">
      <c r="A503" s="20" t="n"/>
      <c r="B503" s="10" t="n"/>
      <c r="C503" s="10" t="n"/>
      <c r="D503" s="10" t="n"/>
      <c r="E503" s="10" t="n"/>
      <c r="F503" s="18" t="n"/>
      <c r="G503" s="10" t="n"/>
      <c r="H503" s="12" t="n"/>
      <c r="I503" s="12" t="n"/>
      <c r="J503" s="13">
        <f>IF(OR(A503="",COUNT(H503)=0,COUNT(Z503)=0),"",ROUND(Z503-H503,2))</f>
        <v/>
      </c>
      <c r="K503" s="15">
        <f>IF(COUNT(J503)=0,"",IF(Z503=0,"n.a.",J503/Z503))</f>
        <v/>
      </c>
      <c r="L503" s="14">
        <f>IF(OR(A503="",COUNT(H503)=0,COUNT(Y503)=0),"",ROUND(H503*(1+Y503),2))</f>
        <v/>
      </c>
      <c r="M503" s="10" t="n"/>
      <c r="N503" s="10" t="n"/>
      <c r="O503" s="10" t="n"/>
      <c r="P503" s="10" t="n"/>
      <c r="Q503" s="20" t="n"/>
      <c r="R503" s="10" t="n"/>
      <c r="S503" s="10" t="n"/>
      <c r="T503" s="18" t="n"/>
      <c r="U503" s="18" t="n"/>
      <c r="V503" s="10" t="n"/>
      <c r="W503" s="10" t="n"/>
      <c r="X503" s="19">
        <f>IF(OR(A503="",COUNT(U503)=0,COUNT(AI503)=0),"",U503+AI503)</f>
        <v/>
      </c>
      <c r="Y503" s="16" t="n"/>
      <c r="Z503" s="12" t="n"/>
      <c r="AA503" s="17">
        <f>IF(COUNT(J503)=0,"",IF(H503=0,"n.a.",J503/H503))</f>
        <v/>
      </c>
      <c r="AB503" s="12" t="n"/>
      <c r="AC503" s="12" t="n"/>
      <c r="AD503" s="12" t="n"/>
      <c r="AE503" s="13">
        <f>IF(OR(COUNT(J503)=0,COUNT(AB503:AD503)&lt;3),"",ROUND(J503-SUM(AB503:AD503),2))</f>
        <v/>
      </c>
      <c r="AF503" s="15">
        <f>IF(COUNT(AE503)=0,"",IF(Z503=0,"n.a.",AE503/Z503))</f>
        <v/>
      </c>
      <c r="AG503" s="12" t="n"/>
      <c r="AH503" s="14">
        <f>IF(OR(A503="",COUNT(Z503)=0,COUNT(AG503)=0),"",ROUND(Z503-AG503,2))</f>
        <v/>
      </c>
      <c r="AI503" s="21" t="n"/>
      <c r="AJ503" s="11">
        <f>IF(A503="","",IF(COUNT(I503)=0,"Enter approved NTE",IF(COUNT(Z503)&gt;0,IF(Z503&gt;I503,"Invoice exceeds NTE","Invoice within NTE"),IF(COUNT(L503)=0,"Enter quote inputs",IF(L503&gt;I503,"Quote exceeds NTE","Quote within NTE")))))</f>
        <v/>
      </c>
      <c r="AK503" s="11">
        <f>IF(A503="","",IF(COUNT(H503)=0,"Enter direct cost",IF(COUNT(Z503)=0,"Enter invoice revenue",IF(COUNT(AB503:AD503)&lt;3,"Enter expenses (0 if none)","Complete"))))</f>
        <v/>
      </c>
      <c r="AL503" s="11">
        <f>IF(A503="","",IF(NOT(AND(COUNT(AH503)=1,N(AH503)&gt;0.004,V503&lt;&gt;"Void",V503&lt;&gt;"Not invoiced",V503&lt;&gt;"Draft")),"",IF(COUNT(X503)=0,"No due date",IF(TODAY()-X503&lt;=0,"Not yet due",IF(TODAY()-X503&lt;=30,"1-30 days",IF(TODAY()-X503&lt;=60,"31-60 days",IF(TODAY()-X503&lt;=90,"61-90 days","Over 90 days")))))))</f>
        <v/>
      </c>
      <c r="AM503" s="49">
        <f>IF(OR(AL503="",AL503="No due date"),"",MAX(TODAY()-X503,0))</f>
        <v/>
      </c>
      <c r="AN503" s="49">
        <f>IF(AL503="","",IF(COUNT(X503)=0,-100000,TODAY()-X503))</f>
        <v/>
      </c>
      <c r="AO503" s="49">
        <f>IF(AN503="","",COUNTIF(AN$11:AN$1010,"&gt;"&amp;AN503)+COUNTIF(AN$11:AN503,AN503))</f>
        <v/>
      </c>
      <c r="AP503" s="49">
        <f>IF(OR(A503="",B503=""),"",IF(COUNTIF(B$11:B503,B503)=1,MAX(AP$10:AP502)+1,""))</f>
        <v/>
      </c>
    </row>
    <row r="504" ht="24" customHeight="1">
      <c r="A504" s="20" t="n"/>
      <c r="B504" s="10" t="n"/>
      <c r="C504" s="10" t="n"/>
      <c r="D504" s="10" t="n"/>
      <c r="E504" s="10" t="n"/>
      <c r="F504" s="18" t="n"/>
      <c r="G504" s="10" t="n"/>
      <c r="H504" s="12" t="n"/>
      <c r="I504" s="12" t="n"/>
      <c r="J504" s="13">
        <f>IF(OR(A504="",COUNT(H504)=0,COUNT(Z504)=0),"",ROUND(Z504-H504,2))</f>
        <v/>
      </c>
      <c r="K504" s="15">
        <f>IF(COUNT(J504)=0,"",IF(Z504=0,"n.a.",J504/Z504))</f>
        <v/>
      </c>
      <c r="L504" s="14">
        <f>IF(OR(A504="",COUNT(H504)=0,COUNT(Y504)=0),"",ROUND(H504*(1+Y504),2))</f>
        <v/>
      </c>
      <c r="M504" s="10" t="n"/>
      <c r="N504" s="10" t="n"/>
      <c r="O504" s="10" t="n"/>
      <c r="P504" s="10" t="n"/>
      <c r="Q504" s="20" t="n"/>
      <c r="R504" s="10" t="n"/>
      <c r="S504" s="10" t="n"/>
      <c r="T504" s="18" t="n"/>
      <c r="U504" s="18" t="n"/>
      <c r="V504" s="10" t="n"/>
      <c r="W504" s="10" t="n"/>
      <c r="X504" s="19">
        <f>IF(OR(A504="",COUNT(U504)=0,COUNT(AI504)=0),"",U504+AI504)</f>
        <v/>
      </c>
      <c r="Y504" s="16" t="n"/>
      <c r="Z504" s="12" t="n"/>
      <c r="AA504" s="17">
        <f>IF(COUNT(J504)=0,"",IF(H504=0,"n.a.",J504/H504))</f>
        <v/>
      </c>
      <c r="AB504" s="12" t="n"/>
      <c r="AC504" s="12" t="n"/>
      <c r="AD504" s="12" t="n"/>
      <c r="AE504" s="13">
        <f>IF(OR(COUNT(J504)=0,COUNT(AB504:AD504)&lt;3),"",ROUND(J504-SUM(AB504:AD504),2))</f>
        <v/>
      </c>
      <c r="AF504" s="15">
        <f>IF(COUNT(AE504)=0,"",IF(Z504=0,"n.a.",AE504/Z504))</f>
        <v/>
      </c>
      <c r="AG504" s="12" t="n"/>
      <c r="AH504" s="14">
        <f>IF(OR(A504="",COUNT(Z504)=0,COUNT(AG504)=0),"",ROUND(Z504-AG504,2))</f>
        <v/>
      </c>
      <c r="AI504" s="21" t="n"/>
      <c r="AJ504" s="11">
        <f>IF(A504="","",IF(COUNT(I504)=0,"Enter approved NTE",IF(COUNT(Z504)&gt;0,IF(Z504&gt;I504,"Invoice exceeds NTE","Invoice within NTE"),IF(COUNT(L504)=0,"Enter quote inputs",IF(L504&gt;I504,"Quote exceeds NTE","Quote within NTE")))))</f>
        <v/>
      </c>
      <c r="AK504" s="11">
        <f>IF(A504="","",IF(COUNT(H504)=0,"Enter direct cost",IF(COUNT(Z504)=0,"Enter invoice revenue",IF(COUNT(AB504:AD504)&lt;3,"Enter expenses (0 if none)","Complete"))))</f>
        <v/>
      </c>
      <c r="AL504" s="11">
        <f>IF(A504="","",IF(NOT(AND(COUNT(AH504)=1,N(AH504)&gt;0.004,V504&lt;&gt;"Void",V504&lt;&gt;"Not invoiced",V504&lt;&gt;"Draft")),"",IF(COUNT(X504)=0,"No due date",IF(TODAY()-X504&lt;=0,"Not yet due",IF(TODAY()-X504&lt;=30,"1-30 days",IF(TODAY()-X504&lt;=60,"31-60 days",IF(TODAY()-X504&lt;=90,"61-90 days","Over 90 days")))))))</f>
        <v/>
      </c>
      <c r="AM504" s="49">
        <f>IF(OR(AL504="",AL504="No due date"),"",MAX(TODAY()-X504,0))</f>
        <v/>
      </c>
      <c r="AN504" s="49">
        <f>IF(AL504="","",IF(COUNT(X504)=0,-100000,TODAY()-X504))</f>
        <v/>
      </c>
      <c r="AO504" s="49">
        <f>IF(AN504="","",COUNTIF(AN$11:AN$1010,"&gt;"&amp;AN504)+COUNTIF(AN$11:AN504,AN504))</f>
        <v/>
      </c>
      <c r="AP504" s="49">
        <f>IF(OR(A504="",B504=""),"",IF(COUNTIF(B$11:B504,B504)=1,MAX(AP$10:AP503)+1,""))</f>
        <v/>
      </c>
    </row>
    <row r="505" ht="24" customHeight="1">
      <c r="A505" s="20" t="n"/>
      <c r="B505" s="10" t="n"/>
      <c r="C505" s="10" t="n"/>
      <c r="D505" s="10" t="n"/>
      <c r="E505" s="10" t="n"/>
      <c r="F505" s="18" t="n"/>
      <c r="G505" s="10" t="n"/>
      <c r="H505" s="12" t="n"/>
      <c r="I505" s="12" t="n"/>
      <c r="J505" s="13">
        <f>IF(OR(A505="",COUNT(H505)=0,COUNT(Z505)=0),"",ROUND(Z505-H505,2))</f>
        <v/>
      </c>
      <c r="K505" s="15">
        <f>IF(COUNT(J505)=0,"",IF(Z505=0,"n.a.",J505/Z505))</f>
        <v/>
      </c>
      <c r="L505" s="14">
        <f>IF(OR(A505="",COUNT(H505)=0,COUNT(Y505)=0),"",ROUND(H505*(1+Y505),2))</f>
        <v/>
      </c>
      <c r="M505" s="10" t="n"/>
      <c r="N505" s="10" t="n"/>
      <c r="O505" s="10" t="n"/>
      <c r="P505" s="10" t="n"/>
      <c r="Q505" s="20" t="n"/>
      <c r="R505" s="10" t="n"/>
      <c r="S505" s="10" t="n"/>
      <c r="T505" s="18" t="n"/>
      <c r="U505" s="18" t="n"/>
      <c r="V505" s="10" t="n"/>
      <c r="W505" s="10" t="n"/>
      <c r="X505" s="19">
        <f>IF(OR(A505="",COUNT(U505)=0,COUNT(AI505)=0),"",U505+AI505)</f>
        <v/>
      </c>
      <c r="Y505" s="16" t="n"/>
      <c r="Z505" s="12" t="n"/>
      <c r="AA505" s="17">
        <f>IF(COUNT(J505)=0,"",IF(H505=0,"n.a.",J505/H505))</f>
        <v/>
      </c>
      <c r="AB505" s="12" t="n"/>
      <c r="AC505" s="12" t="n"/>
      <c r="AD505" s="12" t="n"/>
      <c r="AE505" s="13">
        <f>IF(OR(COUNT(J505)=0,COUNT(AB505:AD505)&lt;3),"",ROUND(J505-SUM(AB505:AD505),2))</f>
        <v/>
      </c>
      <c r="AF505" s="15">
        <f>IF(COUNT(AE505)=0,"",IF(Z505=0,"n.a.",AE505/Z505))</f>
        <v/>
      </c>
      <c r="AG505" s="12" t="n"/>
      <c r="AH505" s="14">
        <f>IF(OR(A505="",COUNT(Z505)=0,COUNT(AG505)=0),"",ROUND(Z505-AG505,2))</f>
        <v/>
      </c>
      <c r="AI505" s="21" t="n"/>
      <c r="AJ505" s="11">
        <f>IF(A505="","",IF(COUNT(I505)=0,"Enter approved NTE",IF(COUNT(Z505)&gt;0,IF(Z505&gt;I505,"Invoice exceeds NTE","Invoice within NTE"),IF(COUNT(L505)=0,"Enter quote inputs",IF(L505&gt;I505,"Quote exceeds NTE","Quote within NTE")))))</f>
        <v/>
      </c>
      <c r="AK505" s="11">
        <f>IF(A505="","",IF(COUNT(H505)=0,"Enter direct cost",IF(COUNT(Z505)=0,"Enter invoice revenue",IF(COUNT(AB505:AD505)&lt;3,"Enter expenses (0 if none)","Complete"))))</f>
        <v/>
      </c>
      <c r="AL505" s="11">
        <f>IF(A505="","",IF(NOT(AND(COUNT(AH505)=1,N(AH505)&gt;0.004,V505&lt;&gt;"Void",V505&lt;&gt;"Not invoiced",V505&lt;&gt;"Draft")),"",IF(COUNT(X505)=0,"No due date",IF(TODAY()-X505&lt;=0,"Not yet due",IF(TODAY()-X505&lt;=30,"1-30 days",IF(TODAY()-X505&lt;=60,"31-60 days",IF(TODAY()-X505&lt;=90,"61-90 days","Over 90 days")))))))</f>
        <v/>
      </c>
      <c r="AM505" s="49">
        <f>IF(OR(AL505="",AL505="No due date"),"",MAX(TODAY()-X505,0))</f>
        <v/>
      </c>
      <c r="AN505" s="49">
        <f>IF(AL505="","",IF(COUNT(X505)=0,-100000,TODAY()-X505))</f>
        <v/>
      </c>
      <c r="AO505" s="49">
        <f>IF(AN505="","",COUNTIF(AN$11:AN$1010,"&gt;"&amp;AN505)+COUNTIF(AN$11:AN505,AN505))</f>
        <v/>
      </c>
      <c r="AP505" s="49">
        <f>IF(OR(A505="",B505=""),"",IF(COUNTIF(B$11:B505,B505)=1,MAX(AP$10:AP504)+1,""))</f>
        <v/>
      </c>
    </row>
    <row r="506" ht="24" customHeight="1">
      <c r="A506" s="20" t="n"/>
      <c r="B506" s="10" t="n"/>
      <c r="C506" s="10" t="n"/>
      <c r="D506" s="10" t="n"/>
      <c r="E506" s="10" t="n"/>
      <c r="F506" s="18" t="n"/>
      <c r="G506" s="10" t="n"/>
      <c r="H506" s="12" t="n"/>
      <c r="I506" s="12" t="n"/>
      <c r="J506" s="13">
        <f>IF(OR(A506="",COUNT(H506)=0,COUNT(Z506)=0),"",ROUND(Z506-H506,2))</f>
        <v/>
      </c>
      <c r="K506" s="15">
        <f>IF(COUNT(J506)=0,"",IF(Z506=0,"n.a.",J506/Z506))</f>
        <v/>
      </c>
      <c r="L506" s="14">
        <f>IF(OR(A506="",COUNT(H506)=0,COUNT(Y506)=0),"",ROUND(H506*(1+Y506),2))</f>
        <v/>
      </c>
      <c r="M506" s="10" t="n"/>
      <c r="N506" s="10" t="n"/>
      <c r="O506" s="10" t="n"/>
      <c r="P506" s="10" t="n"/>
      <c r="Q506" s="20" t="n"/>
      <c r="R506" s="10" t="n"/>
      <c r="S506" s="10" t="n"/>
      <c r="T506" s="18" t="n"/>
      <c r="U506" s="18" t="n"/>
      <c r="V506" s="10" t="n"/>
      <c r="W506" s="10" t="n"/>
      <c r="X506" s="19">
        <f>IF(OR(A506="",COUNT(U506)=0,COUNT(AI506)=0),"",U506+AI506)</f>
        <v/>
      </c>
      <c r="Y506" s="16" t="n"/>
      <c r="Z506" s="12" t="n"/>
      <c r="AA506" s="17">
        <f>IF(COUNT(J506)=0,"",IF(H506=0,"n.a.",J506/H506))</f>
        <v/>
      </c>
      <c r="AB506" s="12" t="n"/>
      <c r="AC506" s="12" t="n"/>
      <c r="AD506" s="12" t="n"/>
      <c r="AE506" s="13">
        <f>IF(OR(COUNT(J506)=0,COUNT(AB506:AD506)&lt;3),"",ROUND(J506-SUM(AB506:AD506),2))</f>
        <v/>
      </c>
      <c r="AF506" s="15">
        <f>IF(COUNT(AE506)=0,"",IF(Z506=0,"n.a.",AE506/Z506))</f>
        <v/>
      </c>
      <c r="AG506" s="12" t="n"/>
      <c r="AH506" s="14">
        <f>IF(OR(A506="",COUNT(Z506)=0,COUNT(AG506)=0),"",ROUND(Z506-AG506,2))</f>
        <v/>
      </c>
      <c r="AI506" s="21" t="n"/>
      <c r="AJ506" s="11">
        <f>IF(A506="","",IF(COUNT(I506)=0,"Enter approved NTE",IF(COUNT(Z506)&gt;0,IF(Z506&gt;I506,"Invoice exceeds NTE","Invoice within NTE"),IF(COUNT(L506)=0,"Enter quote inputs",IF(L506&gt;I506,"Quote exceeds NTE","Quote within NTE")))))</f>
        <v/>
      </c>
      <c r="AK506" s="11">
        <f>IF(A506="","",IF(COUNT(H506)=0,"Enter direct cost",IF(COUNT(Z506)=0,"Enter invoice revenue",IF(COUNT(AB506:AD506)&lt;3,"Enter expenses (0 if none)","Complete"))))</f>
        <v/>
      </c>
      <c r="AL506" s="11">
        <f>IF(A506="","",IF(NOT(AND(COUNT(AH506)=1,N(AH506)&gt;0.004,V506&lt;&gt;"Void",V506&lt;&gt;"Not invoiced",V506&lt;&gt;"Draft")),"",IF(COUNT(X506)=0,"No due date",IF(TODAY()-X506&lt;=0,"Not yet due",IF(TODAY()-X506&lt;=30,"1-30 days",IF(TODAY()-X506&lt;=60,"31-60 days",IF(TODAY()-X506&lt;=90,"61-90 days","Over 90 days")))))))</f>
        <v/>
      </c>
      <c r="AM506" s="49">
        <f>IF(OR(AL506="",AL506="No due date"),"",MAX(TODAY()-X506,0))</f>
        <v/>
      </c>
      <c r="AN506" s="49">
        <f>IF(AL506="","",IF(COUNT(X506)=0,-100000,TODAY()-X506))</f>
        <v/>
      </c>
      <c r="AO506" s="49">
        <f>IF(AN506="","",COUNTIF(AN$11:AN$1010,"&gt;"&amp;AN506)+COUNTIF(AN$11:AN506,AN506))</f>
        <v/>
      </c>
      <c r="AP506" s="49">
        <f>IF(OR(A506="",B506=""),"",IF(COUNTIF(B$11:B506,B506)=1,MAX(AP$10:AP505)+1,""))</f>
        <v/>
      </c>
    </row>
    <row r="507" ht="24" customHeight="1">
      <c r="A507" s="20" t="n"/>
      <c r="B507" s="10" t="n"/>
      <c r="C507" s="10" t="n"/>
      <c r="D507" s="10" t="n"/>
      <c r="E507" s="10" t="n"/>
      <c r="F507" s="18" t="n"/>
      <c r="G507" s="10" t="n"/>
      <c r="H507" s="12" t="n"/>
      <c r="I507" s="12" t="n"/>
      <c r="J507" s="13">
        <f>IF(OR(A507="",COUNT(H507)=0,COUNT(Z507)=0),"",ROUND(Z507-H507,2))</f>
        <v/>
      </c>
      <c r="K507" s="15">
        <f>IF(COUNT(J507)=0,"",IF(Z507=0,"n.a.",J507/Z507))</f>
        <v/>
      </c>
      <c r="L507" s="14">
        <f>IF(OR(A507="",COUNT(H507)=0,COUNT(Y507)=0),"",ROUND(H507*(1+Y507),2))</f>
        <v/>
      </c>
      <c r="M507" s="10" t="n"/>
      <c r="N507" s="10" t="n"/>
      <c r="O507" s="10" t="n"/>
      <c r="P507" s="10" t="n"/>
      <c r="Q507" s="20" t="n"/>
      <c r="R507" s="10" t="n"/>
      <c r="S507" s="10" t="n"/>
      <c r="T507" s="18" t="n"/>
      <c r="U507" s="18" t="n"/>
      <c r="V507" s="10" t="n"/>
      <c r="W507" s="10" t="n"/>
      <c r="X507" s="19">
        <f>IF(OR(A507="",COUNT(U507)=0,COUNT(AI507)=0),"",U507+AI507)</f>
        <v/>
      </c>
      <c r="Y507" s="16" t="n"/>
      <c r="Z507" s="12" t="n"/>
      <c r="AA507" s="17">
        <f>IF(COUNT(J507)=0,"",IF(H507=0,"n.a.",J507/H507))</f>
        <v/>
      </c>
      <c r="AB507" s="12" t="n"/>
      <c r="AC507" s="12" t="n"/>
      <c r="AD507" s="12" t="n"/>
      <c r="AE507" s="13">
        <f>IF(OR(COUNT(J507)=0,COUNT(AB507:AD507)&lt;3),"",ROUND(J507-SUM(AB507:AD507),2))</f>
        <v/>
      </c>
      <c r="AF507" s="15">
        <f>IF(COUNT(AE507)=0,"",IF(Z507=0,"n.a.",AE507/Z507))</f>
        <v/>
      </c>
      <c r="AG507" s="12" t="n"/>
      <c r="AH507" s="14">
        <f>IF(OR(A507="",COUNT(Z507)=0,COUNT(AG507)=0),"",ROUND(Z507-AG507,2))</f>
        <v/>
      </c>
      <c r="AI507" s="21" t="n"/>
      <c r="AJ507" s="11">
        <f>IF(A507="","",IF(COUNT(I507)=0,"Enter approved NTE",IF(COUNT(Z507)&gt;0,IF(Z507&gt;I507,"Invoice exceeds NTE","Invoice within NTE"),IF(COUNT(L507)=0,"Enter quote inputs",IF(L507&gt;I507,"Quote exceeds NTE","Quote within NTE")))))</f>
        <v/>
      </c>
      <c r="AK507" s="11">
        <f>IF(A507="","",IF(COUNT(H507)=0,"Enter direct cost",IF(COUNT(Z507)=0,"Enter invoice revenue",IF(COUNT(AB507:AD507)&lt;3,"Enter expenses (0 if none)","Complete"))))</f>
        <v/>
      </c>
      <c r="AL507" s="11">
        <f>IF(A507="","",IF(NOT(AND(COUNT(AH507)=1,N(AH507)&gt;0.004,V507&lt;&gt;"Void",V507&lt;&gt;"Not invoiced",V507&lt;&gt;"Draft")),"",IF(COUNT(X507)=0,"No due date",IF(TODAY()-X507&lt;=0,"Not yet due",IF(TODAY()-X507&lt;=30,"1-30 days",IF(TODAY()-X507&lt;=60,"31-60 days",IF(TODAY()-X507&lt;=90,"61-90 days","Over 90 days")))))))</f>
        <v/>
      </c>
      <c r="AM507" s="49">
        <f>IF(OR(AL507="",AL507="No due date"),"",MAX(TODAY()-X507,0))</f>
        <v/>
      </c>
      <c r="AN507" s="49">
        <f>IF(AL507="","",IF(COUNT(X507)=0,-100000,TODAY()-X507))</f>
        <v/>
      </c>
      <c r="AO507" s="49">
        <f>IF(AN507="","",COUNTIF(AN$11:AN$1010,"&gt;"&amp;AN507)+COUNTIF(AN$11:AN507,AN507))</f>
        <v/>
      </c>
      <c r="AP507" s="49">
        <f>IF(OR(A507="",B507=""),"",IF(COUNTIF(B$11:B507,B507)=1,MAX(AP$10:AP506)+1,""))</f>
        <v/>
      </c>
    </row>
    <row r="508" ht="24" customHeight="1">
      <c r="A508" s="20" t="n"/>
      <c r="B508" s="10" t="n"/>
      <c r="C508" s="10" t="n"/>
      <c r="D508" s="10" t="n"/>
      <c r="E508" s="10" t="n"/>
      <c r="F508" s="18" t="n"/>
      <c r="G508" s="10" t="n"/>
      <c r="H508" s="12" t="n"/>
      <c r="I508" s="12" t="n"/>
      <c r="J508" s="13">
        <f>IF(OR(A508="",COUNT(H508)=0,COUNT(Z508)=0),"",ROUND(Z508-H508,2))</f>
        <v/>
      </c>
      <c r="K508" s="15">
        <f>IF(COUNT(J508)=0,"",IF(Z508=0,"n.a.",J508/Z508))</f>
        <v/>
      </c>
      <c r="L508" s="14">
        <f>IF(OR(A508="",COUNT(H508)=0,COUNT(Y508)=0),"",ROUND(H508*(1+Y508),2))</f>
        <v/>
      </c>
      <c r="M508" s="10" t="n"/>
      <c r="N508" s="10" t="n"/>
      <c r="O508" s="10" t="n"/>
      <c r="P508" s="10" t="n"/>
      <c r="Q508" s="20" t="n"/>
      <c r="R508" s="10" t="n"/>
      <c r="S508" s="10" t="n"/>
      <c r="T508" s="18" t="n"/>
      <c r="U508" s="18" t="n"/>
      <c r="V508" s="10" t="n"/>
      <c r="W508" s="10" t="n"/>
      <c r="X508" s="19">
        <f>IF(OR(A508="",COUNT(U508)=0,COUNT(AI508)=0),"",U508+AI508)</f>
        <v/>
      </c>
      <c r="Y508" s="16" t="n"/>
      <c r="Z508" s="12" t="n"/>
      <c r="AA508" s="17">
        <f>IF(COUNT(J508)=0,"",IF(H508=0,"n.a.",J508/H508))</f>
        <v/>
      </c>
      <c r="AB508" s="12" t="n"/>
      <c r="AC508" s="12" t="n"/>
      <c r="AD508" s="12" t="n"/>
      <c r="AE508" s="13">
        <f>IF(OR(COUNT(J508)=0,COUNT(AB508:AD508)&lt;3),"",ROUND(J508-SUM(AB508:AD508),2))</f>
        <v/>
      </c>
      <c r="AF508" s="15">
        <f>IF(COUNT(AE508)=0,"",IF(Z508=0,"n.a.",AE508/Z508))</f>
        <v/>
      </c>
      <c r="AG508" s="12" t="n"/>
      <c r="AH508" s="14">
        <f>IF(OR(A508="",COUNT(Z508)=0,COUNT(AG508)=0),"",ROUND(Z508-AG508,2))</f>
        <v/>
      </c>
      <c r="AI508" s="21" t="n"/>
      <c r="AJ508" s="11">
        <f>IF(A508="","",IF(COUNT(I508)=0,"Enter approved NTE",IF(COUNT(Z508)&gt;0,IF(Z508&gt;I508,"Invoice exceeds NTE","Invoice within NTE"),IF(COUNT(L508)=0,"Enter quote inputs",IF(L508&gt;I508,"Quote exceeds NTE","Quote within NTE")))))</f>
        <v/>
      </c>
      <c r="AK508" s="11">
        <f>IF(A508="","",IF(COUNT(H508)=0,"Enter direct cost",IF(COUNT(Z508)=0,"Enter invoice revenue",IF(COUNT(AB508:AD508)&lt;3,"Enter expenses (0 if none)","Complete"))))</f>
        <v/>
      </c>
      <c r="AL508" s="11">
        <f>IF(A508="","",IF(NOT(AND(COUNT(AH508)=1,N(AH508)&gt;0.004,V508&lt;&gt;"Void",V508&lt;&gt;"Not invoiced",V508&lt;&gt;"Draft")),"",IF(COUNT(X508)=0,"No due date",IF(TODAY()-X508&lt;=0,"Not yet due",IF(TODAY()-X508&lt;=30,"1-30 days",IF(TODAY()-X508&lt;=60,"31-60 days",IF(TODAY()-X508&lt;=90,"61-90 days","Over 90 days")))))))</f>
        <v/>
      </c>
      <c r="AM508" s="49">
        <f>IF(OR(AL508="",AL508="No due date"),"",MAX(TODAY()-X508,0))</f>
        <v/>
      </c>
      <c r="AN508" s="49">
        <f>IF(AL508="","",IF(COUNT(X508)=0,-100000,TODAY()-X508))</f>
        <v/>
      </c>
      <c r="AO508" s="49">
        <f>IF(AN508="","",COUNTIF(AN$11:AN$1010,"&gt;"&amp;AN508)+COUNTIF(AN$11:AN508,AN508))</f>
        <v/>
      </c>
      <c r="AP508" s="49">
        <f>IF(OR(A508="",B508=""),"",IF(COUNTIF(B$11:B508,B508)=1,MAX(AP$10:AP507)+1,""))</f>
        <v/>
      </c>
    </row>
    <row r="509" ht="24" customHeight="1">
      <c r="A509" s="20" t="n"/>
      <c r="B509" s="10" t="n"/>
      <c r="C509" s="10" t="n"/>
      <c r="D509" s="10" t="n"/>
      <c r="E509" s="10" t="n"/>
      <c r="F509" s="18" t="n"/>
      <c r="G509" s="10" t="n"/>
      <c r="H509" s="12" t="n"/>
      <c r="I509" s="12" t="n"/>
      <c r="J509" s="13">
        <f>IF(OR(A509="",COUNT(H509)=0,COUNT(Z509)=0),"",ROUND(Z509-H509,2))</f>
        <v/>
      </c>
      <c r="K509" s="15">
        <f>IF(COUNT(J509)=0,"",IF(Z509=0,"n.a.",J509/Z509))</f>
        <v/>
      </c>
      <c r="L509" s="14">
        <f>IF(OR(A509="",COUNT(H509)=0,COUNT(Y509)=0),"",ROUND(H509*(1+Y509),2))</f>
        <v/>
      </c>
      <c r="M509" s="10" t="n"/>
      <c r="N509" s="10" t="n"/>
      <c r="O509" s="10" t="n"/>
      <c r="P509" s="10" t="n"/>
      <c r="Q509" s="20" t="n"/>
      <c r="R509" s="10" t="n"/>
      <c r="S509" s="10" t="n"/>
      <c r="T509" s="18" t="n"/>
      <c r="U509" s="18" t="n"/>
      <c r="V509" s="10" t="n"/>
      <c r="W509" s="10" t="n"/>
      <c r="X509" s="19">
        <f>IF(OR(A509="",COUNT(U509)=0,COUNT(AI509)=0),"",U509+AI509)</f>
        <v/>
      </c>
      <c r="Y509" s="16" t="n"/>
      <c r="Z509" s="12" t="n"/>
      <c r="AA509" s="17">
        <f>IF(COUNT(J509)=0,"",IF(H509=0,"n.a.",J509/H509))</f>
        <v/>
      </c>
      <c r="AB509" s="12" t="n"/>
      <c r="AC509" s="12" t="n"/>
      <c r="AD509" s="12" t="n"/>
      <c r="AE509" s="13">
        <f>IF(OR(COUNT(J509)=0,COUNT(AB509:AD509)&lt;3),"",ROUND(J509-SUM(AB509:AD509),2))</f>
        <v/>
      </c>
      <c r="AF509" s="15">
        <f>IF(COUNT(AE509)=0,"",IF(Z509=0,"n.a.",AE509/Z509))</f>
        <v/>
      </c>
      <c r="AG509" s="12" t="n"/>
      <c r="AH509" s="14">
        <f>IF(OR(A509="",COUNT(Z509)=0,COUNT(AG509)=0),"",ROUND(Z509-AG509,2))</f>
        <v/>
      </c>
      <c r="AI509" s="21" t="n"/>
      <c r="AJ509" s="11">
        <f>IF(A509="","",IF(COUNT(I509)=0,"Enter approved NTE",IF(COUNT(Z509)&gt;0,IF(Z509&gt;I509,"Invoice exceeds NTE","Invoice within NTE"),IF(COUNT(L509)=0,"Enter quote inputs",IF(L509&gt;I509,"Quote exceeds NTE","Quote within NTE")))))</f>
        <v/>
      </c>
      <c r="AK509" s="11">
        <f>IF(A509="","",IF(COUNT(H509)=0,"Enter direct cost",IF(COUNT(Z509)=0,"Enter invoice revenue",IF(COUNT(AB509:AD509)&lt;3,"Enter expenses (0 if none)","Complete"))))</f>
        <v/>
      </c>
      <c r="AL509" s="11">
        <f>IF(A509="","",IF(NOT(AND(COUNT(AH509)=1,N(AH509)&gt;0.004,V509&lt;&gt;"Void",V509&lt;&gt;"Not invoiced",V509&lt;&gt;"Draft")),"",IF(COUNT(X509)=0,"No due date",IF(TODAY()-X509&lt;=0,"Not yet due",IF(TODAY()-X509&lt;=30,"1-30 days",IF(TODAY()-X509&lt;=60,"31-60 days",IF(TODAY()-X509&lt;=90,"61-90 days","Over 90 days")))))))</f>
        <v/>
      </c>
      <c r="AM509" s="49">
        <f>IF(OR(AL509="",AL509="No due date"),"",MAX(TODAY()-X509,0))</f>
        <v/>
      </c>
      <c r="AN509" s="49">
        <f>IF(AL509="","",IF(COUNT(X509)=0,-100000,TODAY()-X509))</f>
        <v/>
      </c>
      <c r="AO509" s="49">
        <f>IF(AN509="","",COUNTIF(AN$11:AN$1010,"&gt;"&amp;AN509)+COUNTIF(AN$11:AN509,AN509))</f>
        <v/>
      </c>
      <c r="AP509" s="49">
        <f>IF(OR(A509="",B509=""),"",IF(COUNTIF(B$11:B509,B509)=1,MAX(AP$10:AP508)+1,""))</f>
        <v/>
      </c>
    </row>
    <row r="510" ht="24" customHeight="1">
      <c r="A510" s="20" t="n"/>
      <c r="B510" s="10" t="n"/>
      <c r="C510" s="10" t="n"/>
      <c r="D510" s="10" t="n"/>
      <c r="E510" s="10" t="n"/>
      <c r="F510" s="18" t="n"/>
      <c r="G510" s="10" t="n"/>
      <c r="H510" s="12" t="n"/>
      <c r="I510" s="12" t="n"/>
      <c r="J510" s="13">
        <f>IF(OR(A510="",COUNT(H510)=0,COUNT(Z510)=0),"",ROUND(Z510-H510,2))</f>
        <v/>
      </c>
      <c r="K510" s="15">
        <f>IF(COUNT(J510)=0,"",IF(Z510=0,"n.a.",J510/Z510))</f>
        <v/>
      </c>
      <c r="L510" s="14">
        <f>IF(OR(A510="",COUNT(H510)=0,COUNT(Y510)=0),"",ROUND(H510*(1+Y510),2))</f>
        <v/>
      </c>
      <c r="M510" s="10" t="n"/>
      <c r="N510" s="10" t="n"/>
      <c r="O510" s="10" t="n"/>
      <c r="P510" s="10" t="n"/>
      <c r="Q510" s="20" t="n"/>
      <c r="R510" s="10" t="n"/>
      <c r="S510" s="10" t="n"/>
      <c r="T510" s="18" t="n"/>
      <c r="U510" s="18" t="n"/>
      <c r="V510" s="10" t="n"/>
      <c r="W510" s="10" t="n"/>
      <c r="X510" s="19">
        <f>IF(OR(A510="",COUNT(U510)=0,COUNT(AI510)=0),"",U510+AI510)</f>
        <v/>
      </c>
      <c r="Y510" s="16" t="n"/>
      <c r="Z510" s="12" t="n"/>
      <c r="AA510" s="17">
        <f>IF(COUNT(J510)=0,"",IF(H510=0,"n.a.",J510/H510))</f>
        <v/>
      </c>
      <c r="AB510" s="12" t="n"/>
      <c r="AC510" s="12" t="n"/>
      <c r="AD510" s="12" t="n"/>
      <c r="AE510" s="13">
        <f>IF(OR(COUNT(J510)=0,COUNT(AB510:AD510)&lt;3),"",ROUND(J510-SUM(AB510:AD510),2))</f>
        <v/>
      </c>
      <c r="AF510" s="15">
        <f>IF(COUNT(AE510)=0,"",IF(Z510=0,"n.a.",AE510/Z510))</f>
        <v/>
      </c>
      <c r="AG510" s="12" t="n"/>
      <c r="AH510" s="14">
        <f>IF(OR(A510="",COUNT(Z510)=0,COUNT(AG510)=0),"",ROUND(Z510-AG510,2))</f>
        <v/>
      </c>
      <c r="AI510" s="21" t="n"/>
      <c r="AJ510" s="11">
        <f>IF(A510="","",IF(COUNT(I510)=0,"Enter approved NTE",IF(COUNT(Z510)&gt;0,IF(Z510&gt;I510,"Invoice exceeds NTE","Invoice within NTE"),IF(COUNT(L510)=0,"Enter quote inputs",IF(L510&gt;I510,"Quote exceeds NTE","Quote within NTE")))))</f>
        <v/>
      </c>
      <c r="AK510" s="11">
        <f>IF(A510="","",IF(COUNT(H510)=0,"Enter direct cost",IF(COUNT(Z510)=0,"Enter invoice revenue",IF(COUNT(AB510:AD510)&lt;3,"Enter expenses (0 if none)","Complete"))))</f>
        <v/>
      </c>
      <c r="AL510" s="11">
        <f>IF(A510="","",IF(NOT(AND(COUNT(AH510)=1,N(AH510)&gt;0.004,V510&lt;&gt;"Void",V510&lt;&gt;"Not invoiced",V510&lt;&gt;"Draft")),"",IF(COUNT(X510)=0,"No due date",IF(TODAY()-X510&lt;=0,"Not yet due",IF(TODAY()-X510&lt;=30,"1-30 days",IF(TODAY()-X510&lt;=60,"31-60 days",IF(TODAY()-X510&lt;=90,"61-90 days","Over 90 days")))))))</f>
        <v/>
      </c>
      <c r="AM510" s="49">
        <f>IF(OR(AL510="",AL510="No due date"),"",MAX(TODAY()-X510,0))</f>
        <v/>
      </c>
      <c r="AN510" s="49">
        <f>IF(AL510="","",IF(COUNT(X510)=0,-100000,TODAY()-X510))</f>
        <v/>
      </c>
      <c r="AO510" s="49">
        <f>IF(AN510="","",COUNTIF(AN$11:AN$1010,"&gt;"&amp;AN510)+COUNTIF(AN$11:AN510,AN510))</f>
        <v/>
      </c>
      <c r="AP510" s="49">
        <f>IF(OR(A510="",B510=""),"",IF(COUNTIF(B$11:B510,B510)=1,MAX(AP$10:AP509)+1,""))</f>
        <v/>
      </c>
    </row>
    <row r="511">
      <c r="A511" s="20" t="n"/>
      <c r="B511" s="10" t="n"/>
      <c r="C511" s="10" t="n"/>
      <c r="D511" s="10" t="n"/>
      <c r="E511" s="10" t="n"/>
      <c r="F511" s="18" t="n"/>
      <c r="G511" s="10" t="n"/>
      <c r="H511" s="12" t="n"/>
      <c r="I511" s="12" t="n"/>
      <c r="J511" s="13">
        <f>IF(OR(A511="",COUNT(H511)=0,COUNT(Z511)=0),"",ROUND(Z511-H511,2))</f>
        <v/>
      </c>
      <c r="K511" s="15">
        <f>IF(COUNT(J511)=0,"",IF(Z511=0,"n.a.",J511/Z511))</f>
        <v/>
      </c>
      <c r="L511" s="14">
        <f>IF(OR(A511="",COUNT(H511)=0,COUNT(Y511)=0),"",ROUND(H511*(1+Y511),2))</f>
        <v/>
      </c>
      <c r="M511" s="10" t="n"/>
      <c r="N511" s="10" t="n"/>
      <c r="O511" s="10" t="n"/>
      <c r="P511" s="10" t="n"/>
      <c r="Q511" s="20" t="n"/>
      <c r="R511" s="10" t="n"/>
      <c r="S511" s="10" t="n"/>
      <c r="T511" s="18" t="n"/>
      <c r="U511" s="18" t="n"/>
      <c r="V511" s="10" t="n"/>
      <c r="W511" s="10" t="n"/>
      <c r="X511" s="19">
        <f>IF(OR(A511="",COUNT(U511)=0,COUNT(AI511)=0),"",U511+AI511)</f>
        <v/>
      </c>
      <c r="Y511" s="16" t="n"/>
      <c r="Z511" s="12" t="n"/>
      <c r="AA511" s="17">
        <f>IF(COUNT(J511)=0,"",IF(H511=0,"n.a.",J511/H511))</f>
        <v/>
      </c>
      <c r="AB511" s="12" t="n"/>
      <c r="AC511" s="12" t="n"/>
      <c r="AD511" s="12" t="n"/>
      <c r="AE511" s="13">
        <f>IF(OR(COUNT(J511)=0,COUNT(AB511:AD511)&lt;3),"",ROUND(J511-SUM(AB511:AD511),2))</f>
        <v/>
      </c>
      <c r="AF511" s="15">
        <f>IF(COUNT(AE511)=0,"",IF(Z511=0,"n.a.",AE511/Z511))</f>
        <v/>
      </c>
      <c r="AG511" s="12" t="n"/>
      <c r="AH511" s="14">
        <f>IF(OR(A511="",COUNT(Z511)=0,COUNT(AG511)=0),"",ROUND(Z511-AG511,2))</f>
        <v/>
      </c>
      <c r="AI511" s="21" t="n"/>
      <c r="AJ511" s="11">
        <f>IF(A511="","",IF(COUNT(I511)=0,"Enter approved NTE",IF(COUNT(Z511)&gt;0,IF(Z511&gt;I511,"Invoice exceeds NTE","Invoice within NTE"),IF(COUNT(L511)=0,"Enter quote inputs",IF(L511&gt;I511,"Quote exceeds NTE","Quote within NTE")))))</f>
        <v/>
      </c>
      <c r="AK511" s="11">
        <f>IF(A511="","",IF(COUNT(H511)=0,"Enter direct cost",IF(COUNT(Z511)=0,"Enter invoice revenue",IF(COUNT(AB511:AD511)&lt;3,"Enter expenses (0 if none)","Complete"))))</f>
        <v/>
      </c>
      <c r="AL511" s="11">
        <f>IF(A511="","",IF(NOT(AND(COUNT(AH511)=1,N(AH511)&gt;0.004,V511&lt;&gt;"Void",V511&lt;&gt;"Not invoiced",V511&lt;&gt;"Draft")),"",IF(COUNT(X511)=0,"No due date",IF(TODAY()-X511&lt;=0,"Not yet due",IF(TODAY()-X511&lt;=30,"1-30 days",IF(TODAY()-X511&lt;=60,"31-60 days",IF(TODAY()-X511&lt;=90,"61-90 days","Over 90 days")))))))</f>
        <v/>
      </c>
      <c r="AM511" s="49">
        <f>IF(OR(AL511="",AL511="No due date"),"",MAX(TODAY()-X511,0))</f>
        <v/>
      </c>
      <c r="AN511" s="49">
        <f>IF(AL511="","",IF(COUNT(X511)=0,-100000,TODAY()-X511))</f>
        <v/>
      </c>
      <c r="AO511" s="49">
        <f>IF(AN511="","",COUNTIF(AN$11:AN$1010,"&gt;"&amp;AN511)+COUNTIF(AN$11:AN511,AN511))</f>
        <v/>
      </c>
      <c r="AP511" s="49">
        <f>IF(OR(A511="",B511=""),"",IF(COUNTIF(B$11:B511,B511)=1,MAX(AP$10:AP510)+1,""))</f>
        <v/>
      </c>
    </row>
    <row r="512">
      <c r="A512" s="20" t="n"/>
      <c r="B512" s="10" t="n"/>
      <c r="C512" s="10" t="n"/>
      <c r="D512" s="10" t="n"/>
      <c r="E512" s="10" t="n"/>
      <c r="F512" s="18" t="n"/>
      <c r="G512" s="10" t="n"/>
      <c r="H512" s="12" t="n"/>
      <c r="I512" s="12" t="n"/>
      <c r="J512" s="13">
        <f>IF(OR(A512="",COUNT(H512)=0,COUNT(Z512)=0),"",ROUND(Z512-H512,2))</f>
        <v/>
      </c>
      <c r="K512" s="15">
        <f>IF(COUNT(J512)=0,"",IF(Z512=0,"n.a.",J512/Z512))</f>
        <v/>
      </c>
      <c r="L512" s="14">
        <f>IF(OR(A512="",COUNT(H512)=0,COUNT(Y512)=0),"",ROUND(H512*(1+Y512),2))</f>
        <v/>
      </c>
      <c r="M512" s="10" t="n"/>
      <c r="N512" s="10" t="n"/>
      <c r="O512" s="10" t="n"/>
      <c r="P512" s="10" t="n"/>
      <c r="Q512" s="20" t="n"/>
      <c r="R512" s="10" t="n"/>
      <c r="S512" s="10" t="n"/>
      <c r="T512" s="18" t="n"/>
      <c r="U512" s="18" t="n"/>
      <c r="V512" s="10" t="n"/>
      <c r="W512" s="10" t="n"/>
      <c r="X512" s="19">
        <f>IF(OR(A512="",COUNT(U512)=0,COUNT(AI512)=0),"",U512+AI512)</f>
        <v/>
      </c>
      <c r="Y512" s="16" t="n"/>
      <c r="Z512" s="12" t="n"/>
      <c r="AA512" s="17">
        <f>IF(COUNT(J512)=0,"",IF(H512=0,"n.a.",J512/H512))</f>
        <v/>
      </c>
      <c r="AB512" s="12" t="n"/>
      <c r="AC512" s="12" t="n"/>
      <c r="AD512" s="12" t="n"/>
      <c r="AE512" s="13">
        <f>IF(OR(COUNT(J512)=0,COUNT(AB512:AD512)&lt;3),"",ROUND(J512-SUM(AB512:AD512),2))</f>
        <v/>
      </c>
      <c r="AF512" s="15">
        <f>IF(COUNT(AE512)=0,"",IF(Z512=0,"n.a.",AE512/Z512))</f>
        <v/>
      </c>
      <c r="AG512" s="12" t="n"/>
      <c r="AH512" s="14">
        <f>IF(OR(A512="",COUNT(Z512)=0,COUNT(AG512)=0),"",ROUND(Z512-AG512,2))</f>
        <v/>
      </c>
      <c r="AI512" s="21" t="n"/>
      <c r="AJ512" s="11">
        <f>IF(A512="","",IF(COUNT(I512)=0,"Enter approved NTE",IF(COUNT(Z512)&gt;0,IF(Z512&gt;I512,"Invoice exceeds NTE","Invoice within NTE"),IF(COUNT(L512)=0,"Enter quote inputs",IF(L512&gt;I512,"Quote exceeds NTE","Quote within NTE")))))</f>
        <v/>
      </c>
      <c r="AK512" s="11">
        <f>IF(A512="","",IF(COUNT(H512)=0,"Enter direct cost",IF(COUNT(Z512)=0,"Enter invoice revenue",IF(COUNT(AB512:AD512)&lt;3,"Enter expenses (0 if none)","Complete"))))</f>
        <v/>
      </c>
      <c r="AL512" s="11">
        <f>IF(A512="","",IF(NOT(AND(COUNT(AH512)=1,N(AH512)&gt;0.004,V512&lt;&gt;"Void",V512&lt;&gt;"Not invoiced",V512&lt;&gt;"Draft")),"",IF(COUNT(X512)=0,"No due date",IF(TODAY()-X512&lt;=0,"Not yet due",IF(TODAY()-X512&lt;=30,"1-30 days",IF(TODAY()-X512&lt;=60,"31-60 days",IF(TODAY()-X512&lt;=90,"61-90 days","Over 90 days")))))))</f>
        <v/>
      </c>
      <c r="AM512" s="49">
        <f>IF(OR(AL512="",AL512="No due date"),"",MAX(TODAY()-X512,0))</f>
        <v/>
      </c>
      <c r="AN512" s="49">
        <f>IF(AL512="","",IF(COUNT(X512)=0,-100000,TODAY()-X512))</f>
        <v/>
      </c>
      <c r="AO512" s="49">
        <f>IF(AN512="","",COUNTIF(AN$11:AN$1010,"&gt;"&amp;AN512)+COUNTIF(AN$11:AN512,AN512))</f>
        <v/>
      </c>
      <c r="AP512" s="49">
        <f>IF(OR(A512="",B512=""),"",IF(COUNTIF(B$11:B512,B512)=1,MAX(AP$10:AP511)+1,""))</f>
        <v/>
      </c>
    </row>
    <row r="513">
      <c r="A513" s="20" t="n"/>
      <c r="B513" s="10" t="n"/>
      <c r="C513" s="10" t="n"/>
      <c r="D513" s="10" t="n"/>
      <c r="E513" s="10" t="n"/>
      <c r="F513" s="18" t="n"/>
      <c r="G513" s="10" t="n"/>
      <c r="H513" s="12" t="n"/>
      <c r="I513" s="12" t="n"/>
      <c r="J513" s="13">
        <f>IF(OR(A513="",COUNT(H513)=0,COUNT(Z513)=0),"",ROUND(Z513-H513,2))</f>
        <v/>
      </c>
      <c r="K513" s="15">
        <f>IF(COUNT(J513)=0,"",IF(Z513=0,"n.a.",J513/Z513))</f>
        <v/>
      </c>
      <c r="L513" s="14">
        <f>IF(OR(A513="",COUNT(H513)=0,COUNT(Y513)=0),"",ROUND(H513*(1+Y513),2))</f>
        <v/>
      </c>
      <c r="M513" s="10" t="n"/>
      <c r="N513" s="10" t="n"/>
      <c r="O513" s="10" t="n"/>
      <c r="P513" s="10" t="n"/>
      <c r="Q513" s="20" t="n"/>
      <c r="R513" s="10" t="n"/>
      <c r="S513" s="10" t="n"/>
      <c r="T513" s="18" t="n"/>
      <c r="U513" s="18" t="n"/>
      <c r="V513" s="10" t="n"/>
      <c r="W513" s="10" t="n"/>
      <c r="X513" s="19">
        <f>IF(OR(A513="",COUNT(U513)=0,COUNT(AI513)=0),"",U513+AI513)</f>
        <v/>
      </c>
      <c r="Y513" s="16" t="n"/>
      <c r="Z513" s="12" t="n"/>
      <c r="AA513" s="17">
        <f>IF(COUNT(J513)=0,"",IF(H513=0,"n.a.",J513/H513))</f>
        <v/>
      </c>
      <c r="AB513" s="12" t="n"/>
      <c r="AC513" s="12" t="n"/>
      <c r="AD513" s="12" t="n"/>
      <c r="AE513" s="13">
        <f>IF(OR(COUNT(J513)=0,COUNT(AB513:AD513)&lt;3),"",ROUND(J513-SUM(AB513:AD513),2))</f>
        <v/>
      </c>
      <c r="AF513" s="15">
        <f>IF(COUNT(AE513)=0,"",IF(Z513=0,"n.a.",AE513/Z513))</f>
        <v/>
      </c>
      <c r="AG513" s="12" t="n"/>
      <c r="AH513" s="14">
        <f>IF(OR(A513="",COUNT(Z513)=0,COUNT(AG513)=0),"",ROUND(Z513-AG513,2))</f>
        <v/>
      </c>
      <c r="AI513" s="21" t="n"/>
      <c r="AJ513" s="11">
        <f>IF(A513="","",IF(COUNT(I513)=0,"Enter approved NTE",IF(COUNT(Z513)&gt;0,IF(Z513&gt;I513,"Invoice exceeds NTE","Invoice within NTE"),IF(COUNT(L513)=0,"Enter quote inputs",IF(L513&gt;I513,"Quote exceeds NTE","Quote within NTE")))))</f>
        <v/>
      </c>
      <c r="AK513" s="11">
        <f>IF(A513="","",IF(COUNT(H513)=0,"Enter direct cost",IF(COUNT(Z513)=0,"Enter invoice revenue",IF(COUNT(AB513:AD513)&lt;3,"Enter expenses (0 if none)","Complete"))))</f>
        <v/>
      </c>
      <c r="AL513" s="11">
        <f>IF(A513="","",IF(NOT(AND(COUNT(AH513)=1,N(AH513)&gt;0.004,V513&lt;&gt;"Void",V513&lt;&gt;"Not invoiced",V513&lt;&gt;"Draft")),"",IF(COUNT(X513)=0,"No due date",IF(TODAY()-X513&lt;=0,"Not yet due",IF(TODAY()-X513&lt;=30,"1-30 days",IF(TODAY()-X513&lt;=60,"31-60 days",IF(TODAY()-X513&lt;=90,"61-90 days","Over 90 days")))))))</f>
        <v/>
      </c>
      <c r="AM513" s="49">
        <f>IF(OR(AL513="",AL513="No due date"),"",MAX(TODAY()-X513,0))</f>
        <v/>
      </c>
      <c r="AN513" s="49">
        <f>IF(AL513="","",IF(COUNT(X513)=0,-100000,TODAY()-X513))</f>
        <v/>
      </c>
      <c r="AO513" s="49">
        <f>IF(AN513="","",COUNTIF(AN$11:AN$1010,"&gt;"&amp;AN513)+COUNTIF(AN$11:AN513,AN513))</f>
        <v/>
      </c>
      <c r="AP513" s="49">
        <f>IF(OR(A513="",B513=""),"",IF(COUNTIF(B$11:B513,B513)=1,MAX(AP$10:AP512)+1,""))</f>
        <v/>
      </c>
    </row>
    <row r="514">
      <c r="A514" s="20" t="n"/>
      <c r="B514" s="10" t="n"/>
      <c r="C514" s="10" t="n"/>
      <c r="D514" s="10" t="n"/>
      <c r="E514" s="10" t="n"/>
      <c r="F514" s="18" t="n"/>
      <c r="G514" s="10" t="n"/>
      <c r="H514" s="12" t="n"/>
      <c r="I514" s="12" t="n"/>
      <c r="J514" s="13">
        <f>IF(OR(A514="",COUNT(H514)=0,COUNT(Z514)=0),"",ROUND(Z514-H514,2))</f>
        <v/>
      </c>
      <c r="K514" s="15">
        <f>IF(COUNT(J514)=0,"",IF(Z514=0,"n.a.",J514/Z514))</f>
        <v/>
      </c>
      <c r="L514" s="14">
        <f>IF(OR(A514="",COUNT(H514)=0,COUNT(Y514)=0),"",ROUND(H514*(1+Y514),2))</f>
        <v/>
      </c>
      <c r="M514" s="10" t="n"/>
      <c r="N514" s="10" t="n"/>
      <c r="O514" s="10" t="n"/>
      <c r="P514" s="10" t="n"/>
      <c r="Q514" s="20" t="n"/>
      <c r="R514" s="10" t="n"/>
      <c r="S514" s="10" t="n"/>
      <c r="T514" s="18" t="n"/>
      <c r="U514" s="18" t="n"/>
      <c r="V514" s="10" t="n"/>
      <c r="W514" s="10" t="n"/>
      <c r="X514" s="19">
        <f>IF(OR(A514="",COUNT(U514)=0,COUNT(AI514)=0),"",U514+AI514)</f>
        <v/>
      </c>
      <c r="Y514" s="16" t="n"/>
      <c r="Z514" s="12" t="n"/>
      <c r="AA514" s="17">
        <f>IF(COUNT(J514)=0,"",IF(H514=0,"n.a.",J514/H514))</f>
        <v/>
      </c>
      <c r="AB514" s="12" t="n"/>
      <c r="AC514" s="12" t="n"/>
      <c r="AD514" s="12" t="n"/>
      <c r="AE514" s="13">
        <f>IF(OR(COUNT(J514)=0,COUNT(AB514:AD514)&lt;3),"",ROUND(J514-SUM(AB514:AD514),2))</f>
        <v/>
      </c>
      <c r="AF514" s="15">
        <f>IF(COUNT(AE514)=0,"",IF(Z514=0,"n.a.",AE514/Z514))</f>
        <v/>
      </c>
      <c r="AG514" s="12" t="n"/>
      <c r="AH514" s="14">
        <f>IF(OR(A514="",COUNT(Z514)=0,COUNT(AG514)=0),"",ROUND(Z514-AG514,2))</f>
        <v/>
      </c>
      <c r="AI514" s="21" t="n"/>
      <c r="AJ514" s="11">
        <f>IF(A514="","",IF(COUNT(I514)=0,"Enter approved NTE",IF(COUNT(Z514)&gt;0,IF(Z514&gt;I514,"Invoice exceeds NTE","Invoice within NTE"),IF(COUNT(L514)=0,"Enter quote inputs",IF(L514&gt;I514,"Quote exceeds NTE","Quote within NTE")))))</f>
        <v/>
      </c>
      <c r="AK514" s="11">
        <f>IF(A514="","",IF(COUNT(H514)=0,"Enter direct cost",IF(COUNT(Z514)=0,"Enter invoice revenue",IF(COUNT(AB514:AD514)&lt;3,"Enter expenses (0 if none)","Complete"))))</f>
        <v/>
      </c>
      <c r="AL514" s="11">
        <f>IF(A514="","",IF(NOT(AND(COUNT(AH514)=1,N(AH514)&gt;0.004,V514&lt;&gt;"Void",V514&lt;&gt;"Not invoiced",V514&lt;&gt;"Draft")),"",IF(COUNT(X514)=0,"No due date",IF(TODAY()-X514&lt;=0,"Not yet due",IF(TODAY()-X514&lt;=30,"1-30 days",IF(TODAY()-X514&lt;=60,"31-60 days",IF(TODAY()-X514&lt;=90,"61-90 days","Over 90 days")))))))</f>
        <v/>
      </c>
      <c r="AM514" s="49">
        <f>IF(OR(AL514="",AL514="No due date"),"",MAX(TODAY()-X514,0))</f>
        <v/>
      </c>
      <c r="AN514" s="49">
        <f>IF(AL514="","",IF(COUNT(X514)=0,-100000,TODAY()-X514))</f>
        <v/>
      </c>
      <c r="AO514" s="49">
        <f>IF(AN514="","",COUNTIF(AN$11:AN$1010,"&gt;"&amp;AN514)+COUNTIF(AN$11:AN514,AN514))</f>
        <v/>
      </c>
      <c r="AP514" s="49">
        <f>IF(OR(A514="",B514=""),"",IF(COUNTIF(B$11:B514,B514)=1,MAX(AP$10:AP513)+1,""))</f>
        <v/>
      </c>
    </row>
    <row r="515">
      <c r="A515" s="20" t="n"/>
      <c r="B515" s="10" t="n"/>
      <c r="C515" s="10" t="n"/>
      <c r="D515" s="10" t="n"/>
      <c r="E515" s="10" t="n"/>
      <c r="F515" s="18" t="n"/>
      <c r="G515" s="10" t="n"/>
      <c r="H515" s="12" t="n"/>
      <c r="I515" s="12" t="n"/>
      <c r="J515" s="13">
        <f>IF(OR(A515="",COUNT(H515)=0,COUNT(Z515)=0),"",ROUND(Z515-H515,2))</f>
        <v/>
      </c>
      <c r="K515" s="15">
        <f>IF(COUNT(J515)=0,"",IF(Z515=0,"n.a.",J515/Z515))</f>
        <v/>
      </c>
      <c r="L515" s="14">
        <f>IF(OR(A515="",COUNT(H515)=0,COUNT(Y515)=0),"",ROUND(H515*(1+Y515),2))</f>
        <v/>
      </c>
      <c r="M515" s="10" t="n"/>
      <c r="N515" s="10" t="n"/>
      <c r="O515" s="10" t="n"/>
      <c r="P515" s="10" t="n"/>
      <c r="Q515" s="20" t="n"/>
      <c r="R515" s="10" t="n"/>
      <c r="S515" s="10" t="n"/>
      <c r="T515" s="18" t="n"/>
      <c r="U515" s="18" t="n"/>
      <c r="V515" s="10" t="n"/>
      <c r="W515" s="10" t="n"/>
      <c r="X515" s="19">
        <f>IF(OR(A515="",COUNT(U515)=0,COUNT(AI515)=0),"",U515+AI515)</f>
        <v/>
      </c>
      <c r="Y515" s="16" t="n"/>
      <c r="Z515" s="12" t="n"/>
      <c r="AA515" s="17">
        <f>IF(COUNT(J515)=0,"",IF(H515=0,"n.a.",J515/H515))</f>
        <v/>
      </c>
      <c r="AB515" s="12" t="n"/>
      <c r="AC515" s="12" t="n"/>
      <c r="AD515" s="12" t="n"/>
      <c r="AE515" s="13">
        <f>IF(OR(COUNT(J515)=0,COUNT(AB515:AD515)&lt;3),"",ROUND(J515-SUM(AB515:AD515),2))</f>
        <v/>
      </c>
      <c r="AF515" s="15">
        <f>IF(COUNT(AE515)=0,"",IF(Z515=0,"n.a.",AE515/Z515))</f>
        <v/>
      </c>
      <c r="AG515" s="12" t="n"/>
      <c r="AH515" s="14">
        <f>IF(OR(A515="",COUNT(Z515)=0,COUNT(AG515)=0),"",ROUND(Z515-AG515,2))</f>
        <v/>
      </c>
      <c r="AI515" s="21" t="n"/>
      <c r="AJ515" s="11">
        <f>IF(A515="","",IF(COUNT(I515)=0,"Enter approved NTE",IF(COUNT(Z515)&gt;0,IF(Z515&gt;I515,"Invoice exceeds NTE","Invoice within NTE"),IF(COUNT(L515)=0,"Enter quote inputs",IF(L515&gt;I515,"Quote exceeds NTE","Quote within NTE")))))</f>
        <v/>
      </c>
      <c r="AK515" s="11">
        <f>IF(A515="","",IF(COUNT(H515)=0,"Enter direct cost",IF(COUNT(Z515)=0,"Enter invoice revenue",IF(COUNT(AB515:AD515)&lt;3,"Enter expenses (0 if none)","Complete"))))</f>
        <v/>
      </c>
      <c r="AL515" s="11">
        <f>IF(A515="","",IF(NOT(AND(COUNT(AH515)=1,N(AH515)&gt;0.004,V515&lt;&gt;"Void",V515&lt;&gt;"Not invoiced",V515&lt;&gt;"Draft")),"",IF(COUNT(X515)=0,"No due date",IF(TODAY()-X515&lt;=0,"Not yet due",IF(TODAY()-X515&lt;=30,"1-30 days",IF(TODAY()-X515&lt;=60,"31-60 days",IF(TODAY()-X515&lt;=90,"61-90 days","Over 90 days")))))))</f>
        <v/>
      </c>
      <c r="AM515" s="49">
        <f>IF(OR(AL515="",AL515="No due date"),"",MAX(TODAY()-X515,0))</f>
        <v/>
      </c>
      <c r="AN515" s="49">
        <f>IF(AL515="","",IF(COUNT(X515)=0,-100000,TODAY()-X515))</f>
        <v/>
      </c>
      <c r="AO515" s="49">
        <f>IF(AN515="","",COUNTIF(AN$11:AN$1010,"&gt;"&amp;AN515)+COUNTIF(AN$11:AN515,AN515))</f>
        <v/>
      </c>
      <c r="AP515" s="49">
        <f>IF(OR(A515="",B515=""),"",IF(COUNTIF(B$11:B515,B515)=1,MAX(AP$10:AP514)+1,""))</f>
        <v/>
      </c>
    </row>
    <row r="516">
      <c r="A516" s="20" t="n"/>
      <c r="B516" s="10" t="n"/>
      <c r="C516" s="10" t="n"/>
      <c r="D516" s="10" t="n"/>
      <c r="E516" s="10" t="n"/>
      <c r="F516" s="18" t="n"/>
      <c r="G516" s="10" t="n"/>
      <c r="H516" s="12" t="n"/>
      <c r="I516" s="12" t="n"/>
      <c r="J516" s="13">
        <f>IF(OR(A516="",COUNT(H516)=0,COUNT(Z516)=0),"",ROUND(Z516-H516,2))</f>
        <v/>
      </c>
      <c r="K516" s="15">
        <f>IF(COUNT(J516)=0,"",IF(Z516=0,"n.a.",J516/Z516))</f>
        <v/>
      </c>
      <c r="L516" s="14">
        <f>IF(OR(A516="",COUNT(H516)=0,COUNT(Y516)=0),"",ROUND(H516*(1+Y516),2))</f>
        <v/>
      </c>
      <c r="M516" s="10" t="n"/>
      <c r="N516" s="10" t="n"/>
      <c r="O516" s="10" t="n"/>
      <c r="P516" s="10" t="n"/>
      <c r="Q516" s="20" t="n"/>
      <c r="R516" s="10" t="n"/>
      <c r="S516" s="10" t="n"/>
      <c r="T516" s="18" t="n"/>
      <c r="U516" s="18" t="n"/>
      <c r="V516" s="10" t="n"/>
      <c r="W516" s="10" t="n"/>
      <c r="X516" s="19">
        <f>IF(OR(A516="",COUNT(U516)=0,COUNT(AI516)=0),"",U516+AI516)</f>
        <v/>
      </c>
      <c r="Y516" s="16" t="n"/>
      <c r="Z516" s="12" t="n"/>
      <c r="AA516" s="17">
        <f>IF(COUNT(J516)=0,"",IF(H516=0,"n.a.",J516/H516))</f>
        <v/>
      </c>
      <c r="AB516" s="12" t="n"/>
      <c r="AC516" s="12" t="n"/>
      <c r="AD516" s="12" t="n"/>
      <c r="AE516" s="13">
        <f>IF(OR(COUNT(J516)=0,COUNT(AB516:AD516)&lt;3),"",ROUND(J516-SUM(AB516:AD516),2))</f>
        <v/>
      </c>
      <c r="AF516" s="15">
        <f>IF(COUNT(AE516)=0,"",IF(Z516=0,"n.a.",AE516/Z516))</f>
        <v/>
      </c>
      <c r="AG516" s="12" t="n"/>
      <c r="AH516" s="14">
        <f>IF(OR(A516="",COUNT(Z516)=0,COUNT(AG516)=0),"",ROUND(Z516-AG516,2))</f>
        <v/>
      </c>
      <c r="AI516" s="21" t="n"/>
      <c r="AJ516" s="11">
        <f>IF(A516="","",IF(COUNT(I516)=0,"Enter approved NTE",IF(COUNT(Z516)&gt;0,IF(Z516&gt;I516,"Invoice exceeds NTE","Invoice within NTE"),IF(COUNT(L516)=0,"Enter quote inputs",IF(L516&gt;I516,"Quote exceeds NTE","Quote within NTE")))))</f>
        <v/>
      </c>
      <c r="AK516" s="11">
        <f>IF(A516="","",IF(COUNT(H516)=0,"Enter direct cost",IF(COUNT(Z516)=0,"Enter invoice revenue",IF(COUNT(AB516:AD516)&lt;3,"Enter expenses (0 if none)","Complete"))))</f>
        <v/>
      </c>
      <c r="AL516" s="11">
        <f>IF(A516="","",IF(NOT(AND(COUNT(AH516)=1,N(AH516)&gt;0.004,V516&lt;&gt;"Void",V516&lt;&gt;"Not invoiced",V516&lt;&gt;"Draft")),"",IF(COUNT(X516)=0,"No due date",IF(TODAY()-X516&lt;=0,"Not yet due",IF(TODAY()-X516&lt;=30,"1-30 days",IF(TODAY()-X516&lt;=60,"31-60 days",IF(TODAY()-X516&lt;=90,"61-90 days","Over 90 days")))))))</f>
        <v/>
      </c>
      <c r="AM516" s="49">
        <f>IF(OR(AL516="",AL516="No due date"),"",MAX(TODAY()-X516,0))</f>
        <v/>
      </c>
      <c r="AN516" s="49">
        <f>IF(AL516="","",IF(COUNT(X516)=0,-100000,TODAY()-X516))</f>
        <v/>
      </c>
      <c r="AO516" s="49">
        <f>IF(AN516="","",COUNTIF(AN$11:AN$1010,"&gt;"&amp;AN516)+COUNTIF(AN$11:AN516,AN516))</f>
        <v/>
      </c>
      <c r="AP516" s="49">
        <f>IF(OR(A516="",B516=""),"",IF(COUNTIF(B$11:B516,B516)=1,MAX(AP$10:AP515)+1,""))</f>
        <v/>
      </c>
    </row>
    <row r="517">
      <c r="A517" s="20" t="n"/>
      <c r="B517" s="10" t="n"/>
      <c r="C517" s="10" t="n"/>
      <c r="D517" s="10" t="n"/>
      <c r="E517" s="10" t="n"/>
      <c r="F517" s="18" t="n"/>
      <c r="G517" s="10" t="n"/>
      <c r="H517" s="12" t="n"/>
      <c r="I517" s="12" t="n"/>
      <c r="J517" s="13">
        <f>IF(OR(A517="",COUNT(H517)=0,COUNT(Z517)=0),"",ROUND(Z517-H517,2))</f>
        <v/>
      </c>
      <c r="K517" s="15">
        <f>IF(COUNT(J517)=0,"",IF(Z517=0,"n.a.",J517/Z517))</f>
        <v/>
      </c>
      <c r="L517" s="14">
        <f>IF(OR(A517="",COUNT(H517)=0,COUNT(Y517)=0),"",ROUND(H517*(1+Y517),2))</f>
        <v/>
      </c>
      <c r="M517" s="10" t="n"/>
      <c r="N517" s="10" t="n"/>
      <c r="O517" s="10" t="n"/>
      <c r="P517" s="10" t="n"/>
      <c r="Q517" s="20" t="n"/>
      <c r="R517" s="10" t="n"/>
      <c r="S517" s="10" t="n"/>
      <c r="T517" s="18" t="n"/>
      <c r="U517" s="18" t="n"/>
      <c r="V517" s="10" t="n"/>
      <c r="W517" s="10" t="n"/>
      <c r="X517" s="19">
        <f>IF(OR(A517="",COUNT(U517)=0,COUNT(AI517)=0),"",U517+AI517)</f>
        <v/>
      </c>
      <c r="Y517" s="16" t="n"/>
      <c r="Z517" s="12" t="n"/>
      <c r="AA517" s="17">
        <f>IF(COUNT(J517)=0,"",IF(H517=0,"n.a.",J517/H517))</f>
        <v/>
      </c>
      <c r="AB517" s="12" t="n"/>
      <c r="AC517" s="12" t="n"/>
      <c r="AD517" s="12" t="n"/>
      <c r="AE517" s="13">
        <f>IF(OR(COUNT(J517)=0,COUNT(AB517:AD517)&lt;3),"",ROUND(J517-SUM(AB517:AD517),2))</f>
        <v/>
      </c>
      <c r="AF517" s="15">
        <f>IF(COUNT(AE517)=0,"",IF(Z517=0,"n.a.",AE517/Z517))</f>
        <v/>
      </c>
      <c r="AG517" s="12" t="n"/>
      <c r="AH517" s="14">
        <f>IF(OR(A517="",COUNT(Z517)=0,COUNT(AG517)=0),"",ROUND(Z517-AG517,2))</f>
        <v/>
      </c>
      <c r="AI517" s="21" t="n"/>
      <c r="AJ517" s="11">
        <f>IF(A517="","",IF(COUNT(I517)=0,"Enter approved NTE",IF(COUNT(Z517)&gt;0,IF(Z517&gt;I517,"Invoice exceeds NTE","Invoice within NTE"),IF(COUNT(L517)=0,"Enter quote inputs",IF(L517&gt;I517,"Quote exceeds NTE","Quote within NTE")))))</f>
        <v/>
      </c>
      <c r="AK517" s="11">
        <f>IF(A517="","",IF(COUNT(H517)=0,"Enter direct cost",IF(COUNT(Z517)=0,"Enter invoice revenue",IF(COUNT(AB517:AD517)&lt;3,"Enter expenses (0 if none)","Complete"))))</f>
        <v/>
      </c>
      <c r="AL517" s="11">
        <f>IF(A517="","",IF(NOT(AND(COUNT(AH517)=1,N(AH517)&gt;0.004,V517&lt;&gt;"Void",V517&lt;&gt;"Not invoiced",V517&lt;&gt;"Draft")),"",IF(COUNT(X517)=0,"No due date",IF(TODAY()-X517&lt;=0,"Not yet due",IF(TODAY()-X517&lt;=30,"1-30 days",IF(TODAY()-X517&lt;=60,"31-60 days",IF(TODAY()-X517&lt;=90,"61-90 days","Over 90 days")))))))</f>
        <v/>
      </c>
      <c r="AM517" s="49">
        <f>IF(OR(AL517="",AL517="No due date"),"",MAX(TODAY()-X517,0))</f>
        <v/>
      </c>
      <c r="AN517" s="49">
        <f>IF(AL517="","",IF(COUNT(X517)=0,-100000,TODAY()-X517))</f>
        <v/>
      </c>
      <c r="AO517" s="49">
        <f>IF(AN517="","",COUNTIF(AN$11:AN$1010,"&gt;"&amp;AN517)+COUNTIF(AN$11:AN517,AN517))</f>
        <v/>
      </c>
      <c r="AP517" s="49">
        <f>IF(OR(A517="",B517=""),"",IF(COUNTIF(B$11:B517,B517)=1,MAX(AP$10:AP516)+1,""))</f>
        <v/>
      </c>
    </row>
    <row r="518">
      <c r="A518" s="20" t="n"/>
      <c r="B518" s="10" t="n"/>
      <c r="C518" s="10" t="n"/>
      <c r="D518" s="10" t="n"/>
      <c r="E518" s="10" t="n"/>
      <c r="F518" s="18" t="n"/>
      <c r="G518" s="10" t="n"/>
      <c r="H518" s="12" t="n"/>
      <c r="I518" s="12" t="n"/>
      <c r="J518" s="13">
        <f>IF(OR(A518="",COUNT(H518)=0,COUNT(Z518)=0),"",ROUND(Z518-H518,2))</f>
        <v/>
      </c>
      <c r="K518" s="15">
        <f>IF(COUNT(J518)=0,"",IF(Z518=0,"n.a.",J518/Z518))</f>
        <v/>
      </c>
      <c r="L518" s="14">
        <f>IF(OR(A518="",COUNT(H518)=0,COUNT(Y518)=0),"",ROUND(H518*(1+Y518),2))</f>
        <v/>
      </c>
      <c r="M518" s="10" t="n"/>
      <c r="N518" s="10" t="n"/>
      <c r="O518" s="10" t="n"/>
      <c r="P518" s="10" t="n"/>
      <c r="Q518" s="20" t="n"/>
      <c r="R518" s="10" t="n"/>
      <c r="S518" s="10" t="n"/>
      <c r="T518" s="18" t="n"/>
      <c r="U518" s="18" t="n"/>
      <c r="V518" s="10" t="n"/>
      <c r="W518" s="10" t="n"/>
      <c r="X518" s="19">
        <f>IF(OR(A518="",COUNT(U518)=0,COUNT(AI518)=0),"",U518+AI518)</f>
        <v/>
      </c>
      <c r="Y518" s="16" t="n"/>
      <c r="Z518" s="12" t="n"/>
      <c r="AA518" s="17">
        <f>IF(COUNT(J518)=0,"",IF(H518=0,"n.a.",J518/H518))</f>
        <v/>
      </c>
      <c r="AB518" s="12" t="n"/>
      <c r="AC518" s="12" t="n"/>
      <c r="AD518" s="12" t="n"/>
      <c r="AE518" s="13">
        <f>IF(OR(COUNT(J518)=0,COUNT(AB518:AD518)&lt;3),"",ROUND(J518-SUM(AB518:AD518),2))</f>
        <v/>
      </c>
      <c r="AF518" s="15">
        <f>IF(COUNT(AE518)=0,"",IF(Z518=0,"n.a.",AE518/Z518))</f>
        <v/>
      </c>
      <c r="AG518" s="12" t="n"/>
      <c r="AH518" s="14">
        <f>IF(OR(A518="",COUNT(Z518)=0,COUNT(AG518)=0),"",ROUND(Z518-AG518,2))</f>
        <v/>
      </c>
      <c r="AI518" s="21" t="n"/>
      <c r="AJ518" s="11">
        <f>IF(A518="","",IF(COUNT(I518)=0,"Enter approved NTE",IF(COUNT(Z518)&gt;0,IF(Z518&gt;I518,"Invoice exceeds NTE","Invoice within NTE"),IF(COUNT(L518)=0,"Enter quote inputs",IF(L518&gt;I518,"Quote exceeds NTE","Quote within NTE")))))</f>
        <v/>
      </c>
      <c r="AK518" s="11">
        <f>IF(A518="","",IF(COUNT(H518)=0,"Enter direct cost",IF(COUNT(Z518)=0,"Enter invoice revenue",IF(COUNT(AB518:AD518)&lt;3,"Enter expenses (0 if none)","Complete"))))</f>
        <v/>
      </c>
      <c r="AL518" s="11">
        <f>IF(A518="","",IF(NOT(AND(COUNT(AH518)=1,N(AH518)&gt;0.004,V518&lt;&gt;"Void",V518&lt;&gt;"Not invoiced",V518&lt;&gt;"Draft")),"",IF(COUNT(X518)=0,"No due date",IF(TODAY()-X518&lt;=0,"Not yet due",IF(TODAY()-X518&lt;=30,"1-30 days",IF(TODAY()-X518&lt;=60,"31-60 days",IF(TODAY()-X518&lt;=90,"61-90 days","Over 90 days")))))))</f>
        <v/>
      </c>
      <c r="AM518" s="49">
        <f>IF(OR(AL518="",AL518="No due date"),"",MAX(TODAY()-X518,0))</f>
        <v/>
      </c>
      <c r="AN518" s="49">
        <f>IF(AL518="","",IF(COUNT(X518)=0,-100000,TODAY()-X518))</f>
        <v/>
      </c>
      <c r="AO518" s="49">
        <f>IF(AN518="","",COUNTIF(AN$11:AN$1010,"&gt;"&amp;AN518)+COUNTIF(AN$11:AN518,AN518))</f>
        <v/>
      </c>
      <c r="AP518" s="49">
        <f>IF(OR(A518="",B518=""),"",IF(COUNTIF(B$11:B518,B518)=1,MAX(AP$10:AP517)+1,""))</f>
        <v/>
      </c>
    </row>
    <row r="519">
      <c r="A519" s="20" t="n"/>
      <c r="B519" s="10" t="n"/>
      <c r="C519" s="10" t="n"/>
      <c r="D519" s="10" t="n"/>
      <c r="E519" s="10" t="n"/>
      <c r="F519" s="18" t="n"/>
      <c r="G519" s="10" t="n"/>
      <c r="H519" s="12" t="n"/>
      <c r="I519" s="12" t="n"/>
      <c r="J519" s="13">
        <f>IF(OR(A519="",COUNT(H519)=0,COUNT(Z519)=0),"",ROUND(Z519-H519,2))</f>
        <v/>
      </c>
      <c r="K519" s="15">
        <f>IF(COUNT(J519)=0,"",IF(Z519=0,"n.a.",J519/Z519))</f>
        <v/>
      </c>
      <c r="L519" s="14">
        <f>IF(OR(A519="",COUNT(H519)=0,COUNT(Y519)=0),"",ROUND(H519*(1+Y519),2))</f>
        <v/>
      </c>
      <c r="M519" s="10" t="n"/>
      <c r="N519" s="10" t="n"/>
      <c r="O519" s="10" t="n"/>
      <c r="P519" s="10" t="n"/>
      <c r="Q519" s="20" t="n"/>
      <c r="R519" s="10" t="n"/>
      <c r="S519" s="10" t="n"/>
      <c r="T519" s="18" t="n"/>
      <c r="U519" s="18" t="n"/>
      <c r="V519" s="10" t="n"/>
      <c r="W519" s="10" t="n"/>
      <c r="X519" s="19">
        <f>IF(OR(A519="",COUNT(U519)=0,COUNT(AI519)=0),"",U519+AI519)</f>
        <v/>
      </c>
      <c r="Y519" s="16" t="n"/>
      <c r="Z519" s="12" t="n"/>
      <c r="AA519" s="17">
        <f>IF(COUNT(J519)=0,"",IF(H519=0,"n.a.",J519/H519))</f>
        <v/>
      </c>
      <c r="AB519" s="12" t="n"/>
      <c r="AC519" s="12" t="n"/>
      <c r="AD519" s="12" t="n"/>
      <c r="AE519" s="13">
        <f>IF(OR(COUNT(J519)=0,COUNT(AB519:AD519)&lt;3),"",ROUND(J519-SUM(AB519:AD519),2))</f>
        <v/>
      </c>
      <c r="AF519" s="15">
        <f>IF(COUNT(AE519)=0,"",IF(Z519=0,"n.a.",AE519/Z519))</f>
        <v/>
      </c>
      <c r="AG519" s="12" t="n"/>
      <c r="AH519" s="14">
        <f>IF(OR(A519="",COUNT(Z519)=0,COUNT(AG519)=0),"",ROUND(Z519-AG519,2))</f>
        <v/>
      </c>
      <c r="AI519" s="21" t="n"/>
      <c r="AJ519" s="11">
        <f>IF(A519="","",IF(COUNT(I519)=0,"Enter approved NTE",IF(COUNT(Z519)&gt;0,IF(Z519&gt;I519,"Invoice exceeds NTE","Invoice within NTE"),IF(COUNT(L519)=0,"Enter quote inputs",IF(L519&gt;I519,"Quote exceeds NTE","Quote within NTE")))))</f>
        <v/>
      </c>
      <c r="AK519" s="11">
        <f>IF(A519="","",IF(COUNT(H519)=0,"Enter direct cost",IF(COUNT(Z519)=0,"Enter invoice revenue",IF(COUNT(AB519:AD519)&lt;3,"Enter expenses (0 if none)","Complete"))))</f>
        <v/>
      </c>
      <c r="AL519" s="11">
        <f>IF(A519="","",IF(NOT(AND(COUNT(AH519)=1,N(AH519)&gt;0.004,V519&lt;&gt;"Void",V519&lt;&gt;"Not invoiced",V519&lt;&gt;"Draft")),"",IF(COUNT(X519)=0,"No due date",IF(TODAY()-X519&lt;=0,"Not yet due",IF(TODAY()-X519&lt;=30,"1-30 days",IF(TODAY()-X519&lt;=60,"31-60 days",IF(TODAY()-X519&lt;=90,"61-90 days","Over 90 days")))))))</f>
        <v/>
      </c>
      <c r="AM519" s="49">
        <f>IF(OR(AL519="",AL519="No due date"),"",MAX(TODAY()-X519,0))</f>
        <v/>
      </c>
      <c r="AN519" s="49">
        <f>IF(AL519="","",IF(COUNT(X519)=0,-100000,TODAY()-X519))</f>
        <v/>
      </c>
      <c r="AO519" s="49">
        <f>IF(AN519="","",COUNTIF(AN$11:AN$1010,"&gt;"&amp;AN519)+COUNTIF(AN$11:AN519,AN519))</f>
        <v/>
      </c>
      <c r="AP519" s="49">
        <f>IF(OR(A519="",B519=""),"",IF(COUNTIF(B$11:B519,B519)=1,MAX(AP$10:AP518)+1,""))</f>
        <v/>
      </c>
    </row>
    <row r="520">
      <c r="A520" s="20" t="n"/>
      <c r="B520" s="10" t="n"/>
      <c r="C520" s="10" t="n"/>
      <c r="D520" s="10" t="n"/>
      <c r="E520" s="10" t="n"/>
      <c r="F520" s="18" t="n"/>
      <c r="G520" s="10" t="n"/>
      <c r="H520" s="12" t="n"/>
      <c r="I520" s="12" t="n"/>
      <c r="J520" s="13">
        <f>IF(OR(A520="",COUNT(H520)=0,COUNT(Z520)=0),"",ROUND(Z520-H520,2))</f>
        <v/>
      </c>
      <c r="K520" s="15">
        <f>IF(COUNT(J520)=0,"",IF(Z520=0,"n.a.",J520/Z520))</f>
        <v/>
      </c>
      <c r="L520" s="14">
        <f>IF(OR(A520="",COUNT(H520)=0,COUNT(Y520)=0),"",ROUND(H520*(1+Y520),2))</f>
        <v/>
      </c>
      <c r="M520" s="10" t="n"/>
      <c r="N520" s="10" t="n"/>
      <c r="O520" s="10" t="n"/>
      <c r="P520" s="10" t="n"/>
      <c r="Q520" s="20" t="n"/>
      <c r="R520" s="10" t="n"/>
      <c r="S520" s="10" t="n"/>
      <c r="T520" s="18" t="n"/>
      <c r="U520" s="18" t="n"/>
      <c r="V520" s="10" t="n"/>
      <c r="W520" s="10" t="n"/>
      <c r="X520" s="19">
        <f>IF(OR(A520="",COUNT(U520)=0,COUNT(AI520)=0),"",U520+AI520)</f>
        <v/>
      </c>
      <c r="Y520" s="16" t="n"/>
      <c r="Z520" s="12" t="n"/>
      <c r="AA520" s="17">
        <f>IF(COUNT(J520)=0,"",IF(H520=0,"n.a.",J520/H520))</f>
        <v/>
      </c>
      <c r="AB520" s="12" t="n"/>
      <c r="AC520" s="12" t="n"/>
      <c r="AD520" s="12" t="n"/>
      <c r="AE520" s="13">
        <f>IF(OR(COUNT(J520)=0,COUNT(AB520:AD520)&lt;3),"",ROUND(J520-SUM(AB520:AD520),2))</f>
        <v/>
      </c>
      <c r="AF520" s="15">
        <f>IF(COUNT(AE520)=0,"",IF(Z520=0,"n.a.",AE520/Z520))</f>
        <v/>
      </c>
      <c r="AG520" s="12" t="n"/>
      <c r="AH520" s="14">
        <f>IF(OR(A520="",COUNT(Z520)=0,COUNT(AG520)=0),"",ROUND(Z520-AG520,2))</f>
        <v/>
      </c>
      <c r="AI520" s="21" t="n"/>
      <c r="AJ520" s="11">
        <f>IF(A520="","",IF(COUNT(I520)=0,"Enter approved NTE",IF(COUNT(Z520)&gt;0,IF(Z520&gt;I520,"Invoice exceeds NTE","Invoice within NTE"),IF(COUNT(L520)=0,"Enter quote inputs",IF(L520&gt;I520,"Quote exceeds NTE","Quote within NTE")))))</f>
        <v/>
      </c>
      <c r="AK520" s="11">
        <f>IF(A520="","",IF(COUNT(H520)=0,"Enter direct cost",IF(COUNT(Z520)=0,"Enter invoice revenue",IF(COUNT(AB520:AD520)&lt;3,"Enter expenses (0 if none)","Complete"))))</f>
        <v/>
      </c>
      <c r="AL520" s="11">
        <f>IF(A520="","",IF(NOT(AND(COUNT(AH520)=1,N(AH520)&gt;0.004,V520&lt;&gt;"Void",V520&lt;&gt;"Not invoiced",V520&lt;&gt;"Draft")),"",IF(COUNT(X520)=0,"No due date",IF(TODAY()-X520&lt;=0,"Not yet due",IF(TODAY()-X520&lt;=30,"1-30 days",IF(TODAY()-X520&lt;=60,"31-60 days",IF(TODAY()-X520&lt;=90,"61-90 days","Over 90 days")))))))</f>
        <v/>
      </c>
      <c r="AM520" s="49">
        <f>IF(OR(AL520="",AL520="No due date"),"",MAX(TODAY()-X520,0))</f>
        <v/>
      </c>
      <c r="AN520" s="49">
        <f>IF(AL520="","",IF(COUNT(X520)=0,-100000,TODAY()-X520))</f>
        <v/>
      </c>
      <c r="AO520" s="49">
        <f>IF(AN520="","",COUNTIF(AN$11:AN$1010,"&gt;"&amp;AN520)+COUNTIF(AN$11:AN520,AN520))</f>
        <v/>
      </c>
      <c r="AP520" s="49">
        <f>IF(OR(A520="",B520=""),"",IF(COUNTIF(B$11:B520,B520)=1,MAX(AP$10:AP519)+1,""))</f>
        <v/>
      </c>
    </row>
    <row r="521">
      <c r="A521" s="20" t="n"/>
      <c r="B521" s="10" t="n"/>
      <c r="C521" s="10" t="n"/>
      <c r="D521" s="10" t="n"/>
      <c r="E521" s="10" t="n"/>
      <c r="F521" s="18" t="n"/>
      <c r="G521" s="10" t="n"/>
      <c r="H521" s="12" t="n"/>
      <c r="I521" s="12" t="n"/>
      <c r="J521" s="13">
        <f>IF(OR(A521="",COUNT(H521)=0,COUNT(Z521)=0),"",ROUND(Z521-H521,2))</f>
        <v/>
      </c>
      <c r="K521" s="15">
        <f>IF(COUNT(J521)=0,"",IF(Z521=0,"n.a.",J521/Z521))</f>
        <v/>
      </c>
      <c r="L521" s="14">
        <f>IF(OR(A521="",COUNT(H521)=0,COUNT(Y521)=0),"",ROUND(H521*(1+Y521),2))</f>
        <v/>
      </c>
      <c r="M521" s="10" t="n"/>
      <c r="N521" s="10" t="n"/>
      <c r="O521" s="10" t="n"/>
      <c r="P521" s="10" t="n"/>
      <c r="Q521" s="20" t="n"/>
      <c r="R521" s="10" t="n"/>
      <c r="S521" s="10" t="n"/>
      <c r="T521" s="18" t="n"/>
      <c r="U521" s="18" t="n"/>
      <c r="V521" s="10" t="n"/>
      <c r="W521" s="10" t="n"/>
      <c r="X521" s="19">
        <f>IF(OR(A521="",COUNT(U521)=0,COUNT(AI521)=0),"",U521+AI521)</f>
        <v/>
      </c>
      <c r="Y521" s="16" t="n"/>
      <c r="Z521" s="12" t="n"/>
      <c r="AA521" s="17">
        <f>IF(COUNT(J521)=0,"",IF(H521=0,"n.a.",J521/H521))</f>
        <v/>
      </c>
      <c r="AB521" s="12" t="n"/>
      <c r="AC521" s="12" t="n"/>
      <c r="AD521" s="12" t="n"/>
      <c r="AE521" s="13">
        <f>IF(OR(COUNT(J521)=0,COUNT(AB521:AD521)&lt;3),"",ROUND(J521-SUM(AB521:AD521),2))</f>
        <v/>
      </c>
      <c r="AF521" s="15">
        <f>IF(COUNT(AE521)=0,"",IF(Z521=0,"n.a.",AE521/Z521))</f>
        <v/>
      </c>
      <c r="AG521" s="12" t="n"/>
      <c r="AH521" s="14">
        <f>IF(OR(A521="",COUNT(Z521)=0,COUNT(AG521)=0),"",ROUND(Z521-AG521,2))</f>
        <v/>
      </c>
      <c r="AI521" s="21" t="n"/>
      <c r="AJ521" s="11">
        <f>IF(A521="","",IF(COUNT(I521)=0,"Enter approved NTE",IF(COUNT(Z521)&gt;0,IF(Z521&gt;I521,"Invoice exceeds NTE","Invoice within NTE"),IF(COUNT(L521)=0,"Enter quote inputs",IF(L521&gt;I521,"Quote exceeds NTE","Quote within NTE")))))</f>
        <v/>
      </c>
      <c r="AK521" s="11">
        <f>IF(A521="","",IF(COUNT(H521)=0,"Enter direct cost",IF(COUNT(Z521)=0,"Enter invoice revenue",IF(COUNT(AB521:AD521)&lt;3,"Enter expenses (0 if none)","Complete"))))</f>
        <v/>
      </c>
      <c r="AL521" s="11">
        <f>IF(A521="","",IF(NOT(AND(COUNT(AH521)=1,N(AH521)&gt;0.004,V521&lt;&gt;"Void",V521&lt;&gt;"Not invoiced",V521&lt;&gt;"Draft")),"",IF(COUNT(X521)=0,"No due date",IF(TODAY()-X521&lt;=0,"Not yet due",IF(TODAY()-X521&lt;=30,"1-30 days",IF(TODAY()-X521&lt;=60,"31-60 days",IF(TODAY()-X521&lt;=90,"61-90 days","Over 90 days")))))))</f>
        <v/>
      </c>
      <c r="AM521" s="49">
        <f>IF(OR(AL521="",AL521="No due date"),"",MAX(TODAY()-X521,0))</f>
        <v/>
      </c>
      <c r="AN521" s="49">
        <f>IF(AL521="","",IF(COUNT(X521)=0,-100000,TODAY()-X521))</f>
        <v/>
      </c>
      <c r="AO521" s="49">
        <f>IF(AN521="","",COUNTIF(AN$11:AN$1010,"&gt;"&amp;AN521)+COUNTIF(AN$11:AN521,AN521))</f>
        <v/>
      </c>
      <c r="AP521" s="49">
        <f>IF(OR(A521="",B521=""),"",IF(COUNTIF(B$11:B521,B521)=1,MAX(AP$10:AP520)+1,""))</f>
        <v/>
      </c>
    </row>
    <row r="522">
      <c r="A522" s="20" t="n"/>
      <c r="B522" s="10" t="n"/>
      <c r="C522" s="10" t="n"/>
      <c r="D522" s="10" t="n"/>
      <c r="E522" s="10" t="n"/>
      <c r="F522" s="18" t="n"/>
      <c r="G522" s="10" t="n"/>
      <c r="H522" s="12" t="n"/>
      <c r="I522" s="12" t="n"/>
      <c r="J522" s="13">
        <f>IF(OR(A522="",COUNT(H522)=0,COUNT(Z522)=0),"",ROUND(Z522-H522,2))</f>
        <v/>
      </c>
      <c r="K522" s="15">
        <f>IF(COUNT(J522)=0,"",IF(Z522=0,"n.a.",J522/Z522))</f>
        <v/>
      </c>
      <c r="L522" s="14">
        <f>IF(OR(A522="",COUNT(H522)=0,COUNT(Y522)=0),"",ROUND(H522*(1+Y522),2))</f>
        <v/>
      </c>
      <c r="M522" s="10" t="n"/>
      <c r="N522" s="10" t="n"/>
      <c r="O522" s="10" t="n"/>
      <c r="P522" s="10" t="n"/>
      <c r="Q522" s="20" t="n"/>
      <c r="R522" s="10" t="n"/>
      <c r="S522" s="10" t="n"/>
      <c r="T522" s="18" t="n"/>
      <c r="U522" s="18" t="n"/>
      <c r="V522" s="10" t="n"/>
      <c r="W522" s="10" t="n"/>
      <c r="X522" s="19">
        <f>IF(OR(A522="",COUNT(U522)=0,COUNT(AI522)=0),"",U522+AI522)</f>
        <v/>
      </c>
      <c r="Y522" s="16" t="n"/>
      <c r="Z522" s="12" t="n"/>
      <c r="AA522" s="17">
        <f>IF(COUNT(J522)=0,"",IF(H522=0,"n.a.",J522/H522))</f>
        <v/>
      </c>
      <c r="AB522" s="12" t="n"/>
      <c r="AC522" s="12" t="n"/>
      <c r="AD522" s="12" t="n"/>
      <c r="AE522" s="13">
        <f>IF(OR(COUNT(J522)=0,COUNT(AB522:AD522)&lt;3),"",ROUND(J522-SUM(AB522:AD522),2))</f>
        <v/>
      </c>
      <c r="AF522" s="15">
        <f>IF(COUNT(AE522)=0,"",IF(Z522=0,"n.a.",AE522/Z522))</f>
        <v/>
      </c>
      <c r="AG522" s="12" t="n"/>
      <c r="AH522" s="14">
        <f>IF(OR(A522="",COUNT(Z522)=0,COUNT(AG522)=0),"",ROUND(Z522-AG522,2))</f>
        <v/>
      </c>
      <c r="AI522" s="21" t="n"/>
      <c r="AJ522" s="11">
        <f>IF(A522="","",IF(COUNT(I522)=0,"Enter approved NTE",IF(COUNT(Z522)&gt;0,IF(Z522&gt;I522,"Invoice exceeds NTE","Invoice within NTE"),IF(COUNT(L522)=0,"Enter quote inputs",IF(L522&gt;I522,"Quote exceeds NTE","Quote within NTE")))))</f>
        <v/>
      </c>
      <c r="AK522" s="11">
        <f>IF(A522="","",IF(COUNT(H522)=0,"Enter direct cost",IF(COUNT(Z522)=0,"Enter invoice revenue",IF(COUNT(AB522:AD522)&lt;3,"Enter expenses (0 if none)","Complete"))))</f>
        <v/>
      </c>
      <c r="AL522" s="11">
        <f>IF(A522="","",IF(NOT(AND(COUNT(AH522)=1,N(AH522)&gt;0.004,V522&lt;&gt;"Void",V522&lt;&gt;"Not invoiced",V522&lt;&gt;"Draft")),"",IF(COUNT(X522)=0,"No due date",IF(TODAY()-X522&lt;=0,"Not yet due",IF(TODAY()-X522&lt;=30,"1-30 days",IF(TODAY()-X522&lt;=60,"31-60 days",IF(TODAY()-X522&lt;=90,"61-90 days","Over 90 days")))))))</f>
        <v/>
      </c>
      <c r="AM522" s="49">
        <f>IF(OR(AL522="",AL522="No due date"),"",MAX(TODAY()-X522,0))</f>
        <v/>
      </c>
      <c r="AN522" s="49">
        <f>IF(AL522="","",IF(COUNT(X522)=0,-100000,TODAY()-X522))</f>
        <v/>
      </c>
      <c r="AO522" s="49">
        <f>IF(AN522="","",COUNTIF(AN$11:AN$1010,"&gt;"&amp;AN522)+COUNTIF(AN$11:AN522,AN522))</f>
        <v/>
      </c>
      <c r="AP522" s="49">
        <f>IF(OR(A522="",B522=""),"",IF(COUNTIF(B$11:B522,B522)=1,MAX(AP$10:AP521)+1,""))</f>
        <v/>
      </c>
    </row>
    <row r="523">
      <c r="A523" s="20" t="n"/>
      <c r="B523" s="10" t="n"/>
      <c r="C523" s="10" t="n"/>
      <c r="D523" s="10" t="n"/>
      <c r="E523" s="10" t="n"/>
      <c r="F523" s="18" t="n"/>
      <c r="G523" s="10" t="n"/>
      <c r="H523" s="12" t="n"/>
      <c r="I523" s="12" t="n"/>
      <c r="J523" s="13">
        <f>IF(OR(A523="",COUNT(H523)=0,COUNT(Z523)=0),"",ROUND(Z523-H523,2))</f>
        <v/>
      </c>
      <c r="K523" s="15">
        <f>IF(COUNT(J523)=0,"",IF(Z523=0,"n.a.",J523/Z523))</f>
        <v/>
      </c>
      <c r="L523" s="14">
        <f>IF(OR(A523="",COUNT(H523)=0,COUNT(Y523)=0),"",ROUND(H523*(1+Y523),2))</f>
        <v/>
      </c>
      <c r="M523" s="10" t="n"/>
      <c r="N523" s="10" t="n"/>
      <c r="O523" s="10" t="n"/>
      <c r="P523" s="10" t="n"/>
      <c r="Q523" s="20" t="n"/>
      <c r="R523" s="10" t="n"/>
      <c r="S523" s="10" t="n"/>
      <c r="T523" s="18" t="n"/>
      <c r="U523" s="18" t="n"/>
      <c r="V523" s="10" t="n"/>
      <c r="W523" s="10" t="n"/>
      <c r="X523" s="19">
        <f>IF(OR(A523="",COUNT(U523)=0,COUNT(AI523)=0),"",U523+AI523)</f>
        <v/>
      </c>
      <c r="Y523" s="16" t="n"/>
      <c r="Z523" s="12" t="n"/>
      <c r="AA523" s="17">
        <f>IF(COUNT(J523)=0,"",IF(H523=0,"n.a.",J523/H523))</f>
        <v/>
      </c>
      <c r="AB523" s="12" t="n"/>
      <c r="AC523" s="12" t="n"/>
      <c r="AD523" s="12" t="n"/>
      <c r="AE523" s="13">
        <f>IF(OR(COUNT(J523)=0,COUNT(AB523:AD523)&lt;3),"",ROUND(J523-SUM(AB523:AD523),2))</f>
        <v/>
      </c>
      <c r="AF523" s="15">
        <f>IF(COUNT(AE523)=0,"",IF(Z523=0,"n.a.",AE523/Z523))</f>
        <v/>
      </c>
      <c r="AG523" s="12" t="n"/>
      <c r="AH523" s="14">
        <f>IF(OR(A523="",COUNT(Z523)=0,COUNT(AG523)=0),"",ROUND(Z523-AG523,2))</f>
        <v/>
      </c>
      <c r="AI523" s="21" t="n"/>
      <c r="AJ523" s="11">
        <f>IF(A523="","",IF(COUNT(I523)=0,"Enter approved NTE",IF(COUNT(Z523)&gt;0,IF(Z523&gt;I523,"Invoice exceeds NTE","Invoice within NTE"),IF(COUNT(L523)=0,"Enter quote inputs",IF(L523&gt;I523,"Quote exceeds NTE","Quote within NTE")))))</f>
        <v/>
      </c>
      <c r="AK523" s="11">
        <f>IF(A523="","",IF(COUNT(H523)=0,"Enter direct cost",IF(COUNT(Z523)=0,"Enter invoice revenue",IF(COUNT(AB523:AD523)&lt;3,"Enter expenses (0 if none)","Complete"))))</f>
        <v/>
      </c>
      <c r="AL523" s="11">
        <f>IF(A523="","",IF(NOT(AND(COUNT(AH523)=1,N(AH523)&gt;0.004,V523&lt;&gt;"Void",V523&lt;&gt;"Not invoiced",V523&lt;&gt;"Draft")),"",IF(COUNT(X523)=0,"No due date",IF(TODAY()-X523&lt;=0,"Not yet due",IF(TODAY()-X523&lt;=30,"1-30 days",IF(TODAY()-X523&lt;=60,"31-60 days",IF(TODAY()-X523&lt;=90,"61-90 days","Over 90 days")))))))</f>
        <v/>
      </c>
      <c r="AM523" s="49">
        <f>IF(OR(AL523="",AL523="No due date"),"",MAX(TODAY()-X523,0))</f>
        <v/>
      </c>
      <c r="AN523" s="49">
        <f>IF(AL523="","",IF(COUNT(X523)=0,-100000,TODAY()-X523))</f>
        <v/>
      </c>
      <c r="AO523" s="49">
        <f>IF(AN523="","",COUNTIF(AN$11:AN$1010,"&gt;"&amp;AN523)+COUNTIF(AN$11:AN523,AN523))</f>
        <v/>
      </c>
      <c r="AP523" s="49">
        <f>IF(OR(A523="",B523=""),"",IF(COUNTIF(B$11:B523,B523)=1,MAX(AP$10:AP522)+1,""))</f>
        <v/>
      </c>
    </row>
    <row r="524">
      <c r="A524" s="20" t="n"/>
      <c r="B524" s="10" t="n"/>
      <c r="C524" s="10" t="n"/>
      <c r="D524" s="10" t="n"/>
      <c r="E524" s="10" t="n"/>
      <c r="F524" s="18" t="n"/>
      <c r="G524" s="10" t="n"/>
      <c r="H524" s="12" t="n"/>
      <c r="I524" s="12" t="n"/>
      <c r="J524" s="13">
        <f>IF(OR(A524="",COUNT(H524)=0,COUNT(Z524)=0),"",ROUND(Z524-H524,2))</f>
        <v/>
      </c>
      <c r="K524" s="15">
        <f>IF(COUNT(J524)=0,"",IF(Z524=0,"n.a.",J524/Z524))</f>
        <v/>
      </c>
      <c r="L524" s="14">
        <f>IF(OR(A524="",COUNT(H524)=0,COUNT(Y524)=0),"",ROUND(H524*(1+Y524),2))</f>
        <v/>
      </c>
      <c r="M524" s="10" t="n"/>
      <c r="N524" s="10" t="n"/>
      <c r="O524" s="10" t="n"/>
      <c r="P524" s="10" t="n"/>
      <c r="Q524" s="20" t="n"/>
      <c r="R524" s="10" t="n"/>
      <c r="S524" s="10" t="n"/>
      <c r="T524" s="18" t="n"/>
      <c r="U524" s="18" t="n"/>
      <c r="V524" s="10" t="n"/>
      <c r="W524" s="10" t="n"/>
      <c r="X524" s="19">
        <f>IF(OR(A524="",COUNT(U524)=0,COUNT(AI524)=0),"",U524+AI524)</f>
        <v/>
      </c>
      <c r="Y524" s="16" t="n"/>
      <c r="Z524" s="12" t="n"/>
      <c r="AA524" s="17">
        <f>IF(COUNT(J524)=0,"",IF(H524=0,"n.a.",J524/H524))</f>
        <v/>
      </c>
      <c r="AB524" s="12" t="n"/>
      <c r="AC524" s="12" t="n"/>
      <c r="AD524" s="12" t="n"/>
      <c r="AE524" s="13">
        <f>IF(OR(COUNT(J524)=0,COUNT(AB524:AD524)&lt;3),"",ROUND(J524-SUM(AB524:AD524),2))</f>
        <v/>
      </c>
      <c r="AF524" s="15">
        <f>IF(COUNT(AE524)=0,"",IF(Z524=0,"n.a.",AE524/Z524))</f>
        <v/>
      </c>
      <c r="AG524" s="12" t="n"/>
      <c r="AH524" s="14">
        <f>IF(OR(A524="",COUNT(Z524)=0,COUNT(AG524)=0),"",ROUND(Z524-AG524,2))</f>
        <v/>
      </c>
      <c r="AI524" s="21" t="n"/>
      <c r="AJ524" s="11">
        <f>IF(A524="","",IF(COUNT(I524)=0,"Enter approved NTE",IF(COUNT(Z524)&gt;0,IF(Z524&gt;I524,"Invoice exceeds NTE","Invoice within NTE"),IF(COUNT(L524)=0,"Enter quote inputs",IF(L524&gt;I524,"Quote exceeds NTE","Quote within NTE")))))</f>
        <v/>
      </c>
      <c r="AK524" s="11">
        <f>IF(A524="","",IF(COUNT(H524)=0,"Enter direct cost",IF(COUNT(Z524)=0,"Enter invoice revenue",IF(COUNT(AB524:AD524)&lt;3,"Enter expenses (0 if none)","Complete"))))</f>
        <v/>
      </c>
      <c r="AL524" s="11">
        <f>IF(A524="","",IF(NOT(AND(COUNT(AH524)=1,N(AH524)&gt;0.004,V524&lt;&gt;"Void",V524&lt;&gt;"Not invoiced",V524&lt;&gt;"Draft")),"",IF(COUNT(X524)=0,"No due date",IF(TODAY()-X524&lt;=0,"Not yet due",IF(TODAY()-X524&lt;=30,"1-30 days",IF(TODAY()-X524&lt;=60,"31-60 days",IF(TODAY()-X524&lt;=90,"61-90 days","Over 90 days")))))))</f>
        <v/>
      </c>
      <c r="AM524" s="49">
        <f>IF(OR(AL524="",AL524="No due date"),"",MAX(TODAY()-X524,0))</f>
        <v/>
      </c>
      <c r="AN524" s="49">
        <f>IF(AL524="","",IF(COUNT(X524)=0,-100000,TODAY()-X524))</f>
        <v/>
      </c>
      <c r="AO524" s="49">
        <f>IF(AN524="","",COUNTIF(AN$11:AN$1010,"&gt;"&amp;AN524)+COUNTIF(AN$11:AN524,AN524))</f>
        <v/>
      </c>
      <c r="AP524" s="49">
        <f>IF(OR(A524="",B524=""),"",IF(COUNTIF(B$11:B524,B524)=1,MAX(AP$10:AP523)+1,""))</f>
        <v/>
      </c>
    </row>
    <row r="525">
      <c r="A525" s="20" t="n"/>
      <c r="B525" s="10" t="n"/>
      <c r="C525" s="10" t="n"/>
      <c r="D525" s="10" t="n"/>
      <c r="E525" s="10" t="n"/>
      <c r="F525" s="18" t="n"/>
      <c r="G525" s="10" t="n"/>
      <c r="H525" s="12" t="n"/>
      <c r="I525" s="12" t="n"/>
      <c r="J525" s="13">
        <f>IF(OR(A525="",COUNT(H525)=0,COUNT(Z525)=0),"",ROUND(Z525-H525,2))</f>
        <v/>
      </c>
      <c r="K525" s="15">
        <f>IF(COUNT(J525)=0,"",IF(Z525=0,"n.a.",J525/Z525))</f>
        <v/>
      </c>
      <c r="L525" s="14">
        <f>IF(OR(A525="",COUNT(H525)=0,COUNT(Y525)=0),"",ROUND(H525*(1+Y525),2))</f>
        <v/>
      </c>
      <c r="M525" s="10" t="n"/>
      <c r="N525" s="10" t="n"/>
      <c r="O525" s="10" t="n"/>
      <c r="P525" s="10" t="n"/>
      <c r="Q525" s="20" t="n"/>
      <c r="R525" s="10" t="n"/>
      <c r="S525" s="10" t="n"/>
      <c r="T525" s="18" t="n"/>
      <c r="U525" s="18" t="n"/>
      <c r="V525" s="10" t="n"/>
      <c r="W525" s="10" t="n"/>
      <c r="X525" s="19">
        <f>IF(OR(A525="",COUNT(U525)=0,COUNT(AI525)=0),"",U525+AI525)</f>
        <v/>
      </c>
      <c r="Y525" s="16" t="n"/>
      <c r="Z525" s="12" t="n"/>
      <c r="AA525" s="17">
        <f>IF(COUNT(J525)=0,"",IF(H525=0,"n.a.",J525/H525))</f>
        <v/>
      </c>
      <c r="AB525" s="12" t="n"/>
      <c r="AC525" s="12" t="n"/>
      <c r="AD525" s="12" t="n"/>
      <c r="AE525" s="13">
        <f>IF(OR(COUNT(J525)=0,COUNT(AB525:AD525)&lt;3),"",ROUND(J525-SUM(AB525:AD525),2))</f>
        <v/>
      </c>
      <c r="AF525" s="15">
        <f>IF(COUNT(AE525)=0,"",IF(Z525=0,"n.a.",AE525/Z525))</f>
        <v/>
      </c>
      <c r="AG525" s="12" t="n"/>
      <c r="AH525" s="14">
        <f>IF(OR(A525="",COUNT(Z525)=0,COUNT(AG525)=0),"",ROUND(Z525-AG525,2))</f>
        <v/>
      </c>
      <c r="AI525" s="21" t="n"/>
      <c r="AJ525" s="11">
        <f>IF(A525="","",IF(COUNT(I525)=0,"Enter approved NTE",IF(COUNT(Z525)&gt;0,IF(Z525&gt;I525,"Invoice exceeds NTE","Invoice within NTE"),IF(COUNT(L525)=0,"Enter quote inputs",IF(L525&gt;I525,"Quote exceeds NTE","Quote within NTE")))))</f>
        <v/>
      </c>
      <c r="AK525" s="11">
        <f>IF(A525="","",IF(COUNT(H525)=0,"Enter direct cost",IF(COUNT(Z525)=0,"Enter invoice revenue",IF(COUNT(AB525:AD525)&lt;3,"Enter expenses (0 if none)","Complete"))))</f>
        <v/>
      </c>
      <c r="AL525" s="11">
        <f>IF(A525="","",IF(NOT(AND(COUNT(AH525)=1,N(AH525)&gt;0.004,V525&lt;&gt;"Void",V525&lt;&gt;"Not invoiced",V525&lt;&gt;"Draft")),"",IF(COUNT(X525)=0,"No due date",IF(TODAY()-X525&lt;=0,"Not yet due",IF(TODAY()-X525&lt;=30,"1-30 days",IF(TODAY()-X525&lt;=60,"31-60 days",IF(TODAY()-X525&lt;=90,"61-90 days","Over 90 days")))))))</f>
        <v/>
      </c>
      <c r="AM525" s="49">
        <f>IF(OR(AL525="",AL525="No due date"),"",MAX(TODAY()-X525,0))</f>
        <v/>
      </c>
      <c r="AN525" s="49">
        <f>IF(AL525="","",IF(COUNT(X525)=0,-100000,TODAY()-X525))</f>
        <v/>
      </c>
      <c r="AO525" s="49">
        <f>IF(AN525="","",COUNTIF(AN$11:AN$1010,"&gt;"&amp;AN525)+COUNTIF(AN$11:AN525,AN525))</f>
        <v/>
      </c>
      <c r="AP525" s="49">
        <f>IF(OR(A525="",B525=""),"",IF(COUNTIF(B$11:B525,B525)=1,MAX(AP$10:AP524)+1,""))</f>
        <v/>
      </c>
    </row>
    <row r="526">
      <c r="A526" s="20" t="n"/>
      <c r="B526" s="10" t="n"/>
      <c r="C526" s="10" t="n"/>
      <c r="D526" s="10" t="n"/>
      <c r="E526" s="10" t="n"/>
      <c r="F526" s="18" t="n"/>
      <c r="G526" s="10" t="n"/>
      <c r="H526" s="12" t="n"/>
      <c r="I526" s="12" t="n"/>
      <c r="J526" s="13">
        <f>IF(OR(A526="",COUNT(H526)=0,COUNT(Z526)=0),"",ROUND(Z526-H526,2))</f>
        <v/>
      </c>
      <c r="K526" s="15">
        <f>IF(COUNT(J526)=0,"",IF(Z526=0,"n.a.",J526/Z526))</f>
        <v/>
      </c>
      <c r="L526" s="14">
        <f>IF(OR(A526="",COUNT(H526)=0,COUNT(Y526)=0),"",ROUND(H526*(1+Y526),2))</f>
        <v/>
      </c>
      <c r="M526" s="10" t="n"/>
      <c r="N526" s="10" t="n"/>
      <c r="O526" s="10" t="n"/>
      <c r="P526" s="10" t="n"/>
      <c r="Q526" s="20" t="n"/>
      <c r="R526" s="10" t="n"/>
      <c r="S526" s="10" t="n"/>
      <c r="T526" s="18" t="n"/>
      <c r="U526" s="18" t="n"/>
      <c r="V526" s="10" t="n"/>
      <c r="W526" s="10" t="n"/>
      <c r="X526" s="19">
        <f>IF(OR(A526="",COUNT(U526)=0,COUNT(AI526)=0),"",U526+AI526)</f>
        <v/>
      </c>
      <c r="Y526" s="16" t="n"/>
      <c r="Z526" s="12" t="n"/>
      <c r="AA526" s="17">
        <f>IF(COUNT(J526)=0,"",IF(H526=0,"n.a.",J526/H526))</f>
        <v/>
      </c>
      <c r="AB526" s="12" t="n"/>
      <c r="AC526" s="12" t="n"/>
      <c r="AD526" s="12" t="n"/>
      <c r="AE526" s="13">
        <f>IF(OR(COUNT(J526)=0,COUNT(AB526:AD526)&lt;3),"",ROUND(J526-SUM(AB526:AD526),2))</f>
        <v/>
      </c>
      <c r="AF526" s="15">
        <f>IF(COUNT(AE526)=0,"",IF(Z526=0,"n.a.",AE526/Z526))</f>
        <v/>
      </c>
      <c r="AG526" s="12" t="n"/>
      <c r="AH526" s="14">
        <f>IF(OR(A526="",COUNT(Z526)=0,COUNT(AG526)=0),"",ROUND(Z526-AG526,2))</f>
        <v/>
      </c>
      <c r="AI526" s="21" t="n"/>
      <c r="AJ526" s="11">
        <f>IF(A526="","",IF(COUNT(I526)=0,"Enter approved NTE",IF(COUNT(Z526)&gt;0,IF(Z526&gt;I526,"Invoice exceeds NTE","Invoice within NTE"),IF(COUNT(L526)=0,"Enter quote inputs",IF(L526&gt;I526,"Quote exceeds NTE","Quote within NTE")))))</f>
        <v/>
      </c>
      <c r="AK526" s="11">
        <f>IF(A526="","",IF(COUNT(H526)=0,"Enter direct cost",IF(COUNT(Z526)=0,"Enter invoice revenue",IF(COUNT(AB526:AD526)&lt;3,"Enter expenses (0 if none)","Complete"))))</f>
        <v/>
      </c>
      <c r="AL526" s="11">
        <f>IF(A526="","",IF(NOT(AND(COUNT(AH526)=1,N(AH526)&gt;0.004,V526&lt;&gt;"Void",V526&lt;&gt;"Not invoiced",V526&lt;&gt;"Draft")),"",IF(COUNT(X526)=0,"No due date",IF(TODAY()-X526&lt;=0,"Not yet due",IF(TODAY()-X526&lt;=30,"1-30 days",IF(TODAY()-X526&lt;=60,"31-60 days",IF(TODAY()-X526&lt;=90,"61-90 days","Over 90 days")))))))</f>
        <v/>
      </c>
      <c r="AM526" s="49">
        <f>IF(OR(AL526="",AL526="No due date"),"",MAX(TODAY()-X526,0))</f>
        <v/>
      </c>
      <c r="AN526" s="49">
        <f>IF(AL526="","",IF(COUNT(X526)=0,-100000,TODAY()-X526))</f>
        <v/>
      </c>
      <c r="AO526" s="49">
        <f>IF(AN526="","",COUNTIF(AN$11:AN$1010,"&gt;"&amp;AN526)+COUNTIF(AN$11:AN526,AN526))</f>
        <v/>
      </c>
      <c r="AP526" s="49">
        <f>IF(OR(A526="",B526=""),"",IF(COUNTIF(B$11:B526,B526)=1,MAX(AP$10:AP525)+1,""))</f>
        <v/>
      </c>
    </row>
    <row r="527">
      <c r="A527" s="20" t="n"/>
      <c r="B527" s="10" t="n"/>
      <c r="C527" s="10" t="n"/>
      <c r="D527" s="10" t="n"/>
      <c r="E527" s="10" t="n"/>
      <c r="F527" s="18" t="n"/>
      <c r="G527" s="10" t="n"/>
      <c r="H527" s="12" t="n"/>
      <c r="I527" s="12" t="n"/>
      <c r="J527" s="13">
        <f>IF(OR(A527="",COUNT(H527)=0,COUNT(Z527)=0),"",ROUND(Z527-H527,2))</f>
        <v/>
      </c>
      <c r="K527" s="15">
        <f>IF(COUNT(J527)=0,"",IF(Z527=0,"n.a.",J527/Z527))</f>
        <v/>
      </c>
      <c r="L527" s="14">
        <f>IF(OR(A527="",COUNT(H527)=0,COUNT(Y527)=0),"",ROUND(H527*(1+Y527),2))</f>
        <v/>
      </c>
      <c r="M527" s="10" t="n"/>
      <c r="N527" s="10" t="n"/>
      <c r="O527" s="10" t="n"/>
      <c r="P527" s="10" t="n"/>
      <c r="Q527" s="20" t="n"/>
      <c r="R527" s="10" t="n"/>
      <c r="S527" s="10" t="n"/>
      <c r="T527" s="18" t="n"/>
      <c r="U527" s="18" t="n"/>
      <c r="V527" s="10" t="n"/>
      <c r="W527" s="10" t="n"/>
      <c r="X527" s="19">
        <f>IF(OR(A527="",COUNT(U527)=0,COUNT(AI527)=0),"",U527+AI527)</f>
        <v/>
      </c>
      <c r="Y527" s="16" t="n"/>
      <c r="Z527" s="12" t="n"/>
      <c r="AA527" s="17">
        <f>IF(COUNT(J527)=0,"",IF(H527=0,"n.a.",J527/H527))</f>
        <v/>
      </c>
      <c r="AB527" s="12" t="n"/>
      <c r="AC527" s="12" t="n"/>
      <c r="AD527" s="12" t="n"/>
      <c r="AE527" s="13">
        <f>IF(OR(COUNT(J527)=0,COUNT(AB527:AD527)&lt;3),"",ROUND(J527-SUM(AB527:AD527),2))</f>
        <v/>
      </c>
      <c r="AF527" s="15">
        <f>IF(COUNT(AE527)=0,"",IF(Z527=0,"n.a.",AE527/Z527))</f>
        <v/>
      </c>
      <c r="AG527" s="12" t="n"/>
      <c r="AH527" s="14">
        <f>IF(OR(A527="",COUNT(Z527)=0,COUNT(AG527)=0),"",ROUND(Z527-AG527,2))</f>
        <v/>
      </c>
      <c r="AI527" s="21" t="n"/>
      <c r="AJ527" s="11">
        <f>IF(A527="","",IF(COUNT(I527)=0,"Enter approved NTE",IF(COUNT(Z527)&gt;0,IF(Z527&gt;I527,"Invoice exceeds NTE","Invoice within NTE"),IF(COUNT(L527)=0,"Enter quote inputs",IF(L527&gt;I527,"Quote exceeds NTE","Quote within NTE")))))</f>
        <v/>
      </c>
      <c r="AK527" s="11">
        <f>IF(A527="","",IF(COUNT(H527)=0,"Enter direct cost",IF(COUNT(Z527)=0,"Enter invoice revenue",IF(COUNT(AB527:AD527)&lt;3,"Enter expenses (0 if none)","Complete"))))</f>
        <v/>
      </c>
      <c r="AL527" s="11">
        <f>IF(A527="","",IF(NOT(AND(COUNT(AH527)=1,N(AH527)&gt;0.004,V527&lt;&gt;"Void",V527&lt;&gt;"Not invoiced",V527&lt;&gt;"Draft")),"",IF(COUNT(X527)=0,"No due date",IF(TODAY()-X527&lt;=0,"Not yet due",IF(TODAY()-X527&lt;=30,"1-30 days",IF(TODAY()-X527&lt;=60,"31-60 days",IF(TODAY()-X527&lt;=90,"61-90 days","Over 90 days")))))))</f>
        <v/>
      </c>
      <c r="AM527" s="49">
        <f>IF(OR(AL527="",AL527="No due date"),"",MAX(TODAY()-X527,0))</f>
        <v/>
      </c>
      <c r="AN527" s="49">
        <f>IF(AL527="","",IF(COUNT(X527)=0,-100000,TODAY()-X527))</f>
        <v/>
      </c>
      <c r="AO527" s="49">
        <f>IF(AN527="","",COUNTIF(AN$11:AN$1010,"&gt;"&amp;AN527)+COUNTIF(AN$11:AN527,AN527))</f>
        <v/>
      </c>
      <c r="AP527" s="49">
        <f>IF(OR(A527="",B527=""),"",IF(COUNTIF(B$11:B527,B527)=1,MAX(AP$10:AP526)+1,""))</f>
        <v/>
      </c>
    </row>
    <row r="528">
      <c r="A528" s="20" t="n"/>
      <c r="B528" s="10" t="n"/>
      <c r="C528" s="10" t="n"/>
      <c r="D528" s="10" t="n"/>
      <c r="E528" s="10" t="n"/>
      <c r="F528" s="18" t="n"/>
      <c r="G528" s="10" t="n"/>
      <c r="H528" s="12" t="n"/>
      <c r="I528" s="12" t="n"/>
      <c r="J528" s="13">
        <f>IF(OR(A528="",COUNT(H528)=0,COUNT(Z528)=0),"",ROUND(Z528-H528,2))</f>
        <v/>
      </c>
      <c r="K528" s="15">
        <f>IF(COUNT(J528)=0,"",IF(Z528=0,"n.a.",J528/Z528))</f>
        <v/>
      </c>
      <c r="L528" s="14">
        <f>IF(OR(A528="",COUNT(H528)=0,COUNT(Y528)=0),"",ROUND(H528*(1+Y528),2))</f>
        <v/>
      </c>
      <c r="M528" s="10" t="n"/>
      <c r="N528" s="10" t="n"/>
      <c r="O528" s="10" t="n"/>
      <c r="P528" s="10" t="n"/>
      <c r="Q528" s="20" t="n"/>
      <c r="R528" s="10" t="n"/>
      <c r="S528" s="10" t="n"/>
      <c r="T528" s="18" t="n"/>
      <c r="U528" s="18" t="n"/>
      <c r="V528" s="10" t="n"/>
      <c r="W528" s="10" t="n"/>
      <c r="X528" s="19">
        <f>IF(OR(A528="",COUNT(U528)=0,COUNT(AI528)=0),"",U528+AI528)</f>
        <v/>
      </c>
      <c r="Y528" s="16" t="n"/>
      <c r="Z528" s="12" t="n"/>
      <c r="AA528" s="17">
        <f>IF(COUNT(J528)=0,"",IF(H528=0,"n.a.",J528/H528))</f>
        <v/>
      </c>
      <c r="AB528" s="12" t="n"/>
      <c r="AC528" s="12" t="n"/>
      <c r="AD528" s="12" t="n"/>
      <c r="AE528" s="13">
        <f>IF(OR(COUNT(J528)=0,COUNT(AB528:AD528)&lt;3),"",ROUND(J528-SUM(AB528:AD528),2))</f>
        <v/>
      </c>
      <c r="AF528" s="15">
        <f>IF(COUNT(AE528)=0,"",IF(Z528=0,"n.a.",AE528/Z528))</f>
        <v/>
      </c>
      <c r="AG528" s="12" t="n"/>
      <c r="AH528" s="14">
        <f>IF(OR(A528="",COUNT(Z528)=0,COUNT(AG528)=0),"",ROUND(Z528-AG528,2))</f>
        <v/>
      </c>
      <c r="AI528" s="21" t="n"/>
      <c r="AJ528" s="11">
        <f>IF(A528="","",IF(COUNT(I528)=0,"Enter approved NTE",IF(COUNT(Z528)&gt;0,IF(Z528&gt;I528,"Invoice exceeds NTE","Invoice within NTE"),IF(COUNT(L528)=0,"Enter quote inputs",IF(L528&gt;I528,"Quote exceeds NTE","Quote within NTE")))))</f>
        <v/>
      </c>
      <c r="AK528" s="11">
        <f>IF(A528="","",IF(COUNT(H528)=0,"Enter direct cost",IF(COUNT(Z528)=0,"Enter invoice revenue",IF(COUNT(AB528:AD528)&lt;3,"Enter expenses (0 if none)","Complete"))))</f>
        <v/>
      </c>
      <c r="AL528" s="11">
        <f>IF(A528="","",IF(NOT(AND(COUNT(AH528)=1,N(AH528)&gt;0.004,V528&lt;&gt;"Void",V528&lt;&gt;"Not invoiced",V528&lt;&gt;"Draft")),"",IF(COUNT(X528)=0,"No due date",IF(TODAY()-X528&lt;=0,"Not yet due",IF(TODAY()-X528&lt;=30,"1-30 days",IF(TODAY()-X528&lt;=60,"31-60 days",IF(TODAY()-X528&lt;=90,"61-90 days","Over 90 days")))))))</f>
        <v/>
      </c>
      <c r="AM528" s="49">
        <f>IF(OR(AL528="",AL528="No due date"),"",MAX(TODAY()-X528,0))</f>
        <v/>
      </c>
      <c r="AN528" s="49">
        <f>IF(AL528="","",IF(COUNT(X528)=0,-100000,TODAY()-X528))</f>
        <v/>
      </c>
      <c r="AO528" s="49">
        <f>IF(AN528="","",COUNTIF(AN$11:AN$1010,"&gt;"&amp;AN528)+COUNTIF(AN$11:AN528,AN528))</f>
        <v/>
      </c>
      <c r="AP528" s="49">
        <f>IF(OR(A528="",B528=""),"",IF(COUNTIF(B$11:B528,B528)=1,MAX(AP$10:AP527)+1,""))</f>
        <v/>
      </c>
    </row>
    <row r="529">
      <c r="A529" s="20" t="n"/>
      <c r="B529" s="10" t="n"/>
      <c r="C529" s="10" t="n"/>
      <c r="D529" s="10" t="n"/>
      <c r="E529" s="10" t="n"/>
      <c r="F529" s="18" t="n"/>
      <c r="G529" s="10" t="n"/>
      <c r="H529" s="12" t="n"/>
      <c r="I529" s="12" t="n"/>
      <c r="J529" s="13">
        <f>IF(OR(A529="",COUNT(H529)=0,COUNT(Z529)=0),"",ROUND(Z529-H529,2))</f>
        <v/>
      </c>
      <c r="K529" s="15">
        <f>IF(COUNT(J529)=0,"",IF(Z529=0,"n.a.",J529/Z529))</f>
        <v/>
      </c>
      <c r="L529" s="14">
        <f>IF(OR(A529="",COUNT(H529)=0,COUNT(Y529)=0),"",ROUND(H529*(1+Y529),2))</f>
        <v/>
      </c>
      <c r="M529" s="10" t="n"/>
      <c r="N529" s="10" t="n"/>
      <c r="O529" s="10" t="n"/>
      <c r="P529" s="10" t="n"/>
      <c r="Q529" s="20" t="n"/>
      <c r="R529" s="10" t="n"/>
      <c r="S529" s="10" t="n"/>
      <c r="T529" s="18" t="n"/>
      <c r="U529" s="18" t="n"/>
      <c r="V529" s="10" t="n"/>
      <c r="W529" s="10" t="n"/>
      <c r="X529" s="19">
        <f>IF(OR(A529="",COUNT(U529)=0,COUNT(AI529)=0),"",U529+AI529)</f>
        <v/>
      </c>
      <c r="Y529" s="16" t="n"/>
      <c r="Z529" s="12" t="n"/>
      <c r="AA529" s="17">
        <f>IF(COUNT(J529)=0,"",IF(H529=0,"n.a.",J529/H529))</f>
        <v/>
      </c>
      <c r="AB529" s="12" t="n"/>
      <c r="AC529" s="12" t="n"/>
      <c r="AD529" s="12" t="n"/>
      <c r="AE529" s="13">
        <f>IF(OR(COUNT(J529)=0,COUNT(AB529:AD529)&lt;3),"",ROUND(J529-SUM(AB529:AD529),2))</f>
        <v/>
      </c>
      <c r="AF529" s="15">
        <f>IF(COUNT(AE529)=0,"",IF(Z529=0,"n.a.",AE529/Z529))</f>
        <v/>
      </c>
      <c r="AG529" s="12" t="n"/>
      <c r="AH529" s="14">
        <f>IF(OR(A529="",COUNT(Z529)=0,COUNT(AG529)=0),"",ROUND(Z529-AG529,2))</f>
        <v/>
      </c>
      <c r="AI529" s="21" t="n"/>
      <c r="AJ529" s="11">
        <f>IF(A529="","",IF(COUNT(I529)=0,"Enter approved NTE",IF(COUNT(Z529)&gt;0,IF(Z529&gt;I529,"Invoice exceeds NTE","Invoice within NTE"),IF(COUNT(L529)=0,"Enter quote inputs",IF(L529&gt;I529,"Quote exceeds NTE","Quote within NTE")))))</f>
        <v/>
      </c>
      <c r="AK529" s="11">
        <f>IF(A529="","",IF(COUNT(H529)=0,"Enter direct cost",IF(COUNT(Z529)=0,"Enter invoice revenue",IF(COUNT(AB529:AD529)&lt;3,"Enter expenses (0 if none)","Complete"))))</f>
        <v/>
      </c>
      <c r="AL529" s="11">
        <f>IF(A529="","",IF(NOT(AND(COUNT(AH529)=1,N(AH529)&gt;0.004,V529&lt;&gt;"Void",V529&lt;&gt;"Not invoiced",V529&lt;&gt;"Draft")),"",IF(COUNT(X529)=0,"No due date",IF(TODAY()-X529&lt;=0,"Not yet due",IF(TODAY()-X529&lt;=30,"1-30 days",IF(TODAY()-X529&lt;=60,"31-60 days",IF(TODAY()-X529&lt;=90,"61-90 days","Over 90 days")))))))</f>
        <v/>
      </c>
      <c r="AM529" s="49">
        <f>IF(OR(AL529="",AL529="No due date"),"",MAX(TODAY()-X529,0))</f>
        <v/>
      </c>
      <c r="AN529" s="49">
        <f>IF(AL529="","",IF(COUNT(X529)=0,-100000,TODAY()-X529))</f>
        <v/>
      </c>
      <c r="AO529" s="49">
        <f>IF(AN529="","",COUNTIF(AN$11:AN$1010,"&gt;"&amp;AN529)+COUNTIF(AN$11:AN529,AN529))</f>
        <v/>
      </c>
      <c r="AP529" s="49">
        <f>IF(OR(A529="",B529=""),"",IF(COUNTIF(B$11:B529,B529)=1,MAX(AP$10:AP528)+1,""))</f>
        <v/>
      </c>
    </row>
    <row r="530">
      <c r="A530" s="20" t="n"/>
      <c r="B530" s="10" t="n"/>
      <c r="C530" s="10" t="n"/>
      <c r="D530" s="10" t="n"/>
      <c r="E530" s="10" t="n"/>
      <c r="F530" s="18" t="n"/>
      <c r="G530" s="10" t="n"/>
      <c r="H530" s="12" t="n"/>
      <c r="I530" s="12" t="n"/>
      <c r="J530" s="13">
        <f>IF(OR(A530="",COUNT(H530)=0,COUNT(Z530)=0),"",ROUND(Z530-H530,2))</f>
        <v/>
      </c>
      <c r="K530" s="15">
        <f>IF(COUNT(J530)=0,"",IF(Z530=0,"n.a.",J530/Z530))</f>
        <v/>
      </c>
      <c r="L530" s="14">
        <f>IF(OR(A530="",COUNT(H530)=0,COUNT(Y530)=0),"",ROUND(H530*(1+Y530),2))</f>
        <v/>
      </c>
      <c r="M530" s="10" t="n"/>
      <c r="N530" s="10" t="n"/>
      <c r="O530" s="10" t="n"/>
      <c r="P530" s="10" t="n"/>
      <c r="Q530" s="20" t="n"/>
      <c r="R530" s="10" t="n"/>
      <c r="S530" s="10" t="n"/>
      <c r="T530" s="18" t="n"/>
      <c r="U530" s="18" t="n"/>
      <c r="V530" s="10" t="n"/>
      <c r="W530" s="10" t="n"/>
      <c r="X530" s="19">
        <f>IF(OR(A530="",COUNT(U530)=0,COUNT(AI530)=0),"",U530+AI530)</f>
        <v/>
      </c>
      <c r="Y530" s="16" t="n"/>
      <c r="Z530" s="12" t="n"/>
      <c r="AA530" s="17">
        <f>IF(COUNT(J530)=0,"",IF(H530=0,"n.a.",J530/H530))</f>
        <v/>
      </c>
      <c r="AB530" s="12" t="n"/>
      <c r="AC530" s="12" t="n"/>
      <c r="AD530" s="12" t="n"/>
      <c r="AE530" s="13">
        <f>IF(OR(COUNT(J530)=0,COUNT(AB530:AD530)&lt;3),"",ROUND(J530-SUM(AB530:AD530),2))</f>
        <v/>
      </c>
      <c r="AF530" s="15">
        <f>IF(COUNT(AE530)=0,"",IF(Z530=0,"n.a.",AE530/Z530))</f>
        <v/>
      </c>
      <c r="AG530" s="12" t="n"/>
      <c r="AH530" s="14">
        <f>IF(OR(A530="",COUNT(Z530)=0,COUNT(AG530)=0),"",ROUND(Z530-AG530,2))</f>
        <v/>
      </c>
      <c r="AI530" s="21" t="n"/>
      <c r="AJ530" s="11">
        <f>IF(A530="","",IF(COUNT(I530)=0,"Enter approved NTE",IF(COUNT(Z530)&gt;0,IF(Z530&gt;I530,"Invoice exceeds NTE","Invoice within NTE"),IF(COUNT(L530)=0,"Enter quote inputs",IF(L530&gt;I530,"Quote exceeds NTE","Quote within NTE")))))</f>
        <v/>
      </c>
      <c r="AK530" s="11">
        <f>IF(A530="","",IF(COUNT(H530)=0,"Enter direct cost",IF(COUNT(Z530)=0,"Enter invoice revenue",IF(COUNT(AB530:AD530)&lt;3,"Enter expenses (0 if none)","Complete"))))</f>
        <v/>
      </c>
      <c r="AL530" s="11">
        <f>IF(A530="","",IF(NOT(AND(COUNT(AH530)=1,N(AH530)&gt;0.004,V530&lt;&gt;"Void",V530&lt;&gt;"Not invoiced",V530&lt;&gt;"Draft")),"",IF(COUNT(X530)=0,"No due date",IF(TODAY()-X530&lt;=0,"Not yet due",IF(TODAY()-X530&lt;=30,"1-30 days",IF(TODAY()-X530&lt;=60,"31-60 days",IF(TODAY()-X530&lt;=90,"61-90 days","Over 90 days")))))))</f>
        <v/>
      </c>
      <c r="AM530" s="49">
        <f>IF(OR(AL530="",AL530="No due date"),"",MAX(TODAY()-X530,0))</f>
        <v/>
      </c>
      <c r="AN530" s="49">
        <f>IF(AL530="","",IF(COUNT(X530)=0,-100000,TODAY()-X530))</f>
        <v/>
      </c>
      <c r="AO530" s="49">
        <f>IF(AN530="","",COUNTIF(AN$11:AN$1010,"&gt;"&amp;AN530)+COUNTIF(AN$11:AN530,AN530))</f>
        <v/>
      </c>
      <c r="AP530" s="49">
        <f>IF(OR(A530="",B530=""),"",IF(COUNTIF(B$11:B530,B530)=1,MAX(AP$10:AP529)+1,""))</f>
        <v/>
      </c>
    </row>
    <row r="531">
      <c r="A531" s="20" t="n"/>
      <c r="B531" s="10" t="n"/>
      <c r="C531" s="10" t="n"/>
      <c r="D531" s="10" t="n"/>
      <c r="E531" s="10" t="n"/>
      <c r="F531" s="18" t="n"/>
      <c r="G531" s="10" t="n"/>
      <c r="H531" s="12" t="n"/>
      <c r="I531" s="12" t="n"/>
      <c r="J531" s="13">
        <f>IF(OR(A531="",COUNT(H531)=0,COUNT(Z531)=0),"",ROUND(Z531-H531,2))</f>
        <v/>
      </c>
      <c r="K531" s="15">
        <f>IF(COUNT(J531)=0,"",IF(Z531=0,"n.a.",J531/Z531))</f>
        <v/>
      </c>
      <c r="L531" s="14">
        <f>IF(OR(A531="",COUNT(H531)=0,COUNT(Y531)=0),"",ROUND(H531*(1+Y531),2))</f>
        <v/>
      </c>
      <c r="M531" s="10" t="n"/>
      <c r="N531" s="10" t="n"/>
      <c r="O531" s="10" t="n"/>
      <c r="P531" s="10" t="n"/>
      <c r="Q531" s="20" t="n"/>
      <c r="R531" s="10" t="n"/>
      <c r="S531" s="10" t="n"/>
      <c r="T531" s="18" t="n"/>
      <c r="U531" s="18" t="n"/>
      <c r="V531" s="10" t="n"/>
      <c r="W531" s="10" t="n"/>
      <c r="X531" s="19">
        <f>IF(OR(A531="",COUNT(U531)=0,COUNT(AI531)=0),"",U531+AI531)</f>
        <v/>
      </c>
      <c r="Y531" s="16" t="n"/>
      <c r="Z531" s="12" t="n"/>
      <c r="AA531" s="17">
        <f>IF(COUNT(J531)=0,"",IF(H531=0,"n.a.",J531/H531))</f>
        <v/>
      </c>
      <c r="AB531" s="12" t="n"/>
      <c r="AC531" s="12" t="n"/>
      <c r="AD531" s="12" t="n"/>
      <c r="AE531" s="13">
        <f>IF(OR(COUNT(J531)=0,COUNT(AB531:AD531)&lt;3),"",ROUND(J531-SUM(AB531:AD531),2))</f>
        <v/>
      </c>
      <c r="AF531" s="15">
        <f>IF(COUNT(AE531)=0,"",IF(Z531=0,"n.a.",AE531/Z531))</f>
        <v/>
      </c>
      <c r="AG531" s="12" t="n"/>
      <c r="AH531" s="14">
        <f>IF(OR(A531="",COUNT(Z531)=0,COUNT(AG531)=0),"",ROUND(Z531-AG531,2))</f>
        <v/>
      </c>
      <c r="AI531" s="21" t="n"/>
      <c r="AJ531" s="11">
        <f>IF(A531="","",IF(COUNT(I531)=0,"Enter approved NTE",IF(COUNT(Z531)&gt;0,IF(Z531&gt;I531,"Invoice exceeds NTE","Invoice within NTE"),IF(COUNT(L531)=0,"Enter quote inputs",IF(L531&gt;I531,"Quote exceeds NTE","Quote within NTE")))))</f>
        <v/>
      </c>
      <c r="AK531" s="11">
        <f>IF(A531="","",IF(COUNT(H531)=0,"Enter direct cost",IF(COUNT(Z531)=0,"Enter invoice revenue",IF(COUNT(AB531:AD531)&lt;3,"Enter expenses (0 if none)","Complete"))))</f>
        <v/>
      </c>
      <c r="AL531" s="11">
        <f>IF(A531="","",IF(NOT(AND(COUNT(AH531)=1,N(AH531)&gt;0.004,V531&lt;&gt;"Void",V531&lt;&gt;"Not invoiced",V531&lt;&gt;"Draft")),"",IF(COUNT(X531)=0,"No due date",IF(TODAY()-X531&lt;=0,"Not yet due",IF(TODAY()-X531&lt;=30,"1-30 days",IF(TODAY()-X531&lt;=60,"31-60 days",IF(TODAY()-X531&lt;=90,"61-90 days","Over 90 days")))))))</f>
        <v/>
      </c>
      <c r="AM531" s="49">
        <f>IF(OR(AL531="",AL531="No due date"),"",MAX(TODAY()-X531,0))</f>
        <v/>
      </c>
      <c r="AN531" s="49">
        <f>IF(AL531="","",IF(COUNT(X531)=0,-100000,TODAY()-X531))</f>
        <v/>
      </c>
      <c r="AO531" s="49">
        <f>IF(AN531="","",COUNTIF(AN$11:AN$1010,"&gt;"&amp;AN531)+COUNTIF(AN$11:AN531,AN531))</f>
        <v/>
      </c>
      <c r="AP531" s="49">
        <f>IF(OR(A531="",B531=""),"",IF(COUNTIF(B$11:B531,B531)=1,MAX(AP$10:AP530)+1,""))</f>
        <v/>
      </c>
    </row>
    <row r="532">
      <c r="A532" s="20" t="n"/>
      <c r="B532" s="10" t="n"/>
      <c r="C532" s="10" t="n"/>
      <c r="D532" s="10" t="n"/>
      <c r="E532" s="10" t="n"/>
      <c r="F532" s="18" t="n"/>
      <c r="G532" s="10" t="n"/>
      <c r="H532" s="12" t="n"/>
      <c r="I532" s="12" t="n"/>
      <c r="J532" s="13">
        <f>IF(OR(A532="",COUNT(H532)=0,COUNT(Z532)=0),"",ROUND(Z532-H532,2))</f>
        <v/>
      </c>
      <c r="K532" s="15">
        <f>IF(COUNT(J532)=0,"",IF(Z532=0,"n.a.",J532/Z532))</f>
        <v/>
      </c>
      <c r="L532" s="14">
        <f>IF(OR(A532="",COUNT(H532)=0,COUNT(Y532)=0),"",ROUND(H532*(1+Y532),2))</f>
        <v/>
      </c>
      <c r="M532" s="10" t="n"/>
      <c r="N532" s="10" t="n"/>
      <c r="O532" s="10" t="n"/>
      <c r="P532" s="10" t="n"/>
      <c r="Q532" s="20" t="n"/>
      <c r="R532" s="10" t="n"/>
      <c r="S532" s="10" t="n"/>
      <c r="T532" s="18" t="n"/>
      <c r="U532" s="18" t="n"/>
      <c r="V532" s="10" t="n"/>
      <c r="W532" s="10" t="n"/>
      <c r="X532" s="19">
        <f>IF(OR(A532="",COUNT(U532)=0,COUNT(AI532)=0),"",U532+AI532)</f>
        <v/>
      </c>
      <c r="Y532" s="16" t="n"/>
      <c r="Z532" s="12" t="n"/>
      <c r="AA532" s="17">
        <f>IF(COUNT(J532)=0,"",IF(H532=0,"n.a.",J532/H532))</f>
        <v/>
      </c>
      <c r="AB532" s="12" t="n"/>
      <c r="AC532" s="12" t="n"/>
      <c r="AD532" s="12" t="n"/>
      <c r="AE532" s="13">
        <f>IF(OR(COUNT(J532)=0,COUNT(AB532:AD532)&lt;3),"",ROUND(J532-SUM(AB532:AD532),2))</f>
        <v/>
      </c>
      <c r="AF532" s="15">
        <f>IF(COUNT(AE532)=0,"",IF(Z532=0,"n.a.",AE532/Z532))</f>
        <v/>
      </c>
      <c r="AG532" s="12" t="n"/>
      <c r="AH532" s="14">
        <f>IF(OR(A532="",COUNT(Z532)=0,COUNT(AG532)=0),"",ROUND(Z532-AG532,2))</f>
        <v/>
      </c>
      <c r="AI532" s="21" t="n"/>
      <c r="AJ532" s="11">
        <f>IF(A532="","",IF(COUNT(I532)=0,"Enter approved NTE",IF(COUNT(Z532)&gt;0,IF(Z532&gt;I532,"Invoice exceeds NTE","Invoice within NTE"),IF(COUNT(L532)=0,"Enter quote inputs",IF(L532&gt;I532,"Quote exceeds NTE","Quote within NTE")))))</f>
        <v/>
      </c>
      <c r="AK532" s="11">
        <f>IF(A532="","",IF(COUNT(H532)=0,"Enter direct cost",IF(COUNT(Z532)=0,"Enter invoice revenue",IF(COUNT(AB532:AD532)&lt;3,"Enter expenses (0 if none)","Complete"))))</f>
        <v/>
      </c>
      <c r="AL532" s="11">
        <f>IF(A532="","",IF(NOT(AND(COUNT(AH532)=1,N(AH532)&gt;0.004,V532&lt;&gt;"Void",V532&lt;&gt;"Not invoiced",V532&lt;&gt;"Draft")),"",IF(COUNT(X532)=0,"No due date",IF(TODAY()-X532&lt;=0,"Not yet due",IF(TODAY()-X532&lt;=30,"1-30 days",IF(TODAY()-X532&lt;=60,"31-60 days",IF(TODAY()-X532&lt;=90,"61-90 days","Over 90 days")))))))</f>
        <v/>
      </c>
      <c r="AM532" s="49">
        <f>IF(OR(AL532="",AL532="No due date"),"",MAX(TODAY()-X532,0))</f>
        <v/>
      </c>
      <c r="AN532" s="49">
        <f>IF(AL532="","",IF(COUNT(X532)=0,-100000,TODAY()-X532))</f>
        <v/>
      </c>
      <c r="AO532" s="49">
        <f>IF(AN532="","",COUNTIF(AN$11:AN$1010,"&gt;"&amp;AN532)+COUNTIF(AN$11:AN532,AN532))</f>
        <v/>
      </c>
      <c r="AP532" s="49">
        <f>IF(OR(A532="",B532=""),"",IF(COUNTIF(B$11:B532,B532)=1,MAX(AP$10:AP531)+1,""))</f>
        <v/>
      </c>
    </row>
    <row r="533">
      <c r="A533" s="20" t="n"/>
      <c r="B533" s="10" t="n"/>
      <c r="C533" s="10" t="n"/>
      <c r="D533" s="10" t="n"/>
      <c r="E533" s="10" t="n"/>
      <c r="F533" s="18" t="n"/>
      <c r="G533" s="10" t="n"/>
      <c r="H533" s="12" t="n"/>
      <c r="I533" s="12" t="n"/>
      <c r="J533" s="13">
        <f>IF(OR(A533="",COUNT(H533)=0,COUNT(Z533)=0),"",ROUND(Z533-H533,2))</f>
        <v/>
      </c>
      <c r="K533" s="15">
        <f>IF(COUNT(J533)=0,"",IF(Z533=0,"n.a.",J533/Z533))</f>
        <v/>
      </c>
      <c r="L533" s="14">
        <f>IF(OR(A533="",COUNT(H533)=0,COUNT(Y533)=0),"",ROUND(H533*(1+Y533),2))</f>
        <v/>
      </c>
      <c r="M533" s="10" t="n"/>
      <c r="N533" s="10" t="n"/>
      <c r="O533" s="10" t="n"/>
      <c r="P533" s="10" t="n"/>
      <c r="Q533" s="20" t="n"/>
      <c r="R533" s="10" t="n"/>
      <c r="S533" s="10" t="n"/>
      <c r="T533" s="18" t="n"/>
      <c r="U533" s="18" t="n"/>
      <c r="V533" s="10" t="n"/>
      <c r="W533" s="10" t="n"/>
      <c r="X533" s="19">
        <f>IF(OR(A533="",COUNT(U533)=0,COUNT(AI533)=0),"",U533+AI533)</f>
        <v/>
      </c>
      <c r="Y533" s="16" t="n"/>
      <c r="Z533" s="12" t="n"/>
      <c r="AA533" s="17">
        <f>IF(COUNT(J533)=0,"",IF(H533=0,"n.a.",J533/H533))</f>
        <v/>
      </c>
      <c r="AB533" s="12" t="n"/>
      <c r="AC533" s="12" t="n"/>
      <c r="AD533" s="12" t="n"/>
      <c r="AE533" s="13">
        <f>IF(OR(COUNT(J533)=0,COUNT(AB533:AD533)&lt;3),"",ROUND(J533-SUM(AB533:AD533),2))</f>
        <v/>
      </c>
      <c r="AF533" s="15">
        <f>IF(COUNT(AE533)=0,"",IF(Z533=0,"n.a.",AE533/Z533))</f>
        <v/>
      </c>
      <c r="AG533" s="12" t="n"/>
      <c r="AH533" s="14">
        <f>IF(OR(A533="",COUNT(Z533)=0,COUNT(AG533)=0),"",ROUND(Z533-AG533,2))</f>
        <v/>
      </c>
      <c r="AI533" s="21" t="n"/>
      <c r="AJ533" s="11">
        <f>IF(A533="","",IF(COUNT(I533)=0,"Enter approved NTE",IF(COUNT(Z533)&gt;0,IF(Z533&gt;I533,"Invoice exceeds NTE","Invoice within NTE"),IF(COUNT(L533)=0,"Enter quote inputs",IF(L533&gt;I533,"Quote exceeds NTE","Quote within NTE")))))</f>
        <v/>
      </c>
      <c r="AK533" s="11">
        <f>IF(A533="","",IF(COUNT(H533)=0,"Enter direct cost",IF(COUNT(Z533)=0,"Enter invoice revenue",IF(COUNT(AB533:AD533)&lt;3,"Enter expenses (0 if none)","Complete"))))</f>
        <v/>
      </c>
      <c r="AL533" s="11">
        <f>IF(A533="","",IF(NOT(AND(COUNT(AH533)=1,N(AH533)&gt;0.004,V533&lt;&gt;"Void",V533&lt;&gt;"Not invoiced",V533&lt;&gt;"Draft")),"",IF(COUNT(X533)=0,"No due date",IF(TODAY()-X533&lt;=0,"Not yet due",IF(TODAY()-X533&lt;=30,"1-30 days",IF(TODAY()-X533&lt;=60,"31-60 days",IF(TODAY()-X533&lt;=90,"61-90 days","Over 90 days")))))))</f>
        <v/>
      </c>
      <c r="AM533" s="49">
        <f>IF(OR(AL533="",AL533="No due date"),"",MAX(TODAY()-X533,0))</f>
        <v/>
      </c>
      <c r="AN533" s="49">
        <f>IF(AL533="","",IF(COUNT(X533)=0,-100000,TODAY()-X533))</f>
        <v/>
      </c>
      <c r="AO533" s="49">
        <f>IF(AN533="","",COUNTIF(AN$11:AN$1010,"&gt;"&amp;AN533)+COUNTIF(AN$11:AN533,AN533))</f>
        <v/>
      </c>
      <c r="AP533" s="49">
        <f>IF(OR(A533="",B533=""),"",IF(COUNTIF(B$11:B533,B533)=1,MAX(AP$10:AP532)+1,""))</f>
        <v/>
      </c>
    </row>
    <row r="534">
      <c r="A534" s="20" t="n"/>
      <c r="B534" s="10" t="n"/>
      <c r="C534" s="10" t="n"/>
      <c r="D534" s="10" t="n"/>
      <c r="E534" s="10" t="n"/>
      <c r="F534" s="18" t="n"/>
      <c r="G534" s="10" t="n"/>
      <c r="H534" s="12" t="n"/>
      <c r="I534" s="12" t="n"/>
      <c r="J534" s="13">
        <f>IF(OR(A534="",COUNT(H534)=0,COUNT(Z534)=0),"",ROUND(Z534-H534,2))</f>
        <v/>
      </c>
      <c r="K534" s="15">
        <f>IF(COUNT(J534)=0,"",IF(Z534=0,"n.a.",J534/Z534))</f>
        <v/>
      </c>
      <c r="L534" s="14">
        <f>IF(OR(A534="",COUNT(H534)=0,COUNT(Y534)=0),"",ROUND(H534*(1+Y534),2))</f>
        <v/>
      </c>
      <c r="M534" s="10" t="n"/>
      <c r="N534" s="10" t="n"/>
      <c r="O534" s="10" t="n"/>
      <c r="P534" s="10" t="n"/>
      <c r="Q534" s="20" t="n"/>
      <c r="R534" s="10" t="n"/>
      <c r="S534" s="10" t="n"/>
      <c r="T534" s="18" t="n"/>
      <c r="U534" s="18" t="n"/>
      <c r="V534" s="10" t="n"/>
      <c r="W534" s="10" t="n"/>
      <c r="X534" s="19">
        <f>IF(OR(A534="",COUNT(U534)=0,COUNT(AI534)=0),"",U534+AI534)</f>
        <v/>
      </c>
      <c r="Y534" s="16" t="n"/>
      <c r="Z534" s="12" t="n"/>
      <c r="AA534" s="17">
        <f>IF(COUNT(J534)=0,"",IF(H534=0,"n.a.",J534/H534))</f>
        <v/>
      </c>
      <c r="AB534" s="12" t="n"/>
      <c r="AC534" s="12" t="n"/>
      <c r="AD534" s="12" t="n"/>
      <c r="AE534" s="13">
        <f>IF(OR(COUNT(J534)=0,COUNT(AB534:AD534)&lt;3),"",ROUND(J534-SUM(AB534:AD534),2))</f>
        <v/>
      </c>
      <c r="AF534" s="15">
        <f>IF(COUNT(AE534)=0,"",IF(Z534=0,"n.a.",AE534/Z534))</f>
        <v/>
      </c>
      <c r="AG534" s="12" t="n"/>
      <c r="AH534" s="14">
        <f>IF(OR(A534="",COUNT(Z534)=0,COUNT(AG534)=0),"",ROUND(Z534-AG534,2))</f>
        <v/>
      </c>
      <c r="AI534" s="21" t="n"/>
      <c r="AJ534" s="11">
        <f>IF(A534="","",IF(COUNT(I534)=0,"Enter approved NTE",IF(COUNT(Z534)&gt;0,IF(Z534&gt;I534,"Invoice exceeds NTE","Invoice within NTE"),IF(COUNT(L534)=0,"Enter quote inputs",IF(L534&gt;I534,"Quote exceeds NTE","Quote within NTE")))))</f>
        <v/>
      </c>
      <c r="AK534" s="11">
        <f>IF(A534="","",IF(COUNT(H534)=0,"Enter direct cost",IF(COUNT(Z534)=0,"Enter invoice revenue",IF(COUNT(AB534:AD534)&lt;3,"Enter expenses (0 if none)","Complete"))))</f>
        <v/>
      </c>
      <c r="AL534" s="11">
        <f>IF(A534="","",IF(NOT(AND(COUNT(AH534)=1,N(AH534)&gt;0.004,V534&lt;&gt;"Void",V534&lt;&gt;"Not invoiced",V534&lt;&gt;"Draft")),"",IF(COUNT(X534)=0,"No due date",IF(TODAY()-X534&lt;=0,"Not yet due",IF(TODAY()-X534&lt;=30,"1-30 days",IF(TODAY()-X534&lt;=60,"31-60 days",IF(TODAY()-X534&lt;=90,"61-90 days","Over 90 days")))))))</f>
        <v/>
      </c>
      <c r="AM534" s="49">
        <f>IF(OR(AL534="",AL534="No due date"),"",MAX(TODAY()-X534,0))</f>
        <v/>
      </c>
      <c r="AN534" s="49">
        <f>IF(AL534="","",IF(COUNT(X534)=0,-100000,TODAY()-X534))</f>
        <v/>
      </c>
      <c r="AO534" s="49">
        <f>IF(AN534="","",COUNTIF(AN$11:AN$1010,"&gt;"&amp;AN534)+COUNTIF(AN$11:AN534,AN534))</f>
        <v/>
      </c>
      <c r="AP534" s="49">
        <f>IF(OR(A534="",B534=""),"",IF(COUNTIF(B$11:B534,B534)=1,MAX(AP$10:AP533)+1,""))</f>
        <v/>
      </c>
    </row>
    <row r="535">
      <c r="A535" s="20" t="n"/>
      <c r="B535" s="10" t="n"/>
      <c r="C535" s="10" t="n"/>
      <c r="D535" s="10" t="n"/>
      <c r="E535" s="10" t="n"/>
      <c r="F535" s="18" t="n"/>
      <c r="G535" s="10" t="n"/>
      <c r="H535" s="12" t="n"/>
      <c r="I535" s="12" t="n"/>
      <c r="J535" s="13">
        <f>IF(OR(A535="",COUNT(H535)=0,COUNT(Z535)=0),"",ROUND(Z535-H535,2))</f>
        <v/>
      </c>
      <c r="K535" s="15">
        <f>IF(COUNT(J535)=0,"",IF(Z535=0,"n.a.",J535/Z535))</f>
        <v/>
      </c>
      <c r="L535" s="14">
        <f>IF(OR(A535="",COUNT(H535)=0,COUNT(Y535)=0),"",ROUND(H535*(1+Y535),2))</f>
        <v/>
      </c>
      <c r="M535" s="10" t="n"/>
      <c r="N535" s="10" t="n"/>
      <c r="O535" s="10" t="n"/>
      <c r="P535" s="10" t="n"/>
      <c r="Q535" s="20" t="n"/>
      <c r="R535" s="10" t="n"/>
      <c r="S535" s="10" t="n"/>
      <c r="T535" s="18" t="n"/>
      <c r="U535" s="18" t="n"/>
      <c r="V535" s="10" t="n"/>
      <c r="W535" s="10" t="n"/>
      <c r="X535" s="19">
        <f>IF(OR(A535="",COUNT(U535)=0,COUNT(AI535)=0),"",U535+AI535)</f>
        <v/>
      </c>
      <c r="Y535" s="16" t="n"/>
      <c r="Z535" s="12" t="n"/>
      <c r="AA535" s="17">
        <f>IF(COUNT(J535)=0,"",IF(H535=0,"n.a.",J535/H535))</f>
        <v/>
      </c>
      <c r="AB535" s="12" t="n"/>
      <c r="AC535" s="12" t="n"/>
      <c r="AD535" s="12" t="n"/>
      <c r="AE535" s="13">
        <f>IF(OR(COUNT(J535)=0,COUNT(AB535:AD535)&lt;3),"",ROUND(J535-SUM(AB535:AD535),2))</f>
        <v/>
      </c>
      <c r="AF535" s="15">
        <f>IF(COUNT(AE535)=0,"",IF(Z535=0,"n.a.",AE535/Z535))</f>
        <v/>
      </c>
      <c r="AG535" s="12" t="n"/>
      <c r="AH535" s="14">
        <f>IF(OR(A535="",COUNT(Z535)=0,COUNT(AG535)=0),"",ROUND(Z535-AG535,2))</f>
        <v/>
      </c>
      <c r="AI535" s="21" t="n"/>
      <c r="AJ535" s="11">
        <f>IF(A535="","",IF(COUNT(I535)=0,"Enter approved NTE",IF(COUNT(Z535)&gt;0,IF(Z535&gt;I535,"Invoice exceeds NTE","Invoice within NTE"),IF(COUNT(L535)=0,"Enter quote inputs",IF(L535&gt;I535,"Quote exceeds NTE","Quote within NTE")))))</f>
        <v/>
      </c>
      <c r="AK535" s="11">
        <f>IF(A535="","",IF(COUNT(H535)=0,"Enter direct cost",IF(COUNT(Z535)=0,"Enter invoice revenue",IF(COUNT(AB535:AD535)&lt;3,"Enter expenses (0 if none)","Complete"))))</f>
        <v/>
      </c>
      <c r="AL535" s="11">
        <f>IF(A535="","",IF(NOT(AND(COUNT(AH535)=1,N(AH535)&gt;0.004,V535&lt;&gt;"Void",V535&lt;&gt;"Not invoiced",V535&lt;&gt;"Draft")),"",IF(COUNT(X535)=0,"No due date",IF(TODAY()-X535&lt;=0,"Not yet due",IF(TODAY()-X535&lt;=30,"1-30 days",IF(TODAY()-X535&lt;=60,"31-60 days",IF(TODAY()-X535&lt;=90,"61-90 days","Over 90 days")))))))</f>
        <v/>
      </c>
      <c r="AM535" s="49">
        <f>IF(OR(AL535="",AL535="No due date"),"",MAX(TODAY()-X535,0))</f>
        <v/>
      </c>
      <c r="AN535" s="49">
        <f>IF(AL535="","",IF(COUNT(X535)=0,-100000,TODAY()-X535))</f>
        <v/>
      </c>
      <c r="AO535" s="49">
        <f>IF(AN535="","",COUNTIF(AN$11:AN$1010,"&gt;"&amp;AN535)+COUNTIF(AN$11:AN535,AN535))</f>
        <v/>
      </c>
      <c r="AP535" s="49">
        <f>IF(OR(A535="",B535=""),"",IF(COUNTIF(B$11:B535,B535)=1,MAX(AP$10:AP534)+1,""))</f>
        <v/>
      </c>
    </row>
    <row r="536">
      <c r="A536" s="20" t="n"/>
      <c r="B536" s="10" t="n"/>
      <c r="C536" s="10" t="n"/>
      <c r="D536" s="10" t="n"/>
      <c r="E536" s="10" t="n"/>
      <c r="F536" s="18" t="n"/>
      <c r="G536" s="10" t="n"/>
      <c r="H536" s="12" t="n"/>
      <c r="I536" s="12" t="n"/>
      <c r="J536" s="13">
        <f>IF(OR(A536="",COUNT(H536)=0,COUNT(Z536)=0),"",ROUND(Z536-H536,2))</f>
        <v/>
      </c>
      <c r="K536" s="15">
        <f>IF(COUNT(J536)=0,"",IF(Z536=0,"n.a.",J536/Z536))</f>
        <v/>
      </c>
      <c r="L536" s="14">
        <f>IF(OR(A536="",COUNT(H536)=0,COUNT(Y536)=0),"",ROUND(H536*(1+Y536),2))</f>
        <v/>
      </c>
      <c r="M536" s="10" t="n"/>
      <c r="N536" s="10" t="n"/>
      <c r="O536" s="10" t="n"/>
      <c r="P536" s="10" t="n"/>
      <c r="Q536" s="20" t="n"/>
      <c r="R536" s="10" t="n"/>
      <c r="S536" s="10" t="n"/>
      <c r="T536" s="18" t="n"/>
      <c r="U536" s="18" t="n"/>
      <c r="V536" s="10" t="n"/>
      <c r="W536" s="10" t="n"/>
      <c r="X536" s="19">
        <f>IF(OR(A536="",COUNT(U536)=0,COUNT(AI536)=0),"",U536+AI536)</f>
        <v/>
      </c>
      <c r="Y536" s="16" t="n"/>
      <c r="Z536" s="12" t="n"/>
      <c r="AA536" s="17">
        <f>IF(COUNT(J536)=0,"",IF(H536=0,"n.a.",J536/H536))</f>
        <v/>
      </c>
      <c r="AB536" s="12" t="n"/>
      <c r="AC536" s="12" t="n"/>
      <c r="AD536" s="12" t="n"/>
      <c r="AE536" s="13">
        <f>IF(OR(COUNT(J536)=0,COUNT(AB536:AD536)&lt;3),"",ROUND(J536-SUM(AB536:AD536),2))</f>
        <v/>
      </c>
      <c r="AF536" s="15">
        <f>IF(COUNT(AE536)=0,"",IF(Z536=0,"n.a.",AE536/Z536))</f>
        <v/>
      </c>
      <c r="AG536" s="12" t="n"/>
      <c r="AH536" s="14">
        <f>IF(OR(A536="",COUNT(Z536)=0,COUNT(AG536)=0),"",ROUND(Z536-AG536,2))</f>
        <v/>
      </c>
      <c r="AI536" s="21" t="n"/>
      <c r="AJ536" s="11">
        <f>IF(A536="","",IF(COUNT(I536)=0,"Enter approved NTE",IF(COUNT(Z536)&gt;0,IF(Z536&gt;I536,"Invoice exceeds NTE","Invoice within NTE"),IF(COUNT(L536)=0,"Enter quote inputs",IF(L536&gt;I536,"Quote exceeds NTE","Quote within NTE")))))</f>
        <v/>
      </c>
      <c r="AK536" s="11">
        <f>IF(A536="","",IF(COUNT(H536)=0,"Enter direct cost",IF(COUNT(Z536)=0,"Enter invoice revenue",IF(COUNT(AB536:AD536)&lt;3,"Enter expenses (0 if none)","Complete"))))</f>
        <v/>
      </c>
      <c r="AL536" s="11">
        <f>IF(A536="","",IF(NOT(AND(COUNT(AH536)=1,N(AH536)&gt;0.004,V536&lt;&gt;"Void",V536&lt;&gt;"Not invoiced",V536&lt;&gt;"Draft")),"",IF(COUNT(X536)=0,"No due date",IF(TODAY()-X536&lt;=0,"Not yet due",IF(TODAY()-X536&lt;=30,"1-30 days",IF(TODAY()-X536&lt;=60,"31-60 days",IF(TODAY()-X536&lt;=90,"61-90 days","Over 90 days")))))))</f>
        <v/>
      </c>
      <c r="AM536" s="49">
        <f>IF(OR(AL536="",AL536="No due date"),"",MAX(TODAY()-X536,0))</f>
        <v/>
      </c>
      <c r="AN536" s="49">
        <f>IF(AL536="","",IF(COUNT(X536)=0,-100000,TODAY()-X536))</f>
        <v/>
      </c>
      <c r="AO536" s="49">
        <f>IF(AN536="","",COUNTIF(AN$11:AN$1010,"&gt;"&amp;AN536)+COUNTIF(AN$11:AN536,AN536))</f>
        <v/>
      </c>
      <c r="AP536" s="49">
        <f>IF(OR(A536="",B536=""),"",IF(COUNTIF(B$11:B536,B536)=1,MAX(AP$10:AP535)+1,""))</f>
        <v/>
      </c>
    </row>
    <row r="537">
      <c r="A537" s="20" t="n"/>
      <c r="B537" s="10" t="n"/>
      <c r="C537" s="10" t="n"/>
      <c r="D537" s="10" t="n"/>
      <c r="E537" s="10" t="n"/>
      <c r="F537" s="18" t="n"/>
      <c r="G537" s="10" t="n"/>
      <c r="H537" s="12" t="n"/>
      <c r="I537" s="12" t="n"/>
      <c r="J537" s="13">
        <f>IF(OR(A537="",COUNT(H537)=0,COUNT(Z537)=0),"",ROUND(Z537-H537,2))</f>
        <v/>
      </c>
      <c r="K537" s="15">
        <f>IF(COUNT(J537)=0,"",IF(Z537=0,"n.a.",J537/Z537))</f>
        <v/>
      </c>
      <c r="L537" s="14">
        <f>IF(OR(A537="",COUNT(H537)=0,COUNT(Y537)=0),"",ROUND(H537*(1+Y537),2))</f>
        <v/>
      </c>
      <c r="M537" s="10" t="n"/>
      <c r="N537" s="10" t="n"/>
      <c r="O537" s="10" t="n"/>
      <c r="P537" s="10" t="n"/>
      <c r="Q537" s="20" t="n"/>
      <c r="R537" s="10" t="n"/>
      <c r="S537" s="10" t="n"/>
      <c r="T537" s="18" t="n"/>
      <c r="U537" s="18" t="n"/>
      <c r="V537" s="10" t="n"/>
      <c r="W537" s="10" t="n"/>
      <c r="X537" s="19">
        <f>IF(OR(A537="",COUNT(U537)=0,COUNT(AI537)=0),"",U537+AI537)</f>
        <v/>
      </c>
      <c r="Y537" s="16" t="n"/>
      <c r="Z537" s="12" t="n"/>
      <c r="AA537" s="17">
        <f>IF(COUNT(J537)=0,"",IF(H537=0,"n.a.",J537/H537))</f>
        <v/>
      </c>
      <c r="AB537" s="12" t="n"/>
      <c r="AC537" s="12" t="n"/>
      <c r="AD537" s="12" t="n"/>
      <c r="AE537" s="13">
        <f>IF(OR(COUNT(J537)=0,COUNT(AB537:AD537)&lt;3),"",ROUND(J537-SUM(AB537:AD537),2))</f>
        <v/>
      </c>
      <c r="AF537" s="15">
        <f>IF(COUNT(AE537)=0,"",IF(Z537=0,"n.a.",AE537/Z537))</f>
        <v/>
      </c>
      <c r="AG537" s="12" t="n"/>
      <c r="AH537" s="14">
        <f>IF(OR(A537="",COUNT(Z537)=0,COUNT(AG537)=0),"",ROUND(Z537-AG537,2))</f>
        <v/>
      </c>
      <c r="AI537" s="21" t="n"/>
      <c r="AJ537" s="11">
        <f>IF(A537="","",IF(COUNT(I537)=0,"Enter approved NTE",IF(COUNT(Z537)&gt;0,IF(Z537&gt;I537,"Invoice exceeds NTE","Invoice within NTE"),IF(COUNT(L537)=0,"Enter quote inputs",IF(L537&gt;I537,"Quote exceeds NTE","Quote within NTE")))))</f>
        <v/>
      </c>
      <c r="AK537" s="11">
        <f>IF(A537="","",IF(COUNT(H537)=0,"Enter direct cost",IF(COUNT(Z537)=0,"Enter invoice revenue",IF(COUNT(AB537:AD537)&lt;3,"Enter expenses (0 if none)","Complete"))))</f>
        <v/>
      </c>
      <c r="AL537" s="11">
        <f>IF(A537="","",IF(NOT(AND(COUNT(AH537)=1,N(AH537)&gt;0.004,V537&lt;&gt;"Void",V537&lt;&gt;"Not invoiced",V537&lt;&gt;"Draft")),"",IF(COUNT(X537)=0,"No due date",IF(TODAY()-X537&lt;=0,"Not yet due",IF(TODAY()-X537&lt;=30,"1-30 days",IF(TODAY()-X537&lt;=60,"31-60 days",IF(TODAY()-X537&lt;=90,"61-90 days","Over 90 days")))))))</f>
        <v/>
      </c>
      <c r="AM537" s="49">
        <f>IF(OR(AL537="",AL537="No due date"),"",MAX(TODAY()-X537,0))</f>
        <v/>
      </c>
      <c r="AN537" s="49">
        <f>IF(AL537="","",IF(COUNT(X537)=0,-100000,TODAY()-X537))</f>
        <v/>
      </c>
      <c r="AO537" s="49">
        <f>IF(AN537="","",COUNTIF(AN$11:AN$1010,"&gt;"&amp;AN537)+COUNTIF(AN$11:AN537,AN537))</f>
        <v/>
      </c>
      <c r="AP537" s="49">
        <f>IF(OR(A537="",B537=""),"",IF(COUNTIF(B$11:B537,B537)=1,MAX(AP$10:AP536)+1,""))</f>
        <v/>
      </c>
    </row>
    <row r="538">
      <c r="A538" s="20" t="n"/>
      <c r="B538" s="10" t="n"/>
      <c r="C538" s="10" t="n"/>
      <c r="D538" s="10" t="n"/>
      <c r="E538" s="10" t="n"/>
      <c r="F538" s="18" t="n"/>
      <c r="G538" s="10" t="n"/>
      <c r="H538" s="12" t="n"/>
      <c r="I538" s="12" t="n"/>
      <c r="J538" s="13">
        <f>IF(OR(A538="",COUNT(H538)=0,COUNT(Z538)=0),"",ROUND(Z538-H538,2))</f>
        <v/>
      </c>
      <c r="K538" s="15">
        <f>IF(COUNT(J538)=0,"",IF(Z538=0,"n.a.",J538/Z538))</f>
        <v/>
      </c>
      <c r="L538" s="14">
        <f>IF(OR(A538="",COUNT(H538)=0,COUNT(Y538)=0),"",ROUND(H538*(1+Y538),2))</f>
        <v/>
      </c>
      <c r="M538" s="10" t="n"/>
      <c r="N538" s="10" t="n"/>
      <c r="O538" s="10" t="n"/>
      <c r="P538" s="10" t="n"/>
      <c r="Q538" s="20" t="n"/>
      <c r="R538" s="10" t="n"/>
      <c r="S538" s="10" t="n"/>
      <c r="T538" s="18" t="n"/>
      <c r="U538" s="18" t="n"/>
      <c r="V538" s="10" t="n"/>
      <c r="W538" s="10" t="n"/>
      <c r="X538" s="19">
        <f>IF(OR(A538="",COUNT(U538)=0,COUNT(AI538)=0),"",U538+AI538)</f>
        <v/>
      </c>
      <c r="Y538" s="16" t="n"/>
      <c r="Z538" s="12" t="n"/>
      <c r="AA538" s="17">
        <f>IF(COUNT(J538)=0,"",IF(H538=0,"n.a.",J538/H538))</f>
        <v/>
      </c>
      <c r="AB538" s="12" t="n"/>
      <c r="AC538" s="12" t="n"/>
      <c r="AD538" s="12" t="n"/>
      <c r="AE538" s="13">
        <f>IF(OR(COUNT(J538)=0,COUNT(AB538:AD538)&lt;3),"",ROUND(J538-SUM(AB538:AD538),2))</f>
        <v/>
      </c>
      <c r="AF538" s="15">
        <f>IF(COUNT(AE538)=0,"",IF(Z538=0,"n.a.",AE538/Z538))</f>
        <v/>
      </c>
      <c r="AG538" s="12" t="n"/>
      <c r="AH538" s="14">
        <f>IF(OR(A538="",COUNT(Z538)=0,COUNT(AG538)=0),"",ROUND(Z538-AG538,2))</f>
        <v/>
      </c>
      <c r="AI538" s="21" t="n"/>
      <c r="AJ538" s="11">
        <f>IF(A538="","",IF(COUNT(I538)=0,"Enter approved NTE",IF(COUNT(Z538)&gt;0,IF(Z538&gt;I538,"Invoice exceeds NTE","Invoice within NTE"),IF(COUNT(L538)=0,"Enter quote inputs",IF(L538&gt;I538,"Quote exceeds NTE","Quote within NTE")))))</f>
        <v/>
      </c>
      <c r="AK538" s="11">
        <f>IF(A538="","",IF(COUNT(H538)=0,"Enter direct cost",IF(COUNT(Z538)=0,"Enter invoice revenue",IF(COUNT(AB538:AD538)&lt;3,"Enter expenses (0 if none)","Complete"))))</f>
        <v/>
      </c>
      <c r="AL538" s="11">
        <f>IF(A538="","",IF(NOT(AND(COUNT(AH538)=1,N(AH538)&gt;0.004,V538&lt;&gt;"Void",V538&lt;&gt;"Not invoiced",V538&lt;&gt;"Draft")),"",IF(COUNT(X538)=0,"No due date",IF(TODAY()-X538&lt;=0,"Not yet due",IF(TODAY()-X538&lt;=30,"1-30 days",IF(TODAY()-X538&lt;=60,"31-60 days",IF(TODAY()-X538&lt;=90,"61-90 days","Over 90 days")))))))</f>
        <v/>
      </c>
      <c r="AM538" s="49">
        <f>IF(OR(AL538="",AL538="No due date"),"",MAX(TODAY()-X538,0))</f>
        <v/>
      </c>
      <c r="AN538" s="49">
        <f>IF(AL538="","",IF(COUNT(X538)=0,-100000,TODAY()-X538))</f>
        <v/>
      </c>
      <c r="AO538" s="49">
        <f>IF(AN538="","",COUNTIF(AN$11:AN$1010,"&gt;"&amp;AN538)+COUNTIF(AN$11:AN538,AN538))</f>
        <v/>
      </c>
      <c r="AP538" s="49">
        <f>IF(OR(A538="",B538=""),"",IF(COUNTIF(B$11:B538,B538)=1,MAX(AP$10:AP537)+1,""))</f>
        <v/>
      </c>
    </row>
    <row r="539">
      <c r="A539" s="20" t="n"/>
      <c r="B539" s="10" t="n"/>
      <c r="C539" s="10" t="n"/>
      <c r="D539" s="10" t="n"/>
      <c r="E539" s="10" t="n"/>
      <c r="F539" s="18" t="n"/>
      <c r="G539" s="10" t="n"/>
      <c r="H539" s="12" t="n"/>
      <c r="I539" s="12" t="n"/>
      <c r="J539" s="13">
        <f>IF(OR(A539="",COUNT(H539)=0,COUNT(Z539)=0),"",ROUND(Z539-H539,2))</f>
        <v/>
      </c>
      <c r="K539" s="15">
        <f>IF(COUNT(J539)=0,"",IF(Z539=0,"n.a.",J539/Z539))</f>
        <v/>
      </c>
      <c r="L539" s="14">
        <f>IF(OR(A539="",COUNT(H539)=0,COUNT(Y539)=0),"",ROUND(H539*(1+Y539),2))</f>
        <v/>
      </c>
      <c r="M539" s="10" t="n"/>
      <c r="N539" s="10" t="n"/>
      <c r="O539" s="10" t="n"/>
      <c r="P539" s="10" t="n"/>
      <c r="Q539" s="20" t="n"/>
      <c r="R539" s="10" t="n"/>
      <c r="S539" s="10" t="n"/>
      <c r="T539" s="18" t="n"/>
      <c r="U539" s="18" t="n"/>
      <c r="V539" s="10" t="n"/>
      <c r="W539" s="10" t="n"/>
      <c r="X539" s="19">
        <f>IF(OR(A539="",COUNT(U539)=0,COUNT(AI539)=0),"",U539+AI539)</f>
        <v/>
      </c>
      <c r="Y539" s="16" t="n"/>
      <c r="Z539" s="12" t="n"/>
      <c r="AA539" s="17">
        <f>IF(COUNT(J539)=0,"",IF(H539=0,"n.a.",J539/H539))</f>
        <v/>
      </c>
      <c r="AB539" s="12" t="n"/>
      <c r="AC539" s="12" t="n"/>
      <c r="AD539" s="12" t="n"/>
      <c r="AE539" s="13">
        <f>IF(OR(COUNT(J539)=0,COUNT(AB539:AD539)&lt;3),"",ROUND(J539-SUM(AB539:AD539),2))</f>
        <v/>
      </c>
      <c r="AF539" s="15">
        <f>IF(COUNT(AE539)=0,"",IF(Z539=0,"n.a.",AE539/Z539))</f>
        <v/>
      </c>
      <c r="AG539" s="12" t="n"/>
      <c r="AH539" s="14">
        <f>IF(OR(A539="",COUNT(Z539)=0,COUNT(AG539)=0),"",ROUND(Z539-AG539,2))</f>
        <v/>
      </c>
      <c r="AI539" s="21" t="n"/>
      <c r="AJ539" s="11">
        <f>IF(A539="","",IF(COUNT(I539)=0,"Enter approved NTE",IF(COUNT(Z539)&gt;0,IF(Z539&gt;I539,"Invoice exceeds NTE","Invoice within NTE"),IF(COUNT(L539)=0,"Enter quote inputs",IF(L539&gt;I539,"Quote exceeds NTE","Quote within NTE")))))</f>
        <v/>
      </c>
      <c r="AK539" s="11">
        <f>IF(A539="","",IF(COUNT(H539)=0,"Enter direct cost",IF(COUNT(Z539)=0,"Enter invoice revenue",IF(COUNT(AB539:AD539)&lt;3,"Enter expenses (0 if none)","Complete"))))</f>
        <v/>
      </c>
      <c r="AL539" s="11">
        <f>IF(A539="","",IF(NOT(AND(COUNT(AH539)=1,N(AH539)&gt;0.004,V539&lt;&gt;"Void",V539&lt;&gt;"Not invoiced",V539&lt;&gt;"Draft")),"",IF(COUNT(X539)=0,"No due date",IF(TODAY()-X539&lt;=0,"Not yet due",IF(TODAY()-X539&lt;=30,"1-30 days",IF(TODAY()-X539&lt;=60,"31-60 days",IF(TODAY()-X539&lt;=90,"61-90 days","Over 90 days")))))))</f>
        <v/>
      </c>
      <c r="AM539" s="49">
        <f>IF(OR(AL539="",AL539="No due date"),"",MAX(TODAY()-X539,0))</f>
        <v/>
      </c>
      <c r="AN539" s="49">
        <f>IF(AL539="","",IF(COUNT(X539)=0,-100000,TODAY()-X539))</f>
        <v/>
      </c>
      <c r="AO539" s="49">
        <f>IF(AN539="","",COUNTIF(AN$11:AN$1010,"&gt;"&amp;AN539)+COUNTIF(AN$11:AN539,AN539))</f>
        <v/>
      </c>
      <c r="AP539" s="49">
        <f>IF(OR(A539="",B539=""),"",IF(COUNTIF(B$11:B539,B539)=1,MAX(AP$10:AP538)+1,""))</f>
        <v/>
      </c>
    </row>
    <row r="540">
      <c r="A540" s="20" t="n"/>
      <c r="B540" s="10" t="n"/>
      <c r="C540" s="10" t="n"/>
      <c r="D540" s="10" t="n"/>
      <c r="E540" s="10" t="n"/>
      <c r="F540" s="18" t="n"/>
      <c r="G540" s="10" t="n"/>
      <c r="H540" s="12" t="n"/>
      <c r="I540" s="12" t="n"/>
      <c r="J540" s="13">
        <f>IF(OR(A540="",COUNT(H540)=0,COUNT(Z540)=0),"",ROUND(Z540-H540,2))</f>
        <v/>
      </c>
      <c r="K540" s="15">
        <f>IF(COUNT(J540)=0,"",IF(Z540=0,"n.a.",J540/Z540))</f>
        <v/>
      </c>
      <c r="L540" s="14">
        <f>IF(OR(A540="",COUNT(H540)=0,COUNT(Y540)=0),"",ROUND(H540*(1+Y540),2))</f>
        <v/>
      </c>
      <c r="M540" s="10" t="n"/>
      <c r="N540" s="10" t="n"/>
      <c r="O540" s="10" t="n"/>
      <c r="P540" s="10" t="n"/>
      <c r="Q540" s="20" t="n"/>
      <c r="R540" s="10" t="n"/>
      <c r="S540" s="10" t="n"/>
      <c r="T540" s="18" t="n"/>
      <c r="U540" s="18" t="n"/>
      <c r="V540" s="10" t="n"/>
      <c r="W540" s="10" t="n"/>
      <c r="X540" s="19">
        <f>IF(OR(A540="",COUNT(U540)=0,COUNT(AI540)=0),"",U540+AI540)</f>
        <v/>
      </c>
      <c r="Y540" s="16" t="n"/>
      <c r="Z540" s="12" t="n"/>
      <c r="AA540" s="17">
        <f>IF(COUNT(J540)=0,"",IF(H540=0,"n.a.",J540/H540))</f>
        <v/>
      </c>
      <c r="AB540" s="12" t="n"/>
      <c r="AC540" s="12" t="n"/>
      <c r="AD540" s="12" t="n"/>
      <c r="AE540" s="13">
        <f>IF(OR(COUNT(J540)=0,COUNT(AB540:AD540)&lt;3),"",ROUND(J540-SUM(AB540:AD540),2))</f>
        <v/>
      </c>
      <c r="AF540" s="15">
        <f>IF(COUNT(AE540)=0,"",IF(Z540=0,"n.a.",AE540/Z540))</f>
        <v/>
      </c>
      <c r="AG540" s="12" t="n"/>
      <c r="AH540" s="14">
        <f>IF(OR(A540="",COUNT(Z540)=0,COUNT(AG540)=0),"",ROUND(Z540-AG540,2))</f>
        <v/>
      </c>
      <c r="AI540" s="21" t="n"/>
      <c r="AJ540" s="11">
        <f>IF(A540="","",IF(COUNT(I540)=0,"Enter approved NTE",IF(COUNT(Z540)&gt;0,IF(Z540&gt;I540,"Invoice exceeds NTE","Invoice within NTE"),IF(COUNT(L540)=0,"Enter quote inputs",IF(L540&gt;I540,"Quote exceeds NTE","Quote within NTE")))))</f>
        <v/>
      </c>
      <c r="AK540" s="11">
        <f>IF(A540="","",IF(COUNT(H540)=0,"Enter direct cost",IF(COUNT(Z540)=0,"Enter invoice revenue",IF(COUNT(AB540:AD540)&lt;3,"Enter expenses (0 if none)","Complete"))))</f>
        <v/>
      </c>
      <c r="AL540" s="11">
        <f>IF(A540="","",IF(NOT(AND(COUNT(AH540)=1,N(AH540)&gt;0.004,V540&lt;&gt;"Void",V540&lt;&gt;"Not invoiced",V540&lt;&gt;"Draft")),"",IF(COUNT(X540)=0,"No due date",IF(TODAY()-X540&lt;=0,"Not yet due",IF(TODAY()-X540&lt;=30,"1-30 days",IF(TODAY()-X540&lt;=60,"31-60 days",IF(TODAY()-X540&lt;=90,"61-90 days","Over 90 days")))))))</f>
        <v/>
      </c>
      <c r="AM540" s="49">
        <f>IF(OR(AL540="",AL540="No due date"),"",MAX(TODAY()-X540,0))</f>
        <v/>
      </c>
      <c r="AN540" s="49">
        <f>IF(AL540="","",IF(COUNT(X540)=0,-100000,TODAY()-X540))</f>
        <v/>
      </c>
      <c r="AO540" s="49">
        <f>IF(AN540="","",COUNTIF(AN$11:AN$1010,"&gt;"&amp;AN540)+COUNTIF(AN$11:AN540,AN540))</f>
        <v/>
      </c>
      <c r="AP540" s="49">
        <f>IF(OR(A540="",B540=""),"",IF(COUNTIF(B$11:B540,B540)=1,MAX(AP$10:AP539)+1,""))</f>
        <v/>
      </c>
    </row>
    <row r="541">
      <c r="A541" s="20" t="n"/>
      <c r="B541" s="10" t="n"/>
      <c r="C541" s="10" t="n"/>
      <c r="D541" s="10" t="n"/>
      <c r="E541" s="10" t="n"/>
      <c r="F541" s="18" t="n"/>
      <c r="G541" s="10" t="n"/>
      <c r="H541" s="12" t="n"/>
      <c r="I541" s="12" t="n"/>
      <c r="J541" s="13">
        <f>IF(OR(A541="",COUNT(H541)=0,COUNT(Z541)=0),"",ROUND(Z541-H541,2))</f>
        <v/>
      </c>
      <c r="K541" s="15">
        <f>IF(COUNT(J541)=0,"",IF(Z541=0,"n.a.",J541/Z541))</f>
        <v/>
      </c>
      <c r="L541" s="14">
        <f>IF(OR(A541="",COUNT(H541)=0,COUNT(Y541)=0),"",ROUND(H541*(1+Y541),2))</f>
        <v/>
      </c>
      <c r="M541" s="10" t="n"/>
      <c r="N541" s="10" t="n"/>
      <c r="O541" s="10" t="n"/>
      <c r="P541" s="10" t="n"/>
      <c r="Q541" s="20" t="n"/>
      <c r="R541" s="10" t="n"/>
      <c r="S541" s="10" t="n"/>
      <c r="T541" s="18" t="n"/>
      <c r="U541" s="18" t="n"/>
      <c r="V541" s="10" t="n"/>
      <c r="W541" s="10" t="n"/>
      <c r="X541" s="19">
        <f>IF(OR(A541="",COUNT(U541)=0,COUNT(AI541)=0),"",U541+AI541)</f>
        <v/>
      </c>
      <c r="Y541" s="16" t="n"/>
      <c r="Z541" s="12" t="n"/>
      <c r="AA541" s="17">
        <f>IF(COUNT(J541)=0,"",IF(H541=0,"n.a.",J541/H541))</f>
        <v/>
      </c>
      <c r="AB541" s="12" t="n"/>
      <c r="AC541" s="12" t="n"/>
      <c r="AD541" s="12" t="n"/>
      <c r="AE541" s="13">
        <f>IF(OR(COUNT(J541)=0,COUNT(AB541:AD541)&lt;3),"",ROUND(J541-SUM(AB541:AD541),2))</f>
        <v/>
      </c>
      <c r="AF541" s="15">
        <f>IF(COUNT(AE541)=0,"",IF(Z541=0,"n.a.",AE541/Z541))</f>
        <v/>
      </c>
      <c r="AG541" s="12" t="n"/>
      <c r="AH541" s="14">
        <f>IF(OR(A541="",COUNT(Z541)=0,COUNT(AG541)=0),"",ROUND(Z541-AG541,2))</f>
        <v/>
      </c>
      <c r="AI541" s="21" t="n"/>
      <c r="AJ541" s="11">
        <f>IF(A541="","",IF(COUNT(I541)=0,"Enter approved NTE",IF(COUNT(Z541)&gt;0,IF(Z541&gt;I541,"Invoice exceeds NTE","Invoice within NTE"),IF(COUNT(L541)=0,"Enter quote inputs",IF(L541&gt;I541,"Quote exceeds NTE","Quote within NTE")))))</f>
        <v/>
      </c>
      <c r="AK541" s="11">
        <f>IF(A541="","",IF(COUNT(H541)=0,"Enter direct cost",IF(COUNT(Z541)=0,"Enter invoice revenue",IF(COUNT(AB541:AD541)&lt;3,"Enter expenses (0 if none)","Complete"))))</f>
        <v/>
      </c>
      <c r="AL541" s="11">
        <f>IF(A541="","",IF(NOT(AND(COUNT(AH541)=1,N(AH541)&gt;0.004,V541&lt;&gt;"Void",V541&lt;&gt;"Not invoiced",V541&lt;&gt;"Draft")),"",IF(COUNT(X541)=0,"No due date",IF(TODAY()-X541&lt;=0,"Not yet due",IF(TODAY()-X541&lt;=30,"1-30 days",IF(TODAY()-X541&lt;=60,"31-60 days",IF(TODAY()-X541&lt;=90,"61-90 days","Over 90 days")))))))</f>
        <v/>
      </c>
      <c r="AM541" s="49">
        <f>IF(OR(AL541="",AL541="No due date"),"",MAX(TODAY()-X541,0))</f>
        <v/>
      </c>
      <c r="AN541" s="49">
        <f>IF(AL541="","",IF(COUNT(X541)=0,-100000,TODAY()-X541))</f>
        <v/>
      </c>
      <c r="AO541" s="49">
        <f>IF(AN541="","",COUNTIF(AN$11:AN$1010,"&gt;"&amp;AN541)+COUNTIF(AN$11:AN541,AN541))</f>
        <v/>
      </c>
      <c r="AP541" s="49">
        <f>IF(OR(A541="",B541=""),"",IF(COUNTIF(B$11:B541,B541)=1,MAX(AP$10:AP540)+1,""))</f>
        <v/>
      </c>
    </row>
    <row r="542">
      <c r="A542" s="20" t="n"/>
      <c r="B542" s="10" t="n"/>
      <c r="C542" s="10" t="n"/>
      <c r="D542" s="10" t="n"/>
      <c r="E542" s="10" t="n"/>
      <c r="F542" s="18" t="n"/>
      <c r="G542" s="10" t="n"/>
      <c r="H542" s="12" t="n"/>
      <c r="I542" s="12" t="n"/>
      <c r="J542" s="13">
        <f>IF(OR(A542="",COUNT(H542)=0,COUNT(Z542)=0),"",ROUND(Z542-H542,2))</f>
        <v/>
      </c>
      <c r="K542" s="15">
        <f>IF(COUNT(J542)=0,"",IF(Z542=0,"n.a.",J542/Z542))</f>
        <v/>
      </c>
      <c r="L542" s="14">
        <f>IF(OR(A542="",COUNT(H542)=0,COUNT(Y542)=0),"",ROUND(H542*(1+Y542),2))</f>
        <v/>
      </c>
      <c r="M542" s="10" t="n"/>
      <c r="N542" s="10" t="n"/>
      <c r="O542" s="10" t="n"/>
      <c r="P542" s="10" t="n"/>
      <c r="Q542" s="20" t="n"/>
      <c r="R542" s="10" t="n"/>
      <c r="S542" s="10" t="n"/>
      <c r="T542" s="18" t="n"/>
      <c r="U542" s="18" t="n"/>
      <c r="V542" s="10" t="n"/>
      <c r="W542" s="10" t="n"/>
      <c r="X542" s="19">
        <f>IF(OR(A542="",COUNT(U542)=0,COUNT(AI542)=0),"",U542+AI542)</f>
        <v/>
      </c>
      <c r="Y542" s="16" t="n"/>
      <c r="Z542" s="12" t="n"/>
      <c r="AA542" s="17">
        <f>IF(COUNT(J542)=0,"",IF(H542=0,"n.a.",J542/H542))</f>
        <v/>
      </c>
      <c r="AB542" s="12" t="n"/>
      <c r="AC542" s="12" t="n"/>
      <c r="AD542" s="12" t="n"/>
      <c r="AE542" s="13">
        <f>IF(OR(COUNT(J542)=0,COUNT(AB542:AD542)&lt;3),"",ROUND(J542-SUM(AB542:AD542),2))</f>
        <v/>
      </c>
      <c r="AF542" s="15">
        <f>IF(COUNT(AE542)=0,"",IF(Z542=0,"n.a.",AE542/Z542))</f>
        <v/>
      </c>
      <c r="AG542" s="12" t="n"/>
      <c r="AH542" s="14">
        <f>IF(OR(A542="",COUNT(Z542)=0,COUNT(AG542)=0),"",ROUND(Z542-AG542,2))</f>
        <v/>
      </c>
      <c r="AI542" s="21" t="n"/>
      <c r="AJ542" s="11">
        <f>IF(A542="","",IF(COUNT(I542)=0,"Enter approved NTE",IF(COUNT(Z542)&gt;0,IF(Z542&gt;I542,"Invoice exceeds NTE","Invoice within NTE"),IF(COUNT(L542)=0,"Enter quote inputs",IF(L542&gt;I542,"Quote exceeds NTE","Quote within NTE")))))</f>
        <v/>
      </c>
      <c r="AK542" s="11">
        <f>IF(A542="","",IF(COUNT(H542)=0,"Enter direct cost",IF(COUNT(Z542)=0,"Enter invoice revenue",IF(COUNT(AB542:AD542)&lt;3,"Enter expenses (0 if none)","Complete"))))</f>
        <v/>
      </c>
      <c r="AL542" s="11">
        <f>IF(A542="","",IF(NOT(AND(COUNT(AH542)=1,N(AH542)&gt;0.004,V542&lt;&gt;"Void",V542&lt;&gt;"Not invoiced",V542&lt;&gt;"Draft")),"",IF(COUNT(X542)=0,"No due date",IF(TODAY()-X542&lt;=0,"Not yet due",IF(TODAY()-X542&lt;=30,"1-30 days",IF(TODAY()-X542&lt;=60,"31-60 days",IF(TODAY()-X542&lt;=90,"61-90 days","Over 90 days")))))))</f>
        <v/>
      </c>
      <c r="AM542" s="49">
        <f>IF(OR(AL542="",AL542="No due date"),"",MAX(TODAY()-X542,0))</f>
        <v/>
      </c>
      <c r="AN542" s="49">
        <f>IF(AL542="","",IF(COUNT(X542)=0,-100000,TODAY()-X542))</f>
        <v/>
      </c>
      <c r="AO542" s="49">
        <f>IF(AN542="","",COUNTIF(AN$11:AN$1010,"&gt;"&amp;AN542)+COUNTIF(AN$11:AN542,AN542))</f>
        <v/>
      </c>
      <c r="AP542" s="49">
        <f>IF(OR(A542="",B542=""),"",IF(COUNTIF(B$11:B542,B542)=1,MAX(AP$10:AP541)+1,""))</f>
        <v/>
      </c>
    </row>
    <row r="543">
      <c r="A543" s="20" t="n"/>
      <c r="B543" s="10" t="n"/>
      <c r="C543" s="10" t="n"/>
      <c r="D543" s="10" t="n"/>
      <c r="E543" s="10" t="n"/>
      <c r="F543" s="18" t="n"/>
      <c r="G543" s="10" t="n"/>
      <c r="H543" s="12" t="n"/>
      <c r="I543" s="12" t="n"/>
      <c r="J543" s="13">
        <f>IF(OR(A543="",COUNT(H543)=0,COUNT(Z543)=0),"",ROUND(Z543-H543,2))</f>
        <v/>
      </c>
      <c r="K543" s="15">
        <f>IF(COUNT(J543)=0,"",IF(Z543=0,"n.a.",J543/Z543))</f>
        <v/>
      </c>
      <c r="L543" s="14">
        <f>IF(OR(A543="",COUNT(H543)=0,COUNT(Y543)=0),"",ROUND(H543*(1+Y543),2))</f>
        <v/>
      </c>
      <c r="M543" s="10" t="n"/>
      <c r="N543" s="10" t="n"/>
      <c r="O543" s="10" t="n"/>
      <c r="P543" s="10" t="n"/>
      <c r="Q543" s="20" t="n"/>
      <c r="R543" s="10" t="n"/>
      <c r="S543" s="10" t="n"/>
      <c r="T543" s="18" t="n"/>
      <c r="U543" s="18" t="n"/>
      <c r="V543" s="10" t="n"/>
      <c r="W543" s="10" t="n"/>
      <c r="X543" s="19">
        <f>IF(OR(A543="",COUNT(U543)=0,COUNT(AI543)=0),"",U543+AI543)</f>
        <v/>
      </c>
      <c r="Y543" s="16" t="n"/>
      <c r="Z543" s="12" t="n"/>
      <c r="AA543" s="17">
        <f>IF(COUNT(J543)=0,"",IF(H543=0,"n.a.",J543/H543))</f>
        <v/>
      </c>
      <c r="AB543" s="12" t="n"/>
      <c r="AC543" s="12" t="n"/>
      <c r="AD543" s="12" t="n"/>
      <c r="AE543" s="13">
        <f>IF(OR(COUNT(J543)=0,COUNT(AB543:AD543)&lt;3),"",ROUND(J543-SUM(AB543:AD543),2))</f>
        <v/>
      </c>
      <c r="AF543" s="15">
        <f>IF(COUNT(AE543)=0,"",IF(Z543=0,"n.a.",AE543/Z543))</f>
        <v/>
      </c>
      <c r="AG543" s="12" t="n"/>
      <c r="AH543" s="14">
        <f>IF(OR(A543="",COUNT(Z543)=0,COUNT(AG543)=0),"",ROUND(Z543-AG543,2))</f>
        <v/>
      </c>
      <c r="AI543" s="21" t="n"/>
      <c r="AJ543" s="11">
        <f>IF(A543="","",IF(COUNT(I543)=0,"Enter approved NTE",IF(COUNT(Z543)&gt;0,IF(Z543&gt;I543,"Invoice exceeds NTE","Invoice within NTE"),IF(COUNT(L543)=0,"Enter quote inputs",IF(L543&gt;I543,"Quote exceeds NTE","Quote within NTE")))))</f>
        <v/>
      </c>
      <c r="AK543" s="11">
        <f>IF(A543="","",IF(COUNT(H543)=0,"Enter direct cost",IF(COUNT(Z543)=0,"Enter invoice revenue",IF(COUNT(AB543:AD543)&lt;3,"Enter expenses (0 if none)","Complete"))))</f>
        <v/>
      </c>
      <c r="AL543" s="11">
        <f>IF(A543="","",IF(NOT(AND(COUNT(AH543)=1,N(AH543)&gt;0.004,V543&lt;&gt;"Void",V543&lt;&gt;"Not invoiced",V543&lt;&gt;"Draft")),"",IF(COUNT(X543)=0,"No due date",IF(TODAY()-X543&lt;=0,"Not yet due",IF(TODAY()-X543&lt;=30,"1-30 days",IF(TODAY()-X543&lt;=60,"31-60 days",IF(TODAY()-X543&lt;=90,"61-90 days","Over 90 days")))))))</f>
        <v/>
      </c>
      <c r="AM543" s="49">
        <f>IF(OR(AL543="",AL543="No due date"),"",MAX(TODAY()-X543,0))</f>
        <v/>
      </c>
      <c r="AN543" s="49">
        <f>IF(AL543="","",IF(COUNT(X543)=0,-100000,TODAY()-X543))</f>
        <v/>
      </c>
      <c r="AO543" s="49">
        <f>IF(AN543="","",COUNTIF(AN$11:AN$1010,"&gt;"&amp;AN543)+COUNTIF(AN$11:AN543,AN543))</f>
        <v/>
      </c>
      <c r="AP543" s="49">
        <f>IF(OR(A543="",B543=""),"",IF(COUNTIF(B$11:B543,B543)=1,MAX(AP$10:AP542)+1,""))</f>
        <v/>
      </c>
    </row>
    <row r="544">
      <c r="A544" s="20" t="n"/>
      <c r="B544" s="10" t="n"/>
      <c r="C544" s="10" t="n"/>
      <c r="D544" s="10" t="n"/>
      <c r="E544" s="10" t="n"/>
      <c r="F544" s="18" t="n"/>
      <c r="G544" s="10" t="n"/>
      <c r="H544" s="12" t="n"/>
      <c r="I544" s="12" t="n"/>
      <c r="J544" s="13">
        <f>IF(OR(A544="",COUNT(H544)=0,COUNT(Z544)=0),"",ROUND(Z544-H544,2))</f>
        <v/>
      </c>
      <c r="K544" s="15">
        <f>IF(COUNT(J544)=0,"",IF(Z544=0,"n.a.",J544/Z544))</f>
        <v/>
      </c>
      <c r="L544" s="14">
        <f>IF(OR(A544="",COUNT(H544)=0,COUNT(Y544)=0),"",ROUND(H544*(1+Y544),2))</f>
        <v/>
      </c>
      <c r="M544" s="10" t="n"/>
      <c r="N544" s="10" t="n"/>
      <c r="O544" s="10" t="n"/>
      <c r="P544" s="10" t="n"/>
      <c r="Q544" s="20" t="n"/>
      <c r="R544" s="10" t="n"/>
      <c r="S544" s="10" t="n"/>
      <c r="T544" s="18" t="n"/>
      <c r="U544" s="18" t="n"/>
      <c r="V544" s="10" t="n"/>
      <c r="W544" s="10" t="n"/>
      <c r="X544" s="19">
        <f>IF(OR(A544="",COUNT(U544)=0,COUNT(AI544)=0),"",U544+AI544)</f>
        <v/>
      </c>
      <c r="Y544" s="16" t="n"/>
      <c r="Z544" s="12" t="n"/>
      <c r="AA544" s="17">
        <f>IF(COUNT(J544)=0,"",IF(H544=0,"n.a.",J544/H544))</f>
        <v/>
      </c>
      <c r="AB544" s="12" t="n"/>
      <c r="AC544" s="12" t="n"/>
      <c r="AD544" s="12" t="n"/>
      <c r="AE544" s="13">
        <f>IF(OR(COUNT(J544)=0,COUNT(AB544:AD544)&lt;3),"",ROUND(J544-SUM(AB544:AD544),2))</f>
        <v/>
      </c>
      <c r="AF544" s="15">
        <f>IF(COUNT(AE544)=0,"",IF(Z544=0,"n.a.",AE544/Z544))</f>
        <v/>
      </c>
      <c r="AG544" s="12" t="n"/>
      <c r="AH544" s="14">
        <f>IF(OR(A544="",COUNT(Z544)=0,COUNT(AG544)=0),"",ROUND(Z544-AG544,2))</f>
        <v/>
      </c>
      <c r="AI544" s="21" t="n"/>
      <c r="AJ544" s="11">
        <f>IF(A544="","",IF(COUNT(I544)=0,"Enter approved NTE",IF(COUNT(Z544)&gt;0,IF(Z544&gt;I544,"Invoice exceeds NTE","Invoice within NTE"),IF(COUNT(L544)=0,"Enter quote inputs",IF(L544&gt;I544,"Quote exceeds NTE","Quote within NTE")))))</f>
        <v/>
      </c>
      <c r="AK544" s="11">
        <f>IF(A544="","",IF(COUNT(H544)=0,"Enter direct cost",IF(COUNT(Z544)=0,"Enter invoice revenue",IF(COUNT(AB544:AD544)&lt;3,"Enter expenses (0 if none)","Complete"))))</f>
        <v/>
      </c>
      <c r="AL544" s="11">
        <f>IF(A544="","",IF(NOT(AND(COUNT(AH544)=1,N(AH544)&gt;0.004,V544&lt;&gt;"Void",V544&lt;&gt;"Not invoiced",V544&lt;&gt;"Draft")),"",IF(COUNT(X544)=0,"No due date",IF(TODAY()-X544&lt;=0,"Not yet due",IF(TODAY()-X544&lt;=30,"1-30 days",IF(TODAY()-X544&lt;=60,"31-60 days",IF(TODAY()-X544&lt;=90,"61-90 days","Over 90 days")))))))</f>
        <v/>
      </c>
      <c r="AM544" s="49">
        <f>IF(OR(AL544="",AL544="No due date"),"",MAX(TODAY()-X544,0))</f>
        <v/>
      </c>
      <c r="AN544" s="49">
        <f>IF(AL544="","",IF(COUNT(X544)=0,-100000,TODAY()-X544))</f>
        <v/>
      </c>
      <c r="AO544" s="49">
        <f>IF(AN544="","",COUNTIF(AN$11:AN$1010,"&gt;"&amp;AN544)+COUNTIF(AN$11:AN544,AN544))</f>
        <v/>
      </c>
      <c r="AP544" s="49">
        <f>IF(OR(A544="",B544=""),"",IF(COUNTIF(B$11:B544,B544)=1,MAX(AP$10:AP543)+1,""))</f>
        <v/>
      </c>
    </row>
    <row r="545">
      <c r="A545" s="20" t="n"/>
      <c r="B545" s="10" t="n"/>
      <c r="C545" s="10" t="n"/>
      <c r="D545" s="10" t="n"/>
      <c r="E545" s="10" t="n"/>
      <c r="F545" s="18" t="n"/>
      <c r="G545" s="10" t="n"/>
      <c r="H545" s="12" t="n"/>
      <c r="I545" s="12" t="n"/>
      <c r="J545" s="13">
        <f>IF(OR(A545="",COUNT(H545)=0,COUNT(Z545)=0),"",ROUND(Z545-H545,2))</f>
        <v/>
      </c>
      <c r="K545" s="15">
        <f>IF(COUNT(J545)=0,"",IF(Z545=0,"n.a.",J545/Z545))</f>
        <v/>
      </c>
      <c r="L545" s="14">
        <f>IF(OR(A545="",COUNT(H545)=0,COUNT(Y545)=0),"",ROUND(H545*(1+Y545),2))</f>
        <v/>
      </c>
      <c r="M545" s="10" t="n"/>
      <c r="N545" s="10" t="n"/>
      <c r="O545" s="10" t="n"/>
      <c r="P545" s="10" t="n"/>
      <c r="Q545" s="20" t="n"/>
      <c r="R545" s="10" t="n"/>
      <c r="S545" s="10" t="n"/>
      <c r="T545" s="18" t="n"/>
      <c r="U545" s="18" t="n"/>
      <c r="V545" s="10" t="n"/>
      <c r="W545" s="10" t="n"/>
      <c r="X545" s="19">
        <f>IF(OR(A545="",COUNT(U545)=0,COUNT(AI545)=0),"",U545+AI545)</f>
        <v/>
      </c>
      <c r="Y545" s="16" t="n"/>
      <c r="Z545" s="12" t="n"/>
      <c r="AA545" s="17">
        <f>IF(COUNT(J545)=0,"",IF(H545=0,"n.a.",J545/H545))</f>
        <v/>
      </c>
      <c r="AB545" s="12" t="n"/>
      <c r="AC545" s="12" t="n"/>
      <c r="AD545" s="12" t="n"/>
      <c r="AE545" s="13">
        <f>IF(OR(COUNT(J545)=0,COUNT(AB545:AD545)&lt;3),"",ROUND(J545-SUM(AB545:AD545),2))</f>
        <v/>
      </c>
      <c r="AF545" s="15">
        <f>IF(COUNT(AE545)=0,"",IF(Z545=0,"n.a.",AE545/Z545))</f>
        <v/>
      </c>
      <c r="AG545" s="12" t="n"/>
      <c r="AH545" s="14">
        <f>IF(OR(A545="",COUNT(Z545)=0,COUNT(AG545)=0),"",ROUND(Z545-AG545,2))</f>
        <v/>
      </c>
      <c r="AI545" s="21" t="n"/>
      <c r="AJ545" s="11">
        <f>IF(A545="","",IF(COUNT(I545)=0,"Enter approved NTE",IF(COUNT(Z545)&gt;0,IF(Z545&gt;I545,"Invoice exceeds NTE","Invoice within NTE"),IF(COUNT(L545)=0,"Enter quote inputs",IF(L545&gt;I545,"Quote exceeds NTE","Quote within NTE")))))</f>
        <v/>
      </c>
      <c r="AK545" s="11">
        <f>IF(A545="","",IF(COUNT(H545)=0,"Enter direct cost",IF(COUNT(Z545)=0,"Enter invoice revenue",IF(COUNT(AB545:AD545)&lt;3,"Enter expenses (0 if none)","Complete"))))</f>
        <v/>
      </c>
      <c r="AL545" s="11">
        <f>IF(A545="","",IF(NOT(AND(COUNT(AH545)=1,N(AH545)&gt;0.004,V545&lt;&gt;"Void",V545&lt;&gt;"Not invoiced",V545&lt;&gt;"Draft")),"",IF(COUNT(X545)=0,"No due date",IF(TODAY()-X545&lt;=0,"Not yet due",IF(TODAY()-X545&lt;=30,"1-30 days",IF(TODAY()-X545&lt;=60,"31-60 days",IF(TODAY()-X545&lt;=90,"61-90 days","Over 90 days")))))))</f>
        <v/>
      </c>
      <c r="AM545" s="49">
        <f>IF(OR(AL545="",AL545="No due date"),"",MAX(TODAY()-X545,0))</f>
        <v/>
      </c>
      <c r="AN545" s="49">
        <f>IF(AL545="","",IF(COUNT(X545)=0,-100000,TODAY()-X545))</f>
        <v/>
      </c>
      <c r="AO545" s="49">
        <f>IF(AN545="","",COUNTIF(AN$11:AN$1010,"&gt;"&amp;AN545)+COUNTIF(AN$11:AN545,AN545))</f>
        <v/>
      </c>
      <c r="AP545" s="49">
        <f>IF(OR(A545="",B545=""),"",IF(COUNTIF(B$11:B545,B545)=1,MAX(AP$10:AP544)+1,""))</f>
        <v/>
      </c>
    </row>
    <row r="546">
      <c r="A546" s="20" t="n"/>
      <c r="B546" s="10" t="n"/>
      <c r="C546" s="10" t="n"/>
      <c r="D546" s="10" t="n"/>
      <c r="E546" s="10" t="n"/>
      <c r="F546" s="18" t="n"/>
      <c r="G546" s="10" t="n"/>
      <c r="H546" s="12" t="n"/>
      <c r="I546" s="12" t="n"/>
      <c r="J546" s="13">
        <f>IF(OR(A546="",COUNT(H546)=0,COUNT(Z546)=0),"",ROUND(Z546-H546,2))</f>
        <v/>
      </c>
      <c r="K546" s="15">
        <f>IF(COUNT(J546)=0,"",IF(Z546=0,"n.a.",J546/Z546))</f>
        <v/>
      </c>
      <c r="L546" s="14">
        <f>IF(OR(A546="",COUNT(H546)=0,COUNT(Y546)=0),"",ROUND(H546*(1+Y546),2))</f>
        <v/>
      </c>
      <c r="M546" s="10" t="n"/>
      <c r="N546" s="10" t="n"/>
      <c r="O546" s="10" t="n"/>
      <c r="P546" s="10" t="n"/>
      <c r="Q546" s="20" t="n"/>
      <c r="R546" s="10" t="n"/>
      <c r="S546" s="10" t="n"/>
      <c r="T546" s="18" t="n"/>
      <c r="U546" s="18" t="n"/>
      <c r="V546" s="10" t="n"/>
      <c r="W546" s="10" t="n"/>
      <c r="X546" s="19">
        <f>IF(OR(A546="",COUNT(U546)=0,COUNT(AI546)=0),"",U546+AI546)</f>
        <v/>
      </c>
      <c r="Y546" s="16" t="n"/>
      <c r="Z546" s="12" t="n"/>
      <c r="AA546" s="17">
        <f>IF(COUNT(J546)=0,"",IF(H546=0,"n.a.",J546/H546))</f>
        <v/>
      </c>
      <c r="AB546" s="12" t="n"/>
      <c r="AC546" s="12" t="n"/>
      <c r="AD546" s="12" t="n"/>
      <c r="AE546" s="13">
        <f>IF(OR(COUNT(J546)=0,COUNT(AB546:AD546)&lt;3),"",ROUND(J546-SUM(AB546:AD546),2))</f>
        <v/>
      </c>
      <c r="AF546" s="15">
        <f>IF(COUNT(AE546)=0,"",IF(Z546=0,"n.a.",AE546/Z546))</f>
        <v/>
      </c>
      <c r="AG546" s="12" t="n"/>
      <c r="AH546" s="14">
        <f>IF(OR(A546="",COUNT(Z546)=0,COUNT(AG546)=0),"",ROUND(Z546-AG546,2))</f>
        <v/>
      </c>
      <c r="AI546" s="21" t="n"/>
      <c r="AJ546" s="11">
        <f>IF(A546="","",IF(COUNT(I546)=0,"Enter approved NTE",IF(COUNT(Z546)&gt;0,IF(Z546&gt;I546,"Invoice exceeds NTE","Invoice within NTE"),IF(COUNT(L546)=0,"Enter quote inputs",IF(L546&gt;I546,"Quote exceeds NTE","Quote within NTE")))))</f>
        <v/>
      </c>
      <c r="AK546" s="11">
        <f>IF(A546="","",IF(COUNT(H546)=0,"Enter direct cost",IF(COUNT(Z546)=0,"Enter invoice revenue",IF(COUNT(AB546:AD546)&lt;3,"Enter expenses (0 if none)","Complete"))))</f>
        <v/>
      </c>
      <c r="AL546" s="11">
        <f>IF(A546="","",IF(NOT(AND(COUNT(AH546)=1,N(AH546)&gt;0.004,V546&lt;&gt;"Void",V546&lt;&gt;"Not invoiced",V546&lt;&gt;"Draft")),"",IF(COUNT(X546)=0,"No due date",IF(TODAY()-X546&lt;=0,"Not yet due",IF(TODAY()-X546&lt;=30,"1-30 days",IF(TODAY()-X546&lt;=60,"31-60 days",IF(TODAY()-X546&lt;=90,"61-90 days","Over 90 days")))))))</f>
        <v/>
      </c>
      <c r="AM546" s="49">
        <f>IF(OR(AL546="",AL546="No due date"),"",MAX(TODAY()-X546,0))</f>
        <v/>
      </c>
      <c r="AN546" s="49">
        <f>IF(AL546="","",IF(COUNT(X546)=0,-100000,TODAY()-X546))</f>
        <v/>
      </c>
      <c r="AO546" s="49">
        <f>IF(AN546="","",COUNTIF(AN$11:AN$1010,"&gt;"&amp;AN546)+COUNTIF(AN$11:AN546,AN546))</f>
        <v/>
      </c>
      <c r="AP546" s="49">
        <f>IF(OR(A546="",B546=""),"",IF(COUNTIF(B$11:B546,B546)=1,MAX(AP$10:AP545)+1,""))</f>
        <v/>
      </c>
    </row>
    <row r="547">
      <c r="A547" s="20" t="n"/>
      <c r="B547" s="10" t="n"/>
      <c r="C547" s="10" t="n"/>
      <c r="D547" s="10" t="n"/>
      <c r="E547" s="10" t="n"/>
      <c r="F547" s="18" t="n"/>
      <c r="G547" s="10" t="n"/>
      <c r="H547" s="12" t="n"/>
      <c r="I547" s="12" t="n"/>
      <c r="J547" s="13">
        <f>IF(OR(A547="",COUNT(H547)=0,COUNT(Z547)=0),"",ROUND(Z547-H547,2))</f>
        <v/>
      </c>
      <c r="K547" s="15">
        <f>IF(COUNT(J547)=0,"",IF(Z547=0,"n.a.",J547/Z547))</f>
        <v/>
      </c>
      <c r="L547" s="14">
        <f>IF(OR(A547="",COUNT(H547)=0,COUNT(Y547)=0),"",ROUND(H547*(1+Y547),2))</f>
        <v/>
      </c>
      <c r="M547" s="10" t="n"/>
      <c r="N547" s="10" t="n"/>
      <c r="O547" s="10" t="n"/>
      <c r="P547" s="10" t="n"/>
      <c r="Q547" s="20" t="n"/>
      <c r="R547" s="10" t="n"/>
      <c r="S547" s="10" t="n"/>
      <c r="T547" s="18" t="n"/>
      <c r="U547" s="18" t="n"/>
      <c r="V547" s="10" t="n"/>
      <c r="W547" s="10" t="n"/>
      <c r="X547" s="19">
        <f>IF(OR(A547="",COUNT(U547)=0,COUNT(AI547)=0),"",U547+AI547)</f>
        <v/>
      </c>
      <c r="Y547" s="16" t="n"/>
      <c r="Z547" s="12" t="n"/>
      <c r="AA547" s="17">
        <f>IF(COUNT(J547)=0,"",IF(H547=0,"n.a.",J547/H547))</f>
        <v/>
      </c>
      <c r="AB547" s="12" t="n"/>
      <c r="AC547" s="12" t="n"/>
      <c r="AD547" s="12" t="n"/>
      <c r="AE547" s="13">
        <f>IF(OR(COUNT(J547)=0,COUNT(AB547:AD547)&lt;3),"",ROUND(J547-SUM(AB547:AD547),2))</f>
        <v/>
      </c>
      <c r="AF547" s="15">
        <f>IF(COUNT(AE547)=0,"",IF(Z547=0,"n.a.",AE547/Z547))</f>
        <v/>
      </c>
      <c r="AG547" s="12" t="n"/>
      <c r="AH547" s="14">
        <f>IF(OR(A547="",COUNT(Z547)=0,COUNT(AG547)=0),"",ROUND(Z547-AG547,2))</f>
        <v/>
      </c>
      <c r="AI547" s="21" t="n"/>
      <c r="AJ547" s="11">
        <f>IF(A547="","",IF(COUNT(I547)=0,"Enter approved NTE",IF(COUNT(Z547)&gt;0,IF(Z547&gt;I547,"Invoice exceeds NTE","Invoice within NTE"),IF(COUNT(L547)=0,"Enter quote inputs",IF(L547&gt;I547,"Quote exceeds NTE","Quote within NTE")))))</f>
        <v/>
      </c>
      <c r="AK547" s="11">
        <f>IF(A547="","",IF(COUNT(H547)=0,"Enter direct cost",IF(COUNT(Z547)=0,"Enter invoice revenue",IF(COUNT(AB547:AD547)&lt;3,"Enter expenses (0 if none)","Complete"))))</f>
        <v/>
      </c>
      <c r="AL547" s="11">
        <f>IF(A547="","",IF(NOT(AND(COUNT(AH547)=1,N(AH547)&gt;0.004,V547&lt;&gt;"Void",V547&lt;&gt;"Not invoiced",V547&lt;&gt;"Draft")),"",IF(COUNT(X547)=0,"No due date",IF(TODAY()-X547&lt;=0,"Not yet due",IF(TODAY()-X547&lt;=30,"1-30 days",IF(TODAY()-X547&lt;=60,"31-60 days",IF(TODAY()-X547&lt;=90,"61-90 days","Over 90 days")))))))</f>
        <v/>
      </c>
      <c r="AM547" s="49">
        <f>IF(OR(AL547="",AL547="No due date"),"",MAX(TODAY()-X547,0))</f>
        <v/>
      </c>
      <c r="AN547" s="49">
        <f>IF(AL547="","",IF(COUNT(X547)=0,-100000,TODAY()-X547))</f>
        <v/>
      </c>
      <c r="AO547" s="49">
        <f>IF(AN547="","",COUNTIF(AN$11:AN$1010,"&gt;"&amp;AN547)+COUNTIF(AN$11:AN547,AN547))</f>
        <v/>
      </c>
      <c r="AP547" s="49">
        <f>IF(OR(A547="",B547=""),"",IF(COUNTIF(B$11:B547,B547)=1,MAX(AP$10:AP546)+1,""))</f>
        <v/>
      </c>
    </row>
    <row r="548">
      <c r="A548" s="20" t="n"/>
      <c r="B548" s="10" t="n"/>
      <c r="C548" s="10" t="n"/>
      <c r="D548" s="10" t="n"/>
      <c r="E548" s="10" t="n"/>
      <c r="F548" s="18" t="n"/>
      <c r="G548" s="10" t="n"/>
      <c r="H548" s="12" t="n"/>
      <c r="I548" s="12" t="n"/>
      <c r="J548" s="13">
        <f>IF(OR(A548="",COUNT(H548)=0,COUNT(Z548)=0),"",ROUND(Z548-H548,2))</f>
        <v/>
      </c>
      <c r="K548" s="15">
        <f>IF(COUNT(J548)=0,"",IF(Z548=0,"n.a.",J548/Z548))</f>
        <v/>
      </c>
      <c r="L548" s="14">
        <f>IF(OR(A548="",COUNT(H548)=0,COUNT(Y548)=0),"",ROUND(H548*(1+Y548),2))</f>
        <v/>
      </c>
      <c r="M548" s="10" t="n"/>
      <c r="N548" s="10" t="n"/>
      <c r="O548" s="10" t="n"/>
      <c r="P548" s="10" t="n"/>
      <c r="Q548" s="20" t="n"/>
      <c r="R548" s="10" t="n"/>
      <c r="S548" s="10" t="n"/>
      <c r="T548" s="18" t="n"/>
      <c r="U548" s="18" t="n"/>
      <c r="V548" s="10" t="n"/>
      <c r="W548" s="10" t="n"/>
      <c r="X548" s="19">
        <f>IF(OR(A548="",COUNT(U548)=0,COUNT(AI548)=0),"",U548+AI548)</f>
        <v/>
      </c>
      <c r="Y548" s="16" t="n"/>
      <c r="Z548" s="12" t="n"/>
      <c r="AA548" s="17">
        <f>IF(COUNT(J548)=0,"",IF(H548=0,"n.a.",J548/H548))</f>
        <v/>
      </c>
      <c r="AB548" s="12" t="n"/>
      <c r="AC548" s="12" t="n"/>
      <c r="AD548" s="12" t="n"/>
      <c r="AE548" s="13">
        <f>IF(OR(COUNT(J548)=0,COUNT(AB548:AD548)&lt;3),"",ROUND(J548-SUM(AB548:AD548),2))</f>
        <v/>
      </c>
      <c r="AF548" s="15">
        <f>IF(COUNT(AE548)=0,"",IF(Z548=0,"n.a.",AE548/Z548))</f>
        <v/>
      </c>
      <c r="AG548" s="12" t="n"/>
      <c r="AH548" s="14">
        <f>IF(OR(A548="",COUNT(Z548)=0,COUNT(AG548)=0),"",ROUND(Z548-AG548,2))</f>
        <v/>
      </c>
      <c r="AI548" s="21" t="n"/>
      <c r="AJ548" s="11">
        <f>IF(A548="","",IF(COUNT(I548)=0,"Enter approved NTE",IF(COUNT(Z548)&gt;0,IF(Z548&gt;I548,"Invoice exceeds NTE","Invoice within NTE"),IF(COUNT(L548)=0,"Enter quote inputs",IF(L548&gt;I548,"Quote exceeds NTE","Quote within NTE")))))</f>
        <v/>
      </c>
      <c r="AK548" s="11">
        <f>IF(A548="","",IF(COUNT(H548)=0,"Enter direct cost",IF(COUNT(Z548)=0,"Enter invoice revenue",IF(COUNT(AB548:AD548)&lt;3,"Enter expenses (0 if none)","Complete"))))</f>
        <v/>
      </c>
      <c r="AL548" s="11">
        <f>IF(A548="","",IF(NOT(AND(COUNT(AH548)=1,N(AH548)&gt;0.004,V548&lt;&gt;"Void",V548&lt;&gt;"Not invoiced",V548&lt;&gt;"Draft")),"",IF(COUNT(X548)=0,"No due date",IF(TODAY()-X548&lt;=0,"Not yet due",IF(TODAY()-X548&lt;=30,"1-30 days",IF(TODAY()-X548&lt;=60,"31-60 days",IF(TODAY()-X548&lt;=90,"61-90 days","Over 90 days")))))))</f>
        <v/>
      </c>
      <c r="AM548" s="49">
        <f>IF(OR(AL548="",AL548="No due date"),"",MAX(TODAY()-X548,0))</f>
        <v/>
      </c>
      <c r="AN548" s="49">
        <f>IF(AL548="","",IF(COUNT(X548)=0,-100000,TODAY()-X548))</f>
        <v/>
      </c>
      <c r="AO548" s="49">
        <f>IF(AN548="","",COUNTIF(AN$11:AN$1010,"&gt;"&amp;AN548)+COUNTIF(AN$11:AN548,AN548))</f>
        <v/>
      </c>
      <c r="AP548" s="49">
        <f>IF(OR(A548="",B548=""),"",IF(COUNTIF(B$11:B548,B548)=1,MAX(AP$10:AP547)+1,""))</f>
        <v/>
      </c>
    </row>
    <row r="549">
      <c r="A549" s="20" t="n"/>
      <c r="B549" s="10" t="n"/>
      <c r="C549" s="10" t="n"/>
      <c r="D549" s="10" t="n"/>
      <c r="E549" s="10" t="n"/>
      <c r="F549" s="18" t="n"/>
      <c r="G549" s="10" t="n"/>
      <c r="H549" s="12" t="n"/>
      <c r="I549" s="12" t="n"/>
      <c r="J549" s="13">
        <f>IF(OR(A549="",COUNT(H549)=0,COUNT(Z549)=0),"",ROUND(Z549-H549,2))</f>
        <v/>
      </c>
      <c r="K549" s="15">
        <f>IF(COUNT(J549)=0,"",IF(Z549=0,"n.a.",J549/Z549))</f>
        <v/>
      </c>
      <c r="L549" s="14">
        <f>IF(OR(A549="",COUNT(H549)=0,COUNT(Y549)=0),"",ROUND(H549*(1+Y549),2))</f>
        <v/>
      </c>
      <c r="M549" s="10" t="n"/>
      <c r="N549" s="10" t="n"/>
      <c r="O549" s="10" t="n"/>
      <c r="P549" s="10" t="n"/>
      <c r="Q549" s="20" t="n"/>
      <c r="R549" s="10" t="n"/>
      <c r="S549" s="10" t="n"/>
      <c r="T549" s="18" t="n"/>
      <c r="U549" s="18" t="n"/>
      <c r="V549" s="10" t="n"/>
      <c r="W549" s="10" t="n"/>
      <c r="X549" s="19">
        <f>IF(OR(A549="",COUNT(U549)=0,COUNT(AI549)=0),"",U549+AI549)</f>
        <v/>
      </c>
      <c r="Y549" s="16" t="n"/>
      <c r="Z549" s="12" t="n"/>
      <c r="AA549" s="17">
        <f>IF(COUNT(J549)=0,"",IF(H549=0,"n.a.",J549/H549))</f>
        <v/>
      </c>
      <c r="AB549" s="12" t="n"/>
      <c r="AC549" s="12" t="n"/>
      <c r="AD549" s="12" t="n"/>
      <c r="AE549" s="13">
        <f>IF(OR(COUNT(J549)=0,COUNT(AB549:AD549)&lt;3),"",ROUND(J549-SUM(AB549:AD549),2))</f>
        <v/>
      </c>
      <c r="AF549" s="15">
        <f>IF(COUNT(AE549)=0,"",IF(Z549=0,"n.a.",AE549/Z549))</f>
        <v/>
      </c>
      <c r="AG549" s="12" t="n"/>
      <c r="AH549" s="14">
        <f>IF(OR(A549="",COUNT(Z549)=0,COUNT(AG549)=0),"",ROUND(Z549-AG549,2))</f>
        <v/>
      </c>
      <c r="AI549" s="21" t="n"/>
      <c r="AJ549" s="11">
        <f>IF(A549="","",IF(COUNT(I549)=0,"Enter approved NTE",IF(COUNT(Z549)&gt;0,IF(Z549&gt;I549,"Invoice exceeds NTE","Invoice within NTE"),IF(COUNT(L549)=0,"Enter quote inputs",IF(L549&gt;I549,"Quote exceeds NTE","Quote within NTE")))))</f>
        <v/>
      </c>
      <c r="AK549" s="11">
        <f>IF(A549="","",IF(COUNT(H549)=0,"Enter direct cost",IF(COUNT(Z549)=0,"Enter invoice revenue",IF(COUNT(AB549:AD549)&lt;3,"Enter expenses (0 if none)","Complete"))))</f>
        <v/>
      </c>
      <c r="AL549" s="11">
        <f>IF(A549="","",IF(NOT(AND(COUNT(AH549)=1,N(AH549)&gt;0.004,V549&lt;&gt;"Void",V549&lt;&gt;"Not invoiced",V549&lt;&gt;"Draft")),"",IF(COUNT(X549)=0,"No due date",IF(TODAY()-X549&lt;=0,"Not yet due",IF(TODAY()-X549&lt;=30,"1-30 days",IF(TODAY()-X549&lt;=60,"31-60 days",IF(TODAY()-X549&lt;=90,"61-90 days","Over 90 days")))))))</f>
        <v/>
      </c>
      <c r="AM549" s="49">
        <f>IF(OR(AL549="",AL549="No due date"),"",MAX(TODAY()-X549,0))</f>
        <v/>
      </c>
      <c r="AN549" s="49">
        <f>IF(AL549="","",IF(COUNT(X549)=0,-100000,TODAY()-X549))</f>
        <v/>
      </c>
      <c r="AO549" s="49">
        <f>IF(AN549="","",COUNTIF(AN$11:AN$1010,"&gt;"&amp;AN549)+COUNTIF(AN$11:AN549,AN549))</f>
        <v/>
      </c>
      <c r="AP549" s="49">
        <f>IF(OR(A549="",B549=""),"",IF(COUNTIF(B$11:B549,B549)=1,MAX(AP$10:AP548)+1,""))</f>
        <v/>
      </c>
    </row>
    <row r="550">
      <c r="A550" s="20" t="n"/>
      <c r="B550" s="10" t="n"/>
      <c r="C550" s="10" t="n"/>
      <c r="D550" s="10" t="n"/>
      <c r="E550" s="10" t="n"/>
      <c r="F550" s="18" t="n"/>
      <c r="G550" s="10" t="n"/>
      <c r="H550" s="12" t="n"/>
      <c r="I550" s="12" t="n"/>
      <c r="J550" s="13">
        <f>IF(OR(A550="",COUNT(H550)=0,COUNT(Z550)=0),"",ROUND(Z550-H550,2))</f>
        <v/>
      </c>
      <c r="K550" s="15">
        <f>IF(COUNT(J550)=0,"",IF(Z550=0,"n.a.",J550/Z550))</f>
        <v/>
      </c>
      <c r="L550" s="14">
        <f>IF(OR(A550="",COUNT(H550)=0,COUNT(Y550)=0),"",ROUND(H550*(1+Y550),2))</f>
        <v/>
      </c>
      <c r="M550" s="10" t="n"/>
      <c r="N550" s="10" t="n"/>
      <c r="O550" s="10" t="n"/>
      <c r="P550" s="10" t="n"/>
      <c r="Q550" s="20" t="n"/>
      <c r="R550" s="10" t="n"/>
      <c r="S550" s="10" t="n"/>
      <c r="T550" s="18" t="n"/>
      <c r="U550" s="18" t="n"/>
      <c r="V550" s="10" t="n"/>
      <c r="W550" s="10" t="n"/>
      <c r="X550" s="19">
        <f>IF(OR(A550="",COUNT(U550)=0,COUNT(AI550)=0),"",U550+AI550)</f>
        <v/>
      </c>
      <c r="Y550" s="16" t="n"/>
      <c r="Z550" s="12" t="n"/>
      <c r="AA550" s="17">
        <f>IF(COUNT(J550)=0,"",IF(H550=0,"n.a.",J550/H550))</f>
        <v/>
      </c>
      <c r="AB550" s="12" t="n"/>
      <c r="AC550" s="12" t="n"/>
      <c r="AD550" s="12" t="n"/>
      <c r="AE550" s="13">
        <f>IF(OR(COUNT(J550)=0,COUNT(AB550:AD550)&lt;3),"",ROUND(J550-SUM(AB550:AD550),2))</f>
        <v/>
      </c>
      <c r="AF550" s="15">
        <f>IF(COUNT(AE550)=0,"",IF(Z550=0,"n.a.",AE550/Z550))</f>
        <v/>
      </c>
      <c r="AG550" s="12" t="n"/>
      <c r="AH550" s="14">
        <f>IF(OR(A550="",COUNT(Z550)=0,COUNT(AG550)=0),"",ROUND(Z550-AG550,2))</f>
        <v/>
      </c>
      <c r="AI550" s="21" t="n"/>
      <c r="AJ550" s="11">
        <f>IF(A550="","",IF(COUNT(I550)=0,"Enter approved NTE",IF(COUNT(Z550)&gt;0,IF(Z550&gt;I550,"Invoice exceeds NTE","Invoice within NTE"),IF(COUNT(L550)=0,"Enter quote inputs",IF(L550&gt;I550,"Quote exceeds NTE","Quote within NTE")))))</f>
        <v/>
      </c>
      <c r="AK550" s="11">
        <f>IF(A550="","",IF(COUNT(H550)=0,"Enter direct cost",IF(COUNT(Z550)=0,"Enter invoice revenue",IF(COUNT(AB550:AD550)&lt;3,"Enter expenses (0 if none)","Complete"))))</f>
        <v/>
      </c>
      <c r="AL550" s="11">
        <f>IF(A550="","",IF(NOT(AND(COUNT(AH550)=1,N(AH550)&gt;0.004,V550&lt;&gt;"Void",V550&lt;&gt;"Not invoiced",V550&lt;&gt;"Draft")),"",IF(COUNT(X550)=0,"No due date",IF(TODAY()-X550&lt;=0,"Not yet due",IF(TODAY()-X550&lt;=30,"1-30 days",IF(TODAY()-X550&lt;=60,"31-60 days",IF(TODAY()-X550&lt;=90,"61-90 days","Over 90 days")))))))</f>
        <v/>
      </c>
      <c r="AM550" s="49">
        <f>IF(OR(AL550="",AL550="No due date"),"",MAX(TODAY()-X550,0))</f>
        <v/>
      </c>
      <c r="AN550" s="49">
        <f>IF(AL550="","",IF(COUNT(X550)=0,-100000,TODAY()-X550))</f>
        <v/>
      </c>
      <c r="AO550" s="49">
        <f>IF(AN550="","",COUNTIF(AN$11:AN$1010,"&gt;"&amp;AN550)+COUNTIF(AN$11:AN550,AN550))</f>
        <v/>
      </c>
      <c r="AP550" s="49">
        <f>IF(OR(A550="",B550=""),"",IF(COUNTIF(B$11:B550,B550)=1,MAX(AP$10:AP549)+1,""))</f>
        <v/>
      </c>
    </row>
    <row r="551">
      <c r="A551" s="20" t="n"/>
      <c r="B551" s="10" t="n"/>
      <c r="C551" s="10" t="n"/>
      <c r="D551" s="10" t="n"/>
      <c r="E551" s="10" t="n"/>
      <c r="F551" s="18" t="n"/>
      <c r="G551" s="10" t="n"/>
      <c r="H551" s="12" t="n"/>
      <c r="I551" s="12" t="n"/>
      <c r="J551" s="13">
        <f>IF(OR(A551="",COUNT(H551)=0,COUNT(Z551)=0),"",ROUND(Z551-H551,2))</f>
        <v/>
      </c>
      <c r="K551" s="15">
        <f>IF(COUNT(J551)=0,"",IF(Z551=0,"n.a.",J551/Z551))</f>
        <v/>
      </c>
      <c r="L551" s="14">
        <f>IF(OR(A551="",COUNT(H551)=0,COUNT(Y551)=0),"",ROUND(H551*(1+Y551),2))</f>
        <v/>
      </c>
      <c r="M551" s="10" t="n"/>
      <c r="N551" s="10" t="n"/>
      <c r="O551" s="10" t="n"/>
      <c r="P551" s="10" t="n"/>
      <c r="Q551" s="20" t="n"/>
      <c r="R551" s="10" t="n"/>
      <c r="S551" s="10" t="n"/>
      <c r="T551" s="18" t="n"/>
      <c r="U551" s="18" t="n"/>
      <c r="V551" s="10" t="n"/>
      <c r="W551" s="10" t="n"/>
      <c r="X551" s="19">
        <f>IF(OR(A551="",COUNT(U551)=0,COUNT(AI551)=0),"",U551+AI551)</f>
        <v/>
      </c>
      <c r="Y551" s="16" t="n"/>
      <c r="Z551" s="12" t="n"/>
      <c r="AA551" s="17">
        <f>IF(COUNT(J551)=0,"",IF(H551=0,"n.a.",J551/H551))</f>
        <v/>
      </c>
      <c r="AB551" s="12" t="n"/>
      <c r="AC551" s="12" t="n"/>
      <c r="AD551" s="12" t="n"/>
      <c r="AE551" s="13">
        <f>IF(OR(COUNT(J551)=0,COUNT(AB551:AD551)&lt;3),"",ROUND(J551-SUM(AB551:AD551),2))</f>
        <v/>
      </c>
      <c r="AF551" s="15">
        <f>IF(COUNT(AE551)=0,"",IF(Z551=0,"n.a.",AE551/Z551))</f>
        <v/>
      </c>
      <c r="AG551" s="12" t="n"/>
      <c r="AH551" s="14">
        <f>IF(OR(A551="",COUNT(Z551)=0,COUNT(AG551)=0),"",ROUND(Z551-AG551,2))</f>
        <v/>
      </c>
      <c r="AI551" s="21" t="n"/>
      <c r="AJ551" s="11">
        <f>IF(A551="","",IF(COUNT(I551)=0,"Enter approved NTE",IF(COUNT(Z551)&gt;0,IF(Z551&gt;I551,"Invoice exceeds NTE","Invoice within NTE"),IF(COUNT(L551)=0,"Enter quote inputs",IF(L551&gt;I551,"Quote exceeds NTE","Quote within NTE")))))</f>
        <v/>
      </c>
      <c r="AK551" s="11">
        <f>IF(A551="","",IF(COUNT(H551)=0,"Enter direct cost",IF(COUNT(Z551)=0,"Enter invoice revenue",IF(COUNT(AB551:AD551)&lt;3,"Enter expenses (0 if none)","Complete"))))</f>
        <v/>
      </c>
      <c r="AL551" s="11">
        <f>IF(A551="","",IF(NOT(AND(COUNT(AH551)=1,N(AH551)&gt;0.004,V551&lt;&gt;"Void",V551&lt;&gt;"Not invoiced",V551&lt;&gt;"Draft")),"",IF(COUNT(X551)=0,"No due date",IF(TODAY()-X551&lt;=0,"Not yet due",IF(TODAY()-X551&lt;=30,"1-30 days",IF(TODAY()-X551&lt;=60,"31-60 days",IF(TODAY()-X551&lt;=90,"61-90 days","Over 90 days")))))))</f>
        <v/>
      </c>
      <c r="AM551" s="49">
        <f>IF(OR(AL551="",AL551="No due date"),"",MAX(TODAY()-X551,0))</f>
        <v/>
      </c>
      <c r="AN551" s="49">
        <f>IF(AL551="","",IF(COUNT(X551)=0,-100000,TODAY()-X551))</f>
        <v/>
      </c>
      <c r="AO551" s="49">
        <f>IF(AN551="","",COUNTIF(AN$11:AN$1010,"&gt;"&amp;AN551)+COUNTIF(AN$11:AN551,AN551))</f>
        <v/>
      </c>
      <c r="AP551" s="49">
        <f>IF(OR(A551="",B551=""),"",IF(COUNTIF(B$11:B551,B551)=1,MAX(AP$10:AP550)+1,""))</f>
        <v/>
      </c>
    </row>
    <row r="552">
      <c r="A552" s="20" t="n"/>
      <c r="B552" s="10" t="n"/>
      <c r="C552" s="10" t="n"/>
      <c r="D552" s="10" t="n"/>
      <c r="E552" s="10" t="n"/>
      <c r="F552" s="18" t="n"/>
      <c r="G552" s="10" t="n"/>
      <c r="H552" s="12" t="n"/>
      <c r="I552" s="12" t="n"/>
      <c r="J552" s="13">
        <f>IF(OR(A552="",COUNT(H552)=0,COUNT(Z552)=0),"",ROUND(Z552-H552,2))</f>
        <v/>
      </c>
      <c r="K552" s="15">
        <f>IF(COUNT(J552)=0,"",IF(Z552=0,"n.a.",J552/Z552))</f>
        <v/>
      </c>
      <c r="L552" s="14">
        <f>IF(OR(A552="",COUNT(H552)=0,COUNT(Y552)=0),"",ROUND(H552*(1+Y552),2))</f>
        <v/>
      </c>
      <c r="M552" s="10" t="n"/>
      <c r="N552" s="10" t="n"/>
      <c r="O552" s="10" t="n"/>
      <c r="P552" s="10" t="n"/>
      <c r="Q552" s="20" t="n"/>
      <c r="R552" s="10" t="n"/>
      <c r="S552" s="10" t="n"/>
      <c r="T552" s="18" t="n"/>
      <c r="U552" s="18" t="n"/>
      <c r="V552" s="10" t="n"/>
      <c r="W552" s="10" t="n"/>
      <c r="X552" s="19">
        <f>IF(OR(A552="",COUNT(U552)=0,COUNT(AI552)=0),"",U552+AI552)</f>
        <v/>
      </c>
      <c r="Y552" s="16" t="n"/>
      <c r="Z552" s="12" t="n"/>
      <c r="AA552" s="17">
        <f>IF(COUNT(J552)=0,"",IF(H552=0,"n.a.",J552/H552))</f>
        <v/>
      </c>
      <c r="AB552" s="12" t="n"/>
      <c r="AC552" s="12" t="n"/>
      <c r="AD552" s="12" t="n"/>
      <c r="AE552" s="13">
        <f>IF(OR(COUNT(J552)=0,COUNT(AB552:AD552)&lt;3),"",ROUND(J552-SUM(AB552:AD552),2))</f>
        <v/>
      </c>
      <c r="AF552" s="15">
        <f>IF(COUNT(AE552)=0,"",IF(Z552=0,"n.a.",AE552/Z552))</f>
        <v/>
      </c>
      <c r="AG552" s="12" t="n"/>
      <c r="AH552" s="14">
        <f>IF(OR(A552="",COUNT(Z552)=0,COUNT(AG552)=0),"",ROUND(Z552-AG552,2))</f>
        <v/>
      </c>
      <c r="AI552" s="21" t="n"/>
      <c r="AJ552" s="11">
        <f>IF(A552="","",IF(COUNT(I552)=0,"Enter approved NTE",IF(COUNT(Z552)&gt;0,IF(Z552&gt;I552,"Invoice exceeds NTE","Invoice within NTE"),IF(COUNT(L552)=0,"Enter quote inputs",IF(L552&gt;I552,"Quote exceeds NTE","Quote within NTE")))))</f>
        <v/>
      </c>
      <c r="AK552" s="11">
        <f>IF(A552="","",IF(COUNT(H552)=0,"Enter direct cost",IF(COUNT(Z552)=0,"Enter invoice revenue",IF(COUNT(AB552:AD552)&lt;3,"Enter expenses (0 if none)","Complete"))))</f>
        <v/>
      </c>
      <c r="AL552" s="11">
        <f>IF(A552="","",IF(NOT(AND(COUNT(AH552)=1,N(AH552)&gt;0.004,V552&lt;&gt;"Void",V552&lt;&gt;"Not invoiced",V552&lt;&gt;"Draft")),"",IF(COUNT(X552)=0,"No due date",IF(TODAY()-X552&lt;=0,"Not yet due",IF(TODAY()-X552&lt;=30,"1-30 days",IF(TODAY()-X552&lt;=60,"31-60 days",IF(TODAY()-X552&lt;=90,"61-90 days","Over 90 days")))))))</f>
        <v/>
      </c>
      <c r="AM552" s="49">
        <f>IF(OR(AL552="",AL552="No due date"),"",MAX(TODAY()-X552,0))</f>
        <v/>
      </c>
      <c r="AN552" s="49">
        <f>IF(AL552="","",IF(COUNT(X552)=0,-100000,TODAY()-X552))</f>
        <v/>
      </c>
      <c r="AO552" s="49">
        <f>IF(AN552="","",COUNTIF(AN$11:AN$1010,"&gt;"&amp;AN552)+COUNTIF(AN$11:AN552,AN552))</f>
        <v/>
      </c>
      <c r="AP552" s="49">
        <f>IF(OR(A552="",B552=""),"",IF(COUNTIF(B$11:B552,B552)=1,MAX(AP$10:AP551)+1,""))</f>
        <v/>
      </c>
    </row>
    <row r="553">
      <c r="A553" s="20" t="n"/>
      <c r="B553" s="10" t="n"/>
      <c r="C553" s="10" t="n"/>
      <c r="D553" s="10" t="n"/>
      <c r="E553" s="10" t="n"/>
      <c r="F553" s="18" t="n"/>
      <c r="G553" s="10" t="n"/>
      <c r="H553" s="12" t="n"/>
      <c r="I553" s="12" t="n"/>
      <c r="J553" s="13">
        <f>IF(OR(A553="",COUNT(H553)=0,COUNT(Z553)=0),"",ROUND(Z553-H553,2))</f>
        <v/>
      </c>
      <c r="K553" s="15">
        <f>IF(COUNT(J553)=0,"",IF(Z553=0,"n.a.",J553/Z553))</f>
        <v/>
      </c>
      <c r="L553" s="14">
        <f>IF(OR(A553="",COUNT(H553)=0,COUNT(Y553)=0),"",ROUND(H553*(1+Y553),2))</f>
        <v/>
      </c>
      <c r="M553" s="10" t="n"/>
      <c r="N553" s="10" t="n"/>
      <c r="O553" s="10" t="n"/>
      <c r="P553" s="10" t="n"/>
      <c r="Q553" s="20" t="n"/>
      <c r="R553" s="10" t="n"/>
      <c r="S553" s="10" t="n"/>
      <c r="T553" s="18" t="n"/>
      <c r="U553" s="18" t="n"/>
      <c r="V553" s="10" t="n"/>
      <c r="W553" s="10" t="n"/>
      <c r="X553" s="19">
        <f>IF(OR(A553="",COUNT(U553)=0,COUNT(AI553)=0),"",U553+AI553)</f>
        <v/>
      </c>
      <c r="Y553" s="16" t="n"/>
      <c r="Z553" s="12" t="n"/>
      <c r="AA553" s="17">
        <f>IF(COUNT(J553)=0,"",IF(H553=0,"n.a.",J553/H553))</f>
        <v/>
      </c>
      <c r="AB553" s="12" t="n"/>
      <c r="AC553" s="12" t="n"/>
      <c r="AD553" s="12" t="n"/>
      <c r="AE553" s="13">
        <f>IF(OR(COUNT(J553)=0,COUNT(AB553:AD553)&lt;3),"",ROUND(J553-SUM(AB553:AD553),2))</f>
        <v/>
      </c>
      <c r="AF553" s="15">
        <f>IF(COUNT(AE553)=0,"",IF(Z553=0,"n.a.",AE553/Z553))</f>
        <v/>
      </c>
      <c r="AG553" s="12" t="n"/>
      <c r="AH553" s="14">
        <f>IF(OR(A553="",COUNT(Z553)=0,COUNT(AG553)=0),"",ROUND(Z553-AG553,2))</f>
        <v/>
      </c>
      <c r="AI553" s="21" t="n"/>
      <c r="AJ553" s="11">
        <f>IF(A553="","",IF(COUNT(I553)=0,"Enter approved NTE",IF(COUNT(Z553)&gt;0,IF(Z553&gt;I553,"Invoice exceeds NTE","Invoice within NTE"),IF(COUNT(L553)=0,"Enter quote inputs",IF(L553&gt;I553,"Quote exceeds NTE","Quote within NTE")))))</f>
        <v/>
      </c>
      <c r="AK553" s="11">
        <f>IF(A553="","",IF(COUNT(H553)=0,"Enter direct cost",IF(COUNT(Z553)=0,"Enter invoice revenue",IF(COUNT(AB553:AD553)&lt;3,"Enter expenses (0 if none)","Complete"))))</f>
        <v/>
      </c>
      <c r="AL553" s="11">
        <f>IF(A553="","",IF(NOT(AND(COUNT(AH553)=1,N(AH553)&gt;0.004,V553&lt;&gt;"Void",V553&lt;&gt;"Not invoiced",V553&lt;&gt;"Draft")),"",IF(COUNT(X553)=0,"No due date",IF(TODAY()-X553&lt;=0,"Not yet due",IF(TODAY()-X553&lt;=30,"1-30 days",IF(TODAY()-X553&lt;=60,"31-60 days",IF(TODAY()-X553&lt;=90,"61-90 days","Over 90 days")))))))</f>
        <v/>
      </c>
      <c r="AM553" s="49">
        <f>IF(OR(AL553="",AL553="No due date"),"",MAX(TODAY()-X553,0))</f>
        <v/>
      </c>
      <c r="AN553" s="49">
        <f>IF(AL553="","",IF(COUNT(X553)=0,-100000,TODAY()-X553))</f>
        <v/>
      </c>
      <c r="AO553" s="49">
        <f>IF(AN553="","",COUNTIF(AN$11:AN$1010,"&gt;"&amp;AN553)+COUNTIF(AN$11:AN553,AN553))</f>
        <v/>
      </c>
      <c r="AP553" s="49">
        <f>IF(OR(A553="",B553=""),"",IF(COUNTIF(B$11:B553,B553)=1,MAX(AP$10:AP552)+1,""))</f>
        <v/>
      </c>
    </row>
    <row r="554">
      <c r="A554" s="20" t="n"/>
      <c r="B554" s="10" t="n"/>
      <c r="C554" s="10" t="n"/>
      <c r="D554" s="10" t="n"/>
      <c r="E554" s="10" t="n"/>
      <c r="F554" s="18" t="n"/>
      <c r="G554" s="10" t="n"/>
      <c r="H554" s="12" t="n"/>
      <c r="I554" s="12" t="n"/>
      <c r="J554" s="13">
        <f>IF(OR(A554="",COUNT(H554)=0,COUNT(Z554)=0),"",ROUND(Z554-H554,2))</f>
        <v/>
      </c>
      <c r="K554" s="15">
        <f>IF(COUNT(J554)=0,"",IF(Z554=0,"n.a.",J554/Z554))</f>
        <v/>
      </c>
      <c r="L554" s="14">
        <f>IF(OR(A554="",COUNT(H554)=0,COUNT(Y554)=0),"",ROUND(H554*(1+Y554),2))</f>
        <v/>
      </c>
      <c r="M554" s="10" t="n"/>
      <c r="N554" s="10" t="n"/>
      <c r="O554" s="10" t="n"/>
      <c r="P554" s="10" t="n"/>
      <c r="Q554" s="20" t="n"/>
      <c r="R554" s="10" t="n"/>
      <c r="S554" s="10" t="n"/>
      <c r="T554" s="18" t="n"/>
      <c r="U554" s="18" t="n"/>
      <c r="V554" s="10" t="n"/>
      <c r="W554" s="10" t="n"/>
      <c r="X554" s="19">
        <f>IF(OR(A554="",COUNT(U554)=0,COUNT(AI554)=0),"",U554+AI554)</f>
        <v/>
      </c>
      <c r="Y554" s="16" t="n"/>
      <c r="Z554" s="12" t="n"/>
      <c r="AA554" s="17">
        <f>IF(COUNT(J554)=0,"",IF(H554=0,"n.a.",J554/H554))</f>
        <v/>
      </c>
      <c r="AB554" s="12" t="n"/>
      <c r="AC554" s="12" t="n"/>
      <c r="AD554" s="12" t="n"/>
      <c r="AE554" s="13">
        <f>IF(OR(COUNT(J554)=0,COUNT(AB554:AD554)&lt;3),"",ROUND(J554-SUM(AB554:AD554),2))</f>
        <v/>
      </c>
      <c r="AF554" s="15">
        <f>IF(COUNT(AE554)=0,"",IF(Z554=0,"n.a.",AE554/Z554))</f>
        <v/>
      </c>
      <c r="AG554" s="12" t="n"/>
      <c r="AH554" s="14">
        <f>IF(OR(A554="",COUNT(Z554)=0,COUNT(AG554)=0),"",ROUND(Z554-AG554,2))</f>
        <v/>
      </c>
      <c r="AI554" s="21" t="n"/>
      <c r="AJ554" s="11">
        <f>IF(A554="","",IF(COUNT(I554)=0,"Enter approved NTE",IF(COUNT(Z554)&gt;0,IF(Z554&gt;I554,"Invoice exceeds NTE","Invoice within NTE"),IF(COUNT(L554)=0,"Enter quote inputs",IF(L554&gt;I554,"Quote exceeds NTE","Quote within NTE")))))</f>
        <v/>
      </c>
      <c r="AK554" s="11">
        <f>IF(A554="","",IF(COUNT(H554)=0,"Enter direct cost",IF(COUNT(Z554)=0,"Enter invoice revenue",IF(COUNT(AB554:AD554)&lt;3,"Enter expenses (0 if none)","Complete"))))</f>
        <v/>
      </c>
      <c r="AL554" s="11">
        <f>IF(A554="","",IF(NOT(AND(COUNT(AH554)=1,N(AH554)&gt;0.004,V554&lt;&gt;"Void",V554&lt;&gt;"Not invoiced",V554&lt;&gt;"Draft")),"",IF(COUNT(X554)=0,"No due date",IF(TODAY()-X554&lt;=0,"Not yet due",IF(TODAY()-X554&lt;=30,"1-30 days",IF(TODAY()-X554&lt;=60,"31-60 days",IF(TODAY()-X554&lt;=90,"61-90 days","Over 90 days")))))))</f>
        <v/>
      </c>
      <c r="AM554" s="49">
        <f>IF(OR(AL554="",AL554="No due date"),"",MAX(TODAY()-X554,0))</f>
        <v/>
      </c>
      <c r="AN554" s="49">
        <f>IF(AL554="","",IF(COUNT(X554)=0,-100000,TODAY()-X554))</f>
        <v/>
      </c>
      <c r="AO554" s="49">
        <f>IF(AN554="","",COUNTIF(AN$11:AN$1010,"&gt;"&amp;AN554)+COUNTIF(AN$11:AN554,AN554))</f>
        <v/>
      </c>
      <c r="AP554" s="49">
        <f>IF(OR(A554="",B554=""),"",IF(COUNTIF(B$11:B554,B554)=1,MAX(AP$10:AP553)+1,""))</f>
        <v/>
      </c>
    </row>
    <row r="555">
      <c r="A555" s="20" t="n"/>
      <c r="B555" s="10" t="n"/>
      <c r="C555" s="10" t="n"/>
      <c r="D555" s="10" t="n"/>
      <c r="E555" s="10" t="n"/>
      <c r="F555" s="18" t="n"/>
      <c r="G555" s="10" t="n"/>
      <c r="H555" s="12" t="n"/>
      <c r="I555" s="12" t="n"/>
      <c r="J555" s="13">
        <f>IF(OR(A555="",COUNT(H555)=0,COUNT(Z555)=0),"",ROUND(Z555-H555,2))</f>
        <v/>
      </c>
      <c r="K555" s="15">
        <f>IF(COUNT(J555)=0,"",IF(Z555=0,"n.a.",J555/Z555))</f>
        <v/>
      </c>
      <c r="L555" s="14">
        <f>IF(OR(A555="",COUNT(H555)=0,COUNT(Y555)=0),"",ROUND(H555*(1+Y555),2))</f>
        <v/>
      </c>
      <c r="M555" s="10" t="n"/>
      <c r="N555" s="10" t="n"/>
      <c r="O555" s="10" t="n"/>
      <c r="P555" s="10" t="n"/>
      <c r="Q555" s="20" t="n"/>
      <c r="R555" s="10" t="n"/>
      <c r="S555" s="10" t="n"/>
      <c r="T555" s="18" t="n"/>
      <c r="U555" s="18" t="n"/>
      <c r="V555" s="10" t="n"/>
      <c r="W555" s="10" t="n"/>
      <c r="X555" s="19">
        <f>IF(OR(A555="",COUNT(U555)=0,COUNT(AI555)=0),"",U555+AI555)</f>
        <v/>
      </c>
      <c r="Y555" s="16" t="n"/>
      <c r="Z555" s="12" t="n"/>
      <c r="AA555" s="17">
        <f>IF(COUNT(J555)=0,"",IF(H555=0,"n.a.",J555/H555))</f>
        <v/>
      </c>
      <c r="AB555" s="12" t="n"/>
      <c r="AC555" s="12" t="n"/>
      <c r="AD555" s="12" t="n"/>
      <c r="AE555" s="13">
        <f>IF(OR(COUNT(J555)=0,COUNT(AB555:AD555)&lt;3),"",ROUND(J555-SUM(AB555:AD555),2))</f>
        <v/>
      </c>
      <c r="AF555" s="15">
        <f>IF(COUNT(AE555)=0,"",IF(Z555=0,"n.a.",AE555/Z555))</f>
        <v/>
      </c>
      <c r="AG555" s="12" t="n"/>
      <c r="AH555" s="14">
        <f>IF(OR(A555="",COUNT(Z555)=0,COUNT(AG555)=0),"",ROUND(Z555-AG555,2))</f>
        <v/>
      </c>
      <c r="AI555" s="21" t="n"/>
      <c r="AJ555" s="11">
        <f>IF(A555="","",IF(COUNT(I555)=0,"Enter approved NTE",IF(COUNT(Z555)&gt;0,IF(Z555&gt;I555,"Invoice exceeds NTE","Invoice within NTE"),IF(COUNT(L555)=0,"Enter quote inputs",IF(L555&gt;I555,"Quote exceeds NTE","Quote within NTE")))))</f>
        <v/>
      </c>
      <c r="AK555" s="11">
        <f>IF(A555="","",IF(COUNT(H555)=0,"Enter direct cost",IF(COUNT(Z555)=0,"Enter invoice revenue",IF(COUNT(AB555:AD555)&lt;3,"Enter expenses (0 if none)","Complete"))))</f>
        <v/>
      </c>
      <c r="AL555" s="11">
        <f>IF(A555="","",IF(NOT(AND(COUNT(AH555)=1,N(AH555)&gt;0.004,V555&lt;&gt;"Void",V555&lt;&gt;"Not invoiced",V555&lt;&gt;"Draft")),"",IF(COUNT(X555)=0,"No due date",IF(TODAY()-X555&lt;=0,"Not yet due",IF(TODAY()-X555&lt;=30,"1-30 days",IF(TODAY()-X555&lt;=60,"31-60 days",IF(TODAY()-X555&lt;=90,"61-90 days","Over 90 days")))))))</f>
        <v/>
      </c>
      <c r="AM555" s="49">
        <f>IF(OR(AL555="",AL555="No due date"),"",MAX(TODAY()-X555,0))</f>
        <v/>
      </c>
      <c r="AN555" s="49">
        <f>IF(AL555="","",IF(COUNT(X555)=0,-100000,TODAY()-X555))</f>
        <v/>
      </c>
      <c r="AO555" s="49">
        <f>IF(AN555="","",COUNTIF(AN$11:AN$1010,"&gt;"&amp;AN555)+COUNTIF(AN$11:AN555,AN555))</f>
        <v/>
      </c>
      <c r="AP555" s="49">
        <f>IF(OR(A555="",B555=""),"",IF(COUNTIF(B$11:B555,B555)=1,MAX(AP$10:AP554)+1,""))</f>
        <v/>
      </c>
    </row>
    <row r="556">
      <c r="A556" s="20" t="n"/>
      <c r="B556" s="10" t="n"/>
      <c r="C556" s="10" t="n"/>
      <c r="D556" s="10" t="n"/>
      <c r="E556" s="10" t="n"/>
      <c r="F556" s="18" t="n"/>
      <c r="G556" s="10" t="n"/>
      <c r="H556" s="12" t="n"/>
      <c r="I556" s="12" t="n"/>
      <c r="J556" s="13">
        <f>IF(OR(A556="",COUNT(H556)=0,COUNT(Z556)=0),"",ROUND(Z556-H556,2))</f>
        <v/>
      </c>
      <c r="K556" s="15">
        <f>IF(COUNT(J556)=0,"",IF(Z556=0,"n.a.",J556/Z556))</f>
        <v/>
      </c>
      <c r="L556" s="14">
        <f>IF(OR(A556="",COUNT(H556)=0,COUNT(Y556)=0),"",ROUND(H556*(1+Y556),2))</f>
        <v/>
      </c>
      <c r="M556" s="10" t="n"/>
      <c r="N556" s="10" t="n"/>
      <c r="O556" s="10" t="n"/>
      <c r="P556" s="10" t="n"/>
      <c r="Q556" s="20" t="n"/>
      <c r="R556" s="10" t="n"/>
      <c r="S556" s="10" t="n"/>
      <c r="T556" s="18" t="n"/>
      <c r="U556" s="18" t="n"/>
      <c r="V556" s="10" t="n"/>
      <c r="W556" s="10" t="n"/>
      <c r="X556" s="19">
        <f>IF(OR(A556="",COUNT(U556)=0,COUNT(AI556)=0),"",U556+AI556)</f>
        <v/>
      </c>
      <c r="Y556" s="16" t="n"/>
      <c r="Z556" s="12" t="n"/>
      <c r="AA556" s="17">
        <f>IF(COUNT(J556)=0,"",IF(H556=0,"n.a.",J556/H556))</f>
        <v/>
      </c>
      <c r="AB556" s="12" t="n"/>
      <c r="AC556" s="12" t="n"/>
      <c r="AD556" s="12" t="n"/>
      <c r="AE556" s="13">
        <f>IF(OR(COUNT(J556)=0,COUNT(AB556:AD556)&lt;3),"",ROUND(J556-SUM(AB556:AD556),2))</f>
        <v/>
      </c>
      <c r="AF556" s="15">
        <f>IF(COUNT(AE556)=0,"",IF(Z556=0,"n.a.",AE556/Z556))</f>
        <v/>
      </c>
      <c r="AG556" s="12" t="n"/>
      <c r="AH556" s="14">
        <f>IF(OR(A556="",COUNT(Z556)=0,COUNT(AG556)=0),"",ROUND(Z556-AG556,2))</f>
        <v/>
      </c>
      <c r="AI556" s="21" t="n"/>
      <c r="AJ556" s="11">
        <f>IF(A556="","",IF(COUNT(I556)=0,"Enter approved NTE",IF(COUNT(Z556)&gt;0,IF(Z556&gt;I556,"Invoice exceeds NTE","Invoice within NTE"),IF(COUNT(L556)=0,"Enter quote inputs",IF(L556&gt;I556,"Quote exceeds NTE","Quote within NTE")))))</f>
        <v/>
      </c>
      <c r="AK556" s="11">
        <f>IF(A556="","",IF(COUNT(H556)=0,"Enter direct cost",IF(COUNT(Z556)=0,"Enter invoice revenue",IF(COUNT(AB556:AD556)&lt;3,"Enter expenses (0 if none)","Complete"))))</f>
        <v/>
      </c>
      <c r="AL556" s="11">
        <f>IF(A556="","",IF(NOT(AND(COUNT(AH556)=1,N(AH556)&gt;0.004,V556&lt;&gt;"Void",V556&lt;&gt;"Not invoiced",V556&lt;&gt;"Draft")),"",IF(COUNT(X556)=0,"No due date",IF(TODAY()-X556&lt;=0,"Not yet due",IF(TODAY()-X556&lt;=30,"1-30 days",IF(TODAY()-X556&lt;=60,"31-60 days",IF(TODAY()-X556&lt;=90,"61-90 days","Over 90 days")))))))</f>
        <v/>
      </c>
      <c r="AM556" s="49">
        <f>IF(OR(AL556="",AL556="No due date"),"",MAX(TODAY()-X556,0))</f>
        <v/>
      </c>
      <c r="AN556" s="49">
        <f>IF(AL556="","",IF(COUNT(X556)=0,-100000,TODAY()-X556))</f>
        <v/>
      </c>
      <c r="AO556" s="49">
        <f>IF(AN556="","",COUNTIF(AN$11:AN$1010,"&gt;"&amp;AN556)+COUNTIF(AN$11:AN556,AN556))</f>
        <v/>
      </c>
      <c r="AP556" s="49">
        <f>IF(OR(A556="",B556=""),"",IF(COUNTIF(B$11:B556,B556)=1,MAX(AP$10:AP555)+1,""))</f>
        <v/>
      </c>
    </row>
    <row r="557">
      <c r="A557" s="20" t="n"/>
      <c r="B557" s="10" t="n"/>
      <c r="C557" s="10" t="n"/>
      <c r="D557" s="10" t="n"/>
      <c r="E557" s="10" t="n"/>
      <c r="F557" s="18" t="n"/>
      <c r="G557" s="10" t="n"/>
      <c r="H557" s="12" t="n"/>
      <c r="I557" s="12" t="n"/>
      <c r="J557" s="13">
        <f>IF(OR(A557="",COUNT(H557)=0,COUNT(Z557)=0),"",ROUND(Z557-H557,2))</f>
        <v/>
      </c>
      <c r="K557" s="15">
        <f>IF(COUNT(J557)=0,"",IF(Z557=0,"n.a.",J557/Z557))</f>
        <v/>
      </c>
      <c r="L557" s="14">
        <f>IF(OR(A557="",COUNT(H557)=0,COUNT(Y557)=0),"",ROUND(H557*(1+Y557),2))</f>
        <v/>
      </c>
      <c r="M557" s="10" t="n"/>
      <c r="N557" s="10" t="n"/>
      <c r="O557" s="10" t="n"/>
      <c r="P557" s="10" t="n"/>
      <c r="Q557" s="20" t="n"/>
      <c r="R557" s="10" t="n"/>
      <c r="S557" s="10" t="n"/>
      <c r="T557" s="18" t="n"/>
      <c r="U557" s="18" t="n"/>
      <c r="V557" s="10" t="n"/>
      <c r="W557" s="10" t="n"/>
      <c r="X557" s="19">
        <f>IF(OR(A557="",COUNT(U557)=0,COUNT(AI557)=0),"",U557+AI557)</f>
        <v/>
      </c>
      <c r="Y557" s="16" t="n"/>
      <c r="Z557" s="12" t="n"/>
      <c r="AA557" s="17">
        <f>IF(COUNT(J557)=0,"",IF(H557=0,"n.a.",J557/H557))</f>
        <v/>
      </c>
      <c r="AB557" s="12" t="n"/>
      <c r="AC557" s="12" t="n"/>
      <c r="AD557" s="12" t="n"/>
      <c r="AE557" s="13">
        <f>IF(OR(COUNT(J557)=0,COUNT(AB557:AD557)&lt;3),"",ROUND(J557-SUM(AB557:AD557),2))</f>
        <v/>
      </c>
      <c r="AF557" s="15">
        <f>IF(COUNT(AE557)=0,"",IF(Z557=0,"n.a.",AE557/Z557))</f>
        <v/>
      </c>
      <c r="AG557" s="12" t="n"/>
      <c r="AH557" s="14">
        <f>IF(OR(A557="",COUNT(Z557)=0,COUNT(AG557)=0),"",ROUND(Z557-AG557,2))</f>
        <v/>
      </c>
      <c r="AI557" s="21" t="n"/>
      <c r="AJ557" s="11">
        <f>IF(A557="","",IF(COUNT(I557)=0,"Enter approved NTE",IF(COUNT(Z557)&gt;0,IF(Z557&gt;I557,"Invoice exceeds NTE","Invoice within NTE"),IF(COUNT(L557)=0,"Enter quote inputs",IF(L557&gt;I557,"Quote exceeds NTE","Quote within NTE")))))</f>
        <v/>
      </c>
      <c r="AK557" s="11">
        <f>IF(A557="","",IF(COUNT(H557)=0,"Enter direct cost",IF(COUNT(Z557)=0,"Enter invoice revenue",IF(COUNT(AB557:AD557)&lt;3,"Enter expenses (0 if none)","Complete"))))</f>
        <v/>
      </c>
      <c r="AL557" s="11">
        <f>IF(A557="","",IF(NOT(AND(COUNT(AH557)=1,N(AH557)&gt;0.004,V557&lt;&gt;"Void",V557&lt;&gt;"Not invoiced",V557&lt;&gt;"Draft")),"",IF(COUNT(X557)=0,"No due date",IF(TODAY()-X557&lt;=0,"Not yet due",IF(TODAY()-X557&lt;=30,"1-30 days",IF(TODAY()-X557&lt;=60,"31-60 days",IF(TODAY()-X557&lt;=90,"61-90 days","Over 90 days")))))))</f>
        <v/>
      </c>
      <c r="AM557" s="49">
        <f>IF(OR(AL557="",AL557="No due date"),"",MAX(TODAY()-X557,0))</f>
        <v/>
      </c>
      <c r="AN557" s="49">
        <f>IF(AL557="","",IF(COUNT(X557)=0,-100000,TODAY()-X557))</f>
        <v/>
      </c>
      <c r="AO557" s="49">
        <f>IF(AN557="","",COUNTIF(AN$11:AN$1010,"&gt;"&amp;AN557)+COUNTIF(AN$11:AN557,AN557))</f>
        <v/>
      </c>
      <c r="AP557" s="49">
        <f>IF(OR(A557="",B557=""),"",IF(COUNTIF(B$11:B557,B557)=1,MAX(AP$10:AP556)+1,""))</f>
        <v/>
      </c>
    </row>
    <row r="558">
      <c r="A558" s="20" t="n"/>
      <c r="B558" s="10" t="n"/>
      <c r="C558" s="10" t="n"/>
      <c r="D558" s="10" t="n"/>
      <c r="E558" s="10" t="n"/>
      <c r="F558" s="18" t="n"/>
      <c r="G558" s="10" t="n"/>
      <c r="H558" s="12" t="n"/>
      <c r="I558" s="12" t="n"/>
      <c r="J558" s="13">
        <f>IF(OR(A558="",COUNT(H558)=0,COUNT(Z558)=0),"",ROUND(Z558-H558,2))</f>
        <v/>
      </c>
      <c r="K558" s="15">
        <f>IF(COUNT(J558)=0,"",IF(Z558=0,"n.a.",J558/Z558))</f>
        <v/>
      </c>
      <c r="L558" s="14">
        <f>IF(OR(A558="",COUNT(H558)=0,COUNT(Y558)=0),"",ROUND(H558*(1+Y558),2))</f>
        <v/>
      </c>
      <c r="M558" s="10" t="n"/>
      <c r="N558" s="10" t="n"/>
      <c r="O558" s="10" t="n"/>
      <c r="P558" s="10" t="n"/>
      <c r="Q558" s="20" t="n"/>
      <c r="R558" s="10" t="n"/>
      <c r="S558" s="10" t="n"/>
      <c r="T558" s="18" t="n"/>
      <c r="U558" s="18" t="n"/>
      <c r="V558" s="10" t="n"/>
      <c r="W558" s="10" t="n"/>
      <c r="X558" s="19">
        <f>IF(OR(A558="",COUNT(U558)=0,COUNT(AI558)=0),"",U558+AI558)</f>
        <v/>
      </c>
      <c r="Y558" s="16" t="n"/>
      <c r="Z558" s="12" t="n"/>
      <c r="AA558" s="17">
        <f>IF(COUNT(J558)=0,"",IF(H558=0,"n.a.",J558/H558))</f>
        <v/>
      </c>
      <c r="AB558" s="12" t="n"/>
      <c r="AC558" s="12" t="n"/>
      <c r="AD558" s="12" t="n"/>
      <c r="AE558" s="13">
        <f>IF(OR(COUNT(J558)=0,COUNT(AB558:AD558)&lt;3),"",ROUND(J558-SUM(AB558:AD558),2))</f>
        <v/>
      </c>
      <c r="AF558" s="15">
        <f>IF(COUNT(AE558)=0,"",IF(Z558=0,"n.a.",AE558/Z558))</f>
        <v/>
      </c>
      <c r="AG558" s="12" t="n"/>
      <c r="AH558" s="14">
        <f>IF(OR(A558="",COUNT(Z558)=0,COUNT(AG558)=0),"",ROUND(Z558-AG558,2))</f>
        <v/>
      </c>
      <c r="AI558" s="21" t="n"/>
      <c r="AJ558" s="11">
        <f>IF(A558="","",IF(COUNT(I558)=0,"Enter approved NTE",IF(COUNT(Z558)&gt;0,IF(Z558&gt;I558,"Invoice exceeds NTE","Invoice within NTE"),IF(COUNT(L558)=0,"Enter quote inputs",IF(L558&gt;I558,"Quote exceeds NTE","Quote within NTE")))))</f>
        <v/>
      </c>
      <c r="AK558" s="11">
        <f>IF(A558="","",IF(COUNT(H558)=0,"Enter direct cost",IF(COUNT(Z558)=0,"Enter invoice revenue",IF(COUNT(AB558:AD558)&lt;3,"Enter expenses (0 if none)","Complete"))))</f>
        <v/>
      </c>
      <c r="AL558" s="11">
        <f>IF(A558="","",IF(NOT(AND(COUNT(AH558)=1,N(AH558)&gt;0.004,V558&lt;&gt;"Void",V558&lt;&gt;"Not invoiced",V558&lt;&gt;"Draft")),"",IF(COUNT(X558)=0,"No due date",IF(TODAY()-X558&lt;=0,"Not yet due",IF(TODAY()-X558&lt;=30,"1-30 days",IF(TODAY()-X558&lt;=60,"31-60 days",IF(TODAY()-X558&lt;=90,"61-90 days","Over 90 days")))))))</f>
        <v/>
      </c>
      <c r="AM558" s="49">
        <f>IF(OR(AL558="",AL558="No due date"),"",MAX(TODAY()-X558,0))</f>
        <v/>
      </c>
      <c r="AN558" s="49">
        <f>IF(AL558="","",IF(COUNT(X558)=0,-100000,TODAY()-X558))</f>
        <v/>
      </c>
      <c r="AO558" s="49">
        <f>IF(AN558="","",COUNTIF(AN$11:AN$1010,"&gt;"&amp;AN558)+COUNTIF(AN$11:AN558,AN558))</f>
        <v/>
      </c>
      <c r="AP558" s="49">
        <f>IF(OR(A558="",B558=""),"",IF(COUNTIF(B$11:B558,B558)=1,MAX(AP$10:AP557)+1,""))</f>
        <v/>
      </c>
    </row>
    <row r="559">
      <c r="A559" s="20" t="n"/>
      <c r="B559" s="10" t="n"/>
      <c r="C559" s="10" t="n"/>
      <c r="D559" s="10" t="n"/>
      <c r="E559" s="10" t="n"/>
      <c r="F559" s="18" t="n"/>
      <c r="G559" s="10" t="n"/>
      <c r="H559" s="12" t="n"/>
      <c r="I559" s="12" t="n"/>
      <c r="J559" s="13">
        <f>IF(OR(A559="",COUNT(H559)=0,COUNT(Z559)=0),"",ROUND(Z559-H559,2))</f>
        <v/>
      </c>
      <c r="K559" s="15">
        <f>IF(COUNT(J559)=0,"",IF(Z559=0,"n.a.",J559/Z559))</f>
        <v/>
      </c>
      <c r="L559" s="14">
        <f>IF(OR(A559="",COUNT(H559)=0,COUNT(Y559)=0),"",ROUND(H559*(1+Y559),2))</f>
        <v/>
      </c>
      <c r="M559" s="10" t="n"/>
      <c r="N559" s="10" t="n"/>
      <c r="O559" s="10" t="n"/>
      <c r="P559" s="10" t="n"/>
      <c r="Q559" s="20" t="n"/>
      <c r="R559" s="10" t="n"/>
      <c r="S559" s="10" t="n"/>
      <c r="T559" s="18" t="n"/>
      <c r="U559" s="18" t="n"/>
      <c r="V559" s="10" t="n"/>
      <c r="W559" s="10" t="n"/>
      <c r="X559" s="19">
        <f>IF(OR(A559="",COUNT(U559)=0,COUNT(AI559)=0),"",U559+AI559)</f>
        <v/>
      </c>
      <c r="Y559" s="16" t="n"/>
      <c r="Z559" s="12" t="n"/>
      <c r="AA559" s="17">
        <f>IF(COUNT(J559)=0,"",IF(H559=0,"n.a.",J559/H559))</f>
        <v/>
      </c>
      <c r="AB559" s="12" t="n"/>
      <c r="AC559" s="12" t="n"/>
      <c r="AD559" s="12" t="n"/>
      <c r="AE559" s="13">
        <f>IF(OR(COUNT(J559)=0,COUNT(AB559:AD559)&lt;3),"",ROUND(J559-SUM(AB559:AD559),2))</f>
        <v/>
      </c>
      <c r="AF559" s="15">
        <f>IF(COUNT(AE559)=0,"",IF(Z559=0,"n.a.",AE559/Z559))</f>
        <v/>
      </c>
      <c r="AG559" s="12" t="n"/>
      <c r="AH559" s="14">
        <f>IF(OR(A559="",COUNT(Z559)=0,COUNT(AG559)=0),"",ROUND(Z559-AG559,2))</f>
        <v/>
      </c>
      <c r="AI559" s="21" t="n"/>
      <c r="AJ559" s="11">
        <f>IF(A559="","",IF(COUNT(I559)=0,"Enter approved NTE",IF(COUNT(Z559)&gt;0,IF(Z559&gt;I559,"Invoice exceeds NTE","Invoice within NTE"),IF(COUNT(L559)=0,"Enter quote inputs",IF(L559&gt;I559,"Quote exceeds NTE","Quote within NTE")))))</f>
        <v/>
      </c>
      <c r="AK559" s="11">
        <f>IF(A559="","",IF(COUNT(H559)=0,"Enter direct cost",IF(COUNT(Z559)=0,"Enter invoice revenue",IF(COUNT(AB559:AD559)&lt;3,"Enter expenses (0 if none)","Complete"))))</f>
        <v/>
      </c>
      <c r="AL559" s="11">
        <f>IF(A559="","",IF(NOT(AND(COUNT(AH559)=1,N(AH559)&gt;0.004,V559&lt;&gt;"Void",V559&lt;&gt;"Not invoiced",V559&lt;&gt;"Draft")),"",IF(COUNT(X559)=0,"No due date",IF(TODAY()-X559&lt;=0,"Not yet due",IF(TODAY()-X559&lt;=30,"1-30 days",IF(TODAY()-X559&lt;=60,"31-60 days",IF(TODAY()-X559&lt;=90,"61-90 days","Over 90 days")))))))</f>
        <v/>
      </c>
      <c r="AM559" s="49">
        <f>IF(OR(AL559="",AL559="No due date"),"",MAX(TODAY()-X559,0))</f>
        <v/>
      </c>
      <c r="AN559" s="49">
        <f>IF(AL559="","",IF(COUNT(X559)=0,-100000,TODAY()-X559))</f>
        <v/>
      </c>
      <c r="AO559" s="49">
        <f>IF(AN559="","",COUNTIF(AN$11:AN$1010,"&gt;"&amp;AN559)+COUNTIF(AN$11:AN559,AN559))</f>
        <v/>
      </c>
      <c r="AP559" s="49">
        <f>IF(OR(A559="",B559=""),"",IF(COUNTIF(B$11:B559,B559)=1,MAX(AP$10:AP558)+1,""))</f>
        <v/>
      </c>
    </row>
    <row r="560">
      <c r="A560" s="20" t="n"/>
      <c r="B560" s="10" t="n"/>
      <c r="C560" s="10" t="n"/>
      <c r="D560" s="10" t="n"/>
      <c r="E560" s="10" t="n"/>
      <c r="F560" s="18" t="n"/>
      <c r="G560" s="10" t="n"/>
      <c r="H560" s="12" t="n"/>
      <c r="I560" s="12" t="n"/>
      <c r="J560" s="13">
        <f>IF(OR(A560="",COUNT(H560)=0,COUNT(Z560)=0),"",ROUND(Z560-H560,2))</f>
        <v/>
      </c>
      <c r="K560" s="15">
        <f>IF(COUNT(J560)=0,"",IF(Z560=0,"n.a.",J560/Z560))</f>
        <v/>
      </c>
      <c r="L560" s="14">
        <f>IF(OR(A560="",COUNT(H560)=0,COUNT(Y560)=0),"",ROUND(H560*(1+Y560),2))</f>
        <v/>
      </c>
      <c r="M560" s="10" t="n"/>
      <c r="N560" s="10" t="n"/>
      <c r="O560" s="10" t="n"/>
      <c r="P560" s="10" t="n"/>
      <c r="Q560" s="20" t="n"/>
      <c r="R560" s="10" t="n"/>
      <c r="S560" s="10" t="n"/>
      <c r="T560" s="18" t="n"/>
      <c r="U560" s="18" t="n"/>
      <c r="V560" s="10" t="n"/>
      <c r="W560" s="10" t="n"/>
      <c r="X560" s="19">
        <f>IF(OR(A560="",COUNT(U560)=0,COUNT(AI560)=0),"",U560+AI560)</f>
        <v/>
      </c>
      <c r="Y560" s="16" t="n"/>
      <c r="Z560" s="12" t="n"/>
      <c r="AA560" s="17">
        <f>IF(COUNT(J560)=0,"",IF(H560=0,"n.a.",J560/H560))</f>
        <v/>
      </c>
      <c r="AB560" s="12" t="n"/>
      <c r="AC560" s="12" t="n"/>
      <c r="AD560" s="12" t="n"/>
      <c r="AE560" s="13">
        <f>IF(OR(COUNT(J560)=0,COUNT(AB560:AD560)&lt;3),"",ROUND(J560-SUM(AB560:AD560),2))</f>
        <v/>
      </c>
      <c r="AF560" s="15">
        <f>IF(COUNT(AE560)=0,"",IF(Z560=0,"n.a.",AE560/Z560))</f>
        <v/>
      </c>
      <c r="AG560" s="12" t="n"/>
      <c r="AH560" s="14">
        <f>IF(OR(A560="",COUNT(Z560)=0,COUNT(AG560)=0),"",ROUND(Z560-AG560,2))</f>
        <v/>
      </c>
      <c r="AI560" s="21" t="n"/>
      <c r="AJ560" s="11">
        <f>IF(A560="","",IF(COUNT(I560)=0,"Enter approved NTE",IF(COUNT(Z560)&gt;0,IF(Z560&gt;I560,"Invoice exceeds NTE","Invoice within NTE"),IF(COUNT(L560)=0,"Enter quote inputs",IF(L560&gt;I560,"Quote exceeds NTE","Quote within NTE")))))</f>
        <v/>
      </c>
      <c r="AK560" s="11">
        <f>IF(A560="","",IF(COUNT(H560)=0,"Enter direct cost",IF(COUNT(Z560)=0,"Enter invoice revenue",IF(COUNT(AB560:AD560)&lt;3,"Enter expenses (0 if none)","Complete"))))</f>
        <v/>
      </c>
      <c r="AL560" s="11">
        <f>IF(A560="","",IF(NOT(AND(COUNT(AH560)=1,N(AH560)&gt;0.004,V560&lt;&gt;"Void",V560&lt;&gt;"Not invoiced",V560&lt;&gt;"Draft")),"",IF(COUNT(X560)=0,"No due date",IF(TODAY()-X560&lt;=0,"Not yet due",IF(TODAY()-X560&lt;=30,"1-30 days",IF(TODAY()-X560&lt;=60,"31-60 days",IF(TODAY()-X560&lt;=90,"61-90 days","Over 90 days")))))))</f>
        <v/>
      </c>
      <c r="AM560" s="49">
        <f>IF(OR(AL560="",AL560="No due date"),"",MAX(TODAY()-X560,0))</f>
        <v/>
      </c>
      <c r="AN560" s="49">
        <f>IF(AL560="","",IF(COUNT(X560)=0,-100000,TODAY()-X560))</f>
        <v/>
      </c>
      <c r="AO560" s="49">
        <f>IF(AN560="","",COUNTIF(AN$11:AN$1010,"&gt;"&amp;AN560)+COUNTIF(AN$11:AN560,AN560))</f>
        <v/>
      </c>
      <c r="AP560" s="49">
        <f>IF(OR(A560="",B560=""),"",IF(COUNTIF(B$11:B560,B560)=1,MAX(AP$10:AP559)+1,""))</f>
        <v/>
      </c>
    </row>
    <row r="561">
      <c r="A561" s="20" t="n"/>
      <c r="B561" s="10" t="n"/>
      <c r="C561" s="10" t="n"/>
      <c r="D561" s="10" t="n"/>
      <c r="E561" s="10" t="n"/>
      <c r="F561" s="18" t="n"/>
      <c r="G561" s="10" t="n"/>
      <c r="H561" s="12" t="n"/>
      <c r="I561" s="12" t="n"/>
      <c r="J561" s="13">
        <f>IF(OR(A561="",COUNT(H561)=0,COUNT(Z561)=0),"",ROUND(Z561-H561,2))</f>
        <v/>
      </c>
      <c r="K561" s="15">
        <f>IF(COUNT(J561)=0,"",IF(Z561=0,"n.a.",J561/Z561))</f>
        <v/>
      </c>
      <c r="L561" s="14">
        <f>IF(OR(A561="",COUNT(H561)=0,COUNT(Y561)=0),"",ROUND(H561*(1+Y561),2))</f>
        <v/>
      </c>
      <c r="M561" s="10" t="n"/>
      <c r="N561" s="10" t="n"/>
      <c r="O561" s="10" t="n"/>
      <c r="P561" s="10" t="n"/>
      <c r="Q561" s="20" t="n"/>
      <c r="R561" s="10" t="n"/>
      <c r="S561" s="10" t="n"/>
      <c r="T561" s="18" t="n"/>
      <c r="U561" s="18" t="n"/>
      <c r="V561" s="10" t="n"/>
      <c r="W561" s="10" t="n"/>
      <c r="X561" s="19">
        <f>IF(OR(A561="",COUNT(U561)=0,COUNT(AI561)=0),"",U561+AI561)</f>
        <v/>
      </c>
      <c r="Y561" s="16" t="n"/>
      <c r="Z561" s="12" t="n"/>
      <c r="AA561" s="17">
        <f>IF(COUNT(J561)=0,"",IF(H561=0,"n.a.",J561/H561))</f>
        <v/>
      </c>
      <c r="AB561" s="12" t="n"/>
      <c r="AC561" s="12" t="n"/>
      <c r="AD561" s="12" t="n"/>
      <c r="AE561" s="13">
        <f>IF(OR(COUNT(J561)=0,COUNT(AB561:AD561)&lt;3),"",ROUND(J561-SUM(AB561:AD561),2))</f>
        <v/>
      </c>
      <c r="AF561" s="15">
        <f>IF(COUNT(AE561)=0,"",IF(Z561=0,"n.a.",AE561/Z561))</f>
        <v/>
      </c>
      <c r="AG561" s="12" t="n"/>
      <c r="AH561" s="14">
        <f>IF(OR(A561="",COUNT(Z561)=0,COUNT(AG561)=0),"",ROUND(Z561-AG561,2))</f>
        <v/>
      </c>
      <c r="AI561" s="21" t="n"/>
      <c r="AJ561" s="11">
        <f>IF(A561="","",IF(COUNT(I561)=0,"Enter approved NTE",IF(COUNT(Z561)&gt;0,IF(Z561&gt;I561,"Invoice exceeds NTE","Invoice within NTE"),IF(COUNT(L561)=0,"Enter quote inputs",IF(L561&gt;I561,"Quote exceeds NTE","Quote within NTE")))))</f>
        <v/>
      </c>
      <c r="AK561" s="11">
        <f>IF(A561="","",IF(COUNT(H561)=0,"Enter direct cost",IF(COUNT(Z561)=0,"Enter invoice revenue",IF(COUNT(AB561:AD561)&lt;3,"Enter expenses (0 if none)","Complete"))))</f>
        <v/>
      </c>
      <c r="AL561" s="11">
        <f>IF(A561="","",IF(NOT(AND(COUNT(AH561)=1,N(AH561)&gt;0.004,V561&lt;&gt;"Void",V561&lt;&gt;"Not invoiced",V561&lt;&gt;"Draft")),"",IF(COUNT(X561)=0,"No due date",IF(TODAY()-X561&lt;=0,"Not yet due",IF(TODAY()-X561&lt;=30,"1-30 days",IF(TODAY()-X561&lt;=60,"31-60 days",IF(TODAY()-X561&lt;=90,"61-90 days","Over 90 days")))))))</f>
        <v/>
      </c>
      <c r="AM561" s="49">
        <f>IF(OR(AL561="",AL561="No due date"),"",MAX(TODAY()-X561,0))</f>
        <v/>
      </c>
      <c r="AN561" s="49">
        <f>IF(AL561="","",IF(COUNT(X561)=0,-100000,TODAY()-X561))</f>
        <v/>
      </c>
      <c r="AO561" s="49">
        <f>IF(AN561="","",COUNTIF(AN$11:AN$1010,"&gt;"&amp;AN561)+COUNTIF(AN$11:AN561,AN561))</f>
        <v/>
      </c>
      <c r="AP561" s="49">
        <f>IF(OR(A561="",B561=""),"",IF(COUNTIF(B$11:B561,B561)=1,MAX(AP$10:AP560)+1,""))</f>
        <v/>
      </c>
    </row>
    <row r="562">
      <c r="A562" s="20" t="n"/>
      <c r="B562" s="10" t="n"/>
      <c r="C562" s="10" t="n"/>
      <c r="D562" s="10" t="n"/>
      <c r="E562" s="10" t="n"/>
      <c r="F562" s="18" t="n"/>
      <c r="G562" s="10" t="n"/>
      <c r="H562" s="12" t="n"/>
      <c r="I562" s="12" t="n"/>
      <c r="J562" s="13">
        <f>IF(OR(A562="",COUNT(H562)=0,COUNT(Z562)=0),"",ROUND(Z562-H562,2))</f>
        <v/>
      </c>
      <c r="K562" s="15">
        <f>IF(COUNT(J562)=0,"",IF(Z562=0,"n.a.",J562/Z562))</f>
        <v/>
      </c>
      <c r="L562" s="14">
        <f>IF(OR(A562="",COUNT(H562)=0,COUNT(Y562)=0),"",ROUND(H562*(1+Y562),2))</f>
        <v/>
      </c>
      <c r="M562" s="10" t="n"/>
      <c r="N562" s="10" t="n"/>
      <c r="O562" s="10" t="n"/>
      <c r="P562" s="10" t="n"/>
      <c r="Q562" s="20" t="n"/>
      <c r="R562" s="10" t="n"/>
      <c r="S562" s="10" t="n"/>
      <c r="T562" s="18" t="n"/>
      <c r="U562" s="18" t="n"/>
      <c r="V562" s="10" t="n"/>
      <c r="W562" s="10" t="n"/>
      <c r="X562" s="19">
        <f>IF(OR(A562="",COUNT(U562)=0,COUNT(AI562)=0),"",U562+AI562)</f>
        <v/>
      </c>
      <c r="Y562" s="16" t="n"/>
      <c r="Z562" s="12" t="n"/>
      <c r="AA562" s="17">
        <f>IF(COUNT(J562)=0,"",IF(H562=0,"n.a.",J562/H562))</f>
        <v/>
      </c>
      <c r="AB562" s="12" t="n"/>
      <c r="AC562" s="12" t="n"/>
      <c r="AD562" s="12" t="n"/>
      <c r="AE562" s="13">
        <f>IF(OR(COUNT(J562)=0,COUNT(AB562:AD562)&lt;3),"",ROUND(J562-SUM(AB562:AD562),2))</f>
        <v/>
      </c>
      <c r="AF562" s="15">
        <f>IF(COUNT(AE562)=0,"",IF(Z562=0,"n.a.",AE562/Z562))</f>
        <v/>
      </c>
      <c r="AG562" s="12" t="n"/>
      <c r="AH562" s="14">
        <f>IF(OR(A562="",COUNT(Z562)=0,COUNT(AG562)=0),"",ROUND(Z562-AG562,2))</f>
        <v/>
      </c>
      <c r="AI562" s="21" t="n"/>
      <c r="AJ562" s="11">
        <f>IF(A562="","",IF(COUNT(I562)=0,"Enter approved NTE",IF(COUNT(Z562)&gt;0,IF(Z562&gt;I562,"Invoice exceeds NTE","Invoice within NTE"),IF(COUNT(L562)=0,"Enter quote inputs",IF(L562&gt;I562,"Quote exceeds NTE","Quote within NTE")))))</f>
        <v/>
      </c>
      <c r="AK562" s="11">
        <f>IF(A562="","",IF(COUNT(H562)=0,"Enter direct cost",IF(COUNT(Z562)=0,"Enter invoice revenue",IF(COUNT(AB562:AD562)&lt;3,"Enter expenses (0 if none)","Complete"))))</f>
        <v/>
      </c>
      <c r="AL562" s="11">
        <f>IF(A562="","",IF(NOT(AND(COUNT(AH562)=1,N(AH562)&gt;0.004,V562&lt;&gt;"Void",V562&lt;&gt;"Not invoiced",V562&lt;&gt;"Draft")),"",IF(COUNT(X562)=0,"No due date",IF(TODAY()-X562&lt;=0,"Not yet due",IF(TODAY()-X562&lt;=30,"1-30 days",IF(TODAY()-X562&lt;=60,"31-60 days",IF(TODAY()-X562&lt;=90,"61-90 days","Over 90 days")))))))</f>
        <v/>
      </c>
      <c r="AM562" s="49">
        <f>IF(OR(AL562="",AL562="No due date"),"",MAX(TODAY()-X562,0))</f>
        <v/>
      </c>
      <c r="AN562" s="49">
        <f>IF(AL562="","",IF(COUNT(X562)=0,-100000,TODAY()-X562))</f>
        <v/>
      </c>
      <c r="AO562" s="49">
        <f>IF(AN562="","",COUNTIF(AN$11:AN$1010,"&gt;"&amp;AN562)+COUNTIF(AN$11:AN562,AN562))</f>
        <v/>
      </c>
      <c r="AP562" s="49">
        <f>IF(OR(A562="",B562=""),"",IF(COUNTIF(B$11:B562,B562)=1,MAX(AP$10:AP561)+1,""))</f>
        <v/>
      </c>
    </row>
    <row r="563">
      <c r="A563" s="20" t="n"/>
      <c r="B563" s="10" t="n"/>
      <c r="C563" s="10" t="n"/>
      <c r="D563" s="10" t="n"/>
      <c r="E563" s="10" t="n"/>
      <c r="F563" s="18" t="n"/>
      <c r="G563" s="10" t="n"/>
      <c r="H563" s="12" t="n"/>
      <c r="I563" s="12" t="n"/>
      <c r="J563" s="13">
        <f>IF(OR(A563="",COUNT(H563)=0,COUNT(Z563)=0),"",ROUND(Z563-H563,2))</f>
        <v/>
      </c>
      <c r="K563" s="15">
        <f>IF(COUNT(J563)=0,"",IF(Z563=0,"n.a.",J563/Z563))</f>
        <v/>
      </c>
      <c r="L563" s="14">
        <f>IF(OR(A563="",COUNT(H563)=0,COUNT(Y563)=0),"",ROUND(H563*(1+Y563),2))</f>
        <v/>
      </c>
      <c r="M563" s="10" t="n"/>
      <c r="N563" s="10" t="n"/>
      <c r="O563" s="10" t="n"/>
      <c r="P563" s="10" t="n"/>
      <c r="Q563" s="20" t="n"/>
      <c r="R563" s="10" t="n"/>
      <c r="S563" s="10" t="n"/>
      <c r="T563" s="18" t="n"/>
      <c r="U563" s="18" t="n"/>
      <c r="V563" s="10" t="n"/>
      <c r="W563" s="10" t="n"/>
      <c r="X563" s="19">
        <f>IF(OR(A563="",COUNT(U563)=0,COUNT(AI563)=0),"",U563+AI563)</f>
        <v/>
      </c>
      <c r="Y563" s="16" t="n"/>
      <c r="Z563" s="12" t="n"/>
      <c r="AA563" s="17">
        <f>IF(COUNT(J563)=0,"",IF(H563=0,"n.a.",J563/H563))</f>
        <v/>
      </c>
      <c r="AB563" s="12" t="n"/>
      <c r="AC563" s="12" t="n"/>
      <c r="AD563" s="12" t="n"/>
      <c r="AE563" s="13">
        <f>IF(OR(COUNT(J563)=0,COUNT(AB563:AD563)&lt;3),"",ROUND(J563-SUM(AB563:AD563),2))</f>
        <v/>
      </c>
      <c r="AF563" s="15">
        <f>IF(COUNT(AE563)=0,"",IF(Z563=0,"n.a.",AE563/Z563))</f>
        <v/>
      </c>
      <c r="AG563" s="12" t="n"/>
      <c r="AH563" s="14">
        <f>IF(OR(A563="",COUNT(Z563)=0,COUNT(AG563)=0),"",ROUND(Z563-AG563,2))</f>
        <v/>
      </c>
      <c r="AI563" s="21" t="n"/>
      <c r="AJ563" s="11">
        <f>IF(A563="","",IF(COUNT(I563)=0,"Enter approved NTE",IF(COUNT(Z563)&gt;0,IF(Z563&gt;I563,"Invoice exceeds NTE","Invoice within NTE"),IF(COUNT(L563)=0,"Enter quote inputs",IF(L563&gt;I563,"Quote exceeds NTE","Quote within NTE")))))</f>
        <v/>
      </c>
      <c r="AK563" s="11">
        <f>IF(A563="","",IF(COUNT(H563)=0,"Enter direct cost",IF(COUNT(Z563)=0,"Enter invoice revenue",IF(COUNT(AB563:AD563)&lt;3,"Enter expenses (0 if none)","Complete"))))</f>
        <v/>
      </c>
      <c r="AL563" s="11">
        <f>IF(A563="","",IF(NOT(AND(COUNT(AH563)=1,N(AH563)&gt;0.004,V563&lt;&gt;"Void",V563&lt;&gt;"Not invoiced",V563&lt;&gt;"Draft")),"",IF(COUNT(X563)=0,"No due date",IF(TODAY()-X563&lt;=0,"Not yet due",IF(TODAY()-X563&lt;=30,"1-30 days",IF(TODAY()-X563&lt;=60,"31-60 days",IF(TODAY()-X563&lt;=90,"61-90 days","Over 90 days")))))))</f>
        <v/>
      </c>
      <c r="AM563" s="49">
        <f>IF(OR(AL563="",AL563="No due date"),"",MAX(TODAY()-X563,0))</f>
        <v/>
      </c>
      <c r="AN563" s="49">
        <f>IF(AL563="","",IF(COUNT(X563)=0,-100000,TODAY()-X563))</f>
        <v/>
      </c>
      <c r="AO563" s="49">
        <f>IF(AN563="","",COUNTIF(AN$11:AN$1010,"&gt;"&amp;AN563)+COUNTIF(AN$11:AN563,AN563))</f>
        <v/>
      </c>
      <c r="AP563" s="49">
        <f>IF(OR(A563="",B563=""),"",IF(COUNTIF(B$11:B563,B563)=1,MAX(AP$10:AP562)+1,""))</f>
        <v/>
      </c>
    </row>
    <row r="564">
      <c r="A564" s="20" t="n"/>
      <c r="B564" s="10" t="n"/>
      <c r="C564" s="10" t="n"/>
      <c r="D564" s="10" t="n"/>
      <c r="E564" s="10" t="n"/>
      <c r="F564" s="18" t="n"/>
      <c r="G564" s="10" t="n"/>
      <c r="H564" s="12" t="n"/>
      <c r="I564" s="12" t="n"/>
      <c r="J564" s="13">
        <f>IF(OR(A564="",COUNT(H564)=0,COUNT(Z564)=0),"",ROUND(Z564-H564,2))</f>
        <v/>
      </c>
      <c r="K564" s="15">
        <f>IF(COUNT(J564)=0,"",IF(Z564=0,"n.a.",J564/Z564))</f>
        <v/>
      </c>
      <c r="L564" s="14">
        <f>IF(OR(A564="",COUNT(H564)=0,COUNT(Y564)=0),"",ROUND(H564*(1+Y564),2))</f>
        <v/>
      </c>
      <c r="M564" s="10" t="n"/>
      <c r="N564" s="10" t="n"/>
      <c r="O564" s="10" t="n"/>
      <c r="P564" s="10" t="n"/>
      <c r="Q564" s="20" t="n"/>
      <c r="R564" s="10" t="n"/>
      <c r="S564" s="10" t="n"/>
      <c r="T564" s="18" t="n"/>
      <c r="U564" s="18" t="n"/>
      <c r="V564" s="10" t="n"/>
      <c r="W564" s="10" t="n"/>
      <c r="X564" s="19">
        <f>IF(OR(A564="",COUNT(U564)=0,COUNT(AI564)=0),"",U564+AI564)</f>
        <v/>
      </c>
      <c r="Y564" s="16" t="n"/>
      <c r="Z564" s="12" t="n"/>
      <c r="AA564" s="17">
        <f>IF(COUNT(J564)=0,"",IF(H564=0,"n.a.",J564/H564))</f>
        <v/>
      </c>
      <c r="AB564" s="12" t="n"/>
      <c r="AC564" s="12" t="n"/>
      <c r="AD564" s="12" t="n"/>
      <c r="AE564" s="13">
        <f>IF(OR(COUNT(J564)=0,COUNT(AB564:AD564)&lt;3),"",ROUND(J564-SUM(AB564:AD564),2))</f>
        <v/>
      </c>
      <c r="AF564" s="15">
        <f>IF(COUNT(AE564)=0,"",IF(Z564=0,"n.a.",AE564/Z564))</f>
        <v/>
      </c>
      <c r="AG564" s="12" t="n"/>
      <c r="AH564" s="14">
        <f>IF(OR(A564="",COUNT(Z564)=0,COUNT(AG564)=0),"",ROUND(Z564-AG564,2))</f>
        <v/>
      </c>
      <c r="AI564" s="21" t="n"/>
      <c r="AJ564" s="11">
        <f>IF(A564="","",IF(COUNT(I564)=0,"Enter approved NTE",IF(COUNT(Z564)&gt;0,IF(Z564&gt;I564,"Invoice exceeds NTE","Invoice within NTE"),IF(COUNT(L564)=0,"Enter quote inputs",IF(L564&gt;I564,"Quote exceeds NTE","Quote within NTE")))))</f>
        <v/>
      </c>
      <c r="AK564" s="11">
        <f>IF(A564="","",IF(COUNT(H564)=0,"Enter direct cost",IF(COUNT(Z564)=0,"Enter invoice revenue",IF(COUNT(AB564:AD564)&lt;3,"Enter expenses (0 if none)","Complete"))))</f>
        <v/>
      </c>
      <c r="AL564" s="11">
        <f>IF(A564="","",IF(NOT(AND(COUNT(AH564)=1,N(AH564)&gt;0.004,V564&lt;&gt;"Void",V564&lt;&gt;"Not invoiced",V564&lt;&gt;"Draft")),"",IF(COUNT(X564)=0,"No due date",IF(TODAY()-X564&lt;=0,"Not yet due",IF(TODAY()-X564&lt;=30,"1-30 days",IF(TODAY()-X564&lt;=60,"31-60 days",IF(TODAY()-X564&lt;=90,"61-90 days","Over 90 days")))))))</f>
        <v/>
      </c>
      <c r="AM564" s="49">
        <f>IF(OR(AL564="",AL564="No due date"),"",MAX(TODAY()-X564,0))</f>
        <v/>
      </c>
      <c r="AN564" s="49">
        <f>IF(AL564="","",IF(COUNT(X564)=0,-100000,TODAY()-X564))</f>
        <v/>
      </c>
      <c r="AO564" s="49">
        <f>IF(AN564="","",COUNTIF(AN$11:AN$1010,"&gt;"&amp;AN564)+COUNTIF(AN$11:AN564,AN564))</f>
        <v/>
      </c>
      <c r="AP564" s="49">
        <f>IF(OR(A564="",B564=""),"",IF(COUNTIF(B$11:B564,B564)=1,MAX(AP$10:AP563)+1,""))</f>
        <v/>
      </c>
    </row>
    <row r="565">
      <c r="A565" s="20" t="n"/>
      <c r="B565" s="10" t="n"/>
      <c r="C565" s="10" t="n"/>
      <c r="D565" s="10" t="n"/>
      <c r="E565" s="10" t="n"/>
      <c r="F565" s="18" t="n"/>
      <c r="G565" s="10" t="n"/>
      <c r="H565" s="12" t="n"/>
      <c r="I565" s="12" t="n"/>
      <c r="J565" s="13">
        <f>IF(OR(A565="",COUNT(H565)=0,COUNT(Z565)=0),"",ROUND(Z565-H565,2))</f>
        <v/>
      </c>
      <c r="K565" s="15">
        <f>IF(COUNT(J565)=0,"",IF(Z565=0,"n.a.",J565/Z565))</f>
        <v/>
      </c>
      <c r="L565" s="14">
        <f>IF(OR(A565="",COUNT(H565)=0,COUNT(Y565)=0),"",ROUND(H565*(1+Y565),2))</f>
        <v/>
      </c>
      <c r="M565" s="10" t="n"/>
      <c r="N565" s="10" t="n"/>
      <c r="O565" s="10" t="n"/>
      <c r="P565" s="10" t="n"/>
      <c r="Q565" s="20" t="n"/>
      <c r="R565" s="10" t="n"/>
      <c r="S565" s="10" t="n"/>
      <c r="T565" s="18" t="n"/>
      <c r="U565" s="18" t="n"/>
      <c r="V565" s="10" t="n"/>
      <c r="W565" s="10" t="n"/>
      <c r="X565" s="19">
        <f>IF(OR(A565="",COUNT(U565)=0,COUNT(AI565)=0),"",U565+AI565)</f>
        <v/>
      </c>
      <c r="Y565" s="16" t="n"/>
      <c r="Z565" s="12" t="n"/>
      <c r="AA565" s="17">
        <f>IF(COUNT(J565)=0,"",IF(H565=0,"n.a.",J565/H565))</f>
        <v/>
      </c>
      <c r="AB565" s="12" t="n"/>
      <c r="AC565" s="12" t="n"/>
      <c r="AD565" s="12" t="n"/>
      <c r="AE565" s="13">
        <f>IF(OR(COUNT(J565)=0,COUNT(AB565:AD565)&lt;3),"",ROUND(J565-SUM(AB565:AD565),2))</f>
        <v/>
      </c>
      <c r="AF565" s="15">
        <f>IF(COUNT(AE565)=0,"",IF(Z565=0,"n.a.",AE565/Z565))</f>
        <v/>
      </c>
      <c r="AG565" s="12" t="n"/>
      <c r="AH565" s="14">
        <f>IF(OR(A565="",COUNT(Z565)=0,COUNT(AG565)=0),"",ROUND(Z565-AG565,2))</f>
        <v/>
      </c>
      <c r="AI565" s="21" t="n"/>
      <c r="AJ565" s="11">
        <f>IF(A565="","",IF(COUNT(I565)=0,"Enter approved NTE",IF(COUNT(Z565)&gt;0,IF(Z565&gt;I565,"Invoice exceeds NTE","Invoice within NTE"),IF(COUNT(L565)=0,"Enter quote inputs",IF(L565&gt;I565,"Quote exceeds NTE","Quote within NTE")))))</f>
        <v/>
      </c>
      <c r="AK565" s="11">
        <f>IF(A565="","",IF(COUNT(H565)=0,"Enter direct cost",IF(COUNT(Z565)=0,"Enter invoice revenue",IF(COUNT(AB565:AD565)&lt;3,"Enter expenses (0 if none)","Complete"))))</f>
        <v/>
      </c>
      <c r="AL565" s="11">
        <f>IF(A565="","",IF(NOT(AND(COUNT(AH565)=1,N(AH565)&gt;0.004,V565&lt;&gt;"Void",V565&lt;&gt;"Not invoiced",V565&lt;&gt;"Draft")),"",IF(COUNT(X565)=0,"No due date",IF(TODAY()-X565&lt;=0,"Not yet due",IF(TODAY()-X565&lt;=30,"1-30 days",IF(TODAY()-X565&lt;=60,"31-60 days",IF(TODAY()-X565&lt;=90,"61-90 days","Over 90 days")))))))</f>
        <v/>
      </c>
      <c r="AM565" s="49">
        <f>IF(OR(AL565="",AL565="No due date"),"",MAX(TODAY()-X565,0))</f>
        <v/>
      </c>
      <c r="AN565" s="49">
        <f>IF(AL565="","",IF(COUNT(X565)=0,-100000,TODAY()-X565))</f>
        <v/>
      </c>
      <c r="AO565" s="49">
        <f>IF(AN565="","",COUNTIF(AN$11:AN$1010,"&gt;"&amp;AN565)+COUNTIF(AN$11:AN565,AN565))</f>
        <v/>
      </c>
      <c r="AP565" s="49">
        <f>IF(OR(A565="",B565=""),"",IF(COUNTIF(B$11:B565,B565)=1,MAX(AP$10:AP564)+1,""))</f>
        <v/>
      </c>
    </row>
    <row r="566">
      <c r="A566" s="20" t="n"/>
      <c r="B566" s="10" t="n"/>
      <c r="C566" s="10" t="n"/>
      <c r="D566" s="10" t="n"/>
      <c r="E566" s="10" t="n"/>
      <c r="F566" s="18" t="n"/>
      <c r="G566" s="10" t="n"/>
      <c r="H566" s="12" t="n"/>
      <c r="I566" s="12" t="n"/>
      <c r="J566" s="13">
        <f>IF(OR(A566="",COUNT(H566)=0,COUNT(Z566)=0),"",ROUND(Z566-H566,2))</f>
        <v/>
      </c>
      <c r="K566" s="15">
        <f>IF(COUNT(J566)=0,"",IF(Z566=0,"n.a.",J566/Z566))</f>
        <v/>
      </c>
      <c r="L566" s="14">
        <f>IF(OR(A566="",COUNT(H566)=0,COUNT(Y566)=0),"",ROUND(H566*(1+Y566),2))</f>
        <v/>
      </c>
      <c r="M566" s="10" t="n"/>
      <c r="N566" s="10" t="n"/>
      <c r="O566" s="10" t="n"/>
      <c r="P566" s="10" t="n"/>
      <c r="Q566" s="20" t="n"/>
      <c r="R566" s="10" t="n"/>
      <c r="S566" s="10" t="n"/>
      <c r="T566" s="18" t="n"/>
      <c r="U566" s="18" t="n"/>
      <c r="V566" s="10" t="n"/>
      <c r="W566" s="10" t="n"/>
      <c r="X566" s="19">
        <f>IF(OR(A566="",COUNT(U566)=0,COUNT(AI566)=0),"",U566+AI566)</f>
        <v/>
      </c>
      <c r="Y566" s="16" t="n"/>
      <c r="Z566" s="12" t="n"/>
      <c r="AA566" s="17">
        <f>IF(COUNT(J566)=0,"",IF(H566=0,"n.a.",J566/H566))</f>
        <v/>
      </c>
      <c r="AB566" s="12" t="n"/>
      <c r="AC566" s="12" t="n"/>
      <c r="AD566" s="12" t="n"/>
      <c r="AE566" s="13">
        <f>IF(OR(COUNT(J566)=0,COUNT(AB566:AD566)&lt;3),"",ROUND(J566-SUM(AB566:AD566),2))</f>
        <v/>
      </c>
      <c r="AF566" s="15">
        <f>IF(COUNT(AE566)=0,"",IF(Z566=0,"n.a.",AE566/Z566))</f>
        <v/>
      </c>
      <c r="AG566" s="12" t="n"/>
      <c r="AH566" s="14">
        <f>IF(OR(A566="",COUNT(Z566)=0,COUNT(AG566)=0),"",ROUND(Z566-AG566,2))</f>
        <v/>
      </c>
      <c r="AI566" s="21" t="n"/>
      <c r="AJ566" s="11">
        <f>IF(A566="","",IF(COUNT(I566)=0,"Enter approved NTE",IF(COUNT(Z566)&gt;0,IF(Z566&gt;I566,"Invoice exceeds NTE","Invoice within NTE"),IF(COUNT(L566)=0,"Enter quote inputs",IF(L566&gt;I566,"Quote exceeds NTE","Quote within NTE")))))</f>
        <v/>
      </c>
      <c r="AK566" s="11">
        <f>IF(A566="","",IF(COUNT(H566)=0,"Enter direct cost",IF(COUNT(Z566)=0,"Enter invoice revenue",IF(COUNT(AB566:AD566)&lt;3,"Enter expenses (0 if none)","Complete"))))</f>
        <v/>
      </c>
      <c r="AL566" s="11">
        <f>IF(A566="","",IF(NOT(AND(COUNT(AH566)=1,N(AH566)&gt;0.004,V566&lt;&gt;"Void",V566&lt;&gt;"Not invoiced",V566&lt;&gt;"Draft")),"",IF(COUNT(X566)=0,"No due date",IF(TODAY()-X566&lt;=0,"Not yet due",IF(TODAY()-X566&lt;=30,"1-30 days",IF(TODAY()-X566&lt;=60,"31-60 days",IF(TODAY()-X566&lt;=90,"61-90 days","Over 90 days")))))))</f>
        <v/>
      </c>
      <c r="AM566" s="49">
        <f>IF(OR(AL566="",AL566="No due date"),"",MAX(TODAY()-X566,0))</f>
        <v/>
      </c>
      <c r="AN566" s="49">
        <f>IF(AL566="","",IF(COUNT(X566)=0,-100000,TODAY()-X566))</f>
        <v/>
      </c>
      <c r="AO566" s="49">
        <f>IF(AN566="","",COUNTIF(AN$11:AN$1010,"&gt;"&amp;AN566)+COUNTIF(AN$11:AN566,AN566))</f>
        <v/>
      </c>
      <c r="AP566" s="49">
        <f>IF(OR(A566="",B566=""),"",IF(COUNTIF(B$11:B566,B566)=1,MAX(AP$10:AP565)+1,""))</f>
        <v/>
      </c>
    </row>
    <row r="567">
      <c r="A567" s="20" t="n"/>
      <c r="B567" s="10" t="n"/>
      <c r="C567" s="10" t="n"/>
      <c r="D567" s="10" t="n"/>
      <c r="E567" s="10" t="n"/>
      <c r="F567" s="18" t="n"/>
      <c r="G567" s="10" t="n"/>
      <c r="H567" s="12" t="n"/>
      <c r="I567" s="12" t="n"/>
      <c r="J567" s="13">
        <f>IF(OR(A567="",COUNT(H567)=0,COUNT(Z567)=0),"",ROUND(Z567-H567,2))</f>
        <v/>
      </c>
      <c r="K567" s="15">
        <f>IF(COUNT(J567)=0,"",IF(Z567=0,"n.a.",J567/Z567))</f>
        <v/>
      </c>
      <c r="L567" s="14">
        <f>IF(OR(A567="",COUNT(H567)=0,COUNT(Y567)=0),"",ROUND(H567*(1+Y567),2))</f>
        <v/>
      </c>
      <c r="M567" s="10" t="n"/>
      <c r="N567" s="10" t="n"/>
      <c r="O567" s="10" t="n"/>
      <c r="P567" s="10" t="n"/>
      <c r="Q567" s="20" t="n"/>
      <c r="R567" s="10" t="n"/>
      <c r="S567" s="10" t="n"/>
      <c r="T567" s="18" t="n"/>
      <c r="U567" s="18" t="n"/>
      <c r="V567" s="10" t="n"/>
      <c r="W567" s="10" t="n"/>
      <c r="X567" s="19">
        <f>IF(OR(A567="",COUNT(U567)=0,COUNT(AI567)=0),"",U567+AI567)</f>
        <v/>
      </c>
      <c r="Y567" s="16" t="n"/>
      <c r="Z567" s="12" t="n"/>
      <c r="AA567" s="17">
        <f>IF(COUNT(J567)=0,"",IF(H567=0,"n.a.",J567/H567))</f>
        <v/>
      </c>
      <c r="AB567" s="12" t="n"/>
      <c r="AC567" s="12" t="n"/>
      <c r="AD567" s="12" t="n"/>
      <c r="AE567" s="13">
        <f>IF(OR(COUNT(J567)=0,COUNT(AB567:AD567)&lt;3),"",ROUND(J567-SUM(AB567:AD567),2))</f>
        <v/>
      </c>
      <c r="AF567" s="15">
        <f>IF(COUNT(AE567)=0,"",IF(Z567=0,"n.a.",AE567/Z567))</f>
        <v/>
      </c>
      <c r="AG567" s="12" t="n"/>
      <c r="AH567" s="14">
        <f>IF(OR(A567="",COUNT(Z567)=0,COUNT(AG567)=0),"",ROUND(Z567-AG567,2))</f>
        <v/>
      </c>
      <c r="AI567" s="21" t="n"/>
      <c r="AJ567" s="11">
        <f>IF(A567="","",IF(COUNT(I567)=0,"Enter approved NTE",IF(COUNT(Z567)&gt;0,IF(Z567&gt;I567,"Invoice exceeds NTE","Invoice within NTE"),IF(COUNT(L567)=0,"Enter quote inputs",IF(L567&gt;I567,"Quote exceeds NTE","Quote within NTE")))))</f>
        <v/>
      </c>
      <c r="AK567" s="11">
        <f>IF(A567="","",IF(COUNT(H567)=0,"Enter direct cost",IF(COUNT(Z567)=0,"Enter invoice revenue",IF(COUNT(AB567:AD567)&lt;3,"Enter expenses (0 if none)","Complete"))))</f>
        <v/>
      </c>
      <c r="AL567" s="11">
        <f>IF(A567="","",IF(NOT(AND(COUNT(AH567)=1,N(AH567)&gt;0.004,V567&lt;&gt;"Void",V567&lt;&gt;"Not invoiced",V567&lt;&gt;"Draft")),"",IF(COUNT(X567)=0,"No due date",IF(TODAY()-X567&lt;=0,"Not yet due",IF(TODAY()-X567&lt;=30,"1-30 days",IF(TODAY()-X567&lt;=60,"31-60 days",IF(TODAY()-X567&lt;=90,"61-90 days","Over 90 days")))))))</f>
        <v/>
      </c>
      <c r="AM567" s="49">
        <f>IF(OR(AL567="",AL567="No due date"),"",MAX(TODAY()-X567,0))</f>
        <v/>
      </c>
      <c r="AN567" s="49">
        <f>IF(AL567="","",IF(COUNT(X567)=0,-100000,TODAY()-X567))</f>
        <v/>
      </c>
      <c r="AO567" s="49">
        <f>IF(AN567="","",COUNTIF(AN$11:AN$1010,"&gt;"&amp;AN567)+COUNTIF(AN$11:AN567,AN567))</f>
        <v/>
      </c>
      <c r="AP567" s="49">
        <f>IF(OR(A567="",B567=""),"",IF(COUNTIF(B$11:B567,B567)=1,MAX(AP$10:AP566)+1,""))</f>
        <v/>
      </c>
    </row>
    <row r="568">
      <c r="A568" s="20" t="n"/>
      <c r="B568" s="10" t="n"/>
      <c r="C568" s="10" t="n"/>
      <c r="D568" s="10" t="n"/>
      <c r="E568" s="10" t="n"/>
      <c r="F568" s="18" t="n"/>
      <c r="G568" s="10" t="n"/>
      <c r="H568" s="12" t="n"/>
      <c r="I568" s="12" t="n"/>
      <c r="J568" s="13">
        <f>IF(OR(A568="",COUNT(H568)=0,COUNT(Z568)=0),"",ROUND(Z568-H568,2))</f>
        <v/>
      </c>
      <c r="K568" s="15">
        <f>IF(COUNT(J568)=0,"",IF(Z568=0,"n.a.",J568/Z568))</f>
        <v/>
      </c>
      <c r="L568" s="14">
        <f>IF(OR(A568="",COUNT(H568)=0,COUNT(Y568)=0),"",ROUND(H568*(1+Y568),2))</f>
        <v/>
      </c>
      <c r="M568" s="10" t="n"/>
      <c r="N568" s="10" t="n"/>
      <c r="O568" s="10" t="n"/>
      <c r="P568" s="10" t="n"/>
      <c r="Q568" s="20" t="n"/>
      <c r="R568" s="10" t="n"/>
      <c r="S568" s="10" t="n"/>
      <c r="T568" s="18" t="n"/>
      <c r="U568" s="18" t="n"/>
      <c r="V568" s="10" t="n"/>
      <c r="W568" s="10" t="n"/>
      <c r="X568" s="19">
        <f>IF(OR(A568="",COUNT(U568)=0,COUNT(AI568)=0),"",U568+AI568)</f>
        <v/>
      </c>
      <c r="Y568" s="16" t="n"/>
      <c r="Z568" s="12" t="n"/>
      <c r="AA568" s="17">
        <f>IF(COUNT(J568)=0,"",IF(H568=0,"n.a.",J568/H568))</f>
        <v/>
      </c>
      <c r="AB568" s="12" t="n"/>
      <c r="AC568" s="12" t="n"/>
      <c r="AD568" s="12" t="n"/>
      <c r="AE568" s="13">
        <f>IF(OR(COUNT(J568)=0,COUNT(AB568:AD568)&lt;3),"",ROUND(J568-SUM(AB568:AD568),2))</f>
        <v/>
      </c>
      <c r="AF568" s="15">
        <f>IF(COUNT(AE568)=0,"",IF(Z568=0,"n.a.",AE568/Z568))</f>
        <v/>
      </c>
      <c r="AG568" s="12" t="n"/>
      <c r="AH568" s="14">
        <f>IF(OR(A568="",COUNT(Z568)=0,COUNT(AG568)=0),"",ROUND(Z568-AG568,2))</f>
        <v/>
      </c>
      <c r="AI568" s="21" t="n"/>
      <c r="AJ568" s="11">
        <f>IF(A568="","",IF(COUNT(I568)=0,"Enter approved NTE",IF(COUNT(Z568)&gt;0,IF(Z568&gt;I568,"Invoice exceeds NTE","Invoice within NTE"),IF(COUNT(L568)=0,"Enter quote inputs",IF(L568&gt;I568,"Quote exceeds NTE","Quote within NTE")))))</f>
        <v/>
      </c>
      <c r="AK568" s="11">
        <f>IF(A568="","",IF(COUNT(H568)=0,"Enter direct cost",IF(COUNT(Z568)=0,"Enter invoice revenue",IF(COUNT(AB568:AD568)&lt;3,"Enter expenses (0 if none)","Complete"))))</f>
        <v/>
      </c>
      <c r="AL568" s="11">
        <f>IF(A568="","",IF(NOT(AND(COUNT(AH568)=1,N(AH568)&gt;0.004,V568&lt;&gt;"Void",V568&lt;&gt;"Not invoiced",V568&lt;&gt;"Draft")),"",IF(COUNT(X568)=0,"No due date",IF(TODAY()-X568&lt;=0,"Not yet due",IF(TODAY()-X568&lt;=30,"1-30 days",IF(TODAY()-X568&lt;=60,"31-60 days",IF(TODAY()-X568&lt;=90,"61-90 days","Over 90 days")))))))</f>
        <v/>
      </c>
      <c r="AM568" s="49">
        <f>IF(OR(AL568="",AL568="No due date"),"",MAX(TODAY()-X568,0))</f>
        <v/>
      </c>
      <c r="AN568" s="49">
        <f>IF(AL568="","",IF(COUNT(X568)=0,-100000,TODAY()-X568))</f>
        <v/>
      </c>
      <c r="AO568" s="49">
        <f>IF(AN568="","",COUNTIF(AN$11:AN$1010,"&gt;"&amp;AN568)+COUNTIF(AN$11:AN568,AN568))</f>
        <v/>
      </c>
      <c r="AP568" s="49">
        <f>IF(OR(A568="",B568=""),"",IF(COUNTIF(B$11:B568,B568)=1,MAX(AP$10:AP567)+1,""))</f>
        <v/>
      </c>
    </row>
    <row r="569">
      <c r="A569" s="20" t="n"/>
      <c r="B569" s="10" t="n"/>
      <c r="C569" s="10" t="n"/>
      <c r="D569" s="10" t="n"/>
      <c r="E569" s="10" t="n"/>
      <c r="F569" s="18" t="n"/>
      <c r="G569" s="10" t="n"/>
      <c r="H569" s="12" t="n"/>
      <c r="I569" s="12" t="n"/>
      <c r="J569" s="13">
        <f>IF(OR(A569="",COUNT(H569)=0,COUNT(Z569)=0),"",ROUND(Z569-H569,2))</f>
        <v/>
      </c>
      <c r="K569" s="15">
        <f>IF(COUNT(J569)=0,"",IF(Z569=0,"n.a.",J569/Z569))</f>
        <v/>
      </c>
      <c r="L569" s="14">
        <f>IF(OR(A569="",COUNT(H569)=0,COUNT(Y569)=0),"",ROUND(H569*(1+Y569),2))</f>
        <v/>
      </c>
      <c r="M569" s="10" t="n"/>
      <c r="N569" s="10" t="n"/>
      <c r="O569" s="10" t="n"/>
      <c r="P569" s="10" t="n"/>
      <c r="Q569" s="20" t="n"/>
      <c r="R569" s="10" t="n"/>
      <c r="S569" s="10" t="n"/>
      <c r="T569" s="18" t="n"/>
      <c r="U569" s="18" t="n"/>
      <c r="V569" s="10" t="n"/>
      <c r="W569" s="10" t="n"/>
      <c r="X569" s="19">
        <f>IF(OR(A569="",COUNT(U569)=0,COUNT(AI569)=0),"",U569+AI569)</f>
        <v/>
      </c>
      <c r="Y569" s="16" t="n"/>
      <c r="Z569" s="12" t="n"/>
      <c r="AA569" s="17">
        <f>IF(COUNT(J569)=0,"",IF(H569=0,"n.a.",J569/H569))</f>
        <v/>
      </c>
      <c r="AB569" s="12" t="n"/>
      <c r="AC569" s="12" t="n"/>
      <c r="AD569" s="12" t="n"/>
      <c r="AE569" s="13">
        <f>IF(OR(COUNT(J569)=0,COUNT(AB569:AD569)&lt;3),"",ROUND(J569-SUM(AB569:AD569),2))</f>
        <v/>
      </c>
      <c r="AF569" s="15">
        <f>IF(COUNT(AE569)=0,"",IF(Z569=0,"n.a.",AE569/Z569))</f>
        <v/>
      </c>
      <c r="AG569" s="12" t="n"/>
      <c r="AH569" s="14">
        <f>IF(OR(A569="",COUNT(Z569)=0,COUNT(AG569)=0),"",ROUND(Z569-AG569,2))</f>
        <v/>
      </c>
      <c r="AI569" s="21" t="n"/>
      <c r="AJ569" s="11">
        <f>IF(A569="","",IF(COUNT(I569)=0,"Enter approved NTE",IF(COUNT(Z569)&gt;0,IF(Z569&gt;I569,"Invoice exceeds NTE","Invoice within NTE"),IF(COUNT(L569)=0,"Enter quote inputs",IF(L569&gt;I569,"Quote exceeds NTE","Quote within NTE")))))</f>
        <v/>
      </c>
      <c r="AK569" s="11">
        <f>IF(A569="","",IF(COUNT(H569)=0,"Enter direct cost",IF(COUNT(Z569)=0,"Enter invoice revenue",IF(COUNT(AB569:AD569)&lt;3,"Enter expenses (0 if none)","Complete"))))</f>
        <v/>
      </c>
      <c r="AL569" s="11">
        <f>IF(A569="","",IF(NOT(AND(COUNT(AH569)=1,N(AH569)&gt;0.004,V569&lt;&gt;"Void",V569&lt;&gt;"Not invoiced",V569&lt;&gt;"Draft")),"",IF(COUNT(X569)=0,"No due date",IF(TODAY()-X569&lt;=0,"Not yet due",IF(TODAY()-X569&lt;=30,"1-30 days",IF(TODAY()-X569&lt;=60,"31-60 days",IF(TODAY()-X569&lt;=90,"61-90 days","Over 90 days")))))))</f>
        <v/>
      </c>
      <c r="AM569" s="49">
        <f>IF(OR(AL569="",AL569="No due date"),"",MAX(TODAY()-X569,0))</f>
        <v/>
      </c>
      <c r="AN569" s="49">
        <f>IF(AL569="","",IF(COUNT(X569)=0,-100000,TODAY()-X569))</f>
        <v/>
      </c>
      <c r="AO569" s="49">
        <f>IF(AN569="","",COUNTIF(AN$11:AN$1010,"&gt;"&amp;AN569)+COUNTIF(AN$11:AN569,AN569))</f>
        <v/>
      </c>
      <c r="AP569" s="49">
        <f>IF(OR(A569="",B569=""),"",IF(COUNTIF(B$11:B569,B569)=1,MAX(AP$10:AP568)+1,""))</f>
        <v/>
      </c>
    </row>
    <row r="570">
      <c r="A570" s="20" t="n"/>
      <c r="B570" s="10" t="n"/>
      <c r="C570" s="10" t="n"/>
      <c r="D570" s="10" t="n"/>
      <c r="E570" s="10" t="n"/>
      <c r="F570" s="18" t="n"/>
      <c r="G570" s="10" t="n"/>
      <c r="H570" s="12" t="n"/>
      <c r="I570" s="12" t="n"/>
      <c r="J570" s="13">
        <f>IF(OR(A570="",COUNT(H570)=0,COUNT(Z570)=0),"",ROUND(Z570-H570,2))</f>
        <v/>
      </c>
      <c r="K570" s="15">
        <f>IF(COUNT(J570)=0,"",IF(Z570=0,"n.a.",J570/Z570))</f>
        <v/>
      </c>
      <c r="L570" s="14">
        <f>IF(OR(A570="",COUNT(H570)=0,COUNT(Y570)=0),"",ROUND(H570*(1+Y570),2))</f>
        <v/>
      </c>
      <c r="M570" s="10" t="n"/>
      <c r="N570" s="10" t="n"/>
      <c r="O570" s="10" t="n"/>
      <c r="P570" s="10" t="n"/>
      <c r="Q570" s="20" t="n"/>
      <c r="R570" s="10" t="n"/>
      <c r="S570" s="10" t="n"/>
      <c r="T570" s="18" t="n"/>
      <c r="U570" s="18" t="n"/>
      <c r="V570" s="10" t="n"/>
      <c r="W570" s="10" t="n"/>
      <c r="X570" s="19">
        <f>IF(OR(A570="",COUNT(U570)=0,COUNT(AI570)=0),"",U570+AI570)</f>
        <v/>
      </c>
      <c r="Y570" s="16" t="n"/>
      <c r="Z570" s="12" t="n"/>
      <c r="AA570" s="17">
        <f>IF(COUNT(J570)=0,"",IF(H570=0,"n.a.",J570/H570))</f>
        <v/>
      </c>
      <c r="AB570" s="12" t="n"/>
      <c r="AC570" s="12" t="n"/>
      <c r="AD570" s="12" t="n"/>
      <c r="AE570" s="13">
        <f>IF(OR(COUNT(J570)=0,COUNT(AB570:AD570)&lt;3),"",ROUND(J570-SUM(AB570:AD570),2))</f>
        <v/>
      </c>
      <c r="AF570" s="15">
        <f>IF(COUNT(AE570)=0,"",IF(Z570=0,"n.a.",AE570/Z570))</f>
        <v/>
      </c>
      <c r="AG570" s="12" t="n"/>
      <c r="AH570" s="14">
        <f>IF(OR(A570="",COUNT(Z570)=0,COUNT(AG570)=0),"",ROUND(Z570-AG570,2))</f>
        <v/>
      </c>
      <c r="AI570" s="21" t="n"/>
      <c r="AJ570" s="11">
        <f>IF(A570="","",IF(COUNT(I570)=0,"Enter approved NTE",IF(COUNT(Z570)&gt;0,IF(Z570&gt;I570,"Invoice exceeds NTE","Invoice within NTE"),IF(COUNT(L570)=0,"Enter quote inputs",IF(L570&gt;I570,"Quote exceeds NTE","Quote within NTE")))))</f>
        <v/>
      </c>
      <c r="AK570" s="11">
        <f>IF(A570="","",IF(COUNT(H570)=0,"Enter direct cost",IF(COUNT(Z570)=0,"Enter invoice revenue",IF(COUNT(AB570:AD570)&lt;3,"Enter expenses (0 if none)","Complete"))))</f>
        <v/>
      </c>
      <c r="AL570" s="11">
        <f>IF(A570="","",IF(NOT(AND(COUNT(AH570)=1,N(AH570)&gt;0.004,V570&lt;&gt;"Void",V570&lt;&gt;"Not invoiced",V570&lt;&gt;"Draft")),"",IF(COUNT(X570)=0,"No due date",IF(TODAY()-X570&lt;=0,"Not yet due",IF(TODAY()-X570&lt;=30,"1-30 days",IF(TODAY()-X570&lt;=60,"31-60 days",IF(TODAY()-X570&lt;=90,"61-90 days","Over 90 days")))))))</f>
        <v/>
      </c>
      <c r="AM570" s="49">
        <f>IF(OR(AL570="",AL570="No due date"),"",MAX(TODAY()-X570,0))</f>
        <v/>
      </c>
      <c r="AN570" s="49">
        <f>IF(AL570="","",IF(COUNT(X570)=0,-100000,TODAY()-X570))</f>
        <v/>
      </c>
      <c r="AO570" s="49">
        <f>IF(AN570="","",COUNTIF(AN$11:AN$1010,"&gt;"&amp;AN570)+COUNTIF(AN$11:AN570,AN570))</f>
        <v/>
      </c>
      <c r="AP570" s="49">
        <f>IF(OR(A570="",B570=""),"",IF(COUNTIF(B$11:B570,B570)=1,MAX(AP$10:AP569)+1,""))</f>
        <v/>
      </c>
    </row>
    <row r="571">
      <c r="A571" s="20" t="n"/>
      <c r="B571" s="10" t="n"/>
      <c r="C571" s="10" t="n"/>
      <c r="D571" s="10" t="n"/>
      <c r="E571" s="10" t="n"/>
      <c r="F571" s="18" t="n"/>
      <c r="G571" s="10" t="n"/>
      <c r="H571" s="12" t="n"/>
      <c r="I571" s="12" t="n"/>
      <c r="J571" s="13">
        <f>IF(OR(A571="",COUNT(H571)=0,COUNT(Z571)=0),"",ROUND(Z571-H571,2))</f>
        <v/>
      </c>
      <c r="K571" s="15">
        <f>IF(COUNT(J571)=0,"",IF(Z571=0,"n.a.",J571/Z571))</f>
        <v/>
      </c>
      <c r="L571" s="14">
        <f>IF(OR(A571="",COUNT(H571)=0,COUNT(Y571)=0),"",ROUND(H571*(1+Y571),2))</f>
        <v/>
      </c>
      <c r="M571" s="10" t="n"/>
      <c r="N571" s="10" t="n"/>
      <c r="O571" s="10" t="n"/>
      <c r="P571" s="10" t="n"/>
      <c r="Q571" s="20" t="n"/>
      <c r="R571" s="10" t="n"/>
      <c r="S571" s="10" t="n"/>
      <c r="T571" s="18" t="n"/>
      <c r="U571" s="18" t="n"/>
      <c r="V571" s="10" t="n"/>
      <c r="W571" s="10" t="n"/>
      <c r="X571" s="19">
        <f>IF(OR(A571="",COUNT(U571)=0,COUNT(AI571)=0),"",U571+AI571)</f>
        <v/>
      </c>
      <c r="Y571" s="16" t="n"/>
      <c r="Z571" s="12" t="n"/>
      <c r="AA571" s="17">
        <f>IF(COUNT(J571)=0,"",IF(H571=0,"n.a.",J571/H571))</f>
        <v/>
      </c>
      <c r="AB571" s="12" t="n"/>
      <c r="AC571" s="12" t="n"/>
      <c r="AD571" s="12" t="n"/>
      <c r="AE571" s="13">
        <f>IF(OR(COUNT(J571)=0,COUNT(AB571:AD571)&lt;3),"",ROUND(J571-SUM(AB571:AD571),2))</f>
        <v/>
      </c>
      <c r="AF571" s="15">
        <f>IF(COUNT(AE571)=0,"",IF(Z571=0,"n.a.",AE571/Z571))</f>
        <v/>
      </c>
      <c r="AG571" s="12" t="n"/>
      <c r="AH571" s="14">
        <f>IF(OR(A571="",COUNT(Z571)=0,COUNT(AG571)=0),"",ROUND(Z571-AG571,2))</f>
        <v/>
      </c>
      <c r="AI571" s="21" t="n"/>
      <c r="AJ571" s="11">
        <f>IF(A571="","",IF(COUNT(I571)=0,"Enter approved NTE",IF(COUNT(Z571)&gt;0,IF(Z571&gt;I571,"Invoice exceeds NTE","Invoice within NTE"),IF(COUNT(L571)=0,"Enter quote inputs",IF(L571&gt;I571,"Quote exceeds NTE","Quote within NTE")))))</f>
        <v/>
      </c>
      <c r="AK571" s="11">
        <f>IF(A571="","",IF(COUNT(H571)=0,"Enter direct cost",IF(COUNT(Z571)=0,"Enter invoice revenue",IF(COUNT(AB571:AD571)&lt;3,"Enter expenses (0 if none)","Complete"))))</f>
        <v/>
      </c>
      <c r="AL571" s="11">
        <f>IF(A571="","",IF(NOT(AND(COUNT(AH571)=1,N(AH571)&gt;0.004,V571&lt;&gt;"Void",V571&lt;&gt;"Not invoiced",V571&lt;&gt;"Draft")),"",IF(COUNT(X571)=0,"No due date",IF(TODAY()-X571&lt;=0,"Not yet due",IF(TODAY()-X571&lt;=30,"1-30 days",IF(TODAY()-X571&lt;=60,"31-60 days",IF(TODAY()-X571&lt;=90,"61-90 days","Over 90 days")))))))</f>
        <v/>
      </c>
      <c r="AM571" s="49">
        <f>IF(OR(AL571="",AL571="No due date"),"",MAX(TODAY()-X571,0))</f>
        <v/>
      </c>
      <c r="AN571" s="49">
        <f>IF(AL571="","",IF(COUNT(X571)=0,-100000,TODAY()-X571))</f>
        <v/>
      </c>
      <c r="AO571" s="49">
        <f>IF(AN571="","",COUNTIF(AN$11:AN$1010,"&gt;"&amp;AN571)+COUNTIF(AN$11:AN571,AN571))</f>
        <v/>
      </c>
      <c r="AP571" s="49">
        <f>IF(OR(A571="",B571=""),"",IF(COUNTIF(B$11:B571,B571)=1,MAX(AP$10:AP570)+1,""))</f>
        <v/>
      </c>
    </row>
    <row r="572">
      <c r="A572" s="20" t="n"/>
      <c r="B572" s="10" t="n"/>
      <c r="C572" s="10" t="n"/>
      <c r="D572" s="10" t="n"/>
      <c r="E572" s="10" t="n"/>
      <c r="F572" s="18" t="n"/>
      <c r="G572" s="10" t="n"/>
      <c r="H572" s="12" t="n"/>
      <c r="I572" s="12" t="n"/>
      <c r="J572" s="13">
        <f>IF(OR(A572="",COUNT(H572)=0,COUNT(Z572)=0),"",ROUND(Z572-H572,2))</f>
        <v/>
      </c>
      <c r="K572" s="15">
        <f>IF(COUNT(J572)=0,"",IF(Z572=0,"n.a.",J572/Z572))</f>
        <v/>
      </c>
      <c r="L572" s="14">
        <f>IF(OR(A572="",COUNT(H572)=0,COUNT(Y572)=0),"",ROUND(H572*(1+Y572),2))</f>
        <v/>
      </c>
      <c r="M572" s="10" t="n"/>
      <c r="N572" s="10" t="n"/>
      <c r="O572" s="10" t="n"/>
      <c r="P572" s="10" t="n"/>
      <c r="Q572" s="20" t="n"/>
      <c r="R572" s="10" t="n"/>
      <c r="S572" s="10" t="n"/>
      <c r="T572" s="18" t="n"/>
      <c r="U572" s="18" t="n"/>
      <c r="V572" s="10" t="n"/>
      <c r="W572" s="10" t="n"/>
      <c r="X572" s="19">
        <f>IF(OR(A572="",COUNT(U572)=0,COUNT(AI572)=0),"",U572+AI572)</f>
        <v/>
      </c>
      <c r="Y572" s="16" t="n"/>
      <c r="Z572" s="12" t="n"/>
      <c r="AA572" s="17">
        <f>IF(COUNT(J572)=0,"",IF(H572=0,"n.a.",J572/H572))</f>
        <v/>
      </c>
      <c r="AB572" s="12" t="n"/>
      <c r="AC572" s="12" t="n"/>
      <c r="AD572" s="12" t="n"/>
      <c r="AE572" s="13">
        <f>IF(OR(COUNT(J572)=0,COUNT(AB572:AD572)&lt;3),"",ROUND(J572-SUM(AB572:AD572),2))</f>
        <v/>
      </c>
      <c r="AF572" s="15">
        <f>IF(COUNT(AE572)=0,"",IF(Z572=0,"n.a.",AE572/Z572))</f>
        <v/>
      </c>
      <c r="AG572" s="12" t="n"/>
      <c r="AH572" s="14">
        <f>IF(OR(A572="",COUNT(Z572)=0,COUNT(AG572)=0),"",ROUND(Z572-AG572,2))</f>
        <v/>
      </c>
      <c r="AI572" s="21" t="n"/>
      <c r="AJ572" s="11">
        <f>IF(A572="","",IF(COUNT(I572)=0,"Enter approved NTE",IF(COUNT(Z572)&gt;0,IF(Z572&gt;I572,"Invoice exceeds NTE","Invoice within NTE"),IF(COUNT(L572)=0,"Enter quote inputs",IF(L572&gt;I572,"Quote exceeds NTE","Quote within NTE")))))</f>
        <v/>
      </c>
      <c r="AK572" s="11">
        <f>IF(A572="","",IF(COUNT(H572)=0,"Enter direct cost",IF(COUNT(Z572)=0,"Enter invoice revenue",IF(COUNT(AB572:AD572)&lt;3,"Enter expenses (0 if none)","Complete"))))</f>
        <v/>
      </c>
      <c r="AL572" s="11">
        <f>IF(A572="","",IF(NOT(AND(COUNT(AH572)=1,N(AH572)&gt;0.004,V572&lt;&gt;"Void",V572&lt;&gt;"Not invoiced",V572&lt;&gt;"Draft")),"",IF(COUNT(X572)=0,"No due date",IF(TODAY()-X572&lt;=0,"Not yet due",IF(TODAY()-X572&lt;=30,"1-30 days",IF(TODAY()-X572&lt;=60,"31-60 days",IF(TODAY()-X572&lt;=90,"61-90 days","Over 90 days")))))))</f>
        <v/>
      </c>
      <c r="AM572" s="49">
        <f>IF(OR(AL572="",AL572="No due date"),"",MAX(TODAY()-X572,0))</f>
        <v/>
      </c>
      <c r="AN572" s="49">
        <f>IF(AL572="","",IF(COUNT(X572)=0,-100000,TODAY()-X572))</f>
        <v/>
      </c>
      <c r="AO572" s="49">
        <f>IF(AN572="","",COUNTIF(AN$11:AN$1010,"&gt;"&amp;AN572)+COUNTIF(AN$11:AN572,AN572))</f>
        <v/>
      </c>
      <c r="AP572" s="49">
        <f>IF(OR(A572="",B572=""),"",IF(COUNTIF(B$11:B572,B572)=1,MAX(AP$10:AP571)+1,""))</f>
        <v/>
      </c>
    </row>
    <row r="573">
      <c r="A573" s="20" t="n"/>
      <c r="B573" s="10" t="n"/>
      <c r="C573" s="10" t="n"/>
      <c r="D573" s="10" t="n"/>
      <c r="E573" s="10" t="n"/>
      <c r="F573" s="18" t="n"/>
      <c r="G573" s="10" t="n"/>
      <c r="H573" s="12" t="n"/>
      <c r="I573" s="12" t="n"/>
      <c r="J573" s="13">
        <f>IF(OR(A573="",COUNT(H573)=0,COUNT(Z573)=0),"",ROUND(Z573-H573,2))</f>
        <v/>
      </c>
      <c r="K573" s="15">
        <f>IF(COUNT(J573)=0,"",IF(Z573=0,"n.a.",J573/Z573))</f>
        <v/>
      </c>
      <c r="L573" s="14">
        <f>IF(OR(A573="",COUNT(H573)=0,COUNT(Y573)=0),"",ROUND(H573*(1+Y573),2))</f>
        <v/>
      </c>
      <c r="M573" s="10" t="n"/>
      <c r="N573" s="10" t="n"/>
      <c r="O573" s="10" t="n"/>
      <c r="P573" s="10" t="n"/>
      <c r="Q573" s="20" t="n"/>
      <c r="R573" s="10" t="n"/>
      <c r="S573" s="10" t="n"/>
      <c r="T573" s="18" t="n"/>
      <c r="U573" s="18" t="n"/>
      <c r="V573" s="10" t="n"/>
      <c r="W573" s="10" t="n"/>
      <c r="X573" s="19">
        <f>IF(OR(A573="",COUNT(U573)=0,COUNT(AI573)=0),"",U573+AI573)</f>
        <v/>
      </c>
      <c r="Y573" s="16" t="n"/>
      <c r="Z573" s="12" t="n"/>
      <c r="AA573" s="17">
        <f>IF(COUNT(J573)=0,"",IF(H573=0,"n.a.",J573/H573))</f>
        <v/>
      </c>
      <c r="AB573" s="12" t="n"/>
      <c r="AC573" s="12" t="n"/>
      <c r="AD573" s="12" t="n"/>
      <c r="AE573" s="13">
        <f>IF(OR(COUNT(J573)=0,COUNT(AB573:AD573)&lt;3),"",ROUND(J573-SUM(AB573:AD573),2))</f>
        <v/>
      </c>
      <c r="AF573" s="15">
        <f>IF(COUNT(AE573)=0,"",IF(Z573=0,"n.a.",AE573/Z573))</f>
        <v/>
      </c>
      <c r="AG573" s="12" t="n"/>
      <c r="AH573" s="14">
        <f>IF(OR(A573="",COUNT(Z573)=0,COUNT(AG573)=0),"",ROUND(Z573-AG573,2))</f>
        <v/>
      </c>
      <c r="AI573" s="21" t="n"/>
      <c r="AJ573" s="11">
        <f>IF(A573="","",IF(COUNT(I573)=0,"Enter approved NTE",IF(COUNT(Z573)&gt;0,IF(Z573&gt;I573,"Invoice exceeds NTE","Invoice within NTE"),IF(COUNT(L573)=0,"Enter quote inputs",IF(L573&gt;I573,"Quote exceeds NTE","Quote within NTE")))))</f>
        <v/>
      </c>
      <c r="AK573" s="11">
        <f>IF(A573="","",IF(COUNT(H573)=0,"Enter direct cost",IF(COUNT(Z573)=0,"Enter invoice revenue",IF(COUNT(AB573:AD573)&lt;3,"Enter expenses (0 if none)","Complete"))))</f>
        <v/>
      </c>
      <c r="AL573" s="11">
        <f>IF(A573="","",IF(NOT(AND(COUNT(AH573)=1,N(AH573)&gt;0.004,V573&lt;&gt;"Void",V573&lt;&gt;"Not invoiced",V573&lt;&gt;"Draft")),"",IF(COUNT(X573)=0,"No due date",IF(TODAY()-X573&lt;=0,"Not yet due",IF(TODAY()-X573&lt;=30,"1-30 days",IF(TODAY()-X573&lt;=60,"31-60 days",IF(TODAY()-X573&lt;=90,"61-90 days","Over 90 days")))))))</f>
        <v/>
      </c>
      <c r="AM573" s="49">
        <f>IF(OR(AL573="",AL573="No due date"),"",MAX(TODAY()-X573,0))</f>
        <v/>
      </c>
      <c r="AN573" s="49">
        <f>IF(AL573="","",IF(COUNT(X573)=0,-100000,TODAY()-X573))</f>
        <v/>
      </c>
      <c r="AO573" s="49">
        <f>IF(AN573="","",COUNTIF(AN$11:AN$1010,"&gt;"&amp;AN573)+COUNTIF(AN$11:AN573,AN573))</f>
        <v/>
      </c>
      <c r="AP573" s="49">
        <f>IF(OR(A573="",B573=""),"",IF(COUNTIF(B$11:B573,B573)=1,MAX(AP$10:AP572)+1,""))</f>
        <v/>
      </c>
    </row>
    <row r="574">
      <c r="A574" s="20" t="n"/>
      <c r="B574" s="10" t="n"/>
      <c r="C574" s="10" t="n"/>
      <c r="D574" s="10" t="n"/>
      <c r="E574" s="10" t="n"/>
      <c r="F574" s="18" t="n"/>
      <c r="G574" s="10" t="n"/>
      <c r="H574" s="12" t="n"/>
      <c r="I574" s="12" t="n"/>
      <c r="J574" s="13">
        <f>IF(OR(A574="",COUNT(H574)=0,COUNT(Z574)=0),"",ROUND(Z574-H574,2))</f>
        <v/>
      </c>
      <c r="K574" s="15">
        <f>IF(COUNT(J574)=0,"",IF(Z574=0,"n.a.",J574/Z574))</f>
        <v/>
      </c>
      <c r="L574" s="14">
        <f>IF(OR(A574="",COUNT(H574)=0,COUNT(Y574)=0),"",ROUND(H574*(1+Y574),2))</f>
        <v/>
      </c>
      <c r="M574" s="10" t="n"/>
      <c r="N574" s="10" t="n"/>
      <c r="O574" s="10" t="n"/>
      <c r="P574" s="10" t="n"/>
      <c r="Q574" s="20" t="n"/>
      <c r="R574" s="10" t="n"/>
      <c r="S574" s="10" t="n"/>
      <c r="T574" s="18" t="n"/>
      <c r="U574" s="18" t="n"/>
      <c r="V574" s="10" t="n"/>
      <c r="W574" s="10" t="n"/>
      <c r="X574" s="19">
        <f>IF(OR(A574="",COUNT(U574)=0,COUNT(AI574)=0),"",U574+AI574)</f>
        <v/>
      </c>
      <c r="Y574" s="16" t="n"/>
      <c r="Z574" s="12" t="n"/>
      <c r="AA574" s="17">
        <f>IF(COUNT(J574)=0,"",IF(H574=0,"n.a.",J574/H574))</f>
        <v/>
      </c>
      <c r="AB574" s="12" t="n"/>
      <c r="AC574" s="12" t="n"/>
      <c r="AD574" s="12" t="n"/>
      <c r="AE574" s="13">
        <f>IF(OR(COUNT(J574)=0,COUNT(AB574:AD574)&lt;3),"",ROUND(J574-SUM(AB574:AD574),2))</f>
        <v/>
      </c>
      <c r="AF574" s="15">
        <f>IF(COUNT(AE574)=0,"",IF(Z574=0,"n.a.",AE574/Z574))</f>
        <v/>
      </c>
      <c r="AG574" s="12" t="n"/>
      <c r="AH574" s="14">
        <f>IF(OR(A574="",COUNT(Z574)=0,COUNT(AG574)=0),"",ROUND(Z574-AG574,2))</f>
        <v/>
      </c>
      <c r="AI574" s="21" t="n"/>
      <c r="AJ574" s="11">
        <f>IF(A574="","",IF(COUNT(I574)=0,"Enter approved NTE",IF(COUNT(Z574)&gt;0,IF(Z574&gt;I574,"Invoice exceeds NTE","Invoice within NTE"),IF(COUNT(L574)=0,"Enter quote inputs",IF(L574&gt;I574,"Quote exceeds NTE","Quote within NTE")))))</f>
        <v/>
      </c>
      <c r="AK574" s="11">
        <f>IF(A574="","",IF(COUNT(H574)=0,"Enter direct cost",IF(COUNT(Z574)=0,"Enter invoice revenue",IF(COUNT(AB574:AD574)&lt;3,"Enter expenses (0 if none)","Complete"))))</f>
        <v/>
      </c>
      <c r="AL574" s="11">
        <f>IF(A574="","",IF(NOT(AND(COUNT(AH574)=1,N(AH574)&gt;0.004,V574&lt;&gt;"Void",V574&lt;&gt;"Not invoiced",V574&lt;&gt;"Draft")),"",IF(COUNT(X574)=0,"No due date",IF(TODAY()-X574&lt;=0,"Not yet due",IF(TODAY()-X574&lt;=30,"1-30 days",IF(TODAY()-X574&lt;=60,"31-60 days",IF(TODAY()-X574&lt;=90,"61-90 days","Over 90 days")))))))</f>
        <v/>
      </c>
      <c r="AM574" s="49">
        <f>IF(OR(AL574="",AL574="No due date"),"",MAX(TODAY()-X574,0))</f>
        <v/>
      </c>
      <c r="AN574" s="49">
        <f>IF(AL574="","",IF(COUNT(X574)=0,-100000,TODAY()-X574))</f>
        <v/>
      </c>
      <c r="AO574" s="49">
        <f>IF(AN574="","",COUNTIF(AN$11:AN$1010,"&gt;"&amp;AN574)+COUNTIF(AN$11:AN574,AN574))</f>
        <v/>
      </c>
      <c r="AP574" s="49">
        <f>IF(OR(A574="",B574=""),"",IF(COUNTIF(B$11:B574,B574)=1,MAX(AP$10:AP573)+1,""))</f>
        <v/>
      </c>
    </row>
    <row r="575">
      <c r="A575" s="20" t="n"/>
      <c r="B575" s="10" t="n"/>
      <c r="C575" s="10" t="n"/>
      <c r="D575" s="10" t="n"/>
      <c r="E575" s="10" t="n"/>
      <c r="F575" s="18" t="n"/>
      <c r="G575" s="10" t="n"/>
      <c r="H575" s="12" t="n"/>
      <c r="I575" s="12" t="n"/>
      <c r="J575" s="13">
        <f>IF(OR(A575="",COUNT(H575)=0,COUNT(Z575)=0),"",ROUND(Z575-H575,2))</f>
        <v/>
      </c>
      <c r="K575" s="15">
        <f>IF(COUNT(J575)=0,"",IF(Z575=0,"n.a.",J575/Z575))</f>
        <v/>
      </c>
      <c r="L575" s="14">
        <f>IF(OR(A575="",COUNT(H575)=0,COUNT(Y575)=0),"",ROUND(H575*(1+Y575),2))</f>
        <v/>
      </c>
      <c r="M575" s="10" t="n"/>
      <c r="N575" s="10" t="n"/>
      <c r="O575" s="10" t="n"/>
      <c r="P575" s="10" t="n"/>
      <c r="Q575" s="20" t="n"/>
      <c r="R575" s="10" t="n"/>
      <c r="S575" s="10" t="n"/>
      <c r="T575" s="18" t="n"/>
      <c r="U575" s="18" t="n"/>
      <c r="V575" s="10" t="n"/>
      <c r="W575" s="10" t="n"/>
      <c r="X575" s="19">
        <f>IF(OR(A575="",COUNT(U575)=0,COUNT(AI575)=0),"",U575+AI575)</f>
        <v/>
      </c>
      <c r="Y575" s="16" t="n"/>
      <c r="Z575" s="12" t="n"/>
      <c r="AA575" s="17">
        <f>IF(COUNT(J575)=0,"",IF(H575=0,"n.a.",J575/H575))</f>
        <v/>
      </c>
      <c r="AB575" s="12" t="n"/>
      <c r="AC575" s="12" t="n"/>
      <c r="AD575" s="12" t="n"/>
      <c r="AE575" s="13">
        <f>IF(OR(COUNT(J575)=0,COUNT(AB575:AD575)&lt;3),"",ROUND(J575-SUM(AB575:AD575),2))</f>
        <v/>
      </c>
      <c r="AF575" s="15">
        <f>IF(COUNT(AE575)=0,"",IF(Z575=0,"n.a.",AE575/Z575))</f>
        <v/>
      </c>
      <c r="AG575" s="12" t="n"/>
      <c r="AH575" s="14">
        <f>IF(OR(A575="",COUNT(Z575)=0,COUNT(AG575)=0),"",ROUND(Z575-AG575,2))</f>
        <v/>
      </c>
      <c r="AI575" s="21" t="n"/>
      <c r="AJ575" s="11">
        <f>IF(A575="","",IF(COUNT(I575)=0,"Enter approved NTE",IF(COUNT(Z575)&gt;0,IF(Z575&gt;I575,"Invoice exceeds NTE","Invoice within NTE"),IF(COUNT(L575)=0,"Enter quote inputs",IF(L575&gt;I575,"Quote exceeds NTE","Quote within NTE")))))</f>
        <v/>
      </c>
      <c r="AK575" s="11">
        <f>IF(A575="","",IF(COUNT(H575)=0,"Enter direct cost",IF(COUNT(Z575)=0,"Enter invoice revenue",IF(COUNT(AB575:AD575)&lt;3,"Enter expenses (0 if none)","Complete"))))</f>
        <v/>
      </c>
      <c r="AL575" s="11">
        <f>IF(A575="","",IF(NOT(AND(COUNT(AH575)=1,N(AH575)&gt;0.004,V575&lt;&gt;"Void",V575&lt;&gt;"Not invoiced",V575&lt;&gt;"Draft")),"",IF(COUNT(X575)=0,"No due date",IF(TODAY()-X575&lt;=0,"Not yet due",IF(TODAY()-X575&lt;=30,"1-30 days",IF(TODAY()-X575&lt;=60,"31-60 days",IF(TODAY()-X575&lt;=90,"61-90 days","Over 90 days")))))))</f>
        <v/>
      </c>
      <c r="AM575" s="49">
        <f>IF(OR(AL575="",AL575="No due date"),"",MAX(TODAY()-X575,0))</f>
        <v/>
      </c>
      <c r="AN575" s="49">
        <f>IF(AL575="","",IF(COUNT(X575)=0,-100000,TODAY()-X575))</f>
        <v/>
      </c>
      <c r="AO575" s="49">
        <f>IF(AN575="","",COUNTIF(AN$11:AN$1010,"&gt;"&amp;AN575)+COUNTIF(AN$11:AN575,AN575))</f>
        <v/>
      </c>
      <c r="AP575" s="49">
        <f>IF(OR(A575="",B575=""),"",IF(COUNTIF(B$11:B575,B575)=1,MAX(AP$10:AP574)+1,""))</f>
        <v/>
      </c>
    </row>
    <row r="576">
      <c r="A576" s="20" t="n"/>
      <c r="B576" s="10" t="n"/>
      <c r="C576" s="10" t="n"/>
      <c r="D576" s="10" t="n"/>
      <c r="E576" s="10" t="n"/>
      <c r="F576" s="18" t="n"/>
      <c r="G576" s="10" t="n"/>
      <c r="H576" s="12" t="n"/>
      <c r="I576" s="12" t="n"/>
      <c r="J576" s="13">
        <f>IF(OR(A576="",COUNT(H576)=0,COUNT(Z576)=0),"",ROUND(Z576-H576,2))</f>
        <v/>
      </c>
      <c r="K576" s="15">
        <f>IF(COUNT(J576)=0,"",IF(Z576=0,"n.a.",J576/Z576))</f>
        <v/>
      </c>
      <c r="L576" s="14">
        <f>IF(OR(A576="",COUNT(H576)=0,COUNT(Y576)=0),"",ROUND(H576*(1+Y576),2))</f>
        <v/>
      </c>
      <c r="M576" s="10" t="n"/>
      <c r="N576" s="10" t="n"/>
      <c r="O576" s="10" t="n"/>
      <c r="P576" s="10" t="n"/>
      <c r="Q576" s="20" t="n"/>
      <c r="R576" s="10" t="n"/>
      <c r="S576" s="10" t="n"/>
      <c r="T576" s="18" t="n"/>
      <c r="U576" s="18" t="n"/>
      <c r="V576" s="10" t="n"/>
      <c r="W576" s="10" t="n"/>
      <c r="X576" s="19">
        <f>IF(OR(A576="",COUNT(U576)=0,COUNT(AI576)=0),"",U576+AI576)</f>
        <v/>
      </c>
      <c r="Y576" s="16" t="n"/>
      <c r="Z576" s="12" t="n"/>
      <c r="AA576" s="17">
        <f>IF(COUNT(J576)=0,"",IF(H576=0,"n.a.",J576/H576))</f>
        <v/>
      </c>
      <c r="AB576" s="12" t="n"/>
      <c r="AC576" s="12" t="n"/>
      <c r="AD576" s="12" t="n"/>
      <c r="AE576" s="13">
        <f>IF(OR(COUNT(J576)=0,COUNT(AB576:AD576)&lt;3),"",ROUND(J576-SUM(AB576:AD576),2))</f>
        <v/>
      </c>
      <c r="AF576" s="15">
        <f>IF(COUNT(AE576)=0,"",IF(Z576=0,"n.a.",AE576/Z576))</f>
        <v/>
      </c>
      <c r="AG576" s="12" t="n"/>
      <c r="AH576" s="14">
        <f>IF(OR(A576="",COUNT(Z576)=0,COUNT(AG576)=0),"",ROUND(Z576-AG576,2))</f>
        <v/>
      </c>
      <c r="AI576" s="21" t="n"/>
      <c r="AJ576" s="11">
        <f>IF(A576="","",IF(COUNT(I576)=0,"Enter approved NTE",IF(COUNT(Z576)&gt;0,IF(Z576&gt;I576,"Invoice exceeds NTE","Invoice within NTE"),IF(COUNT(L576)=0,"Enter quote inputs",IF(L576&gt;I576,"Quote exceeds NTE","Quote within NTE")))))</f>
        <v/>
      </c>
      <c r="AK576" s="11">
        <f>IF(A576="","",IF(COUNT(H576)=0,"Enter direct cost",IF(COUNT(Z576)=0,"Enter invoice revenue",IF(COUNT(AB576:AD576)&lt;3,"Enter expenses (0 if none)","Complete"))))</f>
        <v/>
      </c>
      <c r="AL576" s="11">
        <f>IF(A576="","",IF(NOT(AND(COUNT(AH576)=1,N(AH576)&gt;0.004,V576&lt;&gt;"Void",V576&lt;&gt;"Not invoiced",V576&lt;&gt;"Draft")),"",IF(COUNT(X576)=0,"No due date",IF(TODAY()-X576&lt;=0,"Not yet due",IF(TODAY()-X576&lt;=30,"1-30 days",IF(TODAY()-X576&lt;=60,"31-60 days",IF(TODAY()-X576&lt;=90,"61-90 days","Over 90 days")))))))</f>
        <v/>
      </c>
      <c r="AM576" s="49">
        <f>IF(OR(AL576="",AL576="No due date"),"",MAX(TODAY()-X576,0))</f>
        <v/>
      </c>
      <c r="AN576" s="49">
        <f>IF(AL576="","",IF(COUNT(X576)=0,-100000,TODAY()-X576))</f>
        <v/>
      </c>
      <c r="AO576" s="49">
        <f>IF(AN576="","",COUNTIF(AN$11:AN$1010,"&gt;"&amp;AN576)+COUNTIF(AN$11:AN576,AN576))</f>
        <v/>
      </c>
      <c r="AP576" s="49">
        <f>IF(OR(A576="",B576=""),"",IF(COUNTIF(B$11:B576,B576)=1,MAX(AP$10:AP575)+1,""))</f>
        <v/>
      </c>
    </row>
    <row r="577">
      <c r="A577" s="20" t="n"/>
      <c r="B577" s="10" t="n"/>
      <c r="C577" s="10" t="n"/>
      <c r="D577" s="10" t="n"/>
      <c r="E577" s="10" t="n"/>
      <c r="F577" s="18" t="n"/>
      <c r="G577" s="10" t="n"/>
      <c r="H577" s="12" t="n"/>
      <c r="I577" s="12" t="n"/>
      <c r="J577" s="13">
        <f>IF(OR(A577="",COUNT(H577)=0,COUNT(Z577)=0),"",ROUND(Z577-H577,2))</f>
        <v/>
      </c>
      <c r="K577" s="15">
        <f>IF(COUNT(J577)=0,"",IF(Z577=0,"n.a.",J577/Z577))</f>
        <v/>
      </c>
      <c r="L577" s="14">
        <f>IF(OR(A577="",COUNT(H577)=0,COUNT(Y577)=0),"",ROUND(H577*(1+Y577),2))</f>
        <v/>
      </c>
      <c r="M577" s="10" t="n"/>
      <c r="N577" s="10" t="n"/>
      <c r="O577" s="10" t="n"/>
      <c r="P577" s="10" t="n"/>
      <c r="Q577" s="20" t="n"/>
      <c r="R577" s="10" t="n"/>
      <c r="S577" s="10" t="n"/>
      <c r="T577" s="18" t="n"/>
      <c r="U577" s="18" t="n"/>
      <c r="V577" s="10" t="n"/>
      <c r="W577" s="10" t="n"/>
      <c r="X577" s="19">
        <f>IF(OR(A577="",COUNT(U577)=0,COUNT(AI577)=0),"",U577+AI577)</f>
        <v/>
      </c>
      <c r="Y577" s="16" t="n"/>
      <c r="Z577" s="12" t="n"/>
      <c r="AA577" s="17">
        <f>IF(COUNT(J577)=0,"",IF(H577=0,"n.a.",J577/H577))</f>
        <v/>
      </c>
      <c r="AB577" s="12" t="n"/>
      <c r="AC577" s="12" t="n"/>
      <c r="AD577" s="12" t="n"/>
      <c r="AE577" s="13">
        <f>IF(OR(COUNT(J577)=0,COUNT(AB577:AD577)&lt;3),"",ROUND(J577-SUM(AB577:AD577),2))</f>
        <v/>
      </c>
      <c r="AF577" s="15">
        <f>IF(COUNT(AE577)=0,"",IF(Z577=0,"n.a.",AE577/Z577))</f>
        <v/>
      </c>
      <c r="AG577" s="12" t="n"/>
      <c r="AH577" s="14">
        <f>IF(OR(A577="",COUNT(Z577)=0,COUNT(AG577)=0),"",ROUND(Z577-AG577,2))</f>
        <v/>
      </c>
      <c r="AI577" s="21" t="n"/>
      <c r="AJ577" s="11">
        <f>IF(A577="","",IF(COUNT(I577)=0,"Enter approved NTE",IF(COUNT(Z577)&gt;0,IF(Z577&gt;I577,"Invoice exceeds NTE","Invoice within NTE"),IF(COUNT(L577)=0,"Enter quote inputs",IF(L577&gt;I577,"Quote exceeds NTE","Quote within NTE")))))</f>
        <v/>
      </c>
      <c r="AK577" s="11">
        <f>IF(A577="","",IF(COUNT(H577)=0,"Enter direct cost",IF(COUNT(Z577)=0,"Enter invoice revenue",IF(COUNT(AB577:AD577)&lt;3,"Enter expenses (0 if none)","Complete"))))</f>
        <v/>
      </c>
      <c r="AL577" s="11">
        <f>IF(A577="","",IF(NOT(AND(COUNT(AH577)=1,N(AH577)&gt;0.004,V577&lt;&gt;"Void",V577&lt;&gt;"Not invoiced",V577&lt;&gt;"Draft")),"",IF(COUNT(X577)=0,"No due date",IF(TODAY()-X577&lt;=0,"Not yet due",IF(TODAY()-X577&lt;=30,"1-30 days",IF(TODAY()-X577&lt;=60,"31-60 days",IF(TODAY()-X577&lt;=90,"61-90 days","Over 90 days")))))))</f>
        <v/>
      </c>
      <c r="AM577" s="49">
        <f>IF(OR(AL577="",AL577="No due date"),"",MAX(TODAY()-X577,0))</f>
        <v/>
      </c>
      <c r="AN577" s="49">
        <f>IF(AL577="","",IF(COUNT(X577)=0,-100000,TODAY()-X577))</f>
        <v/>
      </c>
      <c r="AO577" s="49">
        <f>IF(AN577="","",COUNTIF(AN$11:AN$1010,"&gt;"&amp;AN577)+COUNTIF(AN$11:AN577,AN577))</f>
        <v/>
      </c>
      <c r="AP577" s="49">
        <f>IF(OR(A577="",B577=""),"",IF(COUNTIF(B$11:B577,B577)=1,MAX(AP$10:AP576)+1,""))</f>
        <v/>
      </c>
    </row>
    <row r="578">
      <c r="A578" s="20" t="n"/>
      <c r="B578" s="10" t="n"/>
      <c r="C578" s="10" t="n"/>
      <c r="D578" s="10" t="n"/>
      <c r="E578" s="10" t="n"/>
      <c r="F578" s="18" t="n"/>
      <c r="G578" s="10" t="n"/>
      <c r="H578" s="12" t="n"/>
      <c r="I578" s="12" t="n"/>
      <c r="J578" s="13">
        <f>IF(OR(A578="",COUNT(H578)=0,COUNT(Z578)=0),"",ROUND(Z578-H578,2))</f>
        <v/>
      </c>
      <c r="K578" s="15">
        <f>IF(COUNT(J578)=0,"",IF(Z578=0,"n.a.",J578/Z578))</f>
        <v/>
      </c>
      <c r="L578" s="14">
        <f>IF(OR(A578="",COUNT(H578)=0,COUNT(Y578)=0),"",ROUND(H578*(1+Y578),2))</f>
        <v/>
      </c>
      <c r="M578" s="10" t="n"/>
      <c r="N578" s="10" t="n"/>
      <c r="O578" s="10" t="n"/>
      <c r="P578" s="10" t="n"/>
      <c r="Q578" s="20" t="n"/>
      <c r="R578" s="10" t="n"/>
      <c r="S578" s="10" t="n"/>
      <c r="T578" s="18" t="n"/>
      <c r="U578" s="18" t="n"/>
      <c r="V578" s="10" t="n"/>
      <c r="W578" s="10" t="n"/>
      <c r="X578" s="19">
        <f>IF(OR(A578="",COUNT(U578)=0,COUNT(AI578)=0),"",U578+AI578)</f>
        <v/>
      </c>
      <c r="Y578" s="16" t="n"/>
      <c r="Z578" s="12" t="n"/>
      <c r="AA578" s="17">
        <f>IF(COUNT(J578)=0,"",IF(H578=0,"n.a.",J578/H578))</f>
        <v/>
      </c>
      <c r="AB578" s="12" t="n"/>
      <c r="AC578" s="12" t="n"/>
      <c r="AD578" s="12" t="n"/>
      <c r="AE578" s="13">
        <f>IF(OR(COUNT(J578)=0,COUNT(AB578:AD578)&lt;3),"",ROUND(J578-SUM(AB578:AD578),2))</f>
        <v/>
      </c>
      <c r="AF578" s="15">
        <f>IF(COUNT(AE578)=0,"",IF(Z578=0,"n.a.",AE578/Z578))</f>
        <v/>
      </c>
      <c r="AG578" s="12" t="n"/>
      <c r="AH578" s="14">
        <f>IF(OR(A578="",COUNT(Z578)=0,COUNT(AG578)=0),"",ROUND(Z578-AG578,2))</f>
        <v/>
      </c>
      <c r="AI578" s="21" t="n"/>
      <c r="AJ578" s="11">
        <f>IF(A578="","",IF(COUNT(I578)=0,"Enter approved NTE",IF(COUNT(Z578)&gt;0,IF(Z578&gt;I578,"Invoice exceeds NTE","Invoice within NTE"),IF(COUNT(L578)=0,"Enter quote inputs",IF(L578&gt;I578,"Quote exceeds NTE","Quote within NTE")))))</f>
        <v/>
      </c>
      <c r="AK578" s="11">
        <f>IF(A578="","",IF(COUNT(H578)=0,"Enter direct cost",IF(COUNT(Z578)=0,"Enter invoice revenue",IF(COUNT(AB578:AD578)&lt;3,"Enter expenses (0 if none)","Complete"))))</f>
        <v/>
      </c>
      <c r="AL578" s="11">
        <f>IF(A578="","",IF(NOT(AND(COUNT(AH578)=1,N(AH578)&gt;0.004,V578&lt;&gt;"Void",V578&lt;&gt;"Not invoiced",V578&lt;&gt;"Draft")),"",IF(COUNT(X578)=0,"No due date",IF(TODAY()-X578&lt;=0,"Not yet due",IF(TODAY()-X578&lt;=30,"1-30 days",IF(TODAY()-X578&lt;=60,"31-60 days",IF(TODAY()-X578&lt;=90,"61-90 days","Over 90 days")))))))</f>
        <v/>
      </c>
      <c r="AM578" s="49">
        <f>IF(OR(AL578="",AL578="No due date"),"",MAX(TODAY()-X578,0))</f>
        <v/>
      </c>
      <c r="AN578" s="49">
        <f>IF(AL578="","",IF(COUNT(X578)=0,-100000,TODAY()-X578))</f>
        <v/>
      </c>
      <c r="AO578" s="49">
        <f>IF(AN578="","",COUNTIF(AN$11:AN$1010,"&gt;"&amp;AN578)+COUNTIF(AN$11:AN578,AN578))</f>
        <v/>
      </c>
      <c r="AP578" s="49">
        <f>IF(OR(A578="",B578=""),"",IF(COUNTIF(B$11:B578,B578)=1,MAX(AP$10:AP577)+1,""))</f>
        <v/>
      </c>
    </row>
    <row r="579">
      <c r="A579" s="20" t="n"/>
      <c r="B579" s="10" t="n"/>
      <c r="C579" s="10" t="n"/>
      <c r="D579" s="10" t="n"/>
      <c r="E579" s="10" t="n"/>
      <c r="F579" s="18" t="n"/>
      <c r="G579" s="10" t="n"/>
      <c r="H579" s="12" t="n"/>
      <c r="I579" s="12" t="n"/>
      <c r="J579" s="13">
        <f>IF(OR(A579="",COUNT(H579)=0,COUNT(Z579)=0),"",ROUND(Z579-H579,2))</f>
        <v/>
      </c>
      <c r="K579" s="15">
        <f>IF(COUNT(J579)=0,"",IF(Z579=0,"n.a.",J579/Z579))</f>
        <v/>
      </c>
      <c r="L579" s="14">
        <f>IF(OR(A579="",COUNT(H579)=0,COUNT(Y579)=0),"",ROUND(H579*(1+Y579),2))</f>
        <v/>
      </c>
      <c r="M579" s="10" t="n"/>
      <c r="N579" s="10" t="n"/>
      <c r="O579" s="10" t="n"/>
      <c r="P579" s="10" t="n"/>
      <c r="Q579" s="20" t="n"/>
      <c r="R579" s="10" t="n"/>
      <c r="S579" s="10" t="n"/>
      <c r="T579" s="18" t="n"/>
      <c r="U579" s="18" t="n"/>
      <c r="V579" s="10" t="n"/>
      <c r="W579" s="10" t="n"/>
      <c r="X579" s="19">
        <f>IF(OR(A579="",COUNT(U579)=0,COUNT(AI579)=0),"",U579+AI579)</f>
        <v/>
      </c>
      <c r="Y579" s="16" t="n"/>
      <c r="Z579" s="12" t="n"/>
      <c r="AA579" s="17">
        <f>IF(COUNT(J579)=0,"",IF(H579=0,"n.a.",J579/H579))</f>
        <v/>
      </c>
      <c r="AB579" s="12" t="n"/>
      <c r="AC579" s="12" t="n"/>
      <c r="AD579" s="12" t="n"/>
      <c r="AE579" s="13">
        <f>IF(OR(COUNT(J579)=0,COUNT(AB579:AD579)&lt;3),"",ROUND(J579-SUM(AB579:AD579),2))</f>
        <v/>
      </c>
      <c r="AF579" s="15">
        <f>IF(COUNT(AE579)=0,"",IF(Z579=0,"n.a.",AE579/Z579))</f>
        <v/>
      </c>
      <c r="AG579" s="12" t="n"/>
      <c r="AH579" s="14">
        <f>IF(OR(A579="",COUNT(Z579)=0,COUNT(AG579)=0),"",ROUND(Z579-AG579,2))</f>
        <v/>
      </c>
      <c r="AI579" s="21" t="n"/>
      <c r="AJ579" s="11">
        <f>IF(A579="","",IF(COUNT(I579)=0,"Enter approved NTE",IF(COUNT(Z579)&gt;0,IF(Z579&gt;I579,"Invoice exceeds NTE","Invoice within NTE"),IF(COUNT(L579)=0,"Enter quote inputs",IF(L579&gt;I579,"Quote exceeds NTE","Quote within NTE")))))</f>
        <v/>
      </c>
      <c r="AK579" s="11">
        <f>IF(A579="","",IF(COUNT(H579)=0,"Enter direct cost",IF(COUNT(Z579)=0,"Enter invoice revenue",IF(COUNT(AB579:AD579)&lt;3,"Enter expenses (0 if none)","Complete"))))</f>
        <v/>
      </c>
      <c r="AL579" s="11">
        <f>IF(A579="","",IF(NOT(AND(COUNT(AH579)=1,N(AH579)&gt;0.004,V579&lt;&gt;"Void",V579&lt;&gt;"Not invoiced",V579&lt;&gt;"Draft")),"",IF(COUNT(X579)=0,"No due date",IF(TODAY()-X579&lt;=0,"Not yet due",IF(TODAY()-X579&lt;=30,"1-30 days",IF(TODAY()-X579&lt;=60,"31-60 days",IF(TODAY()-X579&lt;=90,"61-90 days","Over 90 days")))))))</f>
        <v/>
      </c>
      <c r="AM579" s="49">
        <f>IF(OR(AL579="",AL579="No due date"),"",MAX(TODAY()-X579,0))</f>
        <v/>
      </c>
      <c r="AN579" s="49">
        <f>IF(AL579="","",IF(COUNT(X579)=0,-100000,TODAY()-X579))</f>
        <v/>
      </c>
      <c r="AO579" s="49">
        <f>IF(AN579="","",COUNTIF(AN$11:AN$1010,"&gt;"&amp;AN579)+COUNTIF(AN$11:AN579,AN579))</f>
        <v/>
      </c>
      <c r="AP579" s="49">
        <f>IF(OR(A579="",B579=""),"",IF(COUNTIF(B$11:B579,B579)=1,MAX(AP$10:AP578)+1,""))</f>
        <v/>
      </c>
    </row>
    <row r="580">
      <c r="A580" s="20" t="n"/>
      <c r="B580" s="10" t="n"/>
      <c r="C580" s="10" t="n"/>
      <c r="D580" s="10" t="n"/>
      <c r="E580" s="10" t="n"/>
      <c r="F580" s="18" t="n"/>
      <c r="G580" s="10" t="n"/>
      <c r="H580" s="12" t="n"/>
      <c r="I580" s="12" t="n"/>
      <c r="J580" s="13">
        <f>IF(OR(A580="",COUNT(H580)=0,COUNT(Z580)=0),"",ROUND(Z580-H580,2))</f>
        <v/>
      </c>
      <c r="K580" s="15">
        <f>IF(COUNT(J580)=0,"",IF(Z580=0,"n.a.",J580/Z580))</f>
        <v/>
      </c>
      <c r="L580" s="14">
        <f>IF(OR(A580="",COUNT(H580)=0,COUNT(Y580)=0),"",ROUND(H580*(1+Y580),2))</f>
        <v/>
      </c>
      <c r="M580" s="10" t="n"/>
      <c r="N580" s="10" t="n"/>
      <c r="O580" s="10" t="n"/>
      <c r="P580" s="10" t="n"/>
      <c r="Q580" s="20" t="n"/>
      <c r="R580" s="10" t="n"/>
      <c r="S580" s="10" t="n"/>
      <c r="T580" s="18" t="n"/>
      <c r="U580" s="18" t="n"/>
      <c r="V580" s="10" t="n"/>
      <c r="W580" s="10" t="n"/>
      <c r="X580" s="19">
        <f>IF(OR(A580="",COUNT(U580)=0,COUNT(AI580)=0),"",U580+AI580)</f>
        <v/>
      </c>
      <c r="Y580" s="16" t="n"/>
      <c r="Z580" s="12" t="n"/>
      <c r="AA580" s="17">
        <f>IF(COUNT(J580)=0,"",IF(H580=0,"n.a.",J580/H580))</f>
        <v/>
      </c>
      <c r="AB580" s="12" t="n"/>
      <c r="AC580" s="12" t="n"/>
      <c r="AD580" s="12" t="n"/>
      <c r="AE580" s="13">
        <f>IF(OR(COUNT(J580)=0,COUNT(AB580:AD580)&lt;3),"",ROUND(J580-SUM(AB580:AD580),2))</f>
        <v/>
      </c>
      <c r="AF580" s="15">
        <f>IF(COUNT(AE580)=0,"",IF(Z580=0,"n.a.",AE580/Z580))</f>
        <v/>
      </c>
      <c r="AG580" s="12" t="n"/>
      <c r="AH580" s="14">
        <f>IF(OR(A580="",COUNT(Z580)=0,COUNT(AG580)=0),"",ROUND(Z580-AG580,2))</f>
        <v/>
      </c>
      <c r="AI580" s="21" t="n"/>
      <c r="AJ580" s="11">
        <f>IF(A580="","",IF(COUNT(I580)=0,"Enter approved NTE",IF(COUNT(Z580)&gt;0,IF(Z580&gt;I580,"Invoice exceeds NTE","Invoice within NTE"),IF(COUNT(L580)=0,"Enter quote inputs",IF(L580&gt;I580,"Quote exceeds NTE","Quote within NTE")))))</f>
        <v/>
      </c>
      <c r="AK580" s="11">
        <f>IF(A580="","",IF(COUNT(H580)=0,"Enter direct cost",IF(COUNT(Z580)=0,"Enter invoice revenue",IF(COUNT(AB580:AD580)&lt;3,"Enter expenses (0 if none)","Complete"))))</f>
        <v/>
      </c>
      <c r="AL580" s="11">
        <f>IF(A580="","",IF(NOT(AND(COUNT(AH580)=1,N(AH580)&gt;0.004,V580&lt;&gt;"Void",V580&lt;&gt;"Not invoiced",V580&lt;&gt;"Draft")),"",IF(COUNT(X580)=0,"No due date",IF(TODAY()-X580&lt;=0,"Not yet due",IF(TODAY()-X580&lt;=30,"1-30 days",IF(TODAY()-X580&lt;=60,"31-60 days",IF(TODAY()-X580&lt;=90,"61-90 days","Over 90 days")))))))</f>
        <v/>
      </c>
      <c r="AM580" s="49">
        <f>IF(OR(AL580="",AL580="No due date"),"",MAX(TODAY()-X580,0))</f>
        <v/>
      </c>
      <c r="AN580" s="49">
        <f>IF(AL580="","",IF(COUNT(X580)=0,-100000,TODAY()-X580))</f>
        <v/>
      </c>
      <c r="AO580" s="49">
        <f>IF(AN580="","",COUNTIF(AN$11:AN$1010,"&gt;"&amp;AN580)+COUNTIF(AN$11:AN580,AN580))</f>
        <v/>
      </c>
      <c r="AP580" s="49">
        <f>IF(OR(A580="",B580=""),"",IF(COUNTIF(B$11:B580,B580)=1,MAX(AP$10:AP579)+1,""))</f>
        <v/>
      </c>
    </row>
    <row r="581">
      <c r="A581" s="20" t="n"/>
      <c r="B581" s="10" t="n"/>
      <c r="C581" s="10" t="n"/>
      <c r="D581" s="10" t="n"/>
      <c r="E581" s="10" t="n"/>
      <c r="F581" s="18" t="n"/>
      <c r="G581" s="10" t="n"/>
      <c r="H581" s="12" t="n"/>
      <c r="I581" s="12" t="n"/>
      <c r="J581" s="13">
        <f>IF(OR(A581="",COUNT(H581)=0,COUNT(Z581)=0),"",ROUND(Z581-H581,2))</f>
        <v/>
      </c>
      <c r="K581" s="15">
        <f>IF(COUNT(J581)=0,"",IF(Z581=0,"n.a.",J581/Z581))</f>
        <v/>
      </c>
      <c r="L581" s="14">
        <f>IF(OR(A581="",COUNT(H581)=0,COUNT(Y581)=0),"",ROUND(H581*(1+Y581),2))</f>
        <v/>
      </c>
      <c r="M581" s="10" t="n"/>
      <c r="N581" s="10" t="n"/>
      <c r="O581" s="10" t="n"/>
      <c r="P581" s="10" t="n"/>
      <c r="Q581" s="20" t="n"/>
      <c r="R581" s="10" t="n"/>
      <c r="S581" s="10" t="n"/>
      <c r="T581" s="18" t="n"/>
      <c r="U581" s="18" t="n"/>
      <c r="V581" s="10" t="n"/>
      <c r="W581" s="10" t="n"/>
      <c r="X581" s="19">
        <f>IF(OR(A581="",COUNT(U581)=0,COUNT(AI581)=0),"",U581+AI581)</f>
        <v/>
      </c>
      <c r="Y581" s="16" t="n"/>
      <c r="Z581" s="12" t="n"/>
      <c r="AA581" s="17">
        <f>IF(COUNT(J581)=0,"",IF(H581=0,"n.a.",J581/H581))</f>
        <v/>
      </c>
      <c r="AB581" s="12" t="n"/>
      <c r="AC581" s="12" t="n"/>
      <c r="AD581" s="12" t="n"/>
      <c r="AE581" s="13">
        <f>IF(OR(COUNT(J581)=0,COUNT(AB581:AD581)&lt;3),"",ROUND(J581-SUM(AB581:AD581),2))</f>
        <v/>
      </c>
      <c r="AF581" s="15">
        <f>IF(COUNT(AE581)=0,"",IF(Z581=0,"n.a.",AE581/Z581))</f>
        <v/>
      </c>
      <c r="AG581" s="12" t="n"/>
      <c r="AH581" s="14">
        <f>IF(OR(A581="",COUNT(Z581)=0,COUNT(AG581)=0),"",ROUND(Z581-AG581,2))</f>
        <v/>
      </c>
      <c r="AI581" s="21" t="n"/>
      <c r="AJ581" s="11">
        <f>IF(A581="","",IF(COUNT(I581)=0,"Enter approved NTE",IF(COUNT(Z581)&gt;0,IF(Z581&gt;I581,"Invoice exceeds NTE","Invoice within NTE"),IF(COUNT(L581)=0,"Enter quote inputs",IF(L581&gt;I581,"Quote exceeds NTE","Quote within NTE")))))</f>
        <v/>
      </c>
      <c r="AK581" s="11">
        <f>IF(A581="","",IF(COUNT(H581)=0,"Enter direct cost",IF(COUNT(Z581)=0,"Enter invoice revenue",IF(COUNT(AB581:AD581)&lt;3,"Enter expenses (0 if none)","Complete"))))</f>
        <v/>
      </c>
      <c r="AL581" s="11">
        <f>IF(A581="","",IF(NOT(AND(COUNT(AH581)=1,N(AH581)&gt;0.004,V581&lt;&gt;"Void",V581&lt;&gt;"Not invoiced",V581&lt;&gt;"Draft")),"",IF(COUNT(X581)=0,"No due date",IF(TODAY()-X581&lt;=0,"Not yet due",IF(TODAY()-X581&lt;=30,"1-30 days",IF(TODAY()-X581&lt;=60,"31-60 days",IF(TODAY()-X581&lt;=90,"61-90 days","Over 90 days")))))))</f>
        <v/>
      </c>
      <c r="AM581" s="49">
        <f>IF(OR(AL581="",AL581="No due date"),"",MAX(TODAY()-X581,0))</f>
        <v/>
      </c>
      <c r="AN581" s="49">
        <f>IF(AL581="","",IF(COUNT(X581)=0,-100000,TODAY()-X581))</f>
        <v/>
      </c>
      <c r="AO581" s="49">
        <f>IF(AN581="","",COUNTIF(AN$11:AN$1010,"&gt;"&amp;AN581)+COUNTIF(AN$11:AN581,AN581))</f>
        <v/>
      </c>
      <c r="AP581" s="49">
        <f>IF(OR(A581="",B581=""),"",IF(COUNTIF(B$11:B581,B581)=1,MAX(AP$10:AP580)+1,""))</f>
        <v/>
      </c>
    </row>
    <row r="582">
      <c r="A582" s="20" t="n"/>
      <c r="B582" s="10" t="n"/>
      <c r="C582" s="10" t="n"/>
      <c r="D582" s="10" t="n"/>
      <c r="E582" s="10" t="n"/>
      <c r="F582" s="18" t="n"/>
      <c r="G582" s="10" t="n"/>
      <c r="H582" s="12" t="n"/>
      <c r="I582" s="12" t="n"/>
      <c r="J582" s="13">
        <f>IF(OR(A582="",COUNT(H582)=0,COUNT(Z582)=0),"",ROUND(Z582-H582,2))</f>
        <v/>
      </c>
      <c r="K582" s="15">
        <f>IF(COUNT(J582)=0,"",IF(Z582=0,"n.a.",J582/Z582))</f>
        <v/>
      </c>
      <c r="L582" s="14">
        <f>IF(OR(A582="",COUNT(H582)=0,COUNT(Y582)=0),"",ROUND(H582*(1+Y582),2))</f>
        <v/>
      </c>
      <c r="M582" s="10" t="n"/>
      <c r="N582" s="10" t="n"/>
      <c r="O582" s="10" t="n"/>
      <c r="P582" s="10" t="n"/>
      <c r="Q582" s="20" t="n"/>
      <c r="R582" s="10" t="n"/>
      <c r="S582" s="10" t="n"/>
      <c r="T582" s="18" t="n"/>
      <c r="U582" s="18" t="n"/>
      <c r="V582" s="10" t="n"/>
      <c r="W582" s="10" t="n"/>
      <c r="X582" s="19">
        <f>IF(OR(A582="",COUNT(U582)=0,COUNT(AI582)=0),"",U582+AI582)</f>
        <v/>
      </c>
      <c r="Y582" s="16" t="n"/>
      <c r="Z582" s="12" t="n"/>
      <c r="AA582" s="17">
        <f>IF(COUNT(J582)=0,"",IF(H582=0,"n.a.",J582/H582))</f>
        <v/>
      </c>
      <c r="AB582" s="12" t="n"/>
      <c r="AC582" s="12" t="n"/>
      <c r="AD582" s="12" t="n"/>
      <c r="AE582" s="13">
        <f>IF(OR(COUNT(J582)=0,COUNT(AB582:AD582)&lt;3),"",ROUND(J582-SUM(AB582:AD582),2))</f>
        <v/>
      </c>
      <c r="AF582" s="15">
        <f>IF(COUNT(AE582)=0,"",IF(Z582=0,"n.a.",AE582/Z582))</f>
        <v/>
      </c>
      <c r="AG582" s="12" t="n"/>
      <c r="AH582" s="14">
        <f>IF(OR(A582="",COUNT(Z582)=0,COUNT(AG582)=0),"",ROUND(Z582-AG582,2))</f>
        <v/>
      </c>
      <c r="AI582" s="21" t="n"/>
      <c r="AJ582" s="11">
        <f>IF(A582="","",IF(COUNT(I582)=0,"Enter approved NTE",IF(COUNT(Z582)&gt;0,IF(Z582&gt;I582,"Invoice exceeds NTE","Invoice within NTE"),IF(COUNT(L582)=0,"Enter quote inputs",IF(L582&gt;I582,"Quote exceeds NTE","Quote within NTE")))))</f>
        <v/>
      </c>
      <c r="AK582" s="11">
        <f>IF(A582="","",IF(COUNT(H582)=0,"Enter direct cost",IF(COUNT(Z582)=0,"Enter invoice revenue",IF(COUNT(AB582:AD582)&lt;3,"Enter expenses (0 if none)","Complete"))))</f>
        <v/>
      </c>
      <c r="AL582" s="11">
        <f>IF(A582="","",IF(NOT(AND(COUNT(AH582)=1,N(AH582)&gt;0.004,V582&lt;&gt;"Void",V582&lt;&gt;"Not invoiced",V582&lt;&gt;"Draft")),"",IF(COUNT(X582)=0,"No due date",IF(TODAY()-X582&lt;=0,"Not yet due",IF(TODAY()-X582&lt;=30,"1-30 days",IF(TODAY()-X582&lt;=60,"31-60 days",IF(TODAY()-X582&lt;=90,"61-90 days","Over 90 days")))))))</f>
        <v/>
      </c>
      <c r="AM582" s="49">
        <f>IF(OR(AL582="",AL582="No due date"),"",MAX(TODAY()-X582,0))</f>
        <v/>
      </c>
      <c r="AN582" s="49">
        <f>IF(AL582="","",IF(COUNT(X582)=0,-100000,TODAY()-X582))</f>
        <v/>
      </c>
      <c r="AO582" s="49">
        <f>IF(AN582="","",COUNTIF(AN$11:AN$1010,"&gt;"&amp;AN582)+COUNTIF(AN$11:AN582,AN582))</f>
        <v/>
      </c>
      <c r="AP582" s="49">
        <f>IF(OR(A582="",B582=""),"",IF(COUNTIF(B$11:B582,B582)=1,MAX(AP$10:AP581)+1,""))</f>
        <v/>
      </c>
    </row>
    <row r="583">
      <c r="A583" s="20" t="n"/>
      <c r="B583" s="10" t="n"/>
      <c r="C583" s="10" t="n"/>
      <c r="D583" s="10" t="n"/>
      <c r="E583" s="10" t="n"/>
      <c r="F583" s="18" t="n"/>
      <c r="G583" s="10" t="n"/>
      <c r="H583" s="12" t="n"/>
      <c r="I583" s="12" t="n"/>
      <c r="J583" s="13">
        <f>IF(OR(A583="",COUNT(H583)=0,COUNT(Z583)=0),"",ROUND(Z583-H583,2))</f>
        <v/>
      </c>
      <c r="K583" s="15">
        <f>IF(COUNT(J583)=0,"",IF(Z583=0,"n.a.",J583/Z583))</f>
        <v/>
      </c>
      <c r="L583" s="14">
        <f>IF(OR(A583="",COUNT(H583)=0,COUNT(Y583)=0),"",ROUND(H583*(1+Y583),2))</f>
        <v/>
      </c>
      <c r="M583" s="10" t="n"/>
      <c r="N583" s="10" t="n"/>
      <c r="O583" s="10" t="n"/>
      <c r="P583" s="10" t="n"/>
      <c r="Q583" s="20" t="n"/>
      <c r="R583" s="10" t="n"/>
      <c r="S583" s="10" t="n"/>
      <c r="T583" s="18" t="n"/>
      <c r="U583" s="18" t="n"/>
      <c r="V583" s="10" t="n"/>
      <c r="W583" s="10" t="n"/>
      <c r="X583" s="19">
        <f>IF(OR(A583="",COUNT(U583)=0,COUNT(AI583)=0),"",U583+AI583)</f>
        <v/>
      </c>
      <c r="Y583" s="16" t="n"/>
      <c r="Z583" s="12" t="n"/>
      <c r="AA583" s="17">
        <f>IF(COUNT(J583)=0,"",IF(H583=0,"n.a.",J583/H583))</f>
        <v/>
      </c>
      <c r="AB583" s="12" t="n"/>
      <c r="AC583" s="12" t="n"/>
      <c r="AD583" s="12" t="n"/>
      <c r="AE583" s="13">
        <f>IF(OR(COUNT(J583)=0,COUNT(AB583:AD583)&lt;3),"",ROUND(J583-SUM(AB583:AD583),2))</f>
        <v/>
      </c>
      <c r="AF583" s="15">
        <f>IF(COUNT(AE583)=0,"",IF(Z583=0,"n.a.",AE583/Z583))</f>
        <v/>
      </c>
      <c r="AG583" s="12" t="n"/>
      <c r="AH583" s="14">
        <f>IF(OR(A583="",COUNT(Z583)=0,COUNT(AG583)=0),"",ROUND(Z583-AG583,2))</f>
        <v/>
      </c>
      <c r="AI583" s="21" t="n"/>
      <c r="AJ583" s="11">
        <f>IF(A583="","",IF(COUNT(I583)=0,"Enter approved NTE",IF(COUNT(Z583)&gt;0,IF(Z583&gt;I583,"Invoice exceeds NTE","Invoice within NTE"),IF(COUNT(L583)=0,"Enter quote inputs",IF(L583&gt;I583,"Quote exceeds NTE","Quote within NTE")))))</f>
        <v/>
      </c>
      <c r="AK583" s="11">
        <f>IF(A583="","",IF(COUNT(H583)=0,"Enter direct cost",IF(COUNT(Z583)=0,"Enter invoice revenue",IF(COUNT(AB583:AD583)&lt;3,"Enter expenses (0 if none)","Complete"))))</f>
        <v/>
      </c>
      <c r="AL583" s="11">
        <f>IF(A583="","",IF(NOT(AND(COUNT(AH583)=1,N(AH583)&gt;0.004,V583&lt;&gt;"Void",V583&lt;&gt;"Not invoiced",V583&lt;&gt;"Draft")),"",IF(COUNT(X583)=0,"No due date",IF(TODAY()-X583&lt;=0,"Not yet due",IF(TODAY()-X583&lt;=30,"1-30 days",IF(TODAY()-X583&lt;=60,"31-60 days",IF(TODAY()-X583&lt;=90,"61-90 days","Over 90 days")))))))</f>
        <v/>
      </c>
      <c r="AM583" s="49">
        <f>IF(OR(AL583="",AL583="No due date"),"",MAX(TODAY()-X583,0))</f>
        <v/>
      </c>
      <c r="AN583" s="49">
        <f>IF(AL583="","",IF(COUNT(X583)=0,-100000,TODAY()-X583))</f>
        <v/>
      </c>
      <c r="AO583" s="49">
        <f>IF(AN583="","",COUNTIF(AN$11:AN$1010,"&gt;"&amp;AN583)+COUNTIF(AN$11:AN583,AN583))</f>
        <v/>
      </c>
      <c r="AP583" s="49">
        <f>IF(OR(A583="",B583=""),"",IF(COUNTIF(B$11:B583,B583)=1,MAX(AP$10:AP582)+1,""))</f>
        <v/>
      </c>
    </row>
    <row r="584">
      <c r="A584" s="20" t="n"/>
      <c r="B584" s="10" t="n"/>
      <c r="C584" s="10" t="n"/>
      <c r="D584" s="10" t="n"/>
      <c r="E584" s="10" t="n"/>
      <c r="F584" s="18" t="n"/>
      <c r="G584" s="10" t="n"/>
      <c r="H584" s="12" t="n"/>
      <c r="I584" s="12" t="n"/>
      <c r="J584" s="13">
        <f>IF(OR(A584="",COUNT(H584)=0,COUNT(Z584)=0),"",ROUND(Z584-H584,2))</f>
        <v/>
      </c>
      <c r="K584" s="15">
        <f>IF(COUNT(J584)=0,"",IF(Z584=0,"n.a.",J584/Z584))</f>
        <v/>
      </c>
      <c r="L584" s="14">
        <f>IF(OR(A584="",COUNT(H584)=0,COUNT(Y584)=0),"",ROUND(H584*(1+Y584),2))</f>
        <v/>
      </c>
      <c r="M584" s="10" t="n"/>
      <c r="N584" s="10" t="n"/>
      <c r="O584" s="10" t="n"/>
      <c r="P584" s="10" t="n"/>
      <c r="Q584" s="20" t="n"/>
      <c r="R584" s="10" t="n"/>
      <c r="S584" s="10" t="n"/>
      <c r="T584" s="18" t="n"/>
      <c r="U584" s="18" t="n"/>
      <c r="V584" s="10" t="n"/>
      <c r="W584" s="10" t="n"/>
      <c r="X584" s="19">
        <f>IF(OR(A584="",COUNT(U584)=0,COUNT(AI584)=0),"",U584+AI584)</f>
        <v/>
      </c>
      <c r="Y584" s="16" t="n"/>
      <c r="Z584" s="12" t="n"/>
      <c r="AA584" s="17">
        <f>IF(COUNT(J584)=0,"",IF(H584=0,"n.a.",J584/H584))</f>
        <v/>
      </c>
      <c r="AB584" s="12" t="n"/>
      <c r="AC584" s="12" t="n"/>
      <c r="AD584" s="12" t="n"/>
      <c r="AE584" s="13">
        <f>IF(OR(COUNT(J584)=0,COUNT(AB584:AD584)&lt;3),"",ROUND(J584-SUM(AB584:AD584),2))</f>
        <v/>
      </c>
      <c r="AF584" s="15">
        <f>IF(COUNT(AE584)=0,"",IF(Z584=0,"n.a.",AE584/Z584))</f>
        <v/>
      </c>
      <c r="AG584" s="12" t="n"/>
      <c r="AH584" s="14">
        <f>IF(OR(A584="",COUNT(Z584)=0,COUNT(AG584)=0),"",ROUND(Z584-AG584,2))</f>
        <v/>
      </c>
      <c r="AI584" s="21" t="n"/>
      <c r="AJ584" s="11">
        <f>IF(A584="","",IF(COUNT(I584)=0,"Enter approved NTE",IF(COUNT(Z584)&gt;0,IF(Z584&gt;I584,"Invoice exceeds NTE","Invoice within NTE"),IF(COUNT(L584)=0,"Enter quote inputs",IF(L584&gt;I584,"Quote exceeds NTE","Quote within NTE")))))</f>
        <v/>
      </c>
      <c r="AK584" s="11">
        <f>IF(A584="","",IF(COUNT(H584)=0,"Enter direct cost",IF(COUNT(Z584)=0,"Enter invoice revenue",IF(COUNT(AB584:AD584)&lt;3,"Enter expenses (0 if none)","Complete"))))</f>
        <v/>
      </c>
      <c r="AL584" s="11">
        <f>IF(A584="","",IF(NOT(AND(COUNT(AH584)=1,N(AH584)&gt;0.004,V584&lt;&gt;"Void",V584&lt;&gt;"Not invoiced",V584&lt;&gt;"Draft")),"",IF(COUNT(X584)=0,"No due date",IF(TODAY()-X584&lt;=0,"Not yet due",IF(TODAY()-X584&lt;=30,"1-30 days",IF(TODAY()-X584&lt;=60,"31-60 days",IF(TODAY()-X584&lt;=90,"61-90 days","Over 90 days")))))))</f>
        <v/>
      </c>
      <c r="AM584" s="49">
        <f>IF(OR(AL584="",AL584="No due date"),"",MAX(TODAY()-X584,0))</f>
        <v/>
      </c>
      <c r="AN584" s="49">
        <f>IF(AL584="","",IF(COUNT(X584)=0,-100000,TODAY()-X584))</f>
        <v/>
      </c>
      <c r="AO584" s="49">
        <f>IF(AN584="","",COUNTIF(AN$11:AN$1010,"&gt;"&amp;AN584)+COUNTIF(AN$11:AN584,AN584))</f>
        <v/>
      </c>
      <c r="AP584" s="49">
        <f>IF(OR(A584="",B584=""),"",IF(COUNTIF(B$11:B584,B584)=1,MAX(AP$10:AP583)+1,""))</f>
        <v/>
      </c>
    </row>
    <row r="585">
      <c r="A585" s="20" t="n"/>
      <c r="B585" s="10" t="n"/>
      <c r="C585" s="10" t="n"/>
      <c r="D585" s="10" t="n"/>
      <c r="E585" s="10" t="n"/>
      <c r="F585" s="18" t="n"/>
      <c r="G585" s="10" t="n"/>
      <c r="H585" s="12" t="n"/>
      <c r="I585" s="12" t="n"/>
      <c r="J585" s="13">
        <f>IF(OR(A585="",COUNT(H585)=0,COUNT(Z585)=0),"",ROUND(Z585-H585,2))</f>
        <v/>
      </c>
      <c r="K585" s="15">
        <f>IF(COUNT(J585)=0,"",IF(Z585=0,"n.a.",J585/Z585))</f>
        <v/>
      </c>
      <c r="L585" s="14">
        <f>IF(OR(A585="",COUNT(H585)=0,COUNT(Y585)=0),"",ROUND(H585*(1+Y585),2))</f>
        <v/>
      </c>
      <c r="M585" s="10" t="n"/>
      <c r="N585" s="10" t="n"/>
      <c r="O585" s="10" t="n"/>
      <c r="P585" s="10" t="n"/>
      <c r="Q585" s="20" t="n"/>
      <c r="R585" s="10" t="n"/>
      <c r="S585" s="10" t="n"/>
      <c r="T585" s="18" t="n"/>
      <c r="U585" s="18" t="n"/>
      <c r="V585" s="10" t="n"/>
      <c r="W585" s="10" t="n"/>
      <c r="X585" s="19">
        <f>IF(OR(A585="",COUNT(U585)=0,COUNT(AI585)=0),"",U585+AI585)</f>
        <v/>
      </c>
      <c r="Y585" s="16" t="n"/>
      <c r="Z585" s="12" t="n"/>
      <c r="AA585" s="17">
        <f>IF(COUNT(J585)=0,"",IF(H585=0,"n.a.",J585/H585))</f>
        <v/>
      </c>
      <c r="AB585" s="12" t="n"/>
      <c r="AC585" s="12" t="n"/>
      <c r="AD585" s="12" t="n"/>
      <c r="AE585" s="13">
        <f>IF(OR(COUNT(J585)=0,COUNT(AB585:AD585)&lt;3),"",ROUND(J585-SUM(AB585:AD585),2))</f>
        <v/>
      </c>
      <c r="AF585" s="15">
        <f>IF(COUNT(AE585)=0,"",IF(Z585=0,"n.a.",AE585/Z585))</f>
        <v/>
      </c>
      <c r="AG585" s="12" t="n"/>
      <c r="AH585" s="14">
        <f>IF(OR(A585="",COUNT(Z585)=0,COUNT(AG585)=0),"",ROUND(Z585-AG585,2))</f>
        <v/>
      </c>
      <c r="AI585" s="21" t="n"/>
      <c r="AJ585" s="11">
        <f>IF(A585="","",IF(COUNT(I585)=0,"Enter approved NTE",IF(COUNT(Z585)&gt;0,IF(Z585&gt;I585,"Invoice exceeds NTE","Invoice within NTE"),IF(COUNT(L585)=0,"Enter quote inputs",IF(L585&gt;I585,"Quote exceeds NTE","Quote within NTE")))))</f>
        <v/>
      </c>
      <c r="AK585" s="11">
        <f>IF(A585="","",IF(COUNT(H585)=0,"Enter direct cost",IF(COUNT(Z585)=0,"Enter invoice revenue",IF(COUNT(AB585:AD585)&lt;3,"Enter expenses (0 if none)","Complete"))))</f>
        <v/>
      </c>
      <c r="AL585" s="11">
        <f>IF(A585="","",IF(NOT(AND(COUNT(AH585)=1,N(AH585)&gt;0.004,V585&lt;&gt;"Void",V585&lt;&gt;"Not invoiced",V585&lt;&gt;"Draft")),"",IF(COUNT(X585)=0,"No due date",IF(TODAY()-X585&lt;=0,"Not yet due",IF(TODAY()-X585&lt;=30,"1-30 days",IF(TODAY()-X585&lt;=60,"31-60 days",IF(TODAY()-X585&lt;=90,"61-90 days","Over 90 days")))))))</f>
        <v/>
      </c>
      <c r="AM585" s="49">
        <f>IF(OR(AL585="",AL585="No due date"),"",MAX(TODAY()-X585,0))</f>
        <v/>
      </c>
      <c r="AN585" s="49">
        <f>IF(AL585="","",IF(COUNT(X585)=0,-100000,TODAY()-X585))</f>
        <v/>
      </c>
      <c r="AO585" s="49">
        <f>IF(AN585="","",COUNTIF(AN$11:AN$1010,"&gt;"&amp;AN585)+COUNTIF(AN$11:AN585,AN585))</f>
        <v/>
      </c>
      <c r="AP585" s="49">
        <f>IF(OR(A585="",B585=""),"",IF(COUNTIF(B$11:B585,B585)=1,MAX(AP$10:AP584)+1,""))</f>
        <v/>
      </c>
    </row>
    <row r="586">
      <c r="A586" s="20" t="n"/>
      <c r="B586" s="10" t="n"/>
      <c r="C586" s="10" t="n"/>
      <c r="D586" s="10" t="n"/>
      <c r="E586" s="10" t="n"/>
      <c r="F586" s="18" t="n"/>
      <c r="G586" s="10" t="n"/>
      <c r="H586" s="12" t="n"/>
      <c r="I586" s="12" t="n"/>
      <c r="J586" s="13">
        <f>IF(OR(A586="",COUNT(H586)=0,COUNT(Z586)=0),"",ROUND(Z586-H586,2))</f>
        <v/>
      </c>
      <c r="K586" s="15">
        <f>IF(COUNT(J586)=0,"",IF(Z586=0,"n.a.",J586/Z586))</f>
        <v/>
      </c>
      <c r="L586" s="14">
        <f>IF(OR(A586="",COUNT(H586)=0,COUNT(Y586)=0),"",ROUND(H586*(1+Y586),2))</f>
        <v/>
      </c>
      <c r="M586" s="10" t="n"/>
      <c r="N586" s="10" t="n"/>
      <c r="O586" s="10" t="n"/>
      <c r="P586" s="10" t="n"/>
      <c r="Q586" s="20" t="n"/>
      <c r="R586" s="10" t="n"/>
      <c r="S586" s="10" t="n"/>
      <c r="T586" s="18" t="n"/>
      <c r="U586" s="18" t="n"/>
      <c r="V586" s="10" t="n"/>
      <c r="W586" s="10" t="n"/>
      <c r="X586" s="19">
        <f>IF(OR(A586="",COUNT(U586)=0,COUNT(AI586)=0),"",U586+AI586)</f>
        <v/>
      </c>
      <c r="Y586" s="16" t="n"/>
      <c r="Z586" s="12" t="n"/>
      <c r="AA586" s="17">
        <f>IF(COUNT(J586)=0,"",IF(H586=0,"n.a.",J586/H586))</f>
        <v/>
      </c>
      <c r="AB586" s="12" t="n"/>
      <c r="AC586" s="12" t="n"/>
      <c r="AD586" s="12" t="n"/>
      <c r="AE586" s="13">
        <f>IF(OR(COUNT(J586)=0,COUNT(AB586:AD586)&lt;3),"",ROUND(J586-SUM(AB586:AD586),2))</f>
        <v/>
      </c>
      <c r="AF586" s="15">
        <f>IF(COUNT(AE586)=0,"",IF(Z586=0,"n.a.",AE586/Z586))</f>
        <v/>
      </c>
      <c r="AG586" s="12" t="n"/>
      <c r="AH586" s="14">
        <f>IF(OR(A586="",COUNT(Z586)=0,COUNT(AG586)=0),"",ROUND(Z586-AG586,2))</f>
        <v/>
      </c>
      <c r="AI586" s="21" t="n"/>
      <c r="AJ586" s="11">
        <f>IF(A586="","",IF(COUNT(I586)=0,"Enter approved NTE",IF(COUNT(Z586)&gt;0,IF(Z586&gt;I586,"Invoice exceeds NTE","Invoice within NTE"),IF(COUNT(L586)=0,"Enter quote inputs",IF(L586&gt;I586,"Quote exceeds NTE","Quote within NTE")))))</f>
        <v/>
      </c>
      <c r="AK586" s="11">
        <f>IF(A586="","",IF(COUNT(H586)=0,"Enter direct cost",IF(COUNT(Z586)=0,"Enter invoice revenue",IF(COUNT(AB586:AD586)&lt;3,"Enter expenses (0 if none)","Complete"))))</f>
        <v/>
      </c>
      <c r="AL586" s="11">
        <f>IF(A586="","",IF(NOT(AND(COUNT(AH586)=1,N(AH586)&gt;0.004,V586&lt;&gt;"Void",V586&lt;&gt;"Not invoiced",V586&lt;&gt;"Draft")),"",IF(COUNT(X586)=0,"No due date",IF(TODAY()-X586&lt;=0,"Not yet due",IF(TODAY()-X586&lt;=30,"1-30 days",IF(TODAY()-X586&lt;=60,"31-60 days",IF(TODAY()-X586&lt;=90,"61-90 days","Over 90 days")))))))</f>
        <v/>
      </c>
      <c r="AM586" s="49">
        <f>IF(OR(AL586="",AL586="No due date"),"",MAX(TODAY()-X586,0))</f>
        <v/>
      </c>
      <c r="AN586" s="49">
        <f>IF(AL586="","",IF(COUNT(X586)=0,-100000,TODAY()-X586))</f>
        <v/>
      </c>
      <c r="AO586" s="49">
        <f>IF(AN586="","",COUNTIF(AN$11:AN$1010,"&gt;"&amp;AN586)+COUNTIF(AN$11:AN586,AN586))</f>
        <v/>
      </c>
      <c r="AP586" s="49">
        <f>IF(OR(A586="",B586=""),"",IF(COUNTIF(B$11:B586,B586)=1,MAX(AP$10:AP585)+1,""))</f>
        <v/>
      </c>
    </row>
    <row r="587">
      <c r="A587" s="20" t="n"/>
      <c r="B587" s="10" t="n"/>
      <c r="C587" s="10" t="n"/>
      <c r="D587" s="10" t="n"/>
      <c r="E587" s="10" t="n"/>
      <c r="F587" s="18" t="n"/>
      <c r="G587" s="10" t="n"/>
      <c r="H587" s="12" t="n"/>
      <c r="I587" s="12" t="n"/>
      <c r="J587" s="13">
        <f>IF(OR(A587="",COUNT(H587)=0,COUNT(Z587)=0),"",ROUND(Z587-H587,2))</f>
        <v/>
      </c>
      <c r="K587" s="15">
        <f>IF(COUNT(J587)=0,"",IF(Z587=0,"n.a.",J587/Z587))</f>
        <v/>
      </c>
      <c r="L587" s="14">
        <f>IF(OR(A587="",COUNT(H587)=0,COUNT(Y587)=0),"",ROUND(H587*(1+Y587),2))</f>
        <v/>
      </c>
      <c r="M587" s="10" t="n"/>
      <c r="N587" s="10" t="n"/>
      <c r="O587" s="10" t="n"/>
      <c r="P587" s="10" t="n"/>
      <c r="Q587" s="20" t="n"/>
      <c r="R587" s="10" t="n"/>
      <c r="S587" s="10" t="n"/>
      <c r="T587" s="18" t="n"/>
      <c r="U587" s="18" t="n"/>
      <c r="V587" s="10" t="n"/>
      <c r="W587" s="10" t="n"/>
      <c r="X587" s="19">
        <f>IF(OR(A587="",COUNT(U587)=0,COUNT(AI587)=0),"",U587+AI587)</f>
        <v/>
      </c>
      <c r="Y587" s="16" t="n"/>
      <c r="Z587" s="12" t="n"/>
      <c r="AA587" s="17">
        <f>IF(COUNT(J587)=0,"",IF(H587=0,"n.a.",J587/H587))</f>
        <v/>
      </c>
      <c r="AB587" s="12" t="n"/>
      <c r="AC587" s="12" t="n"/>
      <c r="AD587" s="12" t="n"/>
      <c r="AE587" s="13">
        <f>IF(OR(COUNT(J587)=0,COUNT(AB587:AD587)&lt;3),"",ROUND(J587-SUM(AB587:AD587),2))</f>
        <v/>
      </c>
      <c r="AF587" s="15">
        <f>IF(COUNT(AE587)=0,"",IF(Z587=0,"n.a.",AE587/Z587))</f>
        <v/>
      </c>
      <c r="AG587" s="12" t="n"/>
      <c r="AH587" s="14">
        <f>IF(OR(A587="",COUNT(Z587)=0,COUNT(AG587)=0),"",ROUND(Z587-AG587,2))</f>
        <v/>
      </c>
      <c r="AI587" s="21" t="n"/>
      <c r="AJ587" s="11">
        <f>IF(A587="","",IF(COUNT(I587)=0,"Enter approved NTE",IF(COUNT(Z587)&gt;0,IF(Z587&gt;I587,"Invoice exceeds NTE","Invoice within NTE"),IF(COUNT(L587)=0,"Enter quote inputs",IF(L587&gt;I587,"Quote exceeds NTE","Quote within NTE")))))</f>
        <v/>
      </c>
      <c r="AK587" s="11">
        <f>IF(A587="","",IF(COUNT(H587)=0,"Enter direct cost",IF(COUNT(Z587)=0,"Enter invoice revenue",IF(COUNT(AB587:AD587)&lt;3,"Enter expenses (0 if none)","Complete"))))</f>
        <v/>
      </c>
      <c r="AL587" s="11">
        <f>IF(A587="","",IF(NOT(AND(COUNT(AH587)=1,N(AH587)&gt;0.004,V587&lt;&gt;"Void",V587&lt;&gt;"Not invoiced",V587&lt;&gt;"Draft")),"",IF(COUNT(X587)=0,"No due date",IF(TODAY()-X587&lt;=0,"Not yet due",IF(TODAY()-X587&lt;=30,"1-30 days",IF(TODAY()-X587&lt;=60,"31-60 days",IF(TODAY()-X587&lt;=90,"61-90 days","Over 90 days")))))))</f>
        <v/>
      </c>
      <c r="AM587" s="49">
        <f>IF(OR(AL587="",AL587="No due date"),"",MAX(TODAY()-X587,0))</f>
        <v/>
      </c>
      <c r="AN587" s="49">
        <f>IF(AL587="","",IF(COUNT(X587)=0,-100000,TODAY()-X587))</f>
        <v/>
      </c>
      <c r="AO587" s="49">
        <f>IF(AN587="","",COUNTIF(AN$11:AN$1010,"&gt;"&amp;AN587)+COUNTIF(AN$11:AN587,AN587))</f>
        <v/>
      </c>
      <c r="AP587" s="49">
        <f>IF(OR(A587="",B587=""),"",IF(COUNTIF(B$11:B587,B587)=1,MAX(AP$10:AP586)+1,""))</f>
        <v/>
      </c>
    </row>
    <row r="588">
      <c r="A588" s="20" t="n"/>
      <c r="B588" s="10" t="n"/>
      <c r="C588" s="10" t="n"/>
      <c r="D588" s="10" t="n"/>
      <c r="E588" s="10" t="n"/>
      <c r="F588" s="18" t="n"/>
      <c r="G588" s="10" t="n"/>
      <c r="H588" s="12" t="n"/>
      <c r="I588" s="12" t="n"/>
      <c r="J588" s="13">
        <f>IF(OR(A588="",COUNT(H588)=0,COUNT(Z588)=0),"",ROUND(Z588-H588,2))</f>
        <v/>
      </c>
      <c r="K588" s="15">
        <f>IF(COUNT(J588)=0,"",IF(Z588=0,"n.a.",J588/Z588))</f>
        <v/>
      </c>
      <c r="L588" s="14">
        <f>IF(OR(A588="",COUNT(H588)=0,COUNT(Y588)=0),"",ROUND(H588*(1+Y588),2))</f>
        <v/>
      </c>
      <c r="M588" s="10" t="n"/>
      <c r="N588" s="10" t="n"/>
      <c r="O588" s="10" t="n"/>
      <c r="P588" s="10" t="n"/>
      <c r="Q588" s="20" t="n"/>
      <c r="R588" s="10" t="n"/>
      <c r="S588" s="10" t="n"/>
      <c r="T588" s="18" t="n"/>
      <c r="U588" s="18" t="n"/>
      <c r="V588" s="10" t="n"/>
      <c r="W588" s="10" t="n"/>
      <c r="X588" s="19">
        <f>IF(OR(A588="",COUNT(U588)=0,COUNT(AI588)=0),"",U588+AI588)</f>
        <v/>
      </c>
      <c r="Y588" s="16" t="n"/>
      <c r="Z588" s="12" t="n"/>
      <c r="AA588" s="17">
        <f>IF(COUNT(J588)=0,"",IF(H588=0,"n.a.",J588/H588))</f>
        <v/>
      </c>
      <c r="AB588" s="12" t="n"/>
      <c r="AC588" s="12" t="n"/>
      <c r="AD588" s="12" t="n"/>
      <c r="AE588" s="13">
        <f>IF(OR(COUNT(J588)=0,COUNT(AB588:AD588)&lt;3),"",ROUND(J588-SUM(AB588:AD588),2))</f>
        <v/>
      </c>
      <c r="AF588" s="15">
        <f>IF(COUNT(AE588)=0,"",IF(Z588=0,"n.a.",AE588/Z588))</f>
        <v/>
      </c>
      <c r="AG588" s="12" t="n"/>
      <c r="AH588" s="14">
        <f>IF(OR(A588="",COUNT(Z588)=0,COUNT(AG588)=0),"",ROUND(Z588-AG588,2))</f>
        <v/>
      </c>
      <c r="AI588" s="21" t="n"/>
      <c r="AJ588" s="11">
        <f>IF(A588="","",IF(COUNT(I588)=0,"Enter approved NTE",IF(COUNT(Z588)&gt;0,IF(Z588&gt;I588,"Invoice exceeds NTE","Invoice within NTE"),IF(COUNT(L588)=0,"Enter quote inputs",IF(L588&gt;I588,"Quote exceeds NTE","Quote within NTE")))))</f>
        <v/>
      </c>
      <c r="AK588" s="11">
        <f>IF(A588="","",IF(COUNT(H588)=0,"Enter direct cost",IF(COUNT(Z588)=0,"Enter invoice revenue",IF(COUNT(AB588:AD588)&lt;3,"Enter expenses (0 if none)","Complete"))))</f>
        <v/>
      </c>
      <c r="AL588" s="11">
        <f>IF(A588="","",IF(NOT(AND(COUNT(AH588)=1,N(AH588)&gt;0.004,V588&lt;&gt;"Void",V588&lt;&gt;"Not invoiced",V588&lt;&gt;"Draft")),"",IF(COUNT(X588)=0,"No due date",IF(TODAY()-X588&lt;=0,"Not yet due",IF(TODAY()-X588&lt;=30,"1-30 days",IF(TODAY()-X588&lt;=60,"31-60 days",IF(TODAY()-X588&lt;=90,"61-90 days","Over 90 days")))))))</f>
        <v/>
      </c>
      <c r="AM588" s="49">
        <f>IF(OR(AL588="",AL588="No due date"),"",MAX(TODAY()-X588,0))</f>
        <v/>
      </c>
      <c r="AN588" s="49">
        <f>IF(AL588="","",IF(COUNT(X588)=0,-100000,TODAY()-X588))</f>
        <v/>
      </c>
      <c r="AO588" s="49">
        <f>IF(AN588="","",COUNTIF(AN$11:AN$1010,"&gt;"&amp;AN588)+COUNTIF(AN$11:AN588,AN588))</f>
        <v/>
      </c>
      <c r="AP588" s="49">
        <f>IF(OR(A588="",B588=""),"",IF(COUNTIF(B$11:B588,B588)=1,MAX(AP$10:AP587)+1,""))</f>
        <v/>
      </c>
    </row>
    <row r="589">
      <c r="A589" s="20" t="n"/>
      <c r="B589" s="10" t="n"/>
      <c r="C589" s="10" t="n"/>
      <c r="D589" s="10" t="n"/>
      <c r="E589" s="10" t="n"/>
      <c r="F589" s="18" t="n"/>
      <c r="G589" s="10" t="n"/>
      <c r="H589" s="12" t="n"/>
      <c r="I589" s="12" t="n"/>
      <c r="J589" s="13">
        <f>IF(OR(A589="",COUNT(H589)=0,COUNT(Z589)=0),"",ROUND(Z589-H589,2))</f>
        <v/>
      </c>
      <c r="K589" s="15">
        <f>IF(COUNT(J589)=0,"",IF(Z589=0,"n.a.",J589/Z589))</f>
        <v/>
      </c>
      <c r="L589" s="14">
        <f>IF(OR(A589="",COUNT(H589)=0,COUNT(Y589)=0),"",ROUND(H589*(1+Y589),2))</f>
        <v/>
      </c>
      <c r="M589" s="10" t="n"/>
      <c r="N589" s="10" t="n"/>
      <c r="O589" s="10" t="n"/>
      <c r="P589" s="10" t="n"/>
      <c r="Q589" s="20" t="n"/>
      <c r="R589" s="10" t="n"/>
      <c r="S589" s="10" t="n"/>
      <c r="T589" s="18" t="n"/>
      <c r="U589" s="18" t="n"/>
      <c r="V589" s="10" t="n"/>
      <c r="W589" s="10" t="n"/>
      <c r="X589" s="19">
        <f>IF(OR(A589="",COUNT(U589)=0,COUNT(AI589)=0),"",U589+AI589)</f>
        <v/>
      </c>
      <c r="Y589" s="16" t="n"/>
      <c r="Z589" s="12" t="n"/>
      <c r="AA589" s="17">
        <f>IF(COUNT(J589)=0,"",IF(H589=0,"n.a.",J589/H589))</f>
        <v/>
      </c>
      <c r="AB589" s="12" t="n"/>
      <c r="AC589" s="12" t="n"/>
      <c r="AD589" s="12" t="n"/>
      <c r="AE589" s="13">
        <f>IF(OR(COUNT(J589)=0,COUNT(AB589:AD589)&lt;3),"",ROUND(J589-SUM(AB589:AD589),2))</f>
        <v/>
      </c>
      <c r="AF589" s="15">
        <f>IF(COUNT(AE589)=0,"",IF(Z589=0,"n.a.",AE589/Z589))</f>
        <v/>
      </c>
      <c r="AG589" s="12" t="n"/>
      <c r="AH589" s="14">
        <f>IF(OR(A589="",COUNT(Z589)=0,COUNT(AG589)=0),"",ROUND(Z589-AG589,2))</f>
        <v/>
      </c>
      <c r="AI589" s="21" t="n"/>
      <c r="AJ589" s="11">
        <f>IF(A589="","",IF(COUNT(I589)=0,"Enter approved NTE",IF(COUNT(Z589)&gt;0,IF(Z589&gt;I589,"Invoice exceeds NTE","Invoice within NTE"),IF(COUNT(L589)=0,"Enter quote inputs",IF(L589&gt;I589,"Quote exceeds NTE","Quote within NTE")))))</f>
        <v/>
      </c>
      <c r="AK589" s="11">
        <f>IF(A589="","",IF(COUNT(H589)=0,"Enter direct cost",IF(COUNT(Z589)=0,"Enter invoice revenue",IF(COUNT(AB589:AD589)&lt;3,"Enter expenses (0 if none)","Complete"))))</f>
        <v/>
      </c>
      <c r="AL589" s="11">
        <f>IF(A589="","",IF(NOT(AND(COUNT(AH589)=1,N(AH589)&gt;0.004,V589&lt;&gt;"Void",V589&lt;&gt;"Not invoiced",V589&lt;&gt;"Draft")),"",IF(COUNT(X589)=0,"No due date",IF(TODAY()-X589&lt;=0,"Not yet due",IF(TODAY()-X589&lt;=30,"1-30 days",IF(TODAY()-X589&lt;=60,"31-60 days",IF(TODAY()-X589&lt;=90,"61-90 days","Over 90 days")))))))</f>
        <v/>
      </c>
      <c r="AM589" s="49">
        <f>IF(OR(AL589="",AL589="No due date"),"",MAX(TODAY()-X589,0))</f>
        <v/>
      </c>
      <c r="AN589" s="49">
        <f>IF(AL589="","",IF(COUNT(X589)=0,-100000,TODAY()-X589))</f>
        <v/>
      </c>
      <c r="AO589" s="49">
        <f>IF(AN589="","",COUNTIF(AN$11:AN$1010,"&gt;"&amp;AN589)+COUNTIF(AN$11:AN589,AN589))</f>
        <v/>
      </c>
      <c r="AP589" s="49">
        <f>IF(OR(A589="",B589=""),"",IF(COUNTIF(B$11:B589,B589)=1,MAX(AP$10:AP588)+1,""))</f>
        <v/>
      </c>
    </row>
    <row r="590">
      <c r="A590" s="20" t="n"/>
      <c r="B590" s="10" t="n"/>
      <c r="C590" s="10" t="n"/>
      <c r="D590" s="10" t="n"/>
      <c r="E590" s="10" t="n"/>
      <c r="F590" s="18" t="n"/>
      <c r="G590" s="10" t="n"/>
      <c r="H590" s="12" t="n"/>
      <c r="I590" s="12" t="n"/>
      <c r="J590" s="13">
        <f>IF(OR(A590="",COUNT(H590)=0,COUNT(Z590)=0),"",ROUND(Z590-H590,2))</f>
        <v/>
      </c>
      <c r="K590" s="15">
        <f>IF(COUNT(J590)=0,"",IF(Z590=0,"n.a.",J590/Z590))</f>
        <v/>
      </c>
      <c r="L590" s="14">
        <f>IF(OR(A590="",COUNT(H590)=0,COUNT(Y590)=0),"",ROUND(H590*(1+Y590),2))</f>
        <v/>
      </c>
      <c r="M590" s="10" t="n"/>
      <c r="N590" s="10" t="n"/>
      <c r="O590" s="10" t="n"/>
      <c r="P590" s="10" t="n"/>
      <c r="Q590" s="20" t="n"/>
      <c r="R590" s="10" t="n"/>
      <c r="S590" s="10" t="n"/>
      <c r="T590" s="18" t="n"/>
      <c r="U590" s="18" t="n"/>
      <c r="V590" s="10" t="n"/>
      <c r="W590" s="10" t="n"/>
      <c r="X590" s="19">
        <f>IF(OR(A590="",COUNT(U590)=0,COUNT(AI590)=0),"",U590+AI590)</f>
        <v/>
      </c>
      <c r="Y590" s="16" t="n"/>
      <c r="Z590" s="12" t="n"/>
      <c r="AA590" s="17">
        <f>IF(COUNT(J590)=0,"",IF(H590=0,"n.a.",J590/H590))</f>
        <v/>
      </c>
      <c r="AB590" s="12" t="n"/>
      <c r="AC590" s="12" t="n"/>
      <c r="AD590" s="12" t="n"/>
      <c r="AE590" s="13">
        <f>IF(OR(COUNT(J590)=0,COUNT(AB590:AD590)&lt;3),"",ROUND(J590-SUM(AB590:AD590),2))</f>
        <v/>
      </c>
      <c r="AF590" s="15">
        <f>IF(COUNT(AE590)=0,"",IF(Z590=0,"n.a.",AE590/Z590))</f>
        <v/>
      </c>
      <c r="AG590" s="12" t="n"/>
      <c r="AH590" s="14">
        <f>IF(OR(A590="",COUNT(Z590)=0,COUNT(AG590)=0),"",ROUND(Z590-AG590,2))</f>
        <v/>
      </c>
      <c r="AI590" s="21" t="n"/>
      <c r="AJ590" s="11">
        <f>IF(A590="","",IF(COUNT(I590)=0,"Enter approved NTE",IF(COUNT(Z590)&gt;0,IF(Z590&gt;I590,"Invoice exceeds NTE","Invoice within NTE"),IF(COUNT(L590)=0,"Enter quote inputs",IF(L590&gt;I590,"Quote exceeds NTE","Quote within NTE")))))</f>
        <v/>
      </c>
      <c r="AK590" s="11">
        <f>IF(A590="","",IF(COUNT(H590)=0,"Enter direct cost",IF(COUNT(Z590)=0,"Enter invoice revenue",IF(COUNT(AB590:AD590)&lt;3,"Enter expenses (0 if none)","Complete"))))</f>
        <v/>
      </c>
      <c r="AL590" s="11">
        <f>IF(A590="","",IF(NOT(AND(COUNT(AH590)=1,N(AH590)&gt;0.004,V590&lt;&gt;"Void",V590&lt;&gt;"Not invoiced",V590&lt;&gt;"Draft")),"",IF(COUNT(X590)=0,"No due date",IF(TODAY()-X590&lt;=0,"Not yet due",IF(TODAY()-X590&lt;=30,"1-30 days",IF(TODAY()-X590&lt;=60,"31-60 days",IF(TODAY()-X590&lt;=90,"61-90 days","Over 90 days")))))))</f>
        <v/>
      </c>
      <c r="AM590" s="49">
        <f>IF(OR(AL590="",AL590="No due date"),"",MAX(TODAY()-X590,0))</f>
        <v/>
      </c>
      <c r="AN590" s="49">
        <f>IF(AL590="","",IF(COUNT(X590)=0,-100000,TODAY()-X590))</f>
        <v/>
      </c>
      <c r="AO590" s="49">
        <f>IF(AN590="","",COUNTIF(AN$11:AN$1010,"&gt;"&amp;AN590)+COUNTIF(AN$11:AN590,AN590))</f>
        <v/>
      </c>
      <c r="AP590" s="49">
        <f>IF(OR(A590="",B590=""),"",IF(COUNTIF(B$11:B590,B590)=1,MAX(AP$10:AP589)+1,""))</f>
        <v/>
      </c>
    </row>
    <row r="591">
      <c r="A591" s="20" t="n"/>
      <c r="B591" s="10" t="n"/>
      <c r="C591" s="10" t="n"/>
      <c r="D591" s="10" t="n"/>
      <c r="E591" s="10" t="n"/>
      <c r="F591" s="18" t="n"/>
      <c r="G591" s="10" t="n"/>
      <c r="H591" s="12" t="n"/>
      <c r="I591" s="12" t="n"/>
      <c r="J591" s="13">
        <f>IF(OR(A591="",COUNT(H591)=0,COUNT(Z591)=0),"",ROUND(Z591-H591,2))</f>
        <v/>
      </c>
      <c r="K591" s="15">
        <f>IF(COUNT(J591)=0,"",IF(Z591=0,"n.a.",J591/Z591))</f>
        <v/>
      </c>
      <c r="L591" s="14">
        <f>IF(OR(A591="",COUNT(H591)=0,COUNT(Y591)=0),"",ROUND(H591*(1+Y591),2))</f>
        <v/>
      </c>
      <c r="M591" s="10" t="n"/>
      <c r="N591" s="10" t="n"/>
      <c r="O591" s="10" t="n"/>
      <c r="P591" s="10" t="n"/>
      <c r="Q591" s="20" t="n"/>
      <c r="R591" s="10" t="n"/>
      <c r="S591" s="10" t="n"/>
      <c r="T591" s="18" t="n"/>
      <c r="U591" s="18" t="n"/>
      <c r="V591" s="10" t="n"/>
      <c r="W591" s="10" t="n"/>
      <c r="X591" s="19">
        <f>IF(OR(A591="",COUNT(U591)=0,COUNT(AI591)=0),"",U591+AI591)</f>
        <v/>
      </c>
      <c r="Y591" s="16" t="n"/>
      <c r="Z591" s="12" t="n"/>
      <c r="AA591" s="17">
        <f>IF(COUNT(J591)=0,"",IF(H591=0,"n.a.",J591/H591))</f>
        <v/>
      </c>
      <c r="AB591" s="12" t="n"/>
      <c r="AC591" s="12" t="n"/>
      <c r="AD591" s="12" t="n"/>
      <c r="AE591" s="13">
        <f>IF(OR(COUNT(J591)=0,COUNT(AB591:AD591)&lt;3),"",ROUND(J591-SUM(AB591:AD591),2))</f>
        <v/>
      </c>
      <c r="AF591" s="15">
        <f>IF(COUNT(AE591)=0,"",IF(Z591=0,"n.a.",AE591/Z591))</f>
        <v/>
      </c>
      <c r="AG591" s="12" t="n"/>
      <c r="AH591" s="14">
        <f>IF(OR(A591="",COUNT(Z591)=0,COUNT(AG591)=0),"",ROUND(Z591-AG591,2))</f>
        <v/>
      </c>
      <c r="AI591" s="21" t="n"/>
      <c r="AJ591" s="11">
        <f>IF(A591="","",IF(COUNT(I591)=0,"Enter approved NTE",IF(COUNT(Z591)&gt;0,IF(Z591&gt;I591,"Invoice exceeds NTE","Invoice within NTE"),IF(COUNT(L591)=0,"Enter quote inputs",IF(L591&gt;I591,"Quote exceeds NTE","Quote within NTE")))))</f>
        <v/>
      </c>
      <c r="AK591" s="11">
        <f>IF(A591="","",IF(COUNT(H591)=0,"Enter direct cost",IF(COUNT(Z591)=0,"Enter invoice revenue",IF(COUNT(AB591:AD591)&lt;3,"Enter expenses (0 if none)","Complete"))))</f>
        <v/>
      </c>
      <c r="AL591" s="11">
        <f>IF(A591="","",IF(NOT(AND(COUNT(AH591)=1,N(AH591)&gt;0.004,V591&lt;&gt;"Void",V591&lt;&gt;"Not invoiced",V591&lt;&gt;"Draft")),"",IF(COUNT(X591)=0,"No due date",IF(TODAY()-X591&lt;=0,"Not yet due",IF(TODAY()-X591&lt;=30,"1-30 days",IF(TODAY()-X591&lt;=60,"31-60 days",IF(TODAY()-X591&lt;=90,"61-90 days","Over 90 days")))))))</f>
        <v/>
      </c>
      <c r="AM591" s="49">
        <f>IF(OR(AL591="",AL591="No due date"),"",MAX(TODAY()-X591,0))</f>
        <v/>
      </c>
      <c r="AN591" s="49">
        <f>IF(AL591="","",IF(COUNT(X591)=0,-100000,TODAY()-X591))</f>
        <v/>
      </c>
      <c r="AO591" s="49">
        <f>IF(AN591="","",COUNTIF(AN$11:AN$1010,"&gt;"&amp;AN591)+COUNTIF(AN$11:AN591,AN591))</f>
        <v/>
      </c>
      <c r="AP591" s="49">
        <f>IF(OR(A591="",B591=""),"",IF(COUNTIF(B$11:B591,B591)=1,MAX(AP$10:AP590)+1,""))</f>
        <v/>
      </c>
    </row>
    <row r="592">
      <c r="A592" s="20" t="n"/>
      <c r="B592" s="10" t="n"/>
      <c r="C592" s="10" t="n"/>
      <c r="D592" s="10" t="n"/>
      <c r="E592" s="10" t="n"/>
      <c r="F592" s="18" t="n"/>
      <c r="G592" s="10" t="n"/>
      <c r="H592" s="12" t="n"/>
      <c r="I592" s="12" t="n"/>
      <c r="J592" s="13">
        <f>IF(OR(A592="",COUNT(H592)=0,COUNT(Z592)=0),"",ROUND(Z592-H592,2))</f>
        <v/>
      </c>
      <c r="K592" s="15">
        <f>IF(COUNT(J592)=0,"",IF(Z592=0,"n.a.",J592/Z592))</f>
        <v/>
      </c>
      <c r="L592" s="14">
        <f>IF(OR(A592="",COUNT(H592)=0,COUNT(Y592)=0),"",ROUND(H592*(1+Y592),2))</f>
        <v/>
      </c>
      <c r="M592" s="10" t="n"/>
      <c r="N592" s="10" t="n"/>
      <c r="O592" s="10" t="n"/>
      <c r="P592" s="10" t="n"/>
      <c r="Q592" s="20" t="n"/>
      <c r="R592" s="10" t="n"/>
      <c r="S592" s="10" t="n"/>
      <c r="T592" s="18" t="n"/>
      <c r="U592" s="18" t="n"/>
      <c r="V592" s="10" t="n"/>
      <c r="W592" s="10" t="n"/>
      <c r="X592" s="19">
        <f>IF(OR(A592="",COUNT(U592)=0,COUNT(AI592)=0),"",U592+AI592)</f>
        <v/>
      </c>
      <c r="Y592" s="16" t="n"/>
      <c r="Z592" s="12" t="n"/>
      <c r="AA592" s="17">
        <f>IF(COUNT(J592)=0,"",IF(H592=0,"n.a.",J592/H592))</f>
        <v/>
      </c>
      <c r="AB592" s="12" t="n"/>
      <c r="AC592" s="12" t="n"/>
      <c r="AD592" s="12" t="n"/>
      <c r="AE592" s="13">
        <f>IF(OR(COUNT(J592)=0,COUNT(AB592:AD592)&lt;3),"",ROUND(J592-SUM(AB592:AD592),2))</f>
        <v/>
      </c>
      <c r="AF592" s="15">
        <f>IF(COUNT(AE592)=0,"",IF(Z592=0,"n.a.",AE592/Z592))</f>
        <v/>
      </c>
      <c r="AG592" s="12" t="n"/>
      <c r="AH592" s="14">
        <f>IF(OR(A592="",COUNT(Z592)=0,COUNT(AG592)=0),"",ROUND(Z592-AG592,2))</f>
        <v/>
      </c>
      <c r="AI592" s="21" t="n"/>
      <c r="AJ592" s="11">
        <f>IF(A592="","",IF(COUNT(I592)=0,"Enter approved NTE",IF(COUNT(Z592)&gt;0,IF(Z592&gt;I592,"Invoice exceeds NTE","Invoice within NTE"),IF(COUNT(L592)=0,"Enter quote inputs",IF(L592&gt;I592,"Quote exceeds NTE","Quote within NTE")))))</f>
        <v/>
      </c>
      <c r="AK592" s="11">
        <f>IF(A592="","",IF(COUNT(H592)=0,"Enter direct cost",IF(COUNT(Z592)=0,"Enter invoice revenue",IF(COUNT(AB592:AD592)&lt;3,"Enter expenses (0 if none)","Complete"))))</f>
        <v/>
      </c>
      <c r="AL592" s="11">
        <f>IF(A592="","",IF(NOT(AND(COUNT(AH592)=1,N(AH592)&gt;0.004,V592&lt;&gt;"Void",V592&lt;&gt;"Not invoiced",V592&lt;&gt;"Draft")),"",IF(COUNT(X592)=0,"No due date",IF(TODAY()-X592&lt;=0,"Not yet due",IF(TODAY()-X592&lt;=30,"1-30 days",IF(TODAY()-X592&lt;=60,"31-60 days",IF(TODAY()-X592&lt;=90,"61-90 days","Over 90 days")))))))</f>
        <v/>
      </c>
      <c r="AM592" s="49">
        <f>IF(OR(AL592="",AL592="No due date"),"",MAX(TODAY()-X592,0))</f>
        <v/>
      </c>
      <c r="AN592" s="49">
        <f>IF(AL592="","",IF(COUNT(X592)=0,-100000,TODAY()-X592))</f>
        <v/>
      </c>
      <c r="AO592" s="49">
        <f>IF(AN592="","",COUNTIF(AN$11:AN$1010,"&gt;"&amp;AN592)+COUNTIF(AN$11:AN592,AN592))</f>
        <v/>
      </c>
      <c r="AP592" s="49">
        <f>IF(OR(A592="",B592=""),"",IF(COUNTIF(B$11:B592,B592)=1,MAX(AP$10:AP591)+1,""))</f>
        <v/>
      </c>
    </row>
    <row r="593">
      <c r="A593" s="20" t="n"/>
      <c r="B593" s="10" t="n"/>
      <c r="C593" s="10" t="n"/>
      <c r="D593" s="10" t="n"/>
      <c r="E593" s="10" t="n"/>
      <c r="F593" s="18" t="n"/>
      <c r="G593" s="10" t="n"/>
      <c r="H593" s="12" t="n"/>
      <c r="I593" s="12" t="n"/>
      <c r="J593" s="13">
        <f>IF(OR(A593="",COUNT(H593)=0,COUNT(Z593)=0),"",ROUND(Z593-H593,2))</f>
        <v/>
      </c>
      <c r="K593" s="15">
        <f>IF(COUNT(J593)=0,"",IF(Z593=0,"n.a.",J593/Z593))</f>
        <v/>
      </c>
      <c r="L593" s="14">
        <f>IF(OR(A593="",COUNT(H593)=0,COUNT(Y593)=0),"",ROUND(H593*(1+Y593),2))</f>
        <v/>
      </c>
      <c r="M593" s="10" t="n"/>
      <c r="N593" s="10" t="n"/>
      <c r="O593" s="10" t="n"/>
      <c r="P593" s="10" t="n"/>
      <c r="Q593" s="20" t="n"/>
      <c r="R593" s="10" t="n"/>
      <c r="S593" s="10" t="n"/>
      <c r="T593" s="18" t="n"/>
      <c r="U593" s="18" t="n"/>
      <c r="V593" s="10" t="n"/>
      <c r="W593" s="10" t="n"/>
      <c r="X593" s="19">
        <f>IF(OR(A593="",COUNT(U593)=0,COUNT(AI593)=0),"",U593+AI593)</f>
        <v/>
      </c>
      <c r="Y593" s="16" t="n"/>
      <c r="Z593" s="12" t="n"/>
      <c r="AA593" s="17">
        <f>IF(COUNT(J593)=0,"",IF(H593=0,"n.a.",J593/H593))</f>
        <v/>
      </c>
      <c r="AB593" s="12" t="n"/>
      <c r="AC593" s="12" t="n"/>
      <c r="AD593" s="12" t="n"/>
      <c r="AE593" s="13">
        <f>IF(OR(COUNT(J593)=0,COUNT(AB593:AD593)&lt;3),"",ROUND(J593-SUM(AB593:AD593),2))</f>
        <v/>
      </c>
      <c r="AF593" s="15">
        <f>IF(COUNT(AE593)=0,"",IF(Z593=0,"n.a.",AE593/Z593))</f>
        <v/>
      </c>
      <c r="AG593" s="12" t="n"/>
      <c r="AH593" s="14">
        <f>IF(OR(A593="",COUNT(Z593)=0,COUNT(AG593)=0),"",ROUND(Z593-AG593,2))</f>
        <v/>
      </c>
      <c r="AI593" s="21" t="n"/>
      <c r="AJ593" s="11">
        <f>IF(A593="","",IF(COUNT(I593)=0,"Enter approved NTE",IF(COUNT(Z593)&gt;0,IF(Z593&gt;I593,"Invoice exceeds NTE","Invoice within NTE"),IF(COUNT(L593)=0,"Enter quote inputs",IF(L593&gt;I593,"Quote exceeds NTE","Quote within NTE")))))</f>
        <v/>
      </c>
      <c r="AK593" s="11">
        <f>IF(A593="","",IF(COUNT(H593)=0,"Enter direct cost",IF(COUNT(Z593)=0,"Enter invoice revenue",IF(COUNT(AB593:AD593)&lt;3,"Enter expenses (0 if none)","Complete"))))</f>
        <v/>
      </c>
      <c r="AL593" s="11">
        <f>IF(A593="","",IF(NOT(AND(COUNT(AH593)=1,N(AH593)&gt;0.004,V593&lt;&gt;"Void",V593&lt;&gt;"Not invoiced",V593&lt;&gt;"Draft")),"",IF(COUNT(X593)=0,"No due date",IF(TODAY()-X593&lt;=0,"Not yet due",IF(TODAY()-X593&lt;=30,"1-30 days",IF(TODAY()-X593&lt;=60,"31-60 days",IF(TODAY()-X593&lt;=90,"61-90 days","Over 90 days")))))))</f>
        <v/>
      </c>
      <c r="AM593" s="49">
        <f>IF(OR(AL593="",AL593="No due date"),"",MAX(TODAY()-X593,0))</f>
        <v/>
      </c>
      <c r="AN593" s="49">
        <f>IF(AL593="","",IF(COUNT(X593)=0,-100000,TODAY()-X593))</f>
        <v/>
      </c>
      <c r="AO593" s="49">
        <f>IF(AN593="","",COUNTIF(AN$11:AN$1010,"&gt;"&amp;AN593)+COUNTIF(AN$11:AN593,AN593))</f>
        <v/>
      </c>
      <c r="AP593" s="49">
        <f>IF(OR(A593="",B593=""),"",IF(COUNTIF(B$11:B593,B593)=1,MAX(AP$10:AP592)+1,""))</f>
        <v/>
      </c>
    </row>
    <row r="594">
      <c r="A594" s="20" t="n"/>
      <c r="B594" s="10" t="n"/>
      <c r="C594" s="10" t="n"/>
      <c r="D594" s="10" t="n"/>
      <c r="E594" s="10" t="n"/>
      <c r="F594" s="18" t="n"/>
      <c r="G594" s="10" t="n"/>
      <c r="H594" s="12" t="n"/>
      <c r="I594" s="12" t="n"/>
      <c r="J594" s="13">
        <f>IF(OR(A594="",COUNT(H594)=0,COUNT(Z594)=0),"",ROUND(Z594-H594,2))</f>
        <v/>
      </c>
      <c r="K594" s="15">
        <f>IF(COUNT(J594)=0,"",IF(Z594=0,"n.a.",J594/Z594))</f>
        <v/>
      </c>
      <c r="L594" s="14">
        <f>IF(OR(A594="",COUNT(H594)=0,COUNT(Y594)=0),"",ROUND(H594*(1+Y594),2))</f>
        <v/>
      </c>
      <c r="M594" s="10" t="n"/>
      <c r="N594" s="10" t="n"/>
      <c r="O594" s="10" t="n"/>
      <c r="P594" s="10" t="n"/>
      <c r="Q594" s="20" t="n"/>
      <c r="R594" s="10" t="n"/>
      <c r="S594" s="10" t="n"/>
      <c r="T594" s="18" t="n"/>
      <c r="U594" s="18" t="n"/>
      <c r="V594" s="10" t="n"/>
      <c r="W594" s="10" t="n"/>
      <c r="X594" s="19">
        <f>IF(OR(A594="",COUNT(U594)=0,COUNT(AI594)=0),"",U594+AI594)</f>
        <v/>
      </c>
      <c r="Y594" s="16" t="n"/>
      <c r="Z594" s="12" t="n"/>
      <c r="AA594" s="17">
        <f>IF(COUNT(J594)=0,"",IF(H594=0,"n.a.",J594/H594))</f>
        <v/>
      </c>
      <c r="AB594" s="12" t="n"/>
      <c r="AC594" s="12" t="n"/>
      <c r="AD594" s="12" t="n"/>
      <c r="AE594" s="13">
        <f>IF(OR(COUNT(J594)=0,COUNT(AB594:AD594)&lt;3),"",ROUND(J594-SUM(AB594:AD594),2))</f>
        <v/>
      </c>
      <c r="AF594" s="15">
        <f>IF(COUNT(AE594)=0,"",IF(Z594=0,"n.a.",AE594/Z594))</f>
        <v/>
      </c>
      <c r="AG594" s="12" t="n"/>
      <c r="AH594" s="14">
        <f>IF(OR(A594="",COUNT(Z594)=0,COUNT(AG594)=0),"",ROUND(Z594-AG594,2))</f>
        <v/>
      </c>
      <c r="AI594" s="21" t="n"/>
      <c r="AJ594" s="11">
        <f>IF(A594="","",IF(COUNT(I594)=0,"Enter approved NTE",IF(COUNT(Z594)&gt;0,IF(Z594&gt;I594,"Invoice exceeds NTE","Invoice within NTE"),IF(COUNT(L594)=0,"Enter quote inputs",IF(L594&gt;I594,"Quote exceeds NTE","Quote within NTE")))))</f>
        <v/>
      </c>
      <c r="AK594" s="11">
        <f>IF(A594="","",IF(COUNT(H594)=0,"Enter direct cost",IF(COUNT(Z594)=0,"Enter invoice revenue",IF(COUNT(AB594:AD594)&lt;3,"Enter expenses (0 if none)","Complete"))))</f>
        <v/>
      </c>
      <c r="AL594" s="11">
        <f>IF(A594="","",IF(NOT(AND(COUNT(AH594)=1,N(AH594)&gt;0.004,V594&lt;&gt;"Void",V594&lt;&gt;"Not invoiced",V594&lt;&gt;"Draft")),"",IF(COUNT(X594)=0,"No due date",IF(TODAY()-X594&lt;=0,"Not yet due",IF(TODAY()-X594&lt;=30,"1-30 days",IF(TODAY()-X594&lt;=60,"31-60 days",IF(TODAY()-X594&lt;=90,"61-90 days","Over 90 days")))))))</f>
        <v/>
      </c>
      <c r="AM594" s="49">
        <f>IF(OR(AL594="",AL594="No due date"),"",MAX(TODAY()-X594,0))</f>
        <v/>
      </c>
      <c r="AN594" s="49">
        <f>IF(AL594="","",IF(COUNT(X594)=0,-100000,TODAY()-X594))</f>
        <v/>
      </c>
      <c r="AO594" s="49">
        <f>IF(AN594="","",COUNTIF(AN$11:AN$1010,"&gt;"&amp;AN594)+COUNTIF(AN$11:AN594,AN594))</f>
        <v/>
      </c>
      <c r="AP594" s="49">
        <f>IF(OR(A594="",B594=""),"",IF(COUNTIF(B$11:B594,B594)=1,MAX(AP$10:AP593)+1,""))</f>
        <v/>
      </c>
    </row>
    <row r="595">
      <c r="A595" s="20" t="n"/>
      <c r="B595" s="10" t="n"/>
      <c r="C595" s="10" t="n"/>
      <c r="D595" s="10" t="n"/>
      <c r="E595" s="10" t="n"/>
      <c r="F595" s="18" t="n"/>
      <c r="G595" s="10" t="n"/>
      <c r="H595" s="12" t="n"/>
      <c r="I595" s="12" t="n"/>
      <c r="J595" s="13">
        <f>IF(OR(A595="",COUNT(H595)=0,COUNT(Z595)=0),"",ROUND(Z595-H595,2))</f>
        <v/>
      </c>
      <c r="K595" s="15">
        <f>IF(COUNT(J595)=0,"",IF(Z595=0,"n.a.",J595/Z595))</f>
        <v/>
      </c>
      <c r="L595" s="14">
        <f>IF(OR(A595="",COUNT(H595)=0,COUNT(Y595)=0),"",ROUND(H595*(1+Y595),2))</f>
        <v/>
      </c>
      <c r="M595" s="10" t="n"/>
      <c r="N595" s="10" t="n"/>
      <c r="O595" s="10" t="n"/>
      <c r="P595" s="10" t="n"/>
      <c r="Q595" s="20" t="n"/>
      <c r="R595" s="10" t="n"/>
      <c r="S595" s="10" t="n"/>
      <c r="T595" s="18" t="n"/>
      <c r="U595" s="18" t="n"/>
      <c r="V595" s="10" t="n"/>
      <c r="W595" s="10" t="n"/>
      <c r="X595" s="19">
        <f>IF(OR(A595="",COUNT(U595)=0,COUNT(AI595)=0),"",U595+AI595)</f>
        <v/>
      </c>
      <c r="Y595" s="16" t="n"/>
      <c r="Z595" s="12" t="n"/>
      <c r="AA595" s="17">
        <f>IF(COUNT(J595)=0,"",IF(H595=0,"n.a.",J595/H595))</f>
        <v/>
      </c>
      <c r="AB595" s="12" t="n"/>
      <c r="AC595" s="12" t="n"/>
      <c r="AD595" s="12" t="n"/>
      <c r="AE595" s="13">
        <f>IF(OR(COUNT(J595)=0,COUNT(AB595:AD595)&lt;3),"",ROUND(J595-SUM(AB595:AD595),2))</f>
        <v/>
      </c>
      <c r="AF595" s="15">
        <f>IF(COUNT(AE595)=0,"",IF(Z595=0,"n.a.",AE595/Z595))</f>
        <v/>
      </c>
      <c r="AG595" s="12" t="n"/>
      <c r="AH595" s="14">
        <f>IF(OR(A595="",COUNT(Z595)=0,COUNT(AG595)=0),"",ROUND(Z595-AG595,2))</f>
        <v/>
      </c>
      <c r="AI595" s="21" t="n"/>
      <c r="AJ595" s="11">
        <f>IF(A595="","",IF(COUNT(I595)=0,"Enter approved NTE",IF(COUNT(Z595)&gt;0,IF(Z595&gt;I595,"Invoice exceeds NTE","Invoice within NTE"),IF(COUNT(L595)=0,"Enter quote inputs",IF(L595&gt;I595,"Quote exceeds NTE","Quote within NTE")))))</f>
        <v/>
      </c>
      <c r="AK595" s="11">
        <f>IF(A595="","",IF(COUNT(H595)=0,"Enter direct cost",IF(COUNT(Z595)=0,"Enter invoice revenue",IF(COUNT(AB595:AD595)&lt;3,"Enter expenses (0 if none)","Complete"))))</f>
        <v/>
      </c>
      <c r="AL595" s="11">
        <f>IF(A595="","",IF(NOT(AND(COUNT(AH595)=1,N(AH595)&gt;0.004,V595&lt;&gt;"Void",V595&lt;&gt;"Not invoiced",V595&lt;&gt;"Draft")),"",IF(COUNT(X595)=0,"No due date",IF(TODAY()-X595&lt;=0,"Not yet due",IF(TODAY()-X595&lt;=30,"1-30 days",IF(TODAY()-X595&lt;=60,"31-60 days",IF(TODAY()-X595&lt;=90,"61-90 days","Over 90 days")))))))</f>
        <v/>
      </c>
      <c r="AM595" s="49">
        <f>IF(OR(AL595="",AL595="No due date"),"",MAX(TODAY()-X595,0))</f>
        <v/>
      </c>
      <c r="AN595" s="49">
        <f>IF(AL595="","",IF(COUNT(X595)=0,-100000,TODAY()-X595))</f>
        <v/>
      </c>
      <c r="AO595" s="49">
        <f>IF(AN595="","",COUNTIF(AN$11:AN$1010,"&gt;"&amp;AN595)+COUNTIF(AN$11:AN595,AN595))</f>
        <v/>
      </c>
      <c r="AP595" s="49">
        <f>IF(OR(A595="",B595=""),"",IF(COUNTIF(B$11:B595,B595)=1,MAX(AP$10:AP594)+1,""))</f>
        <v/>
      </c>
    </row>
    <row r="596">
      <c r="A596" s="20" t="n"/>
      <c r="B596" s="10" t="n"/>
      <c r="C596" s="10" t="n"/>
      <c r="D596" s="10" t="n"/>
      <c r="E596" s="10" t="n"/>
      <c r="F596" s="18" t="n"/>
      <c r="G596" s="10" t="n"/>
      <c r="H596" s="12" t="n"/>
      <c r="I596" s="12" t="n"/>
      <c r="J596" s="13">
        <f>IF(OR(A596="",COUNT(H596)=0,COUNT(Z596)=0),"",ROUND(Z596-H596,2))</f>
        <v/>
      </c>
      <c r="K596" s="15">
        <f>IF(COUNT(J596)=0,"",IF(Z596=0,"n.a.",J596/Z596))</f>
        <v/>
      </c>
      <c r="L596" s="14">
        <f>IF(OR(A596="",COUNT(H596)=0,COUNT(Y596)=0),"",ROUND(H596*(1+Y596),2))</f>
        <v/>
      </c>
      <c r="M596" s="10" t="n"/>
      <c r="N596" s="10" t="n"/>
      <c r="O596" s="10" t="n"/>
      <c r="P596" s="10" t="n"/>
      <c r="Q596" s="20" t="n"/>
      <c r="R596" s="10" t="n"/>
      <c r="S596" s="10" t="n"/>
      <c r="T596" s="18" t="n"/>
      <c r="U596" s="18" t="n"/>
      <c r="V596" s="10" t="n"/>
      <c r="W596" s="10" t="n"/>
      <c r="X596" s="19">
        <f>IF(OR(A596="",COUNT(U596)=0,COUNT(AI596)=0),"",U596+AI596)</f>
        <v/>
      </c>
      <c r="Y596" s="16" t="n"/>
      <c r="Z596" s="12" t="n"/>
      <c r="AA596" s="17">
        <f>IF(COUNT(J596)=0,"",IF(H596=0,"n.a.",J596/H596))</f>
        <v/>
      </c>
      <c r="AB596" s="12" t="n"/>
      <c r="AC596" s="12" t="n"/>
      <c r="AD596" s="12" t="n"/>
      <c r="AE596" s="13">
        <f>IF(OR(COUNT(J596)=0,COUNT(AB596:AD596)&lt;3),"",ROUND(J596-SUM(AB596:AD596),2))</f>
        <v/>
      </c>
      <c r="AF596" s="15">
        <f>IF(COUNT(AE596)=0,"",IF(Z596=0,"n.a.",AE596/Z596))</f>
        <v/>
      </c>
      <c r="AG596" s="12" t="n"/>
      <c r="AH596" s="14">
        <f>IF(OR(A596="",COUNT(Z596)=0,COUNT(AG596)=0),"",ROUND(Z596-AG596,2))</f>
        <v/>
      </c>
      <c r="AI596" s="21" t="n"/>
      <c r="AJ596" s="11">
        <f>IF(A596="","",IF(COUNT(I596)=0,"Enter approved NTE",IF(COUNT(Z596)&gt;0,IF(Z596&gt;I596,"Invoice exceeds NTE","Invoice within NTE"),IF(COUNT(L596)=0,"Enter quote inputs",IF(L596&gt;I596,"Quote exceeds NTE","Quote within NTE")))))</f>
        <v/>
      </c>
      <c r="AK596" s="11">
        <f>IF(A596="","",IF(COUNT(H596)=0,"Enter direct cost",IF(COUNT(Z596)=0,"Enter invoice revenue",IF(COUNT(AB596:AD596)&lt;3,"Enter expenses (0 if none)","Complete"))))</f>
        <v/>
      </c>
      <c r="AL596" s="11">
        <f>IF(A596="","",IF(NOT(AND(COUNT(AH596)=1,N(AH596)&gt;0.004,V596&lt;&gt;"Void",V596&lt;&gt;"Not invoiced",V596&lt;&gt;"Draft")),"",IF(COUNT(X596)=0,"No due date",IF(TODAY()-X596&lt;=0,"Not yet due",IF(TODAY()-X596&lt;=30,"1-30 days",IF(TODAY()-X596&lt;=60,"31-60 days",IF(TODAY()-X596&lt;=90,"61-90 days","Over 90 days")))))))</f>
        <v/>
      </c>
      <c r="AM596" s="49">
        <f>IF(OR(AL596="",AL596="No due date"),"",MAX(TODAY()-X596,0))</f>
        <v/>
      </c>
      <c r="AN596" s="49">
        <f>IF(AL596="","",IF(COUNT(X596)=0,-100000,TODAY()-X596))</f>
        <v/>
      </c>
      <c r="AO596" s="49">
        <f>IF(AN596="","",COUNTIF(AN$11:AN$1010,"&gt;"&amp;AN596)+COUNTIF(AN$11:AN596,AN596))</f>
        <v/>
      </c>
      <c r="AP596" s="49">
        <f>IF(OR(A596="",B596=""),"",IF(COUNTIF(B$11:B596,B596)=1,MAX(AP$10:AP595)+1,""))</f>
        <v/>
      </c>
    </row>
    <row r="597">
      <c r="A597" s="20" t="n"/>
      <c r="B597" s="10" t="n"/>
      <c r="C597" s="10" t="n"/>
      <c r="D597" s="10" t="n"/>
      <c r="E597" s="10" t="n"/>
      <c r="F597" s="18" t="n"/>
      <c r="G597" s="10" t="n"/>
      <c r="H597" s="12" t="n"/>
      <c r="I597" s="12" t="n"/>
      <c r="J597" s="13">
        <f>IF(OR(A597="",COUNT(H597)=0,COUNT(Z597)=0),"",ROUND(Z597-H597,2))</f>
        <v/>
      </c>
      <c r="K597" s="15">
        <f>IF(COUNT(J597)=0,"",IF(Z597=0,"n.a.",J597/Z597))</f>
        <v/>
      </c>
      <c r="L597" s="14">
        <f>IF(OR(A597="",COUNT(H597)=0,COUNT(Y597)=0),"",ROUND(H597*(1+Y597),2))</f>
        <v/>
      </c>
      <c r="M597" s="10" t="n"/>
      <c r="N597" s="10" t="n"/>
      <c r="O597" s="10" t="n"/>
      <c r="P597" s="10" t="n"/>
      <c r="Q597" s="20" t="n"/>
      <c r="R597" s="10" t="n"/>
      <c r="S597" s="10" t="n"/>
      <c r="T597" s="18" t="n"/>
      <c r="U597" s="18" t="n"/>
      <c r="V597" s="10" t="n"/>
      <c r="W597" s="10" t="n"/>
      <c r="X597" s="19">
        <f>IF(OR(A597="",COUNT(U597)=0,COUNT(AI597)=0),"",U597+AI597)</f>
        <v/>
      </c>
      <c r="Y597" s="16" t="n"/>
      <c r="Z597" s="12" t="n"/>
      <c r="AA597" s="17">
        <f>IF(COUNT(J597)=0,"",IF(H597=0,"n.a.",J597/H597))</f>
        <v/>
      </c>
      <c r="AB597" s="12" t="n"/>
      <c r="AC597" s="12" t="n"/>
      <c r="AD597" s="12" t="n"/>
      <c r="AE597" s="13">
        <f>IF(OR(COUNT(J597)=0,COUNT(AB597:AD597)&lt;3),"",ROUND(J597-SUM(AB597:AD597),2))</f>
        <v/>
      </c>
      <c r="AF597" s="15">
        <f>IF(COUNT(AE597)=0,"",IF(Z597=0,"n.a.",AE597/Z597))</f>
        <v/>
      </c>
      <c r="AG597" s="12" t="n"/>
      <c r="AH597" s="14">
        <f>IF(OR(A597="",COUNT(Z597)=0,COUNT(AG597)=0),"",ROUND(Z597-AG597,2))</f>
        <v/>
      </c>
      <c r="AI597" s="21" t="n"/>
      <c r="AJ597" s="11">
        <f>IF(A597="","",IF(COUNT(I597)=0,"Enter approved NTE",IF(COUNT(Z597)&gt;0,IF(Z597&gt;I597,"Invoice exceeds NTE","Invoice within NTE"),IF(COUNT(L597)=0,"Enter quote inputs",IF(L597&gt;I597,"Quote exceeds NTE","Quote within NTE")))))</f>
        <v/>
      </c>
      <c r="AK597" s="11">
        <f>IF(A597="","",IF(COUNT(H597)=0,"Enter direct cost",IF(COUNT(Z597)=0,"Enter invoice revenue",IF(COUNT(AB597:AD597)&lt;3,"Enter expenses (0 if none)","Complete"))))</f>
        <v/>
      </c>
      <c r="AL597" s="11">
        <f>IF(A597="","",IF(NOT(AND(COUNT(AH597)=1,N(AH597)&gt;0.004,V597&lt;&gt;"Void",V597&lt;&gt;"Not invoiced",V597&lt;&gt;"Draft")),"",IF(COUNT(X597)=0,"No due date",IF(TODAY()-X597&lt;=0,"Not yet due",IF(TODAY()-X597&lt;=30,"1-30 days",IF(TODAY()-X597&lt;=60,"31-60 days",IF(TODAY()-X597&lt;=90,"61-90 days","Over 90 days")))))))</f>
        <v/>
      </c>
      <c r="AM597" s="49">
        <f>IF(OR(AL597="",AL597="No due date"),"",MAX(TODAY()-X597,0))</f>
        <v/>
      </c>
      <c r="AN597" s="49">
        <f>IF(AL597="","",IF(COUNT(X597)=0,-100000,TODAY()-X597))</f>
        <v/>
      </c>
      <c r="AO597" s="49">
        <f>IF(AN597="","",COUNTIF(AN$11:AN$1010,"&gt;"&amp;AN597)+COUNTIF(AN$11:AN597,AN597))</f>
        <v/>
      </c>
      <c r="AP597" s="49">
        <f>IF(OR(A597="",B597=""),"",IF(COUNTIF(B$11:B597,B597)=1,MAX(AP$10:AP596)+1,""))</f>
        <v/>
      </c>
    </row>
    <row r="598">
      <c r="A598" s="20" t="n"/>
      <c r="B598" s="10" t="n"/>
      <c r="C598" s="10" t="n"/>
      <c r="D598" s="10" t="n"/>
      <c r="E598" s="10" t="n"/>
      <c r="F598" s="18" t="n"/>
      <c r="G598" s="10" t="n"/>
      <c r="H598" s="12" t="n"/>
      <c r="I598" s="12" t="n"/>
      <c r="J598" s="13">
        <f>IF(OR(A598="",COUNT(H598)=0,COUNT(Z598)=0),"",ROUND(Z598-H598,2))</f>
        <v/>
      </c>
      <c r="K598" s="15">
        <f>IF(COUNT(J598)=0,"",IF(Z598=0,"n.a.",J598/Z598))</f>
        <v/>
      </c>
      <c r="L598" s="14">
        <f>IF(OR(A598="",COUNT(H598)=0,COUNT(Y598)=0),"",ROUND(H598*(1+Y598),2))</f>
        <v/>
      </c>
      <c r="M598" s="10" t="n"/>
      <c r="N598" s="10" t="n"/>
      <c r="O598" s="10" t="n"/>
      <c r="P598" s="10" t="n"/>
      <c r="Q598" s="20" t="n"/>
      <c r="R598" s="10" t="n"/>
      <c r="S598" s="10" t="n"/>
      <c r="T598" s="18" t="n"/>
      <c r="U598" s="18" t="n"/>
      <c r="V598" s="10" t="n"/>
      <c r="W598" s="10" t="n"/>
      <c r="X598" s="19">
        <f>IF(OR(A598="",COUNT(U598)=0,COUNT(AI598)=0),"",U598+AI598)</f>
        <v/>
      </c>
      <c r="Y598" s="16" t="n"/>
      <c r="Z598" s="12" t="n"/>
      <c r="AA598" s="17">
        <f>IF(COUNT(J598)=0,"",IF(H598=0,"n.a.",J598/H598))</f>
        <v/>
      </c>
      <c r="AB598" s="12" t="n"/>
      <c r="AC598" s="12" t="n"/>
      <c r="AD598" s="12" t="n"/>
      <c r="AE598" s="13">
        <f>IF(OR(COUNT(J598)=0,COUNT(AB598:AD598)&lt;3),"",ROUND(J598-SUM(AB598:AD598),2))</f>
        <v/>
      </c>
      <c r="AF598" s="15">
        <f>IF(COUNT(AE598)=0,"",IF(Z598=0,"n.a.",AE598/Z598))</f>
        <v/>
      </c>
      <c r="AG598" s="12" t="n"/>
      <c r="AH598" s="14">
        <f>IF(OR(A598="",COUNT(Z598)=0,COUNT(AG598)=0),"",ROUND(Z598-AG598,2))</f>
        <v/>
      </c>
      <c r="AI598" s="21" t="n"/>
      <c r="AJ598" s="11">
        <f>IF(A598="","",IF(COUNT(I598)=0,"Enter approved NTE",IF(COUNT(Z598)&gt;0,IF(Z598&gt;I598,"Invoice exceeds NTE","Invoice within NTE"),IF(COUNT(L598)=0,"Enter quote inputs",IF(L598&gt;I598,"Quote exceeds NTE","Quote within NTE")))))</f>
        <v/>
      </c>
      <c r="AK598" s="11">
        <f>IF(A598="","",IF(COUNT(H598)=0,"Enter direct cost",IF(COUNT(Z598)=0,"Enter invoice revenue",IF(COUNT(AB598:AD598)&lt;3,"Enter expenses (0 if none)","Complete"))))</f>
        <v/>
      </c>
      <c r="AL598" s="11">
        <f>IF(A598="","",IF(NOT(AND(COUNT(AH598)=1,N(AH598)&gt;0.004,V598&lt;&gt;"Void",V598&lt;&gt;"Not invoiced",V598&lt;&gt;"Draft")),"",IF(COUNT(X598)=0,"No due date",IF(TODAY()-X598&lt;=0,"Not yet due",IF(TODAY()-X598&lt;=30,"1-30 days",IF(TODAY()-X598&lt;=60,"31-60 days",IF(TODAY()-X598&lt;=90,"61-90 days","Over 90 days")))))))</f>
        <v/>
      </c>
      <c r="AM598" s="49">
        <f>IF(OR(AL598="",AL598="No due date"),"",MAX(TODAY()-X598,0))</f>
        <v/>
      </c>
      <c r="AN598" s="49">
        <f>IF(AL598="","",IF(COUNT(X598)=0,-100000,TODAY()-X598))</f>
        <v/>
      </c>
      <c r="AO598" s="49">
        <f>IF(AN598="","",COUNTIF(AN$11:AN$1010,"&gt;"&amp;AN598)+COUNTIF(AN$11:AN598,AN598))</f>
        <v/>
      </c>
      <c r="AP598" s="49">
        <f>IF(OR(A598="",B598=""),"",IF(COUNTIF(B$11:B598,B598)=1,MAX(AP$10:AP597)+1,""))</f>
        <v/>
      </c>
    </row>
    <row r="599">
      <c r="A599" s="20" t="n"/>
      <c r="B599" s="10" t="n"/>
      <c r="C599" s="10" t="n"/>
      <c r="D599" s="10" t="n"/>
      <c r="E599" s="10" t="n"/>
      <c r="F599" s="18" t="n"/>
      <c r="G599" s="10" t="n"/>
      <c r="H599" s="12" t="n"/>
      <c r="I599" s="12" t="n"/>
      <c r="J599" s="13">
        <f>IF(OR(A599="",COUNT(H599)=0,COUNT(Z599)=0),"",ROUND(Z599-H599,2))</f>
        <v/>
      </c>
      <c r="K599" s="15">
        <f>IF(COUNT(J599)=0,"",IF(Z599=0,"n.a.",J599/Z599))</f>
        <v/>
      </c>
      <c r="L599" s="14">
        <f>IF(OR(A599="",COUNT(H599)=0,COUNT(Y599)=0),"",ROUND(H599*(1+Y599),2))</f>
        <v/>
      </c>
      <c r="M599" s="10" t="n"/>
      <c r="N599" s="10" t="n"/>
      <c r="O599" s="10" t="n"/>
      <c r="P599" s="10" t="n"/>
      <c r="Q599" s="20" t="n"/>
      <c r="R599" s="10" t="n"/>
      <c r="S599" s="10" t="n"/>
      <c r="T599" s="18" t="n"/>
      <c r="U599" s="18" t="n"/>
      <c r="V599" s="10" t="n"/>
      <c r="W599" s="10" t="n"/>
      <c r="X599" s="19">
        <f>IF(OR(A599="",COUNT(U599)=0,COUNT(AI599)=0),"",U599+AI599)</f>
        <v/>
      </c>
      <c r="Y599" s="16" t="n"/>
      <c r="Z599" s="12" t="n"/>
      <c r="AA599" s="17">
        <f>IF(COUNT(J599)=0,"",IF(H599=0,"n.a.",J599/H599))</f>
        <v/>
      </c>
      <c r="AB599" s="12" t="n"/>
      <c r="AC599" s="12" t="n"/>
      <c r="AD599" s="12" t="n"/>
      <c r="AE599" s="13">
        <f>IF(OR(COUNT(J599)=0,COUNT(AB599:AD599)&lt;3),"",ROUND(J599-SUM(AB599:AD599),2))</f>
        <v/>
      </c>
      <c r="AF599" s="15">
        <f>IF(COUNT(AE599)=0,"",IF(Z599=0,"n.a.",AE599/Z599))</f>
        <v/>
      </c>
      <c r="AG599" s="12" t="n"/>
      <c r="AH599" s="14">
        <f>IF(OR(A599="",COUNT(Z599)=0,COUNT(AG599)=0),"",ROUND(Z599-AG599,2))</f>
        <v/>
      </c>
      <c r="AI599" s="21" t="n"/>
      <c r="AJ599" s="11">
        <f>IF(A599="","",IF(COUNT(I599)=0,"Enter approved NTE",IF(COUNT(Z599)&gt;0,IF(Z599&gt;I599,"Invoice exceeds NTE","Invoice within NTE"),IF(COUNT(L599)=0,"Enter quote inputs",IF(L599&gt;I599,"Quote exceeds NTE","Quote within NTE")))))</f>
        <v/>
      </c>
      <c r="AK599" s="11">
        <f>IF(A599="","",IF(COUNT(H599)=0,"Enter direct cost",IF(COUNT(Z599)=0,"Enter invoice revenue",IF(COUNT(AB599:AD599)&lt;3,"Enter expenses (0 if none)","Complete"))))</f>
        <v/>
      </c>
      <c r="AL599" s="11">
        <f>IF(A599="","",IF(NOT(AND(COUNT(AH599)=1,N(AH599)&gt;0.004,V599&lt;&gt;"Void",V599&lt;&gt;"Not invoiced",V599&lt;&gt;"Draft")),"",IF(COUNT(X599)=0,"No due date",IF(TODAY()-X599&lt;=0,"Not yet due",IF(TODAY()-X599&lt;=30,"1-30 days",IF(TODAY()-X599&lt;=60,"31-60 days",IF(TODAY()-X599&lt;=90,"61-90 days","Over 90 days")))))))</f>
        <v/>
      </c>
      <c r="AM599" s="49">
        <f>IF(OR(AL599="",AL599="No due date"),"",MAX(TODAY()-X599,0))</f>
        <v/>
      </c>
      <c r="AN599" s="49">
        <f>IF(AL599="","",IF(COUNT(X599)=0,-100000,TODAY()-X599))</f>
        <v/>
      </c>
      <c r="AO599" s="49">
        <f>IF(AN599="","",COUNTIF(AN$11:AN$1010,"&gt;"&amp;AN599)+COUNTIF(AN$11:AN599,AN599))</f>
        <v/>
      </c>
      <c r="AP599" s="49">
        <f>IF(OR(A599="",B599=""),"",IF(COUNTIF(B$11:B599,B599)=1,MAX(AP$10:AP598)+1,""))</f>
        <v/>
      </c>
    </row>
    <row r="600">
      <c r="A600" s="20" t="n"/>
      <c r="B600" s="10" t="n"/>
      <c r="C600" s="10" t="n"/>
      <c r="D600" s="10" t="n"/>
      <c r="E600" s="10" t="n"/>
      <c r="F600" s="18" t="n"/>
      <c r="G600" s="10" t="n"/>
      <c r="H600" s="12" t="n"/>
      <c r="I600" s="12" t="n"/>
      <c r="J600" s="13">
        <f>IF(OR(A600="",COUNT(H600)=0,COUNT(Z600)=0),"",ROUND(Z600-H600,2))</f>
        <v/>
      </c>
      <c r="K600" s="15">
        <f>IF(COUNT(J600)=0,"",IF(Z600=0,"n.a.",J600/Z600))</f>
        <v/>
      </c>
      <c r="L600" s="14">
        <f>IF(OR(A600="",COUNT(H600)=0,COUNT(Y600)=0),"",ROUND(H600*(1+Y600),2))</f>
        <v/>
      </c>
      <c r="M600" s="10" t="n"/>
      <c r="N600" s="10" t="n"/>
      <c r="O600" s="10" t="n"/>
      <c r="P600" s="10" t="n"/>
      <c r="Q600" s="20" t="n"/>
      <c r="R600" s="10" t="n"/>
      <c r="S600" s="10" t="n"/>
      <c r="T600" s="18" t="n"/>
      <c r="U600" s="18" t="n"/>
      <c r="V600" s="10" t="n"/>
      <c r="W600" s="10" t="n"/>
      <c r="X600" s="19">
        <f>IF(OR(A600="",COUNT(U600)=0,COUNT(AI600)=0),"",U600+AI600)</f>
        <v/>
      </c>
      <c r="Y600" s="16" t="n"/>
      <c r="Z600" s="12" t="n"/>
      <c r="AA600" s="17">
        <f>IF(COUNT(J600)=0,"",IF(H600=0,"n.a.",J600/H600))</f>
        <v/>
      </c>
      <c r="AB600" s="12" t="n"/>
      <c r="AC600" s="12" t="n"/>
      <c r="AD600" s="12" t="n"/>
      <c r="AE600" s="13">
        <f>IF(OR(COUNT(J600)=0,COUNT(AB600:AD600)&lt;3),"",ROUND(J600-SUM(AB600:AD600),2))</f>
        <v/>
      </c>
      <c r="AF600" s="15">
        <f>IF(COUNT(AE600)=0,"",IF(Z600=0,"n.a.",AE600/Z600))</f>
        <v/>
      </c>
      <c r="AG600" s="12" t="n"/>
      <c r="AH600" s="14">
        <f>IF(OR(A600="",COUNT(Z600)=0,COUNT(AG600)=0),"",ROUND(Z600-AG600,2))</f>
        <v/>
      </c>
      <c r="AI600" s="21" t="n"/>
      <c r="AJ600" s="11">
        <f>IF(A600="","",IF(COUNT(I600)=0,"Enter approved NTE",IF(COUNT(Z600)&gt;0,IF(Z600&gt;I600,"Invoice exceeds NTE","Invoice within NTE"),IF(COUNT(L600)=0,"Enter quote inputs",IF(L600&gt;I600,"Quote exceeds NTE","Quote within NTE")))))</f>
        <v/>
      </c>
      <c r="AK600" s="11">
        <f>IF(A600="","",IF(COUNT(H600)=0,"Enter direct cost",IF(COUNT(Z600)=0,"Enter invoice revenue",IF(COUNT(AB600:AD600)&lt;3,"Enter expenses (0 if none)","Complete"))))</f>
        <v/>
      </c>
      <c r="AL600" s="11">
        <f>IF(A600="","",IF(NOT(AND(COUNT(AH600)=1,N(AH600)&gt;0.004,V600&lt;&gt;"Void",V600&lt;&gt;"Not invoiced",V600&lt;&gt;"Draft")),"",IF(COUNT(X600)=0,"No due date",IF(TODAY()-X600&lt;=0,"Not yet due",IF(TODAY()-X600&lt;=30,"1-30 days",IF(TODAY()-X600&lt;=60,"31-60 days",IF(TODAY()-X600&lt;=90,"61-90 days","Over 90 days")))))))</f>
        <v/>
      </c>
      <c r="AM600" s="49">
        <f>IF(OR(AL600="",AL600="No due date"),"",MAX(TODAY()-X600,0))</f>
        <v/>
      </c>
      <c r="AN600" s="49">
        <f>IF(AL600="","",IF(COUNT(X600)=0,-100000,TODAY()-X600))</f>
        <v/>
      </c>
      <c r="AO600" s="49">
        <f>IF(AN600="","",COUNTIF(AN$11:AN$1010,"&gt;"&amp;AN600)+COUNTIF(AN$11:AN600,AN600))</f>
        <v/>
      </c>
      <c r="AP600" s="49">
        <f>IF(OR(A600="",B600=""),"",IF(COUNTIF(B$11:B600,B600)=1,MAX(AP$10:AP599)+1,""))</f>
        <v/>
      </c>
    </row>
    <row r="601">
      <c r="A601" s="20" t="n"/>
      <c r="B601" s="10" t="n"/>
      <c r="C601" s="10" t="n"/>
      <c r="D601" s="10" t="n"/>
      <c r="E601" s="10" t="n"/>
      <c r="F601" s="18" t="n"/>
      <c r="G601" s="10" t="n"/>
      <c r="H601" s="12" t="n"/>
      <c r="I601" s="12" t="n"/>
      <c r="J601" s="13">
        <f>IF(OR(A601="",COUNT(H601)=0,COUNT(Z601)=0),"",ROUND(Z601-H601,2))</f>
        <v/>
      </c>
      <c r="K601" s="15">
        <f>IF(COUNT(J601)=0,"",IF(Z601=0,"n.a.",J601/Z601))</f>
        <v/>
      </c>
      <c r="L601" s="14">
        <f>IF(OR(A601="",COUNT(H601)=0,COUNT(Y601)=0),"",ROUND(H601*(1+Y601),2))</f>
        <v/>
      </c>
      <c r="M601" s="10" t="n"/>
      <c r="N601" s="10" t="n"/>
      <c r="O601" s="10" t="n"/>
      <c r="P601" s="10" t="n"/>
      <c r="Q601" s="20" t="n"/>
      <c r="R601" s="10" t="n"/>
      <c r="S601" s="10" t="n"/>
      <c r="T601" s="18" t="n"/>
      <c r="U601" s="18" t="n"/>
      <c r="V601" s="10" t="n"/>
      <c r="W601" s="10" t="n"/>
      <c r="X601" s="19">
        <f>IF(OR(A601="",COUNT(U601)=0,COUNT(AI601)=0),"",U601+AI601)</f>
        <v/>
      </c>
      <c r="Y601" s="16" t="n"/>
      <c r="Z601" s="12" t="n"/>
      <c r="AA601" s="17">
        <f>IF(COUNT(J601)=0,"",IF(H601=0,"n.a.",J601/H601))</f>
        <v/>
      </c>
      <c r="AB601" s="12" t="n"/>
      <c r="AC601" s="12" t="n"/>
      <c r="AD601" s="12" t="n"/>
      <c r="AE601" s="13">
        <f>IF(OR(COUNT(J601)=0,COUNT(AB601:AD601)&lt;3),"",ROUND(J601-SUM(AB601:AD601),2))</f>
        <v/>
      </c>
      <c r="AF601" s="15">
        <f>IF(COUNT(AE601)=0,"",IF(Z601=0,"n.a.",AE601/Z601))</f>
        <v/>
      </c>
      <c r="AG601" s="12" t="n"/>
      <c r="AH601" s="14">
        <f>IF(OR(A601="",COUNT(Z601)=0,COUNT(AG601)=0),"",ROUND(Z601-AG601,2))</f>
        <v/>
      </c>
      <c r="AI601" s="21" t="n"/>
      <c r="AJ601" s="11">
        <f>IF(A601="","",IF(COUNT(I601)=0,"Enter approved NTE",IF(COUNT(Z601)&gt;0,IF(Z601&gt;I601,"Invoice exceeds NTE","Invoice within NTE"),IF(COUNT(L601)=0,"Enter quote inputs",IF(L601&gt;I601,"Quote exceeds NTE","Quote within NTE")))))</f>
        <v/>
      </c>
      <c r="AK601" s="11">
        <f>IF(A601="","",IF(COUNT(H601)=0,"Enter direct cost",IF(COUNT(Z601)=0,"Enter invoice revenue",IF(COUNT(AB601:AD601)&lt;3,"Enter expenses (0 if none)","Complete"))))</f>
        <v/>
      </c>
      <c r="AL601" s="11">
        <f>IF(A601="","",IF(NOT(AND(COUNT(AH601)=1,N(AH601)&gt;0.004,V601&lt;&gt;"Void",V601&lt;&gt;"Not invoiced",V601&lt;&gt;"Draft")),"",IF(COUNT(X601)=0,"No due date",IF(TODAY()-X601&lt;=0,"Not yet due",IF(TODAY()-X601&lt;=30,"1-30 days",IF(TODAY()-X601&lt;=60,"31-60 days",IF(TODAY()-X601&lt;=90,"61-90 days","Over 90 days")))))))</f>
        <v/>
      </c>
      <c r="AM601" s="49">
        <f>IF(OR(AL601="",AL601="No due date"),"",MAX(TODAY()-X601,0))</f>
        <v/>
      </c>
      <c r="AN601" s="49">
        <f>IF(AL601="","",IF(COUNT(X601)=0,-100000,TODAY()-X601))</f>
        <v/>
      </c>
      <c r="AO601" s="49">
        <f>IF(AN601="","",COUNTIF(AN$11:AN$1010,"&gt;"&amp;AN601)+COUNTIF(AN$11:AN601,AN601))</f>
        <v/>
      </c>
      <c r="AP601" s="49">
        <f>IF(OR(A601="",B601=""),"",IF(COUNTIF(B$11:B601,B601)=1,MAX(AP$10:AP600)+1,""))</f>
        <v/>
      </c>
    </row>
    <row r="602">
      <c r="A602" s="20" t="n"/>
      <c r="B602" s="10" t="n"/>
      <c r="C602" s="10" t="n"/>
      <c r="D602" s="10" t="n"/>
      <c r="E602" s="10" t="n"/>
      <c r="F602" s="18" t="n"/>
      <c r="G602" s="10" t="n"/>
      <c r="H602" s="12" t="n"/>
      <c r="I602" s="12" t="n"/>
      <c r="J602" s="13">
        <f>IF(OR(A602="",COUNT(H602)=0,COUNT(Z602)=0),"",ROUND(Z602-H602,2))</f>
        <v/>
      </c>
      <c r="K602" s="15">
        <f>IF(COUNT(J602)=0,"",IF(Z602=0,"n.a.",J602/Z602))</f>
        <v/>
      </c>
      <c r="L602" s="14">
        <f>IF(OR(A602="",COUNT(H602)=0,COUNT(Y602)=0),"",ROUND(H602*(1+Y602),2))</f>
        <v/>
      </c>
      <c r="M602" s="10" t="n"/>
      <c r="N602" s="10" t="n"/>
      <c r="O602" s="10" t="n"/>
      <c r="P602" s="10" t="n"/>
      <c r="Q602" s="20" t="n"/>
      <c r="R602" s="10" t="n"/>
      <c r="S602" s="10" t="n"/>
      <c r="T602" s="18" t="n"/>
      <c r="U602" s="18" t="n"/>
      <c r="V602" s="10" t="n"/>
      <c r="W602" s="10" t="n"/>
      <c r="X602" s="19">
        <f>IF(OR(A602="",COUNT(U602)=0,COUNT(AI602)=0),"",U602+AI602)</f>
        <v/>
      </c>
      <c r="Y602" s="16" t="n"/>
      <c r="Z602" s="12" t="n"/>
      <c r="AA602" s="17">
        <f>IF(COUNT(J602)=0,"",IF(H602=0,"n.a.",J602/H602))</f>
        <v/>
      </c>
      <c r="AB602" s="12" t="n"/>
      <c r="AC602" s="12" t="n"/>
      <c r="AD602" s="12" t="n"/>
      <c r="AE602" s="13">
        <f>IF(OR(COUNT(J602)=0,COUNT(AB602:AD602)&lt;3),"",ROUND(J602-SUM(AB602:AD602),2))</f>
        <v/>
      </c>
      <c r="AF602" s="15">
        <f>IF(COUNT(AE602)=0,"",IF(Z602=0,"n.a.",AE602/Z602))</f>
        <v/>
      </c>
      <c r="AG602" s="12" t="n"/>
      <c r="AH602" s="14">
        <f>IF(OR(A602="",COUNT(Z602)=0,COUNT(AG602)=0),"",ROUND(Z602-AG602,2))</f>
        <v/>
      </c>
      <c r="AI602" s="21" t="n"/>
      <c r="AJ602" s="11">
        <f>IF(A602="","",IF(COUNT(I602)=0,"Enter approved NTE",IF(COUNT(Z602)&gt;0,IF(Z602&gt;I602,"Invoice exceeds NTE","Invoice within NTE"),IF(COUNT(L602)=0,"Enter quote inputs",IF(L602&gt;I602,"Quote exceeds NTE","Quote within NTE")))))</f>
        <v/>
      </c>
      <c r="AK602" s="11">
        <f>IF(A602="","",IF(COUNT(H602)=0,"Enter direct cost",IF(COUNT(Z602)=0,"Enter invoice revenue",IF(COUNT(AB602:AD602)&lt;3,"Enter expenses (0 if none)","Complete"))))</f>
        <v/>
      </c>
      <c r="AL602" s="11">
        <f>IF(A602="","",IF(NOT(AND(COUNT(AH602)=1,N(AH602)&gt;0.004,V602&lt;&gt;"Void",V602&lt;&gt;"Not invoiced",V602&lt;&gt;"Draft")),"",IF(COUNT(X602)=0,"No due date",IF(TODAY()-X602&lt;=0,"Not yet due",IF(TODAY()-X602&lt;=30,"1-30 days",IF(TODAY()-X602&lt;=60,"31-60 days",IF(TODAY()-X602&lt;=90,"61-90 days","Over 90 days")))))))</f>
        <v/>
      </c>
      <c r="AM602" s="49">
        <f>IF(OR(AL602="",AL602="No due date"),"",MAX(TODAY()-X602,0))</f>
        <v/>
      </c>
      <c r="AN602" s="49">
        <f>IF(AL602="","",IF(COUNT(X602)=0,-100000,TODAY()-X602))</f>
        <v/>
      </c>
      <c r="AO602" s="49">
        <f>IF(AN602="","",COUNTIF(AN$11:AN$1010,"&gt;"&amp;AN602)+COUNTIF(AN$11:AN602,AN602))</f>
        <v/>
      </c>
      <c r="AP602" s="49">
        <f>IF(OR(A602="",B602=""),"",IF(COUNTIF(B$11:B602,B602)=1,MAX(AP$10:AP601)+1,""))</f>
        <v/>
      </c>
    </row>
    <row r="603">
      <c r="A603" s="20" t="n"/>
      <c r="B603" s="10" t="n"/>
      <c r="C603" s="10" t="n"/>
      <c r="D603" s="10" t="n"/>
      <c r="E603" s="10" t="n"/>
      <c r="F603" s="18" t="n"/>
      <c r="G603" s="10" t="n"/>
      <c r="H603" s="12" t="n"/>
      <c r="I603" s="12" t="n"/>
      <c r="J603" s="13">
        <f>IF(OR(A603="",COUNT(H603)=0,COUNT(Z603)=0),"",ROUND(Z603-H603,2))</f>
        <v/>
      </c>
      <c r="K603" s="15">
        <f>IF(COUNT(J603)=0,"",IF(Z603=0,"n.a.",J603/Z603))</f>
        <v/>
      </c>
      <c r="L603" s="14">
        <f>IF(OR(A603="",COUNT(H603)=0,COUNT(Y603)=0),"",ROUND(H603*(1+Y603),2))</f>
        <v/>
      </c>
      <c r="M603" s="10" t="n"/>
      <c r="N603" s="10" t="n"/>
      <c r="O603" s="10" t="n"/>
      <c r="P603" s="10" t="n"/>
      <c r="Q603" s="20" t="n"/>
      <c r="R603" s="10" t="n"/>
      <c r="S603" s="10" t="n"/>
      <c r="T603" s="18" t="n"/>
      <c r="U603" s="18" t="n"/>
      <c r="V603" s="10" t="n"/>
      <c r="W603" s="10" t="n"/>
      <c r="X603" s="19">
        <f>IF(OR(A603="",COUNT(U603)=0,COUNT(AI603)=0),"",U603+AI603)</f>
        <v/>
      </c>
      <c r="Y603" s="16" t="n"/>
      <c r="Z603" s="12" t="n"/>
      <c r="AA603" s="17">
        <f>IF(COUNT(J603)=0,"",IF(H603=0,"n.a.",J603/H603))</f>
        <v/>
      </c>
      <c r="AB603" s="12" t="n"/>
      <c r="AC603" s="12" t="n"/>
      <c r="AD603" s="12" t="n"/>
      <c r="AE603" s="13">
        <f>IF(OR(COUNT(J603)=0,COUNT(AB603:AD603)&lt;3),"",ROUND(J603-SUM(AB603:AD603),2))</f>
        <v/>
      </c>
      <c r="AF603" s="15">
        <f>IF(COUNT(AE603)=0,"",IF(Z603=0,"n.a.",AE603/Z603))</f>
        <v/>
      </c>
      <c r="AG603" s="12" t="n"/>
      <c r="AH603" s="14">
        <f>IF(OR(A603="",COUNT(Z603)=0,COUNT(AG603)=0),"",ROUND(Z603-AG603,2))</f>
        <v/>
      </c>
      <c r="AI603" s="21" t="n"/>
      <c r="AJ603" s="11">
        <f>IF(A603="","",IF(COUNT(I603)=0,"Enter approved NTE",IF(COUNT(Z603)&gt;0,IF(Z603&gt;I603,"Invoice exceeds NTE","Invoice within NTE"),IF(COUNT(L603)=0,"Enter quote inputs",IF(L603&gt;I603,"Quote exceeds NTE","Quote within NTE")))))</f>
        <v/>
      </c>
      <c r="AK603" s="11">
        <f>IF(A603="","",IF(COUNT(H603)=0,"Enter direct cost",IF(COUNT(Z603)=0,"Enter invoice revenue",IF(COUNT(AB603:AD603)&lt;3,"Enter expenses (0 if none)","Complete"))))</f>
        <v/>
      </c>
      <c r="AL603" s="11">
        <f>IF(A603="","",IF(NOT(AND(COUNT(AH603)=1,N(AH603)&gt;0.004,V603&lt;&gt;"Void",V603&lt;&gt;"Not invoiced",V603&lt;&gt;"Draft")),"",IF(COUNT(X603)=0,"No due date",IF(TODAY()-X603&lt;=0,"Not yet due",IF(TODAY()-X603&lt;=30,"1-30 days",IF(TODAY()-X603&lt;=60,"31-60 days",IF(TODAY()-X603&lt;=90,"61-90 days","Over 90 days")))))))</f>
        <v/>
      </c>
      <c r="AM603" s="49">
        <f>IF(OR(AL603="",AL603="No due date"),"",MAX(TODAY()-X603,0))</f>
        <v/>
      </c>
      <c r="AN603" s="49">
        <f>IF(AL603="","",IF(COUNT(X603)=0,-100000,TODAY()-X603))</f>
        <v/>
      </c>
      <c r="AO603" s="49">
        <f>IF(AN603="","",COUNTIF(AN$11:AN$1010,"&gt;"&amp;AN603)+COUNTIF(AN$11:AN603,AN603))</f>
        <v/>
      </c>
      <c r="AP603" s="49">
        <f>IF(OR(A603="",B603=""),"",IF(COUNTIF(B$11:B603,B603)=1,MAX(AP$10:AP602)+1,""))</f>
        <v/>
      </c>
    </row>
    <row r="604">
      <c r="A604" s="20" t="n"/>
      <c r="B604" s="10" t="n"/>
      <c r="C604" s="10" t="n"/>
      <c r="D604" s="10" t="n"/>
      <c r="E604" s="10" t="n"/>
      <c r="F604" s="18" t="n"/>
      <c r="G604" s="10" t="n"/>
      <c r="H604" s="12" t="n"/>
      <c r="I604" s="12" t="n"/>
      <c r="J604" s="13">
        <f>IF(OR(A604="",COUNT(H604)=0,COUNT(Z604)=0),"",ROUND(Z604-H604,2))</f>
        <v/>
      </c>
      <c r="K604" s="15">
        <f>IF(COUNT(J604)=0,"",IF(Z604=0,"n.a.",J604/Z604))</f>
        <v/>
      </c>
      <c r="L604" s="14">
        <f>IF(OR(A604="",COUNT(H604)=0,COUNT(Y604)=0),"",ROUND(H604*(1+Y604),2))</f>
        <v/>
      </c>
      <c r="M604" s="10" t="n"/>
      <c r="N604" s="10" t="n"/>
      <c r="O604" s="10" t="n"/>
      <c r="P604" s="10" t="n"/>
      <c r="Q604" s="20" t="n"/>
      <c r="R604" s="10" t="n"/>
      <c r="S604" s="10" t="n"/>
      <c r="T604" s="18" t="n"/>
      <c r="U604" s="18" t="n"/>
      <c r="V604" s="10" t="n"/>
      <c r="W604" s="10" t="n"/>
      <c r="X604" s="19">
        <f>IF(OR(A604="",COUNT(U604)=0,COUNT(AI604)=0),"",U604+AI604)</f>
        <v/>
      </c>
      <c r="Y604" s="16" t="n"/>
      <c r="Z604" s="12" t="n"/>
      <c r="AA604" s="17">
        <f>IF(COUNT(J604)=0,"",IF(H604=0,"n.a.",J604/H604))</f>
        <v/>
      </c>
      <c r="AB604" s="12" t="n"/>
      <c r="AC604" s="12" t="n"/>
      <c r="AD604" s="12" t="n"/>
      <c r="AE604" s="13">
        <f>IF(OR(COUNT(J604)=0,COUNT(AB604:AD604)&lt;3),"",ROUND(J604-SUM(AB604:AD604),2))</f>
        <v/>
      </c>
      <c r="AF604" s="15">
        <f>IF(COUNT(AE604)=0,"",IF(Z604=0,"n.a.",AE604/Z604))</f>
        <v/>
      </c>
      <c r="AG604" s="12" t="n"/>
      <c r="AH604" s="14">
        <f>IF(OR(A604="",COUNT(Z604)=0,COUNT(AG604)=0),"",ROUND(Z604-AG604,2))</f>
        <v/>
      </c>
      <c r="AI604" s="21" t="n"/>
      <c r="AJ604" s="11">
        <f>IF(A604="","",IF(COUNT(I604)=0,"Enter approved NTE",IF(COUNT(Z604)&gt;0,IF(Z604&gt;I604,"Invoice exceeds NTE","Invoice within NTE"),IF(COUNT(L604)=0,"Enter quote inputs",IF(L604&gt;I604,"Quote exceeds NTE","Quote within NTE")))))</f>
        <v/>
      </c>
      <c r="AK604" s="11">
        <f>IF(A604="","",IF(COUNT(H604)=0,"Enter direct cost",IF(COUNT(Z604)=0,"Enter invoice revenue",IF(COUNT(AB604:AD604)&lt;3,"Enter expenses (0 if none)","Complete"))))</f>
        <v/>
      </c>
      <c r="AL604" s="11">
        <f>IF(A604="","",IF(NOT(AND(COUNT(AH604)=1,N(AH604)&gt;0.004,V604&lt;&gt;"Void",V604&lt;&gt;"Not invoiced",V604&lt;&gt;"Draft")),"",IF(COUNT(X604)=0,"No due date",IF(TODAY()-X604&lt;=0,"Not yet due",IF(TODAY()-X604&lt;=30,"1-30 days",IF(TODAY()-X604&lt;=60,"31-60 days",IF(TODAY()-X604&lt;=90,"61-90 days","Over 90 days")))))))</f>
        <v/>
      </c>
      <c r="AM604" s="49">
        <f>IF(OR(AL604="",AL604="No due date"),"",MAX(TODAY()-X604,0))</f>
        <v/>
      </c>
      <c r="AN604" s="49">
        <f>IF(AL604="","",IF(COUNT(X604)=0,-100000,TODAY()-X604))</f>
        <v/>
      </c>
      <c r="AO604" s="49">
        <f>IF(AN604="","",COUNTIF(AN$11:AN$1010,"&gt;"&amp;AN604)+COUNTIF(AN$11:AN604,AN604))</f>
        <v/>
      </c>
      <c r="AP604" s="49">
        <f>IF(OR(A604="",B604=""),"",IF(COUNTIF(B$11:B604,B604)=1,MAX(AP$10:AP603)+1,""))</f>
        <v/>
      </c>
    </row>
    <row r="605">
      <c r="A605" s="20" t="n"/>
      <c r="B605" s="10" t="n"/>
      <c r="C605" s="10" t="n"/>
      <c r="D605" s="10" t="n"/>
      <c r="E605" s="10" t="n"/>
      <c r="F605" s="18" t="n"/>
      <c r="G605" s="10" t="n"/>
      <c r="H605" s="12" t="n"/>
      <c r="I605" s="12" t="n"/>
      <c r="J605" s="13">
        <f>IF(OR(A605="",COUNT(H605)=0,COUNT(Z605)=0),"",ROUND(Z605-H605,2))</f>
        <v/>
      </c>
      <c r="K605" s="15">
        <f>IF(COUNT(J605)=0,"",IF(Z605=0,"n.a.",J605/Z605))</f>
        <v/>
      </c>
      <c r="L605" s="14">
        <f>IF(OR(A605="",COUNT(H605)=0,COUNT(Y605)=0),"",ROUND(H605*(1+Y605),2))</f>
        <v/>
      </c>
      <c r="M605" s="10" t="n"/>
      <c r="N605" s="10" t="n"/>
      <c r="O605" s="10" t="n"/>
      <c r="P605" s="10" t="n"/>
      <c r="Q605" s="20" t="n"/>
      <c r="R605" s="10" t="n"/>
      <c r="S605" s="10" t="n"/>
      <c r="T605" s="18" t="n"/>
      <c r="U605" s="18" t="n"/>
      <c r="V605" s="10" t="n"/>
      <c r="W605" s="10" t="n"/>
      <c r="X605" s="19">
        <f>IF(OR(A605="",COUNT(U605)=0,COUNT(AI605)=0),"",U605+AI605)</f>
        <v/>
      </c>
      <c r="Y605" s="16" t="n"/>
      <c r="Z605" s="12" t="n"/>
      <c r="AA605" s="17">
        <f>IF(COUNT(J605)=0,"",IF(H605=0,"n.a.",J605/H605))</f>
        <v/>
      </c>
      <c r="AB605" s="12" t="n"/>
      <c r="AC605" s="12" t="n"/>
      <c r="AD605" s="12" t="n"/>
      <c r="AE605" s="13">
        <f>IF(OR(COUNT(J605)=0,COUNT(AB605:AD605)&lt;3),"",ROUND(J605-SUM(AB605:AD605),2))</f>
        <v/>
      </c>
      <c r="AF605" s="15">
        <f>IF(COUNT(AE605)=0,"",IF(Z605=0,"n.a.",AE605/Z605))</f>
        <v/>
      </c>
      <c r="AG605" s="12" t="n"/>
      <c r="AH605" s="14">
        <f>IF(OR(A605="",COUNT(Z605)=0,COUNT(AG605)=0),"",ROUND(Z605-AG605,2))</f>
        <v/>
      </c>
      <c r="AI605" s="21" t="n"/>
      <c r="AJ605" s="11">
        <f>IF(A605="","",IF(COUNT(I605)=0,"Enter approved NTE",IF(COUNT(Z605)&gt;0,IF(Z605&gt;I605,"Invoice exceeds NTE","Invoice within NTE"),IF(COUNT(L605)=0,"Enter quote inputs",IF(L605&gt;I605,"Quote exceeds NTE","Quote within NTE")))))</f>
        <v/>
      </c>
      <c r="AK605" s="11">
        <f>IF(A605="","",IF(COUNT(H605)=0,"Enter direct cost",IF(COUNT(Z605)=0,"Enter invoice revenue",IF(COUNT(AB605:AD605)&lt;3,"Enter expenses (0 if none)","Complete"))))</f>
        <v/>
      </c>
      <c r="AL605" s="11">
        <f>IF(A605="","",IF(NOT(AND(COUNT(AH605)=1,N(AH605)&gt;0.004,V605&lt;&gt;"Void",V605&lt;&gt;"Not invoiced",V605&lt;&gt;"Draft")),"",IF(COUNT(X605)=0,"No due date",IF(TODAY()-X605&lt;=0,"Not yet due",IF(TODAY()-X605&lt;=30,"1-30 days",IF(TODAY()-X605&lt;=60,"31-60 days",IF(TODAY()-X605&lt;=90,"61-90 days","Over 90 days")))))))</f>
        <v/>
      </c>
      <c r="AM605" s="49">
        <f>IF(OR(AL605="",AL605="No due date"),"",MAX(TODAY()-X605,0))</f>
        <v/>
      </c>
      <c r="AN605" s="49">
        <f>IF(AL605="","",IF(COUNT(X605)=0,-100000,TODAY()-X605))</f>
        <v/>
      </c>
      <c r="AO605" s="49">
        <f>IF(AN605="","",COUNTIF(AN$11:AN$1010,"&gt;"&amp;AN605)+COUNTIF(AN$11:AN605,AN605))</f>
        <v/>
      </c>
      <c r="AP605" s="49">
        <f>IF(OR(A605="",B605=""),"",IF(COUNTIF(B$11:B605,B605)=1,MAX(AP$10:AP604)+1,""))</f>
        <v/>
      </c>
    </row>
    <row r="606">
      <c r="A606" s="20" t="n"/>
      <c r="B606" s="10" t="n"/>
      <c r="C606" s="10" t="n"/>
      <c r="D606" s="10" t="n"/>
      <c r="E606" s="10" t="n"/>
      <c r="F606" s="18" t="n"/>
      <c r="G606" s="10" t="n"/>
      <c r="H606" s="12" t="n"/>
      <c r="I606" s="12" t="n"/>
      <c r="J606" s="13">
        <f>IF(OR(A606="",COUNT(H606)=0,COUNT(Z606)=0),"",ROUND(Z606-H606,2))</f>
        <v/>
      </c>
      <c r="K606" s="15">
        <f>IF(COUNT(J606)=0,"",IF(Z606=0,"n.a.",J606/Z606))</f>
        <v/>
      </c>
      <c r="L606" s="14">
        <f>IF(OR(A606="",COUNT(H606)=0,COUNT(Y606)=0),"",ROUND(H606*(1+Y606),2))</f>
        <v/>
      </c>
      <c r="M606" s="10" t="n"/>
      <c r="N606" s="10" t="n"/>
      <c r="O606" s="10" t="n"/>
      <c r="P606" s="10" t="n"/>
      <c r="Q606" s="20" t="n"/>
      <c r="R606" s="10" t="n"/>
      <c r="S606" s="10" t="n"/>
      <c r="T606" s="18" t="n"/>
      <c r="U606" s="18" t="n"/>
      <c r="V606" s="10" t="n"/>
      <c r="W606" s="10" t="n"/>
      <c r="X606" s="19">
        <f>IF(OR(A606="",COUNT(U606)=0,COUNT(AI606)=0),"",U606+AI606)</f>
        <v/>
      </c>
      <c r="Y606" s="16" t="n"/>
      <c r="Z606" s="12" t="n"/>
      <c r="AA606" s="17">
        <f>IF(COUNT(J606)=0,"",IF(H606=0,"n.a.",J606/H606))</f>
        <v/>
      </c>
      <c r="AB606" s="12" t="n"/>
      <c r="AC606" s="12" t="n"/>
      <c r="AD606" s="12" t="n"/>
      <c r="AE606" s="13">
        <f>IF(OR(COUNT(J606)=0,COUNT(AB606:AD606)&lt;3),"",ROUND(J606-SUM(AB606:AD606),2))</f>
        <v/>
      </c>
      <c r="AF606" s="15">
        <f>IF(COUNT(AE606)=0,"",IF(Z606=0,"n.a.",AE606/Z606))</f>
        <v/>
      </c>
      <c r="AG606" s="12" t="n"/>
      <c r="AH606" s="14">
        <f>IF(OR(A606="",COUNT(Z606)=0,COUNT(AG606)=0),"",ROUND(Z606-AG606,2))</f>
        <v/>
      </c>
      <c r="AI606" s="21" t="n"/>
      <c r="AJ606" s="11">
        <f>IF(A606="","",IF(COUNT(I606)=0,"Enter approved NTE",IF(COUNT(Z606)&gt;0,IF(Z606&gt;I606,"Invoice exceeds NTE","Invoice within NTE"),IF(COUNT(L606)=0,"Enter quote inputs",IF(L606&gt;I606,"Quote exceeds NTE","Quote within NTE")))))</f>
        <v/>
      </c>
      <c r="AK606" s="11">
        <f>IF(A606="","",IF(COUNT(H606)=0,"Enter direct cost",IF(COUNT(Z606)=0,"Enter invoice revenue",IF(COUNT(AB606:AD606)&lt;3,"Enter expenses (0 if none)","Complete"))))</f>
        <v/>
      </c>
      <c r="AL606" s="11">
        <f>IF(A606="","",IF(NOT(AND(COUNT(AH606)=1,N(AH606)&gt;0.004,V606&lt;&gt;"Void",V606&lt;&gt;"Not invoiced",V606&lt;&gt;"Draft")),"",IF(COUNT(X606)=0,"No due date",IF(TODAY()-X606&lt;=0,"Not yet due",IF(TODAY()-X606&lt;=30,"1-30 days",IF(TODAY()-X606&lt;=60,"31-60 days",IF(TODAY()-X606&lt;=90,"61-90 days","Over 90 days")))))))</f>
        <v/>
      </c>
      <c r="AM606" s="49">
        <f>IF(OR(AL606="",AL606="No due date"),"",MAX(TODAY()-X606,0))</f>
        <v/>
      </c>
      <c r="AN606" s="49">
        <f>IF(AL606="","",IF(COUNT(X606)=0,-100000,TODAY()-X606))</f>
        <v/>
      </c>
      <c r="AO606" s="49">
        <f>IF(AN606="","",COUNTIF(AN$11:AN$1010,"&gt;"&amp;AN606)+COUNTIF(AN$11:AN606,AN606))</f>
        <v/>
      </c>
      <c r="AP606" s="49">
        <f>IF(OR(A606="",B606=""),"",IF(COUNTIF(B$11:B606,B606)=1,MAX(AP$10:AP605)+1,""))</f>
        <v/>
      </c>
    </row>
    <row r="607">
      <c r="A607" s="20" t="n"/>
      <c r="B607" s="10" t="n"/>
      <c r="C607" s="10" t="n"/>
      <c r="D607" s="10" t="n"/>
      <c r="E607" s="10" t="n"/>
      <c r="F607" s="18" t="n"/>
      <c r="G607" s="10" t="n"/>
      <c r="H607" s="12" t="n"/>
      <c r="I607" s="12" t="n"/>
      <c r="J607" s="13">
        <f>IF(OR(A607="",COUNT(H607)=0,COUNT(Z607)=0),"",ROUND(Z607-H607,2))</f>
        <v/>
      </c>
      <c r="K607" s="15">
        <f>IF(COUNT(J607)=0,"",IF(Z607=0,"n.a.",J607/Z607))</f>
        <v/>
      </c>
      <c r="L607" s="14">
        <f>IF(OR(A607="",COUNT(H607)=0,COUNT(Y607)=0),"",ROUND(H607*(1+Y607),2))</f>
        <v/>
      </c>
      <c r="M607" s="10" t="n"/>
      <c r="N607" s="10" t="n"/>
      <c r="O607" s="10" t="n"/>
      <c r="P607" s="10" t="n"/>
      <c r="Q607" s="20" t="n"/>
      <c r="R607" s="10" t="n"/>
      <c r="S607" s="10" t="n"/>
      <c r="T607" s="18" t="n"/>
      <c r="U607" s="18" t="n"/>
      <c r="V607" s="10" t="n"/>
      <c r="W607" s="10" t="n"/>
      <c r="X607" s="19">
        <f>IF(OR(A607="",COUNT(U607)=0,COUNT(AI607)=0),"",U607+AI607)</f>
        <v/>
      </c>
      <c r="Y607" s="16" t="n"/>
      <c r="Z607" s="12" t="n"/>
      <c r="AA607" s="17">
        <f>IF(COUNT(J607)=0,"",IF(H607=0,"n.a.",J607/H607))</f>
        <v/>
      </c>
      <c r="AB607" s="12" t="n"/>
      <c r="AC607" s="12" t="n"/>
      <c r="AD607" s="12" t="n"/>
      <c r="AE607" s="13">
        <f>IF(OR(COUNT(J607)=0,COUNT(AB607:AD607)&lt;3),"",ROUND(J607-SUM(AB607:AD607),2))</f>
        <v/>
      </c>
      <c r="AF607" s="15">
        <f>IF(COUNT(AE607)=0,"",IF(Z607=0,"n.a.",AE607/Z607))</f>
        <v/>
      </c>
      <c r="AG607" s="12" t="n"/>
      <c r="AH607" s="14">
        <f>IF(OR(A607="",COUNT(Z607)=0,COUNT(AG607)=0),"",ROUND(Z607-AG607,2))</f>
        <v/>
      </c>
      <c r="AI607" s="21" t="n"/>
      <c r="AJ607" s="11">
        <f>IF(A607="","",IF(COUNT(I607)=0,"Enter approved NTE",IF(COUNT(Z607)&gt;0,IF(Z607&gt;I607,"Invoice exceeds NTE","Invoice within NTE"),IF(COUNT(L607)=0,"Enter quote inputs",IF(L607&gt;I607,"Quote exceeds NTE","Quote within NTE")))))</f>
        <v/>
      </c>
      <c r="AK607" s="11">
        <f>IF(A607="","",IF(COUNT(H607)=0,"Enter direct cost",IF(COUNT(Z607)=0,"Enter invoice revenue",IF(COUNT(AB607:AD607)&lt;3,"Enter expenses (0 if none)","Complete"))))</f>
        <v/>
      </c>
      <c r="AL607" s="11">
        <f>IF(A607="","",IF(NOT(AND(COUNT(AH607)=1,N(AH607)&gt;0.004,V607&lt;&gt;"Void",V607&lt;&gt;"Not invoiced",V607&lt;&gt;"Draft")),"",IF(COUNT(X607)=0,"No due date",IF(TODAY()-X607&lt;=0,"Not yet due",IF(TODAY()-X607&lt;=30,"1-30 days",IF(TODAY()-X607&lt;=60,"31-60 days",IF(TODAY()-X607&lt;=90,"61-90 days","Over 90 days")))))))</f>
        <v/>
      </c>
      <c r="AM607" s="49">
        <f>IF(OR(AL607="",AL607="No due date"),"",MAX(TODAY()-X607,0))</f>
        <v/>
      </c>
      <c r="AN607" s="49">
        <f>IF(AL607="","",IF(COUNT(X607)=0,-100000,TODAY()-X607))</f>
        <v/>
      </c>
      <c r="AO607" s="49">
        <f>IF(AN607="","",COUNTIF(AN$11:AN$1010,"&gt;"&amp;AN607)+COUNTIF(AN$11:AN607,AN607))</f>
        <v/>
      </c>
      <c r="AP607" s="49">
        <f>IF(OR(A607="",B607=""),"",IF(COUNTIF(B$11:B607,B607)=1,MAX(AP$10:AP606)+1,""))</f>
        <v/>
      </c>
    </row>
    <row r="608">
      <c r="A608" s="20" t="n"/>
      <c r="B608" s="10" t="n"/>
      <c r="C608" s="10" t="n"/>
      <c r="D608" s="10" t="n"/>
      <c r="E608" s="10" t="n"/>
      <c r="F608" s="18" t="n"/>
      <c r="G608" s="10" t="n"/>
      <c r="H608" s="12" t="n"/>
      <c r="I608" s="12" t="n"/>
      <c r="J608" s="13">
        <f>IF(OR(A608="",COUNT(H608)=0,COUNT(Z608)=0),"",ROUND(Z608-H608,2))</f>
        <v/>
      </c>
      <c r="K608" s="15">
        <f>IF(COUNT(J608)=0,"",IF(Z608=0,"n.a.",J608/Z608))</f>
        <v/>
      </c>
      <c r="L608" s="14">
        <f>IF(OR(A608="",COUNT(H608)=0,COUNT(Y608)=0),"",ROUND(H608*(1+Y608),2))</f>
        <v/>
      </c>
      <c r="M608" s="10" t="n"/>
      <c r="N608" s="10" t="n"/>
      <c r="O608" s="10" t="n"/>
      <c r="P608" s="10" t="n"/>
      <c r="Q608" s="20" t="n"/>
      <c r="R608" s="10" t="n"/>
      <c r="S608" s="10" t="n"/>
      <c r="T608" s="18" t="n"/>
      <c r="U608" s="18" t="n"/>
      <c r="V608" s="10" t="n"/>
      <c r="W608" s="10" t="n"/>
      <c r="X608" s="19">
        <f>IF(OR(A608="",COUNT(U608)=0,COUNT(AI608)=0),"",U608+AI608)</f>
        <v/>
      </c>
      <c r="Y608" s="16" t="n"/>
      <c r="Z608" s="12" t="n"/>
      <c r="AA608" s="17">
        <f>IF(COUNT(J608)=0,"",IF(H608=0,"n.a.",J608/H608))</f>
        <v/>
      </c>
      <c r="AB608" s="12" t="n"/>
      <c r="AC608" s="12" t="n"/>
      <c r="AD608" s="12" t="n"/>
      <c r="AE608" s="13">
        <f>IF(OR(COUNT(J608)=0,COUNT(AB608:AD608)&lt;3),"",ROUND(J608-SUM(AB608:AD608),2))</f>
        <v/>
      </c>
      <c r="AF608" s="15">
        <f>IF(COUNT(AE608)=0,"",IF(Z608=0,"n.a.",AE608/Z608))</f>
        <v/>
      </c>
      <c r="AG608" s="12" t="n"/>
      <c r="AH608" s="14">
        <f>IF(OR(A608="",COUNT(Z608)=0,COUNT(AG608)=0),"",ROUND(Z608-AG608,2))</f>
        <v/>
      </c>
      <c r="AI608" s="21" t="n"/>
      <c r="AJ608" s="11">
        <f>IF(A608="","",IF(COUNT(I608)=0,"Enter approved NTE",IF(COUNT(Z608)&gt;0,IF(Z608&gt;I608,"Invoice exceeds NTE","Invoice within NTE"),IF(COUNT(L608)=0,"Enter quote inputs",IF(L608&gt;I608,"Quote exceeds NTE","Quote within NTE")))))</f>
        <v/>
      </c>
      <c r="AK608" s="11">
        <f>IF(A608="","",IF(COUNT(H608)=0,"Enter direct cost",IF(COUNT(Z608)=0,"Enter invoice revenue",IF(COUNT(AB608:AD608)&lt;3,"Enter expenses (0 if none)","Complete"))))</f>
        <v/>
      </c>
      <c r="AL608" s="11">
        <f>IF(A608="","",IF(NOT(AND(COUNT(AH608)=1,N(AH608)&gt;0.004,V608&lt;&gt;"Void",V608&lt;&gt;"Not invoiced",V608&lt;&gt;"Draft")),"",IF(COUNT(X608)=0,"No due date",IF(TODAY()-X608&lt;=0,"Not yet due",IF(TODAY()-X608&lt;=30,"1-30 days",IF(TODAY()-X608&lt;=60,"31-60 days",IF(TODAY()-X608&lt;=90,"61-90 days","Over 90 days")))))))</f>
        <v/>
      </c>
      <c r="AM608" s="49">
        <f>IF(OR(AL608="",AL608="No due date"),"",MAX(TODAY()-X608,0))</f>
        <v/>
      </c>
      <c r="AN608" s="49">
        <f>IF(AL608="","",IF(COUNT(X608)=0,-100000,TODAY()-X608))</f>
        <v/>
      </c>
      <c r="AO608" s="49">
        <f>IF(AN608="","",COUNTIF(AN$11:AN$1010,"&gt;"&amp;AN608)+COUNTIF(AN$11:AN608,AN608))</f>
        <v/>
      </c>
      <c r="AP608" s="49">
        <f>IF(OR(A608="",B608=""),"",IF(COUNTIF(B$11:B608,B608)=1,MAX(AP$10:AP607)+1,""))</f>
        <v/>
      </c>
    </row>
    <row r="609">
      <c r="A609" s="20" t="n"/>
      <c r="B609" s="10" t="n"/>
      <c r="C609" s="10" t="n"/>
      <c r="D609" s="10" t="n"/>
      <c r="E609" s="10" t="n"/>
      <c r="F609" s="18" t="n"/>
      <c r="G609" s="10" t="n"/>
      <c r="H609" s="12" t="n"/>
      <c r="I609" s="12" t="n"/>
      <c r="J609" s="13">
        <f>IF(OR(A609="",COUNT(H609)=0,COUNT(Z609)=0),"",ROUND(Z609-H609,2))</f>
        <v/>
      </c>
      <c r="K609" s="15">
        <f>IF(COUNT(J609)=0,"",IF(Z609=0,"n.a.",J609/Z609))</f>
        <v/>
      </c>
      <c r="L609" s="14">
        <f>IF(OR(A609="",COUNT(H609)=0,COUNT(Y609)=0),"",ROUND(H609*(1+Y609),2))</f>
        <v/>
      </c>
      <c r="M609" s="10" t="n"/>
      <c r="N609" s="10" t="n"/>
      <c r="O609" s="10" t="n"/>
      <c r="P609" s="10" t="n"/>
      <c r="Q609" s="20" t="n"/>
      <c r="R609" s="10" t="n"/>
      <c r="S609" s="10" t="n"/>
      <c r="T609" s="18" t="n"/>
      <c r="U609" s="18" t="n"/>
      <c r="V609" s="10" t="n"/>
      <c r="W609" s="10" t="n"/>
      <c r="X609" s="19">
        <f>IF(OR(A609="",COUNT(U609)=0,COUNT(AI609)=0),"",U609+AI609)</f>
        <v/>
      </c>
      <c r="Y609" s="16" t="n"/>
      <c r="Z609" s="12" t="n"/>
      <c r="AA609" s="17">
        <f>IF(COUNT(J609)=0,"",IF(H609=0,"n.a.",J609/H609))</f>
        <v/>
      </c>
      <c r="AB609" s="12" t="n"/>
      <c r="AC609" s="12" t="n"/>
      <c r="AD609" s="12" t="n"/>
      <c r="AE609" s="13">
        <f>IF(OR(COUNT(J609)=0,COUNT(AB609:AD609)&lt;3),"",ROUND(J609-SUM(AB609:AD609),2))</f>
        <v/>
      </c>
      <c r="AF609" s="15">
        <f>IF(COUNT(AE609)=0,"",IF(Z609=0,"n.a.",AE609/Z609))</f>
        <v/>
      </c>
      <c r="AG609" s="12" t="n"/>
      <c r="AH609" s="14">
        <f>IF(OR(A609="",COUNT(Z609)=0,COUNT(AG609)=0),"",ROUND(Z609-AG609,2))</f>
        <v/>
      </c>
      <c r="AI609" s="21" t="n"/>
      <c r="AJ609" s="11">
        <f>IF(A609="","",IF(COUNT(I609)=0,"Enter approved NTE",IF(COUNT(Z609)&gt;0,IF(Z609&gt;I609,"Invoice exceeds NTE","Invoice within NTE"),IF(COUNT(L609)=0,"Enter quote inputs",IF(L609&gt;I609,"Quote exceeds NTE","Quote within NTE")))))</f>
        <v/>
      </c>
      <c r="AK609" s="11">
        <f>IF(A609="","",IF(COUNT(H609)=0,"Enter direct cost",IF(COUNT(Z609)=0,"Enter invoice revenue",IF(COUNT(AB609:AD609)&lt;3,"Enter expenses (0 if none)","Complete"))))</f>
        <v/>
      </c>
      <c r="AL609" s="11">
        <f>IF(A609="","",IF(NOT(AND(COUNT(AH609)=1,N(AH609)&gt;0.004,V609&lt;&gt;"Void",V609&lt;&gt;"Not invoiced",V609&lt;&gt;"Draft")),"",IF(COUNT(X609)=0,"No due date",IF(TODAY()-X609&lt;=0,"Not yet due",IF(TODAY()-X609&lt;=30,"1-30 days",IF(TODAY()-X609&lt;=60,"31-60 days",IF(TODAY()-X609&lt;=90,"61-90 days","Over 90 days")))))))</f>
        <v/>
      </c>
      <c r="AM609" s="49">
        <f>IF(OR(AL609="",AL609="No due date"),"",MAX(TODAY()-X609,0))</f>
        <v/>
      </c>
      <c r="AN609" s="49">
        <f>IF(AL609="","",IF(COUNT(X609)=0,-100000,TODAY()-X609))</f>
        <v/>
      </c>
      <c r="AO609" s="49">
        <f>IF(AN609="","",COUNTIF(AN$11:AN$1010,"&gt;"&amp;AN609)+COUNTIF(AN$11:AN609,AN609))</f>
        <v/>
      </c>
      <c r="AP609" s="49">
        <f>IF(OR(A609="",B609=""),"",IF(COUNTIF(B$11:B609,B609)=1,MAX(AP$10:AP608)+1,""))</f>
        <v/>
      </c>
    </row>
    <row r="610">
      <c r="A610" s="20" t="n"/>
      <c r="B610" s="10" t="n"/>
      <c r="C610" s="10" t="n"/>
      <c r="D610" s="10" t="n"/>
      <c r="E610" s="10" t="n"/>
      <c r="F610" s="18" t="n"/>
      <c r="G610" s="10" t="n"/>
      <c r="H610" s="12" t="n"/>
      <c r="I610" s="12" t="n"/>
      <c r="J610" s="13">
        <f>IF(OR(A610="",COUNT(H610)=0,COUNT(Z610)=0),"",ROUND(Z610-H610,2))</f>
        <v/>
      </c>
      <c r="K610" s="15">
        <f>IF(COUNT(J610)=0,"",IF(Z610=0,"n.a.",J610/Z610))</f>
        <v/>
      </c>
      <c r="L610" s="14">
        <f>IF(OR(A610="",COUNT(H610)=0,COUNT(Y610)=0),"",ROUND(H610*(1+Y610),2))</f>
        <v/>
      </c>
      <c r="M610" s="10" t="n"/>
      <c r="N610" s="10" t="n"/>
      <c r="O610" s="10" t="n"/>
      <c r="P610" s="10" t="n"/>
      <c r="Q610" s="20" t="n"/>
      <c r="R610" s="10" t="n"/>
      <c r="S610" s="10" t="n"/>
      <c r="T610" s="18" t="n"/>
      <c r="U610" s="18" t="n"/>
      <c r="V610" s="10" t="n"/>
      <c r="W610" s="10" t="n"/>
      <c r="X610" s="19">
        <f>IF(OR(A610="",COUNT(U610)=0,COUNT(AI610)=0),"",U610+AI610)</f>
        <v/>
      </c>
      <c r="Y610" s="16" t="n"/>
      <c r="Z610" s="12" t="n"/>
      <c r="AA610" s="17">
        <f>IF(COUNT(J610)=0,"",IF(H610=0,"n.a.",J610/H610))</f>
        <v/>
      </c>
      <c r="AB610" s="12" t="n"/>
      <c r="AC610" s="12" t="n"/>
      <c r="AD610" s="12" t="n"/>
      <c r="AE610" s="13">
        <f>IF(OR(COUNT(J610)=0,COUNT(AB610:AD610)&lt;3),"",ROUND(J610-SUM(AB610:AD610),2))</f>
        <v/>
      </c>
      <c r="AF610" s="15">
        <f>IF(COUNT(AE610)=0,"",IF(Z610=0,"n.a.",AE610/Z610))</f>
        <v/>
      </c>
      <c r="AG610" s="12" t="n"/>
      <c r="AH610" s="14">
        <f>IF(OR(A610="",COUNT(Z610)=0,COUNT(AG610)=0),"",ROUND(Z610-AG610,2))</f>
        <v/>
      </c>
      <c r="AI610" s="21" t="n"/>
      <c r="AJ610" s="11">
        <f>IF(A610="","",IF(COUNT(I610)=0,"Enter approved NTE",IF(COUNT(Z610)&gt;0,IF(Z610&gt;I610,"Invoice exceeds NTE","Invoice within NTE"),IF(COUNT(L610)=0,"Enter quote inputs",IF(L610&gt;I610,"Quote exceeds NTE","Quote within NTE")))))</f>
        <v/>
      </c>
      <c r="AK610" s="11">
        <f>IF(A610="","",IF(COUNT(H610)=0,"Enter direct cost",IF(COUNT(Z610)=0,"Enter invoice revenue",IF(COUNT(AB610:AD610)&lt;3,"Enter expenses (0 if none)","Complete"))))</f>
        <v/>
      </c>
      <c r="AL610" s="11">
        <f>IF(A610="","",IF(NOT(AND(COUNT(AH610)=1,N(AH610)&gt;0.004,V610&lt;&gt;"Void",V610&lt;&gt;"Not invoiced",V610&lt;&gt;"Draft")),"",IF(COUNT(X610)=0,"No due date",IF(TODAY()-X610&lt;=0,"Not yet due",IF(TODAY()-X610&lt;=30,"1-30 days",IF(TODAY()-X610&lt;=60,"31-60 days",IF(TODAY()-X610&lt;=90,"61-90 days","Over 90 days")))))))</f>
        <v/>
      </c>
      <c r="AM610" s="49">
        <f>IF(OR(AL610="",AL610="No due date"),"",MAX(TODAY()-X610,0))</f>
        <v/>
      </c>
      <c r="AN610" s="49">
        <f>IF(AL610="","",IF(COUNT(X610)=0,-100000,TODAY()-X610))</f>
        <v/>
      </c>
      <c r="AO610" s="49">
        <f>IF(AN610="","",COUNTIF(AN$11:AN$1010,"&gt;"&amp;AN610)+COUNTIF(AN$11:AN610,AN610))</f>
        <v/>
      </c>
      <c r="AP610" s="49">
        <f>IF(OR(A610="",B610=""),"",IF(COUNTIF(B$11:B610,B610)=1,MAX(AP$10:AP609)+1,""))</f>
        <v/>
      </c>
    </row>
    <row r="611">
      <c r="A611" s="20" t="n"/>
      <c r="B611" s="10" t="n"/>
      <c r="C611" s="10" t="n"/>
      <c r="D611" s="10" t="n"/>
      <c r="E611" s="10" t="n"/>
      <c r="F611" s="18" t="n"/>
      <c r="G611" s="10" t="n"/>
      <c r="H611" s="12" t="n"/>
      <c r="I611" s="12" t="n"/>
      <c r="J611" s="13">
        <f>IF(OR(A611="",COUNT(H611)=0,COUNT(Z611)=0),"",ROUND(Z611-H611,2))</f>
        <v/>
      </c>
      <c r="K611" s="15">
        <f>IF(COUNT(J611)=0,"",IF(Z611=0,"n.a.",J611/Z611))</f>
        <v/>
      </c>
      <c r="L611" s="14">
        <f>IF(OR(A611="",COUNT(H611)=0,COUNT(Y611)=0),"",ROUND(H611*(1+Y611),2))</f>
        <v/>
      </c>
      <c r="M611" s="10" t="n"/>
      <c r="N611" s="10" t="n"/>
      <c r="O611" s="10" t="n"/>
      <c r="P611" s="10" t="n"/>
      <c r="Q611" s="20" t="n"/>
      <c r="R611" s="10" t="n"/>
      <c r="S611" s="10" t="n"/>
      <c r="T611" s="18" t="n"/>
      <c r="U611" s="18" t="n"/>
      <c r="V611" s="10" t="n"/>
      <c r="W611" s="10" t="n"/>
      <c r="X611" s="19">
        <f>IF(OR(A611="",COUNT(U611)=0,COUNT(AI611)=0),"",U611+AI611)</f>
        <v/>
      </c>
      <c r="Y611" s="16" t="n"/>
      <c r="Z611" s="12" t="n"/>
      <c r="AA611" s="17">
        <f>IF(COUNT(J611)=0,"",IF(H611=0,"n.a.",J611/H611))</f>
        <v/>
      </c>
      <c r="AB611" s="12" t="n"/>
      <c r="AC611" s="12" t="n"/>
      <c r="AD611" s="12" t="n"/>
      <c r="AE611" s="13">
        <f>IF(OR(COUNT(J611)=0,COUNT(AB611:AD611)&lt;3),"",ROUND(J611-SUM(AB611:AD611),2))</f>
        <v/>
      </c>
      <c r="AF611" s="15">
        <f>IF(COUNT(AE611)=0,"",IF(Z611=0,"n.a.",AE611/Z611))</f>
        <v/>
      </c>
      <c r="AG611" s="12" t="n"/>
      <c r="AH611" s="14">
        <f>IF(OR(A611="",COUNT(Z611)=0,COUNT(AG611)=0),"",ROUND(Z611-AG611,2))</f>
        <v/>
      </c>
      <c r="AI611" s="21" t="n"/>
      <c r="AJ611" s="11">
        <f>IF(A611="","",IF(COUNT(I611)=0,"Enter approved NTE",IF(COUNT(Z611)&gt;0,IF(Z611&gt;I611,"Invoice exceeds NTE","Invoice within NTE"),IF(COUNT(L611)=0,"Enter quote inputs",IF(L611&gt;I611,"Quote exceeds NTE","Quote within NTE")))))</f>
        <v/>
      </c>
      <c r="AK611" s="11">
        <f>IF(A611="","",IF(COUNT(H611)=0,"Enter direct cost",IF(COUNT(Z611)=0,"Enter invoice revenue",IF(COUNT(AB611:AD611)&lt;3,"Enter expenses (0 if none)","Complete"))))</f>
        <v/>
      </c>
      <c r="AL611" s="11">
        <f>IF(A611="","",IF(NOT(AND(COUNT(AH611)=1,N(AH611)&gt;0.004,V611&lt;&gt;"Void",V611&lt;&gt;"Not invoiced",V611&lt;&gt;"Draft")),"",IF(COUNT(X611)=0,"No due date",IF(TODAY()-X611&lt;=0,"Not yet due",IF(TODAY()-X611&lt;=30,"1-30 days",IF(TODAY()-X611&lt;=60,"31-60 days",IF(TODAY()-X611&lt;=90,"61-90 days","Over 90 days")))))))</f>
        <v/>
      </c>
      <c r="AM611" s="49">
        <f>IF(OR(AL611="",AL611="No due date"),"",MAX(TODAY()-X611,0))</f>
        <v/>
      </c>
      <c r="AN611" s="49">
        <f>IF(AL611="","",IF(COUNT(X611)=0,-100000,TODAY()-X611))</f>
        <v/>
      </c>
      <c r="AO611" s="49">
        <f>IF(AN611="","",COUNTIF(AN$11:AN$1010,"&gt;"&amp;AN611)+COUNTIF(AN$11:AN611,AN611))</f>
        <v/>
      </c>
      <c r="AP611" s="49">
        <f>IF(OR(A611="",B611=""),"",IF(COUNTIF(B$11:B611,B611)=1,MAX(AP$10:AP610)+1,""))</f>
        <v/>
      </c>
    </row>
    <row r="612">
      <c r="A612" s="20" t="n"/>
      <c r="B612" s="10" t="n"/>
      <c r="C612" s="10" t="n"/>
      <c r="D612" s="10" t="n"/>
      <c r="E612" s="10" t="n"/>
      <c r="F612" s="18" t="n"/>
      <c r="G612" s="10" t="n"/>
      <c r="H612" s="12" t="n"/>
      <c r="I612" s="12" t="n"/>
      <c r="J612" s="13">
        <f>IF(OR(A612="",COUNT(H612)=0,COUNT(Z612)=0),"",ROUND(Z612-H612,2))</f>
        <v/>
      </c>
      <c r="K612" s="15">
        <f>IF(COUNT(J612)=0,"",IF(Z612=0,"n.a.",J612/Z612))</f>
        <v/>
      </c>
      <c r="L612" s="14">
        <f>IF(OR(A612="",COUNT(H612)=0,COUNT(Y612)=0),"",ROUND(H612*(1+Y612),2))</f>
        <v/>
      </c>
      <c r="M612" s="10" t="n"/>
      <c r="N612" s="10" t="n"/>
      <c r="O612" s="10" t="n"/>
      <c r="P612" s="10" t="n"/>
      <c r="Q612" s="20" t="n"/>
      <c r="R612" s="10" t="n"/>
      <c r="S612" s="10" t="n"/>
      <c r="T612" s="18" t="n"/>
      <c r="U612" s="18" t="n"/>
      <c r="V612" s="10" t="n"/>
      <c r="W612" s="10" t="n"/>
      <c r="X612" s="19">
        <f>IF(OR(A612="",COUNT(U612)=0,COUNT(AI612)=0),"",U612+AI612)</f>
        <v/>
      </c>
      <c r="Y612" s="16" t="n"/>
      <c r="Z612" s="12" t="n"/>
      <c r="AA612" s="17">
        <f>IF(COUNT(J612)=0,"",IF(H612=0,"n.a.",J612/H612))</f>
        <v/>
      </c>
      <c r="AB612" s="12" t="n"/>
      <c r="AC612" s="12" t="n"/>
      <c r="AD612" s="12" t="n"/>
      <c r="AE612" s="13">
        <f>IF(OR(COUNT(J612)=0,COUNT(AB612:AD612)&lt;3),"",ROUND(J612-SUM(AB612:AD612),2))</f>
        <v/>
      </c>
      <c r="AF612" s="15">
        <f>IF(COUNT(AE612)=0,"",IF(Z612=0,"n.a.",AE612/Z612))</f>
        <v/>
      </c>
      <c r="AG612" s="12" t="n"/>
      <c r="AH612" s="14">
        <f>IF(OR(A612="",COUNT(Z612)=0,COUNT(AG612)=0),"",ROUND(Z612-AG612,2))</f>
        <v/>
      </c>
      <c r="AI612" s="21" t="n"/>
      <c r="AJ612" s="11">
        <f>IF(A612="","",IF(COUNT(I612)=0,"Enter approved NTE",IF(COUNT(Z612)&gt;0,IF(Z612&gt;I612,"Invoice exceeds NTE","Invoice within NTE"),IF(COUNT(L612)=0,"Enter quote inputs",IF(L612&gt;I612,"Quote exceeds NTE","Quote within NTE")))))</f>
        <v/>
      </c>
      <c r="AK612" s="11">
        <f>IF(A612="","",IF(COUNT(H612)=0,"Enter direct cost",IF(COUNT(Z612)=0,"Enter invoice revenue",IF(COUNT(AB612:AD612)&lt;3,"Enter expenses (0 if none)","Complete"))))</f>
        <v/>
      </c>
      <c r="AL612" s="11">
        <f>IF(A612="","",IF(NOT(AND(COUNT(AH612)=1,N(AH612)&gt;0.004,V612&lt;&gt;"Void",V612&lt;&gt;"Not invoiced",V612&lt;&gt;"Draft")),"",IF(COUNT(X612)=0,"No due date",IF(TODAY()-X612&lt;=0,"Not yet due",IF(TODAY()-X612&lt;=30,"1-30 days",IF(TODAY()-X612&lt;=60,"31-60 days",IF(TODAY()-X612&lt;=90,"61-90 days","Over 90 days")))))))</f>
        <v/>
      </c>
      <c r="AM612" s="49">
        <f>IF(OR(AL612="",AL612="No due date"),"",MAX(TODAY()-X612,0))</f>
        <v/>
      </c>
      <c r="AN612" s="49">
        <f>IF(AL612="","",IF(COUNT(X612)=0,-100000,TODAY()-X612))</f>
        <v/>
      </c>
      <c r="AO612" s="49">
        <f>IF(AN612="","",COUNTIF(AN$11:AN$1010,"&gt;"&amp;AN612)+COUNTIF(AN$11:AN612,AN612))</f>
        <v/>
      </c>
      <c r="AP612" s="49">
        <f>IF(OR(A612="",B612=""),"",IF(COUNTIF(B$11:B612,B612)=1,MAX(AP$10:AP611)+1,""))</f>
        <v/>
      </c>
    </row>
    <row r="613">
      <c r="A613" s="20" t="n"/>
      <c r="B613" s="10" t="n"/>
      <c r="C613" s="10" t="n"/>
      <c r="D613" s="10" t="n"/>
      <c r="E613" s="10" t="n"/>
      <c r="F613" s="18" t="n"/>
      <c r="G613" s="10" t="n"/>
      <c r="H613" s="12" t="n"/>
      <c r="I613" s="12" t="n"/>
      <c r="J613" s="13">
        <f>IF(OR(A613="",COUNT(H613)=0,COUNT(Z613)=0),"",ROUND(Z613-H613,2))</f>
        <v/>
      </c>
      <c r="K613" s="15">
        <f>IF(COUNT(J613)=0,"",IF(Z613=0,"n.a.",J613/Z613))</f>
        <v/>
      </c>
      <c r="L613" s="14">
        <f>IF(OR(A613="",COUNT(H613)=0,COUNT(Y613)=0),"",ROUND(H613*(1+Y613),2))</f>
        <v/>
      </c>
      <c r="M613" s="10" t="n"/>
      <c r="N613" s="10" t="n"/>
      <c r="O613" s="10" t="n"/>
      <c r="P613" s="10" t="n"/>
      <c r="Q613" s="20" t="n"/>
      <c r="R613" s="10" t="n"/>
      <c r="S613" s="10" t="n"/>
      <c r="T613" s="18" t="n"/>
      <c r="U613" s="18" t="n"/>
      <c r="V613" s="10" t="n"/>
      <c r="W613" s="10" t="n"/>
      <c r="X613" s="19">
        <f>IF(OR(A613="",COUNT(U613)=0,COUNT(AI613)=0),"",U613+AI613)</f>
        <v/>
      </c>
      <c r="Y613" s="16" t="n"/>
      <c r="Z613" s="12" t="n"/>
      <c r="AA613" s="17">
        <f>IF(COUNT(J613)=0,"",IF(H613=0,"n.a.",J613/H613))</f>
        <v/>
      </c>
      <c r="AB613" s="12" t="n"/>
      <c r="AC613" s="12" t="n"/>
      <c r="AD613" s="12" t="n"/>
      <c r="AE613" s="13">
        <f>IF(OR(COUNT(J613)=0,COUNT(AB613:AD613)&lt;3),"",ROUND(J613-SUM(AB613:AD613),2))</f>
        <v/>
      </c>
      <c r="AF613" s="15">
        <f>IF(COUNT(AE613)=0,"",IF(Z613=0,"n.a.",AE613/Z613))</f>
        <v/>
      </c>
      <c r="AG613" s="12" t="n"/>
      <c r="AH613" s="14">
        <f>IF(OR(A613="",COUNT(Z613)=0,COUNT(AG613)=0),"",ROUND(Z613-AG613,2))</f>
        <v/>
      </c>
      <c r="AI613" s="21" t="n"/>
      <c r="AJ613" s="11">
        <f>IF(A613="","",IF(COUNT(I613)=0,"Enter approved NTE",IF(COUNT(Z613)&gt;0,IF(Z613&gt;I613,"Invoice exceeds NTE","Invoice within NTE"),IF(COUNT(L613)=0,"Enter quote inputs",IF(L613&gt;I613,"Quote exceeds NTE","Quote within NTE")))))</f>
        <v/>
      </c>
      <c r="AK613" s="11">
        <f>IF(A613="","",IF(COUNT(H613)=0,"Enter direct cost",IF(COUNT(Z613)=0,"Enter invoice revenue",IF(COUNT(AB613:AD613)&lt;3,"Enter expenses (0 if none)","Complete"))))</f>
        <v/>
      </c>
      <c r="AL613" s="11">
        <f>IF(A613="","",IF(NOT(AND(COUNT(AH613)=1,N(AH613)&gt;0.004,V613&lt;&gt;"Void",V613&lt;&gt;"Not invoiced",V613&lt;&gt;"Draft")),"",IF(COUNT(X613)=0,"No due date",IF(TODAY()-X613&lt;=0,"Not yet due",IF(TODAY()-X613&lt;=30,"1-30 days",IF(TODAY()-X613&lt;=60,"31-60 days",IF(TODAY()-X613&lt;=90,"61-90 days","Over 90 days")))))))</f>
        <v/>
      </c>
      <c r="AM613" s="49">
        <f>IF(OR(AL613="",AL613="No due date"),"",MAX(TODAY()-X613,0))</f>
        <v/>
      </c>
      <c r="AN613" s="49">
        <f>IF(AL613="","",IF(COUNT(X613)=0,-100000,TODAY()-X613))</f>
        <v/>
      </c>
      <c r="AO613" s="49">
        <f>IF(AN613="","",COUNTIF(AN$11:AN$1010,"&gt;"&amp;AN613)+COUNTIF(AN$11:AN613,AN613))</f>
        <v/>
      </c>
      <c r="AP613" s="49">
        <f>IF(OR(A613="",B613=""),"",IF(COUNTIF(B$11:B613,B613)=1,MAX(AP$10:AP612)+1,""))</f>
        <v/>
      </c>
    </row>
    <row r="614">
      <c r="A614" s="20" t="n"/>
      <c r="B614" s="10" t="n"/>
      <c r="C614" s="10" t="n"/>
      <c r="D614" s="10" t="n"/>
      <c r="E614" s="10" t="n"/>
      <c r="F614" s="18" t="n"/>
      <c r="G614" s="10" t="n"/>
      <c r="H614" s="12" t="n"/>
      <c r="I614" s="12" t="n"/>
      <c r="J614" s="13">
        <f>IF(OR(A614="",COUNT(H614)=0,COUNT(Z614)=0),"",ROUND(Z614-H614,2))</f>
        <v/>
      </c>
      <c r="K614" s="15">
        <f>IF(COUNT(J614)=0,"",IF(Z614=0,"n.a.",J614/Z614))</f>
        <v/>
      </c>
      <c r="L614" s="14">
        <f>IF(OR(A614="",COUNT(H614)=0,COUNT(Y614)=0),"",ROUND(H614*(1+Y614),2))</f>
        <v/>
      </c>
      <c r="M614" s="10" t="n"/>
      <c r="N614" s="10" t="n"/>
      <c r="O614" s="10" t="n"/>
      <c r="P614" s="10" t="n"/>
      <c r="Q614" s="20" t="n"/>
      <c r="R614" s="10" t="n"/>
      <c r="S614" s="10" t="n"/>
      <c r="T614" s="18" t="n"/>
      <c r="U614" s="18" t="n"/>
      <c r="V614" s="10" t="n"/>
      <c r="W614" s="10" t="n"/>
      <c r="X614" s="19">
        <f>IF(OR(A614="",COUNT(U614)=0,COUNT(AI614)=0),"",U614+AI614)</f>
        <v/>
      </c>
      <c r="Y614" s="16" t="n"/>
      <c r="Z614" s="12" t="n"/>
      <c r="AA614" s="17">
        <f>IF(COUNT(J614)=0,"",IF(H614=0,"n.a.",J614/H614))</f>
        <v/>
      </c>
      <c r="AB614" s="12" t="n"/>
      <c r="AC614" s="12" t="n"/>
      <c r="AD614" s="12" t="n"/>
      <c r="AE614" s="13">
        <f>IF(OR(COUNT(J614)=0,COUNT(AB614:AD614)&lt;3),"",ROUND(J614-SUM(AB614:AD614),2))</f>
        <v/>
      </c>
      <c r="AF614" s="15">
        <f>IF(COUNT(AE614)=0,"",IF(Z614=0,"n.a.",AE614/Z614))</f>
        <v/>
      </c>
      <c r="AG614" s="12" t="n"/>
      <c r="AH614" s="14">
        <f>IF(OR(A614="",COUNT(Z614)=0,COUNT(AG614)=0),"",ROUND(Z614-AG614,2))</f>
        <v/>
      </c>
      <c r="AI614" s="21" t="n"/>
      <c r="AJ614" s="11">
        <f>IF(A614="","",IF(COUNT(I614)=0,"Enter approved NTE",IF(COUNT(Z614)&gt;0,IF(Z614&gt;I614,"Invoice exceeds NTE","Invoice within NTE"),IF(COUNT(L614)=0,"Enter quote inputs",IF(L614&gt;I614,"Quote exceeds NTE","Quote within NTE")))))</f>
        <v/>
      </c>
      <c r="AK614" s="11">
        <f>IF(A614="","",IF(COUNT(H614)=0,"Enter direct cost",IF(COUNT(Z614)=0,"Enter invoice revenue",IF(COUNT(AB614:AD614)&lt;3,"Enter expenses (0 if none)","Complete"))))</f>
        <v/>
      </c>
      <c r="AL614" s="11">
        <f>IF(A614="","",IF(NOT(AND(COUNT(AH614)=1,N(AH614)&gt;0.004,V614&lt;&gt;"Void",V614&lt;&gt;"Not invoiced",V614&lt;&gt;"Draft")),"",IF(COUNT(X614)=0,"No due date",IF(TODAY()-X614&lt;=0,"Not yet due",IF(TODAY()-X614&lt;=30,"1-30 days",IF(TODAY()-X614&lt;=60,"31-60 days",IF(TODAY()-X614&lt;=90,"61-90 days","Over 90 days")))))))</f>
        <v/>
      </c>
      <c r="AM614" s="49">
        <f>IF(OR(AL614="",AL614="No due date"),"",MAX(TODAY()-X614,0))</f>
        <v/>
      </c>
      <c r="AN614" s="49">
        <f>IF(AL614="","",IF(COUNT(X614)=0,-100000,TODAY()-X614))</f>
        <v/>
      </c>
      <c r="AO614" s="49">
        <f>IF(AN614="","",COUNTIF(AN$11:AN$1010,"&gt;"&amp;AN614)+COUNTIF(AN$11:AN614,AN614))</f>
        <v/>
      </c>
      <c r="AP614" s="49">
        <f>IF(OR(A614="",B614=""),"",IF(COUNTIF(B$11:B614,B614)=1,MAX(AP$10:AP613)+1,""))</f>
        <v/>
      </c>
    </row>
    <row r="615">
      <c r="A615" s="20" t="n"/>
      <c r="B615" s="10" t="n"/>
      <c r="C615" s="10" t="n"/>
      <c r="D615" s="10" t="n"/>
      <c r="E615" s="10" t="n"/>
      <c r="F615" s="18" t="n"/>
      <c r="G615" s="10" t="n"/>
      <c r="H615" s="12" t="n"/>
      <c r="I615" s="12" t="n"/>
      <c r="J615" s="13">
        <f>IF(OR(A615="",COUNT(H615)=0,COUNT(Z615)=0),"",ROUND(Z615-H615,2))</f>
        <v/>
      </c>
      <c r="K615" s="15">
        <f>IF(COUNT(J615)=0,"",IF(Z615=0,"n.a.",J615/Z615))</f>
        <v/>
      </c>
      <c r="L615" s="14">
        <f>IF(OR(A615="",COUNT(H615)=0,COUNT(Y615)=0),"",ROUND(H615*(1+Y615),2))</f>
        <v/>
      </c>
      <c r="M615" s="10" t="n"/>
      <c r="N615" s="10" t="n"/>
      <c r="O615" s="10" t="n"/>
      <c r="P615" s="10" t="n"/>
      <c r="Q615" s="20" t="n"/>
      <c r="R615" s="10" t="n"/>
      <c r="S615" s="10" t="n"/>
      <c r="T615" s="18" t="n"/>
      <c r="U615" s="18" t="n"/>
      <c r="V615" s="10" t="n"/>
      <c r="W615" s="10" t="n"/>
      <c r="X615" s="19">
        <f>IF(OR(A615="",COUNT(U615)=0,COUNT(AI615)=0),"",U615+AI615)</f>
        <v/>
      </c>
      <c r="Y615" s="16" t="n"/>
      <c r="Z615" s="12" t="n"/>
      <c r="AA615" s="17">
        <f>IF(COUNT(J615)=0,"",IF(H615=0,"n.a.",J615/H615))</f>
        <v/>
      </c>
      <c r="AB615" s="12" t="n"/>
      <c r="AC615" s="12" t="n"/>
      <c r="AD615" s="12" t="n"/>
      <c r="AE615" s="13">
        <f>IF(OR(COUNT(J615)=0,COUNT(AB615:AD615)&lt;3),"",ROUND(J615-SUM(AB615:AD615),2))</f>
        <v/>
      </c>
      <c r="AF615" s="15">
        <f>IF(COUNT(AE615)=0,"",IF(Z615=0,"n.a.",AE615/Z615))</f>
        <v/>
      </c>
      <c r="AG615" s="12" t="n"/>
      <c r="AH615" s="14">
        <f>IF(OR(A615="",COUNT(Z615)=0,COUNT(AG615)=0),"",ROUND(Z615-AG615,2))</f>
        <v/>
      </c>
      <c r="AI615" s="21" t="n"/>
      <c r="AJ615" s="11">
        <f>IF(A615="","",IF(COUNT(I615)=0,"Enter approved NTE",IF(COUNT(Z615)&gt;0,IF(Z615&gt;I615,"Invoice exceeds NTE","Invoice within NTE"),IF(COUNT(L615)=0,"Enter quote inputs",IF(L615&gt;I615,"Quote exceeds NTE","Quote within NTE")))))</f>
        <v/>
      </c>
      <c r="AK615" s="11">
        <f>IF(A615="","",IF(COUNT(H615)=0,"Enter direct cost",IF(COUNT(Z615)=0,"Enter invoice revenue",IF(COUNT(AB615:AD615)&lt;3,"Enter expenses (0 if none)","Complete"))))</f>
        <v/>
      </c>
      <c r="AL615" s="11">
        <f>IF(A615="","",IF(NOT(AND(COUNT(AH615)=1,N(AH615)&gt;0.004,V615&lt;&gt;"Void",V615&lt;&gt;"Not invoiced",V615&lt;&gt;"Draft")),"",IF(COUNT(X615)=0,"No due date",IF(TODAY()-X615&lt;=0,"Not yet due",IF(TODAY()-X615&lt;=30,"1-30 days",IF(TODAY()-X615&lt;=60,"31-60 days",IF(TODAY()-X615&lt;=90,"61-90 days","Over 90 days")))))))</f>
        <v/>
      </c>
      <c r="AM615" s="49">
        <f>IF(OR(AL615="",AL615="No due date"),"",MAX(TODAY()-X615,0))</f>
        <v/>
      </c>
      <c r="AN615" s="49">
        <f>IF(AL615="","",IF(COUNT(X615)=0,-100000,TODAY()-X615))</f>
        <v/>
      </c>
      <c r="AO615" s="49">
        <f>IF(AN615="","",COUNTIF(AN$11:AN$1010,"&gt;"&amp;AN615)+COUNTIF(AN$11:AN615,AN615))</f>
        <v/>
      </c>
      <c r="AP615" s="49">
        <f>IF(OR(A615="",B615=""),"",IF(COUNTIF(B$11:B615,B615)=1,MAX(AP$10:AP614)+1,""))</f>
        <v/>
      </c>
    </row>
    <row r="616">
      <c r="A616" s="20" t="n"/>
      <c r="B616" s="10" t="n"/>
      <c r="C616" s="10" t="n"/>
      <c r="D616" s="10" t="n"/>
      <c r="E616" s="10" t="n"/>
      <c r="F616" s="18" t="n"/>
      <c r="G616" s="10" t="n"/>
      <c r="H616" s="12" t="n"/>
      <c r="I616" s="12" t="n"/>
      <c r="J616" s="13">
        <f>IF(OR(A616="",COUNT(H616)=0,COUNT(Z616)=0),"",ROUND(Z616-H616,2))</f>
        <v/>
      </c>
      <c r="K616" s="15">
        <f>IF(COUNT(J616)=0,"",IF(Z616=0,"n.a.",J616/Z616))</f>
        <v/>
      </c>
      <c r="L616" s="14">
        <f>IF(OR(A616="",COUNT(H616)=0,COUNT(Y616)=0),"",ROUND(H616*(1+Y616),2))</f>
        <v/>
      </c>
      <c r="M616" s="10" t="n"/>
      <c r="N616" s="10" t="n"/>
      <c r="O616" s="10" t="n"/>
      <c r="P616" s="10" t="n"/>
      <c r="Q616" s="20" t="n"/>
      <c r="R616" s="10" t="n"/>
      <c r="S616" s="10" t="n"/>
      <c r="T616" s="18" t="n"/>
      <c r="U616" s="18" t="n"/>
      <c r="V616" s="10" t="n"/>
      <c r="W616" s="10" t="n"/>
      <c r="X616" s="19">
        <f>IF(OR(A616="",COUNT(U616)=0,COUNT(AI616)=0),"",U616+AI616)</f>
        <v/>
      </c>
      <c r="Y616" s="16" t="n"/>
      <c r="Z616" s="12" t="n"/>
      <c r="AA616" s="17">
        <f>IF(COUNT(J616)=0,"",IF(H616=0,"n.a.",J616/H616))</f>
        <v/>
      </c>
      <c r="AB616" s="12" t="n"/>
      <c r="AC616" s="12" t="n"/>
      <c r="AD616" s="12" t="n"/>
      <c r="AE616" s="13">
        <f>IF(OR(COUNT(J616)=0,COUNT(AB616:AD616)&lt;3),"",ROUND(J616-SUM(AB616:AD616),2))</f>
        <v/>
      </c>
      <c r="AF616" s="15">
        <f>IF(COUNT(AE616)=0,"",IF(Z616=0,"n.a.",AE616/Z616))</f>
        <v/>
      </c>
      <c r="AG616" s="12" t="n"/>
      <c r="AH616" s="14">
        <f>IF(OR(A616="",COUNT(Z616)=0,COUNT(AG616)=0),"",ROUND(Z616-AG616,2))</f>
        <v/>
      </c>
      <c r="AI616" s="21" t="n"/>
      <c r="AJ616" s="11">
        <f>IF(A616="","",IF(COUNT(I616)=0,"Enter approved NTE",IF(COUNT(Z616)&gt;0,IF(Z616&gt;I616,"Invoice exceeds NTE","Invoice within NTE"),IF(COUNT(L616)=0,"Enter quote inputs",IF(L616&gt;I616,"Quote exceeds NTE","Quote within NTE")))))</f>
        <v/>
      </c>
      <c r="AK616" s="11">
        <f>IF(A616="","",IF(COUNT(H616)=0,"Enter direct cost",IF(COUNT(Z616)=0,"Enter invoice revenue",IF(COUNT(AB616:AD616)&lt;3,"Enter expenses (0 if none)","Complete"))))</f>
        <v/>
      </c>
      <c r="AL616" s="11">
        <f>IF(A616="","",IF(NOT(AND(COUNT(AH616)=1,N(AH616)&gt;0.004,V616&lt;&gt;"Void",V616&lt;&gt;"Not invoiced",V616&lt;&gt;"Draft")),"",IF(COUNT(X616)=0,"No due date",IF(TODAY()-X616&lt;=0,"Not yet due",IF(TODAY()-X616&lt;=30,"1-30 days",IF(TODAY()-X616&lt;=60,"31-60 days",IF(TODAY()-X616&lt;=90,"61-90 days","Over 90 days")))))))</f>
        <v/>
      </c>
      <c r="AM616" s="49">
        <f>IF(OR(AL616="",AL616="No due date"),"",MAX(TODAY()-X616,0))</f>
        <v/>
      </c>
      <c r="AN616" s="49">
        <f>IF(AL616="","",IF(COUNT(X616)=0,-100000,TODAY()-X616))</f>
        <v/>
      </c>
      <c r="AO616" s="49">
        <f>IF(AN616="","",COUNTIF(AN$11:AN$1010,"&gt;"&amp;AN616)+COUNTIF(AN$11:AN616,AN616))</f>
        <v/>
      </c>
      <c r="AP616" s="49">
        <f>IF(OR(A616="",B616=""),"",IF(COUNTIF(B$11:B616,B616)=1,MAX(AP$10:AP615)+1,""))</f>
        <v/>
      </c>
    </row>
    <row r="617">
      <c r="A617" s="20" t="n"/>
      <c r="B617" s="10" t="n"/>
      <c r="C617" s="10" t="n"/>
      <c r="D617" s="10" t="n"/>
      <c r="E617" s="10" t="n"/>
      <c r="F617" s="18" t="n"/>
      <c r="G617" s="10" t="n"/>
      <c r="H617" s="12" t="n"/>
      <c r="I617" s="12" t="n"/>
      <c r="J617" s="13">
        <f>IF(OR(A617="",COUNT(H617)=0,COUNT(Z617)=0),"",ROUND(Z617-H617,2))</f>
        <v/>
      </c>
      <c r="K617" s="15">
        <f>IF(COUNT(J617)=0,"",IF(Z617=0,"n.a.",J617/Z617))</f>
        <v/>
      </c>
      <c r="L617" s="14">
        <f>IF(OR(A617="",COUNT(H617)=0,COUNT(Y617)=0),"",ROUND(H617*(1+Y617),2))</f>
        <v/>
      </c>
      <c r="M617" s="10" t="n"/>
      <c r="N617" s="10" t="n"/>
      <c r="O617" s="10" t="n"/>
      <c r="P617" s="10" t="n"/>
      <c r="Q617" s="20" t="n"/>
      <c r="R617" s="10" t="n"/>
      <c r="S617" s="10" t="n"/>
      <c r="T617" s="18" t="n"/>
      <c r="U617" s="18" t="n"/>
      <c r="V617" s="10" t="n"/>
      <c r="W617" s="10" t="n"/>
      <c r="X617" s="19">
        <f>IF(OR(A617="",COUNT(U617)=0,COUNT(AI617)=0),"",U617+AI617)</f>
        <v/>
      </c>
      <c r="Y617" s="16" t="n"/>
      <c r="Z617" s="12" t="n"/>
      <c r="AA617" s="17">
        <f>IF(COUNT(J617)=0,"",IF(H617=0,"n.a.",J617/H617))</f>
        <v/>
      </c>
      <c r="AB617" s="12" t="n"/>
      <c r="AC617" s="12" t="n"/>
      <c r="AD617" s="12" t="n"/>
      <c r="AE617" s="13">
        <f>IF(OR(COUNT(J617)=0,COUNT(AB617:AD617)&lt;3),"",ROUND(J617-SUM(AB617:AD617),2))</f>
        <v/>
      </c>
      <c r="AF617" s="15">
        <f>IF(COUNT(AE617)=0,"",IF(Z617=0,"n.a.",AE617/Z617))</f>
        <v/>
      </c>
      <c r="AG617" s="12" t="n"/>
      <c r="AH617" s="14">
        <f>IF(OR(A617="",COUNT(Z617)=0,COUNT(AG617)=0),"",ROUND(Z617-AG617,2))</f>
        <v/>
      </c>
      <c r="AI617" s="21" t="n"/>
      <c r="AJ617" s="11">
        <f>IF(A617="","",IF(COUNT(I617)=0,"Enter approved NTE",IF(COUNT(Z617)&gt;0,IF(Z617&gt;I617,"Invoice exceeds NTE","Invoice within NTE"),IF(COUNT(L617)=0,"Enter quote inputs",IF(L617&gt;I617,"Quote exceeds NTE","Quote within NTE")))))</f>
        <v/>
      </c>
      <c r="AK617" s="11">
        <f>IF(A617="","",IF(COUNT(H617)=0,"Enter direct cost",IF(COUNT(Z617)=0,"Enter invoice revenue",IF(COUNT(AB617:AD617)&lt;3,"Enter expenses (0 if none)","Complete"))))</f>
        <v/>
      </c>
      <c r="AL617" s="11">
        <f>IF(A617="","",IF(NOT(AND(COUNT(AH617)=1,N(AH617)&gt;0.004,V617&lt;&gt;"Void",V617&lt;&gt;"Not invoiced",V617&lt;&gt;"Draft")),"",IF(COUNT(X617)=0,"No due date",IF(TODAY()-X617&lt;=0,"Not yet due",IF(TODAY()-X617&lt;=30,"1-30 days",IF(TODAY()-X617&lt;=60,"31-60 days",IF(TODAY()-X617&lt;=90,"61-90 days","Over 90 days")))))))</f>
        <v/>
      </c>
      <c r="AM617" s="49">
        <f>IF(OR(AL617="",AL617="No due date"),"",MAX(TODAY()-X617,0))</f>
        <v/>
      </c>
      <c r="AN617" s="49">
        <f>IF(AL617="","",IF(COUNT(X617)=0,-100000,TODAY()-X617))</f>
        <v/>
      </c>
      <c r="AO617" s="49">
        <f>IF(AN617="","",COUNTIF(AN$11:AN$1010,"&gt;"&amp;AN617)+COUNTIF(AN$11:AN617,AN617))</f>
        <v/>
      </c>
      <c r="AP617" s="49">
        <f>IF(OR(A617="",B617=""),"",IF(COUNTIF(B$11:B617,B617)=1,MAX(AP$10:AP616)+1,""))</f>
        <v/>
      </c>
    </row>
    <row r="618">
      <c r="A618" s="20" t="n"/>
      <c r="B618" s="10" t="n"/>
      <c r="C618" s="10" t="n"/>
      <c r="D618" s="10" t="n"/>
      <c r="E618" s="10" t="n"/>
      <c r="F618" s="18" t="n"/>
      <c r="G618" s="10" t="n"/>
      <c r="H618" s="12" t="n"/>
      <c r="I618" s="12" t="n"/>
      <c r="J618" s="13">
        <f>IF(OR(A618="",COUNT(H618)=0,COUNT(Z618)=0),"",ROUND(Z618-H618,2))</f>
        <v/>
      </c>
      <c r="K618" s="15">
        <f>IF(COUNT(J618)=0,"",IF(Z618=0,"n.a.",J618/Z618))</f>
        <v/>
      </c>
      <c r="L618" s="14">
        <f>IF(OR(A618="",COUNT(H618)=0,COUNT(Y618)=0),"",ROUND(H618*(1+Y618),2))</f>
        <v/>
      </c>
      <c r="M618" s="10" t="n"/>
      <c r="N618" s="10" t="n"/>
      <c r="O618" s="10" t="n"/>
      <c r="P618" s="10" t="n"/>
      <c r="Q618" s="20" t="n"/>
      <c r="R618" s="10" t="n"/>
      <c r="S618" s="10" t="n"/>
      <c r="T618" s="18" t="n"/>
      <c r="U618" s="18" t="n"/>
      <c r="V618" s="10" t="n"/>
      <c r="W618" s="10" t="n"/>
      <c r="X618" s="19">
        <f>IF(OR(A618="",COUNT(U618)=0,COUNT(AI618)=0),"",U618+AI618)</f>
        <v/>
      </c>
      <c r="Y618" s="16" t="n"/>
      <c r="Z618" s="12" t="n"/>
      <c r="AA618" s="17">
        <f>IF(COUNT(J618)=0,"",IF(H618=0,"n.a.",J618/H618))</f>
        <v/>
      </c>
      <c r="AB618" s="12" t="n"/>
      <c r="AC618" s="12" t="n"/>
      <c r="AD618" s="12" t="n"/>
      <c r="AE618" s="13">
        <f>IF(OR(COUNT(J618)=0,COUNT(AB618:AD618)&lt;3),"",ROUND(J618-SUM(AB618:AD618),2))</f>
        <v/>
      </c>
      <c r="AF618" s="15">
        <f>IF(COUNT(AE618)=0,"",IF(Z618=0,"n.a.",AE618/Z618))</f>
        <v/>
      </c>
      <c r="AG618" s="12" t="n"/>
      <c r="AH618" s="14">
        <f>IF(OR(A618="",COUNT(Z618)=0,COUNT(AG618)=0),"",ROUND(Z618-AG618,2))</f>
        <v/>
      </c>
      <c r="AI618" s="21" t="n"/>
      <c r="AJ618" s="11">
        <f>IF(A618="","",IF(COUNT(I618)=0,"Enter approved NTE",IF(COUNT(Z618)&gt;0,IF(Z618&gt;I618,"Invoice exceeds NTE","Invoice within NTE"),IF(COUNT(L618)=0,"Enter quote inputs",IF(L618&gt;I618,"Quote exceeds NTE","Quote within NTE")))))</f>
        <v/>
      </c>
      <c r="AK618" s="11">
        <f>IF(A618="","",IF(COUNT(H618)=0,"Enter direct cost",IF(COUNT(Z618)=0,"Enter invoice revenue",IF(COUNT(AB618:AD618)&lt;3,"Enter expenses (0 if none)","Complete"))))</f>
        <v/>
      </c>
      <c r="AL618" s="11">
        <f>IF(A618="","",IF(NOT(AND(COUNT(AH618)=1,N(AH618)&gt;0.004,V618&lt;&gt;"Void",V618&lt;&gt;"Not invoiced",V618&lt;&gt;"Draft")),"",IF(COUNT(X618)=0,"No due date",IF(TODAY()-X618&lt;=0,"Not yet due",IF(TODAY()-X618&lt;=30,"1-30 days",IF(TODAY()-X618&lt;=60,"31-60 days",IF(TODAY()-X618&lt;=90,"61-90 days","Over 90 days")))))))</f>
        <v/>
      </c>
      <c r="AM618" s="49">
        <f>IF(OR(AL618="",AL618="No due date"),"",MAX(TODAY()-X618,0))</f>
        <v/>
      </c>
      <c r="AN618" s="49">
        <f>IF(AL618="","",IF(COUNT(X618)=0,-100000,TODAY()-X618))</f>
        <v/>
      </c>
      <c r="AO618" s="49">
        <f>IF(AN618="","",COUNTIF(AN$11:AN$1010,"&gt;"&amp;AN618)+COUNTIF(AN$11:AN618,AN618))</f>
        <v/>
      </c>
      <c r="AP618" s="49">
        <f>IF(OR(A618="",B618=""),"",IF(COUNTIF(B$11:B618,B618)=1,MAX(AP$10:AP617)+1,""))</f>
        <v/>
      </c>
    </row>
    <row r="619">
      <c r="A619" s="20" t="n"/>
      <c r="B619" s="10" t="n"/>
      <c r="C619" s="10" t="n"/>
      <c r="D619" s="10" t="n"/>
      <c r="E619" s="10" t="n"/>
      <c r="F619" s="18" t="n"/>
      <c r="G619" s="10" t="n"/>
      <c r="H619" s="12" t="n"/>
      <c r="I619" s="12" t="n"/>
      <c r="J619" s="13">
        <f>IF(OR(A619="",COUNT(H619)=0,COUNT(Z619)=0),"",ROUND(Z619-H619,2))</f>
        <v/>
      </c>
      <c r="K619" s="15">
        <f>IF(COUNT(J619)=0,"",IF(Z619=0,"n.a.",J619/Z619))</f>
        <v/>
      </c>
      <c r="L619" s="14">
        <f>IF(OR(A619="",COUNT(H619)=0,COUNT(Y619)=0),"",ROUND(H619*(1+Y619),2))</f>
        <v/>
      </c>
      <c r="M619" s="10" t="n"/>
      <c r="N619" s="10" t="n"/>
      <c r="O619" s="10" t="n"/>
      <c r="P619" s="10" t="n"/>
      <c r="Q619" s="20" t="n"/>
      <c r="R619" s="10" t="n"/>
      <c r="S619" s="10" t="n"/>
      <c r="T619" s="18" t="n"/>
      <c r="U619" s="18" t="n"/>
      <c r="V619" s="10" t="n"/>
      <c r="W619" s="10" t="n"/>
      <c r="X619" s="19">
        <f>IF(OR(A619="",COUNT(U619)=0,COUNT(AI619)=0),"",U619+AI619)</f>
        <v/>
      </c>
      <c r="Y619" s="16" t="n"/>
      <c r="Z619" s="12" t="n"/>
      <c r="AA619" s="17">
        <f>IF(COUNT(J619)=0,"",IF(H619=0,"n.a.",J619/H619))</f>
        <v/>
      </c>
      <c r="AB619" s="12" t="n"/>
      <c r="AC619" s="12" t="n"/>
      <c r="AD619" s="12" t="n"/>
      <c r="AE619" s="13">
        <f>IF(OR(COUNT(J619)=0,COUNT(AB619:AD619)&lt;3),"",ROUND(J619-SUM(AB619:AD619),2))</f>
        <v/>
      </c>
      <c r="AF619" s="15">
        <f>IF(COUNT(AE619)=0,"",IF(Z619=0,"n.a.",AE619/Z619))</f>
        <v/>
      </c>
      <c r="AG619" s="12" t="n"/>
      <c r="AH619" s="14">
        <f>IF(OR(A619="",COUNT(Z619)=0,COUNT(AG619)=0),"",ROUND(Z619-AG619,2))</f>
        <v/>
      </c>
      <c r="AI619" s="21" t="n"/>
      <c r="AJ619" s="11">
        <f>IF(A619="","",IF(COUNT(I619)=0,"Enter approved NTE",IF(COUNT(Z619)&gt;0,IF(Z619&gt;I619,"Invoice exceeds NTE","Invoice within NTE"),IF(COUNT(L619)=0,"Enter quote inputs",IF(L619&gt;I619,"Quote exceeds NTE","Quote within NTE")))))</f>
        <v/>
      </c>
      <c r="AK619" s="11">
        <f>IF(A619="","",IF(COUNT(H619)=0,"Enter direct cost",IF(COUNT(Z619)=0,"Enter invoice revenue",IF(COUNT(AB619:AD619)&lt;3,"Enter expenses (0 if none)","Complete"))))</f>
        <v/>
      </c>
      <c r="AL619" s="11">
        <f>IF(A619="","",IF(NOT(AND(COUNT(AH619)=1,N(AH619)&gt;0.004,V619&lt;&gt;"Void",V619&lt;&gt;"Not invoiced",V619&lt;&gt;"Draft")),"",IF(COUNT(X619)=0,"No due date",IF(TODAY()-X619&lt;=0,"Not yet due",IF(TODAY()-X619&lt;=30,"1-30 days",IF(TODAY()-X619&lt;=60,"31-60 days",IF(TODAY()-X619&lt;=90,"61-90 days","Over 90 days")))))))</f>
        <v/>
      </c>
      <c r="AM619" s="49">
        <f>IF(OR(AL619="",AL619="No due date"),"",MAX(TODAY()-X619,0))</f>
        <v/>
      </c>
      <c r="AN619" s="49">
        <f>IF(AL619="","",IF(COUNT(X619)=0,-100000,TODAY()-X619))</f>
        <v/>
      </c>
      <c r="AO619" s="49">
        <f>IF(AN619="","",COUNTIF(AN$11:AN$1010,"&gt;"&amp;AN619)+COUNTIF(AN$11:AN619,AN619))</f>
        <v/>
      </c>
      <c r="AP619" s="49">
        <f>IF(OR(A619="",B619=""),"",IF(COUNTIF(B$11:B619,B619)=1,MAX(AP$10:AP618)+1,""))</f>
        <v/>
      </c>
    </row>
    <row r="620">
      <c r="A620" s="20" t="n"/>
      <c r="B620" s="10" t="n"/>
      <c r="C620" s="10" t="n"/>
      <c r="D620" s="10" t="n"/>
      <c r="E620" s="10" t="n"/>
      <c r="F620" s="18" t="n"/>
      <c r="G620" s="10" t="n"/>
      <c r="H620" s="12" t="n"/>
      <c r="I620" s="12" t="n"/>
      <c r="J620" s="13">
        <f>IF(OR(A620="",COUNT(H620)=0,COUNT(Z620)=0),"",ROUND(Z620-H620,2))</f>
        <v/>
      </c>
      <c r="K620" s="15">
        <f>IF(COUNT(J620)=0,"",IF(Z620=0,"n.a.",J620/Z620))</f>
        <v/>
      </c>
      <c r="L620" s="14">
        <f>IF(OR(A620="",COUNT(H620)=0,COUNT(Y620)=0),"",ROUND(H620*(1+Y620),2))</f>
        <v/>
      </c>
      <c r="M620" s="10" t="n"/>
      <c r="N620" s="10" t="n"/>
      <c r="O620" s="10" t="n"/>
      <c r="P620" s="10" t="n"/>
      <c r="Q620" s="20" t="n"/>
      <c r="R620" s="10" t="n"/>
      <c r="S620" s="10" t="n"/>
      <c r="T620" s="18" t="n"/>
      <c r="U620" s="18" t="n"/>
      <c r="V620" s="10" t="n"/>
      <c r="W620" s="10" t="n"/>
      <c r="X620" s="19">
        <f>IF(OR(A620="",COUNT(U620)=0,COUNT(AI620)=0),"",U620+AI620)</f>
        <v/>
      </c>
      <c r="Y620" s="16" t="n"/>
      <c r="Z620" s="12" t="n"/>
      <c r="AA620" s="17">
        <f>IF(COUNT(J620)=0,"",IF(H620=0,"n.a.",J620/H620))</f>
        <v/>
      </c>
      <c r="AB620" s="12" t="n"/>
      <c r="AC620" s="12" t="n"/>
      <c r="AD620" s="12" t="n"/>
      <c r="AE620" s="13">
        <f>IF(OR(COUNT(J620)=0,COUNT(AB620:AD620)&lt;3),"",ROUND(J620-SUM(AB620:AD620),2))</f>
        <v/>
      </c>
      <c r="AF620" s="15">
        <f>IF(COUNT(AE620)=0,"",IF(Z620=0,"n.a.",AE620/Z620))</f>
        <v/>
      </c>
      <c r="AG620" s="12" t="n"/>
      <c r="AH620" s="14">
        <f>IF(OR(A620="",COUNT(Z620)=0,COUNT(AG620)=0),"",ROUND(Z620-AG620,2))</f>
        <v/>
      </c>
      <c r="AI620" s="21" t="n"/>
      <c r="AJ620" s="11">
        <f>IF(A620="","",IF(COUNT(I620)=0,"Enter approved NTE",IF(COUNT(Z620)&gt;0,IF(Z620&gt;I620,"Invoice exceeds NTE","Invoice within NTE"),IF(COUNT(L620)=0,"Enter quote inputs",IF(L620&gt;I620,"Quote exceeds NTE","Quote within NTE")))))</f>
        <v/>
      </c>
      <c r="AK620" s="11">
        <f>IF(A620="","",IF(COUNT(H620)=0,"Enter direct cost",IF(COUNT(Z620)=0,"Enter invoice revenue",IF(COUNT(AB620:AD620)&lt;3,"Enter expenses (0 if none)","Complete"))))</f>
        <v/>
      </c>
      <c r="AL620" s="11">
        <f>IF(A620="","",IF(NOT(AND(COUNT(AH620)=1,N(AH620)&gt;0.004,V620&lt;&gt;"Void",V620&lt;&gt;"Not invoiced",V620&lt;&gt;"Draft")),"",IF(COUNT(X620)=0,"No due date",IF(TODAY()-X620&lt;=0,"Not yet due",IF(TODAY()-X620&lt;=30,"1-30 days",IF(TODAY()-X620&lt;=60,"31-60 days",IF(TODAY()-X620&lt;=90,"61-90 days","Over 90 days")))))))</f>
        <v/>
      </c>
      <c r="AM620" s="49">
        <f>IF(OR(AL620="",AL620="No due date"),"",MAX(TODAY()-X620,0))</f>
        <v/>
      </c>
      <c r="AN620" s="49">
        <f>IF(AL620="","",IF(COUNT(X620)=0,-100000,TODAY()-X620))</f>
        <v/>
      </c>
      <c r="AO620" s="49">
        <f>IF(AN620="","",COUNTIF(AN$11:AN$1010,"&gt;"&amp;AN620)+COUNTIF(AN$11:AN620,AN620))</f>
        <v/>
      </c>
      <c r="AP620" s="49">
        <f>IF(OR(A620="",B620=""),"",IF(COUNTIF(B$11:B620,B620)=1,MAX(AP$10:AP619)+1,""))</f>
        <v/>
      </c>
    </row>
    <row r="621">
      <c r="A621" s="20" t="n"/>
      <c r="B621" s="10" t="n"/>
      <c r="C621" s="10" t="n"/>
      <c r="D621" s="10" t="n"/>
      <c r="E621" s="10" t="n"/>
      <c r="F621" s="18" t="n"/>
      <c r="G621" s="10" t="n"/>
      <c r="H621" s="12" t="n"/>
      <c r="I621" s="12" t="n"/>
      <c r="J621" s="13">
        <f>IF(OR(A621="",COUNT(H621)=0,COUNT(Z621)=0),"",ROUND(Z621-H621,2))</f>
        <v/>
      </c>
      <c r="K621" s="15">
        <f>IF(COUNT(J621)=0,"",IF(Z621=0,"n.a.",J621/Z621))</f>
        <v/>
      </c>
      <c r="L621" s="14">
        <f>IF(OR(A621="",COUNT(H621)=0,COUNT(Y621)=0),"",ROUND(H621*(1+Y621),2))</f>
        <v/>
      </c>
      <c r="M621" s="10" t="n"/>
      <c r="N621" s="10" t="n"/>
      <c r="O621" s="10" t="n"/>
      <c r="P621" s="10" t="n"/>
      <c r="Q621" s="20" t="n"/>
      <c r="R621" s="10" t="n"/>
      <c r="S621" s="10" t="n"/>
      <c r="T621" s="18" t="n"/>
      <c r="U621" s="18" t="n"/>
      <c r="V621" s="10" t="n"/>
      <c r="W621" s="10" t="n"/>
      <c r="X621" s="19">
        <f>IF(OR(A621="",COUNT(U621)=0,COUNT(AI621)=0),"",U621+AI621)</f>
        <v/>
      </c>
      <c r="Y621" s="16" t="n"/>
      <c r="Z621" s="12" t="n"/>
      <c r="AA621" s="17">
        <f>IF(COUNT(J621)=0,"",IF(H621=0,"n.a.",J621/H621))</f>
        <v/>
      </c>
      <c r="AB621" s="12" t="n"/>
      <c r="AC621" s="12" t="n"/>
      <c r="AD621" s="12" t="n"/>
      <c r="AE621" s="13">
        <f>IF(OR(COUNT(J621)=0,COUNT(AB621:AD621)&lt;3),"",ROUND(J621-SUM(AB621:AD621),2))</f>
        <v/>
      </c>
      <c r="AF621" s="15">
        <f>IF(COUNT(AE621)=0,"",IF(Z621=0,"n.a.",AE621/Z621))</f>
        <v/>
      </c>
      <c r="AG621" s="12" t="n"/>
      <c r="AH621" s="14">
        <f>IF(OR(A621="",COUNT(Z621)=0,COUNT(AG621)=0),"",ROUND(Z621-AG621,2))</f>
        <v/>
      </c>
      <c r="AI621" s="21" t="n"/>
      <c r="AJ621" s="11">
        <f>IF(A621="","",IF(COUNT(I621)=0,"Enter approved NTE",IF(COUNT(Z621)&gt;0,IF(Z621&gt;I621,"Invoice exceeds NTE","Invoice within NTE"),IF(COUNT(L621)=0,"Enter quote inputs",IF(L621&gt;I621,"Quote exceeds NTE","Quote within NTE")))))</f>
        <v/>
      </c>
      <c r="AK621" s="11">
        <f>IF(A621="","",IF(COUNT(H621)=0,"Enter direct cost",IF(COUNT(Z621)=0,"Enter invoice revenue",IF(COUNT(AB621:AD621)&lt;3,"Enter expenses (0 if none)","Complete"))))</f>
        <v/>
      </c>
      <c r="AL621" s="11">
        <f>IF(A621="","",IF(NOT(AND(COUNT(AH621)=1,N(AH621)&gt;0.004,V621&lt;&gt;"Void",V621&lt;&gt;"Not invoiced",V621&lt;&gt;"Draft")),"",IF(COUNT(X621)=0,"No due date",IF(TODAY()-X621&lt;=0,"Not yet due",IF(TODAY()-X621&lt;=30,"1-30 days",IF(TODAY()-X621&lt;=60,"31-60 days",IF(TODAY()-X621&lt;=90,"61-90 days","Over 90 days")))))))</f>
        <v/>
      </c>
      <c r="AM621" s="49">
        <f>IF(OR(AL621="",AL621="No due date"),"",MAX(TODAY()-X621,0))</f>
        <v/>
      </c>
      <c r="AN621" s="49">
        <f>IF(AL621="","",IF(COUNT(X621)=0,-100000,TODAY()-X621))</f>
        <v/>
      </c>
      <c r="AO621" s="49">
        <f>IF(AN621="","",COUNTIF(AN$11:AN$1010,"&gt;"&amp;AN621)+COUNTIF(AN$11:AN621,AN621))</f>
        <v/>
      </c>
      <c r="AP621" s="49">
        <f>IF(OR(A621="",B621=""),"",IF(COUNTIF(B$11:B621,B621)=1,MAX(AP$10:AP620)+1,""))</f>
        <v/>
      </c>
    </row>
    <row r="622">
      <c r="A622" s="20" t="n"/>
      <c r="B622" s="10" t="n"/>
      <c r="C622" s="10" t="n"/>
      <c r="D622" s="10" t="n"/>
      <c r="E622" s="10" t="n"/>
      <c r="F622" s="18" t="n"/>
      <c r="G622" s="10" t="n"/>
      <c r="H622" s="12" t="n"/>
      <c r="I622" s="12" t="n"/>
      <c r="J622" s="13">
        <f>IF(OR(A622="",COUNT(H622)=0,COUNT(Z622)=0),"",ROUND(Z622-H622,2))</f>
        <v/>
      </c>
      <c r="K622" s="15">
        <f>IF(COUNT(J622)=0,"",IF(Z622=0,"n.a.",J622/Z622))</f>
        <v/>
      </c>
      <c r="L622" s="14">
        <f>IF(OR(A622="",COUNT(H622)=0,COUNT(Y622)=0),"",ROUND(H622*(1+Y622),2))</f>
        <v/>
      </c>
      <c r="M622" s="10" t="n"/>
      <c r="N622" s="10" t="n"/>
      <c r="O622" s="10" t="n"/>
      <c r="P622" s="10" t="n"/>
      <c r="Q622" s="20" t="n"/>
      <c r="R622" s="10" t="n"/>
      <c r="S622" s="10" t="n"/>
      <c r="T622" s="18" t="n"/>
      <c r="U622" s="18" t="n"/>
      <c r="V622" s="10" t="n"/>
      <c r="W622" s="10" t="n"/>
      <c r="X622" s="19">
        <f>IF(OR(A622="",COUNT(U622)=0,COUNT(AI622)=0),"",U622+AI622)</f>
        <v/>
      </c>
      <c r="Y622" s="16" t="n"/>
      <c r="Z622" s="12" t="n"/>
      <c r="AA622" s="17">
        <f>IF(COUNT(J622)=0,"",IF(H622=0,"n.a.",J622/H622))</f>
        <v/>
      </c>
      <c r="AB622" s="12" t="n"/>
      <c r="AC622" s="12" t="n"/>
      <c r="AD622" s="12" t="n"/>
      <c r="AE622" s="13">
        <f>IF(OR(COUNT(J622)=0,COUNT(AB622:AD622)&lt;3),"",ROUND(J622-SUM(AB622:AD622),2))</f>
        <v/>
      </c>
      <c r="AF622" s="15">
        <f>IF(COUNT(AE622)=0,"",IF(Z622=0,"n.a.",AE622/Z622))</f>
        <v/>
      </c>
      <c r="AG622" s="12" t="n"/>
      <c r="AH622" s="14">
        <f>IF(OR(A622="",COUNT(Z622)=0,COUNT(AG622)=0),"",ROUND(Z622-AG622,2))</f>
        <v/>
      </c>
      <c r="AI622" s="21" t="n"/>
      <c r="AJ622" s="11">
        <f>IF(A622="","",IF(COUNT(I622)=0,"Enter approved NTE",IF(COUNT(Z622)&gt;0,IF(Z622&gt;I622,"Invoice exceeds NTE","Invoice within NTE"),IF(COUNT(L622)=0,"Enter quote inputs",IF(L622&gt;I622,"Quote exceeds NTE","Quote within NTE")))))</f>
        <v/>
      </c>
      <c r="AK622" s="11">
        <f>IF(A622="","",IF(COUNT(H622)=0,"Enter direct cost",IF(COUNT(Z622)=0,"Enter invoice revenue",IF(COUNT(AB622:AD622)&lt;3,"Enter expenses (0 if none)","Complete"))))</f>
        <v/>
      </c>
      <c r="AL622" s="11">
        <f>IF(A622="","",IF(NOT(AND(COUNT(AH622)=1,N(AH622)&gt;0.004,V622&lt;&gt;"Void",V622&lt;&gt;"Not invoiced",V622&lt;&gt;"Draft")),"",IF(COUNT(X622)=0,"No due date",IF(TODAY()-X622&lt;=0,"Not yet due",IF(TODAY()-X622&lt;=30,"1-30 days",IF(TODAY()-X622&lt;=60,"31-60 days",IF(TODAY()-X622&lt;=90,"61-90 days","Over 90 days")))))))</f>
        <v/>
      </c>
      <c r="AM622" s="49">
        <f>IF(OR(AL622="",AL622="No due date"),"",MAX(TODAY()-X622,0))</f>
        <v/>
      </c>
      <c r="AN622" s="49">
        <f>IF(AL622="","",IF(COUNT(X622)=0,-100000,TODAY()-X622))</f>
        <v/>
      </c>
      <c r="AO622" s="49">
        <f>IF(AN622="","",COUNTIF(AN$11:AN$1010,"&gt;"&amp;AN622)+COUNTIF(AN$11:AN622,AN622))</f>
        <v/>
      </c>
      <c r="AP622" s="49">
        <f>IF(OR(A622="",B622=""),"",IF(COUNTIF(B$11:B622,B622)=1,MAX(AP$10:AP621)+1,""))</f>
        <v/>
      </c>
    </row>
    <row r="623">
      <c r="A623" s="20" t="n"/>
      <c r="B623" s="10" t="n"/>
      <c r="C623" s="10" t="n"/>
      <c r="D623" s="10" t="n"/>
      <c r="E623" s="10" t="n"/>
      <c r="F623" s="18" t="n"/>
      <c r="G623" s="10" t="n"/>
      <c r="H623" s="12" t="n"/>
      <c r="I623" s="12" t="n"/>
      <c r="J623" s="13">
        <f>IF(OR(A623="",COUNT(H623)=0,COUNT(Z623)=0),"",ROUND(Z623-H623,2))</f>
        <v/>
      </c>
      <c r="K623" s="15">
        <f>IF(COUNT(J623)=0,"",IF(Z623=0,"n.a.",J623/Z623))</f>
        <v/>
      </c>
      <c r="L623" s="14">
        <f>IF(OR(A623="",COUNT(H623)=0,COUNT(Y623)=0),"",ROUND(H623*(1+Y623),2))</f>
        <v/>
      </c>
      <c r="M623" s="10" t="n"/>
      <c r="N623" s="10" t="n"/>
      <c r="O623" s="10" t="n"/>
      <c r="P623" s="10" t="n"/>
      <c r="Q623" s="20" t="n"/>
      <c r="R623" s="10" t="n"/>
      <c r="S623" s="10" t="n"/>
      <c r="T623" s="18" t="n"/>
      <c r="U623" s="18" t="n"/>
      <c r="V623" s="10" t="n"/>
      <c r="W623" s="10" t="n"/>
      <c r="X623" s="19">
        <f>IF(OR(A623="",COUNT(U623)=0,COUNT(AI623)=0),"",U623+AI623)</f>
        <v/>
      </c>
      <c r="Y623" s="16" t="n"/>
      <c r="Z623" s="12" t="n"/>
      <c r="AA623" s="17">
        <f>IF(COUNT(J623)=0,"",IF(H623=0,"n.a.",J623/H623))</f>
        <v/>
      </c>
      <c r="AB623" s="12" t="n"/>
      <c r="AC623" s="12" t="n"/>
      <c r="AD623" s="12" t="n"/>
      <c r="AE623" s="13">
        <f>IF(OR(COUNT(J623)=0,COUNT(AB623:AD623)&lt;3),"",ROUND(J623-SUM(AB623:AD623),2))</f>
        <v/>
      </c>
      <c r="AF623" s="15">
        <f>IF(COUNT(AE623)=0,"",IF(Z623=0,"n.a.",AE623/Z623))</f>
        <v/>
      </c>
      <c r="AG623" s="12" t="n"/>
      <c r="AH623" s="14">
        <f>IF(OR(A623="",COUNT(Z623)=0,COUNT(AG623)=0),"",ROUND(Z623-AG623,2))</f>
        <v/>
      </c>
      <c r="AI623" s="21" t="n"/>
      <c r="AJ623" s="11">
        <f>IF(A623="","",IF(COUNT(I623)=0,"Enter approved NTE",IF(COUNT(Z623)&gt;0,IF(Z623&gt;I623,"Invoice exceeds NTE","Invoice within NTE"),IF(COUNT(L623)=0,"Enter quote inputs",IF(L623&gt;I623,"Quote exceeds NTE","Quote within NTE")))))</f>
        <v/>
      </c>
      <c r="AK623" s="11">
        <f>IF(A623="","",IF(COUNT(H623)=0,"Enter direct cost",IF(COUNT(Z623)=0,"Enter invoice revenue",IF(COUNT(AB623:AD623)&lt;3,"Enter expenses (0 if none)","Complete"))))</f>
        <v/>
      </c>
      <c r="AL623" s="11">
        <f>IF(A623="","",IF(NOT(AND(COUNT(AH623)=1,N(AH623)&gt;0.004,V623&lt;&gt;"Void",V623&lt;&gt;"Not invoiced",V623&lt;&gt;"Draft")),"",IF(COUNT(X623)=0,"No due date",IF(TODAY()-X623&lt;=0,"Not yet due",IF(TODAY()-X623&lt;=30,"1-30 days",IF(TODAY()-X623&lt;=60,"31-60 days",IF(TODAY()-X623&lt;=90,"61-90 days","Over 90 days")))))))</f>
        <v/>
      </c>
      <c r="AM623" s="49">
        <f>IF(OR(AL623="",AL623="No due date"),"",MAX(TODAY()-X623,0))</f>
        <v/>
      </c>
      <c r="AN623" s="49">
        <f>IF(AL623="","",IF(COUNT(X623)=0,-100000,TODAY()-X623))</f>
        <v/>
      </c>
      <c r="AO623" s="49">
        <f>IF(AN623="","",COUNTIF(AN$11:AN$1010,"&gt;"&amp;AN623)+COUNTIF(AN$11:AN623,AN623))</f>
        <v/>
      </c>
      <c r="AP623" s="49">
        <f>IF(OR(A623="",B623=""),"",IF(COUNTIF(B$11:B623,B623)=1,MAX(AP$10:AP622)+1,""))</f>
        <v/>
      </c>
    </row>
    <row r="624">
      <c r="A624" s="20" t="n"/>
      <c r="B624" s="10" t="n"/>
      <c r="C624" s="10" t="n"/>
      <c r="D624" s="10" t="n"/>
      <c r="E624" s="10" t="n"/>
      <c r="F624" s="18" t="n"/>
      <c r="G624" s="10" t="n"/>
      <c r="H624" s="12" t="n"/>
      <c r="I624" s="12" t="n"/>
      <c r="J624" s="13">
        <f>IF(OR(A624="",COUNT(H624)=0,COUNT(Z624)=0),"",ROUND(Z624-H624,2))</f>
        <v/>
      </c>
      <c r="K624" s="15">
        <f>IF(COUNT(J624)=0,"",IF(Z624=0,"n.a.",J624/Z624))</f>
        <v/>
      </c>
      <c r="L624" s="14">
        <f>IF(OR(A624="",COUNT(H624)=0,COUNT(Y624)=0),"",ROUND(H624*(1+Y624),2))</f>
        <v/>
      </c>
      <c r="M624" s="10" t="n"/>
      <c r="N624" s="10" t="n"/>
      <c r="O624" s="10" t="n"/>
      <c r="P624" s="10" t="n"/>
      <c r="Q624" s="20" t="n"/>
      <c r="R624" s="10" t="n"/>
      <c r="S624" s="10" t="n"/>
      <c r="T624" s="18" t="n"/>
      <c r="U624" s="18" t="n"/>
      <c r="V624" s="10" t="n"/>
      <c r="W624" s="10" t="n"/>
      <c r="X624" s="19">
        <f>IF(OR(A624="",COUNT(U624)=0,COUNT(AI624)=0),"",U624+AI624)</f>
        <v/>
      </c>
      <c r="Y624" s="16" t="n"/>
      <c r="Z624" s="12" t="n"/>
      <c r="AA624" s="17">
        <f>IF(COUNT(J624)=0,"",IF(H624=0,"n.a.",J624/H624))</f>
        <v/>
      </c>
      <c r="AB624" s="12" t="n"/>
      <c r="AC624" s="12" t="n"/>
      <c r="AD624" s="12" t="n"/>
      <c r="AE624" s="13">
        <f>IF(OR(COUNT(J624)=0,COUNT(AB624:AD624)&lt;3),"",ROUND(J624-SUM(AB624:AD624),2))</f>
        <v/>
      </c>
      <c r="AF624" s="15">
        <f>IF(COUNT(AE624)=0,"",IF(Z624=0,"n.a.",AE624/Z624))</f>
        <v/>
      </c>
      <c r="AG624" s="12" t="n"/>
      <c r="AH624" s="14">
        <f>IF(OR(A624="",COUNT(Z624)=0,COUNT(AG624)=0),"",ROUND(Z624-AG624,2))</f>
        <v/>
      </c>
      <c r="AI624" s="21" t="n"/>
      <c r="AJ624" s="11">
        <f>IF(A624="","",IF(COUNT(I624)=0,"Enter approved NTE",IF(COUNT(Z624)&gt;0,IF(Z624&gt;I624,"Invoice exceeds NTE","Invoice within NTE"),IF(COUNT(L624)=0,"Enter quote inputs",IF(L624&gt;I624,"Quote exceeds NTE","Quote within NTE")))))</f>
        <v/>
      </c>
      <c r="AK624" s="11">
        <f>IF(A624="","",IF(COUNT(H624)=0,"Enter direct cost",IF(COUNT(Z624)=0,"Enter invoice revenue",IF(COUNT(AB624:AD624)&lt;3,"Enter expenses (0 if none)","Complete"))))</f>
        <v/>
      </c>
      <c r="AL624" s="11">
        <f>IF(A624="","",IF(NOT(AND(COUNT(AH624)=1,N(AH624)&gt;0.004,V624&lt;&gt;"Void",V624&lt;&gt;"Not invoiced",V624&lt;&gt;"Draft")),"",IF(COUNT(X624)=0,"No due date",IF(TODAY()-X624&lt;=0,"Not yet due",IF(TODAY()-X624&lt;=30,"1-30 days",IF(TODAY()-X624&lt;=60,"31-60 days",IF(TODAY()-X624&lt;=90,"61-90 days","Over 90 days")))))))</f>
        <v/>
      </c>
      <c r="AM624" s="49">
        <f>IF(OR(AL624="",AL624="No due date"),"",MAX(TODAY()-X624,0))</f>
        <v/>
      </c>
      <c r="AN624" s="49">
        <f>IF(AL624="","",IF(COUNT(X624)=0,-100000,TODAY()-X624))</f>
        <v/>
      </c>
      <c r="AO624" s="49">
        <f>IF(AN624="","",COUNTIF(AN$11:AN$1010,"&gt;"&amp;AN624)+COUNTIF(AN$11:AN624,AN624))</f>
        <v/>
      </c>
      <c r="AP624" s="49">
        <f>IF(OR(A624="",B624=""),"",IF(COUNTIF(B$11:B624,B624)=1,MAX(AP$10:AP623)+1,""))</f>
        <v/>
      </c>
    </row>
    <row r="625">
      <c r="A625" s="20" t="n"/>
      <c r="B625" s="10" t="n"/>
      <c r="C625" s="10" t="n"/>
      <c r="D625" s="10" t="n"/>
      <c r="E625" s="10" t="n"/>
      <c r="F625" s="18" t="n"/>
      <c r="G625" s="10" t="n"/>
      <c r="H625" s="12" t="n"/>
      <c r="I625" s="12" t="n"/>
      <c r="J625" s="13">
        <f>IF(OR(A625="",COUNT(H625)=0,COUNT(Z625)=0),"",ROUND(Z625-H625,2))</f>
        <v/>
      </c>
      <c r="K625" s="15">
        <f>IF(COUNT(J625)=0,"",IF(Z625=0,"n.a.",J625/Z625))</f>
        <v/>
      </c>
      <c r="L625" s="14">
        <f>IF(OR(A625="",COUNT(H625)=0,COUNT(Y625)=0),"",ROUND(H625*(1+Y625),2))</f>
        <v/>
      </c>
      <c r="M625" s="10" t="n"/>
      <c r="N625" s="10" t="n"/>
      <c r="O625" s="10" t="n"/>
      <c r="P625" s="10" t="n"/>
      <c r="Q625" s="20" t="n"/>
      <c r="R625" s="10" t="n"/>
      <c r="S625" s="10" t="n"/>
      <c r="T625" s="18" t="n"/>
      <c r="U625" s="18" t="n"/>
      <c r="V625" s="10" t="n"/>
      <c r="W625" s="10" t="n"/>
      <c r="X625" s="19">
        <f>IF(OR(A625="",COUNT(U625)=0,COUNT(AI625)=0),"",U625+AI625)</f>
        <v/>
      </c>
      <c r="Y625" s="16" t="n"/>
      <c r="Z625" s="12" t="n"/>
      <c r="AA625" s="17">
        <f>IF(COUNT(J625)=0,"",IF(H625=0,"n.a.",J625/H625))</f>
        <v/>
      </c>
      <c r="AB625" s="12" t="n"/>
      <c r="AC625" s="12" t="n"/>
      <c r="AD625" s="12" t="n"/>
      <c r="AE625" s="13">
        <f>IF(OR(COUNT(J625)=0,COUNT(AB625:AD625)&lt;3),"",ROUND(J625-SUM(AB625:AD625),2))</f>
        <v/>
      </c>
      <c r="AF625" s="15">
        <f>IF(COUNT(AE625)=0,"",IF(Z625=0,"n.a.",AE625/Z625))</f>
        <v/>
      </c>
      <c r="AG625" s="12" t="n"/>
      <c r="AH625" s="14">
        <f>IF(OR(A625="",COUNT(Z625)=0,COUNT(AG625)=0),"",ROUND(Z625-AG625,2))</f>
        <v/>
      </c>
      <c r="AI625" s="21" t="n"/>
      <c r="AJ625" s="11">
        <f>IF(A625="","",IF(COUNT(I625)=0,"Enter approved NTE",IF(COUNT(Z625)&gt;0,IF(Z625&gt;I625,"Invoice exceeds NTE","Invoice within NTE"),IF(COUNT(L625)=0,"Enter quote inputs",IF(L625&gt;I625,"Quote exceeds NTE","Quote within NTE")))))</f>
        <v/>
      </c>
      <c r="AK625" s="11">
        <f>IF(A625="","",IF(COUNT(H625)=0,"Enter direct cost",IF(COUNT(Z625)=0,"Enter invoice revenue",IF(COUNT(AB625:AD625)&lt;3,"Enter expenses (0 if none)","Complete"))))</f>
        <v/>
      </c>
      <c r="AL625" s="11">
        <f>IF(A625="","",IF(NOT(AND(COUNT(AH625)=1,N(AH625)&gt;0.004,V625&lt;&gt;"Void",V625&lt;&gt;"Not invoiced",V625&lt;&gt;"Draft")),"",IF(COUNT(X625)=0,"No due date",IF(TODAY()-X625&lt;=0,"Not yet due",IF(TODAY()-X625&lt;=30,"1-30 days",IF(TODAY()-X625&lt;=60,"31-60 days",IF(TODAY()-X625&lt;=90,"61-90 days","Over 90 days")))))))</f>
        <v/>
      </c>
      <c r="AM625" s="49">
        <f>IF(OR(AL625="",AL625="No due date"),"",MAX(TODAY()-X625,0))</f>
        <v/>
      </c>
      <c r="AN625" s="49">
        <f>IF(AL625="","",IF(COUNT(X625)=0,-100000,TODAY()-X625))</f>
        <v/>
      </c>
      <c r="AO625" s="49">
        <f>IF(AN625="","",COUNTIF(AN$11:AN$1010,"&gt;"&amp;AN625)+COUNTIF(AN$11:AN625,AN625))</f>
        <v/>
      </c>
      <c r="AP625" s="49">
        <f>IF(OR(A625="",B625=""),"",IF(COUNTIF(B$11:B625,B625)=1,MAX(AP$10:AP624)+1,""))</f>
        <v/>
      </c>
    </row>
    <row r="626">
      <c r="A626" s="20" t="n"/>
      <c r="B626" s="10" t="n"/>
      <c r="C626" s="10" t="n"/>
      <c r="D626" s="10" t="n"/>
      <c r="E626" s="10" t="n"/>
      <c r="F626" s="18" t="n"/>
      <c r="G626" s="10" t="n"/>
      <c r="H626" s="12" t="n"/>
      <c r="I626" s="12" t="n"/>
      <c r="J626" s="13">
        <f>IF(OR(A626="",COUNT(H626)=0,COUNT(Z626)=0),"",ROUND(Z626-H626,2))</f>
        <v/>
      </c>
      <c r="K626" s="15">
        <f>IF(COUNT(J626)=0,"",IF(Z626=0,"n.a.",J626/Z626))</f>
        <v/>
      </c>
      <c r="L626" s="14">
        <f>IF(OR(A626="",COUNT(H626)=0,COUNT(Y626)=0),"",ROUND(H626*(1+Y626),2))</f>
        <v/>
      </c>
      <c r="M626" s="10" t="n"/>
      <c r="N626" s="10" t="n"/>
      <c r="O626" s="10" t="n"/>
      <c r="P626" s="10" t="n"/>
      <c r="Q626" s="20" t="n"/>
      <c r="R626" s="10" t="n"/>
      <c r="S626" s="10" t="n"/>
      <c r="T626" s="18" t="n"/>
      <c r="U626" s="18" t="n"/>
      <c r="V626" s="10" t="n"/>
      <c r="W626" s="10" t="n"/>
      <c r="X626" s="19">
        <f>IF(OR(A626="",COUNT(U626)=0,COUNT(AI626)=0),"",U626+AI626)</f>
        <v/>
      </c>
      <c r="Y626" s="16" t="n"/>
      <c r="Z626" s="12" t="n"/>
      <c r="AA626" s="17">
        <f>IF(COUNT(J626)=0,"",IF(H626=0,"n.a.",J626/H626))</f>
        <v/>
      </c>
      <c r="AB626" s="12" t="n"/>
      <c r="AC626" s="12" t="n"/>
      <c r="AD626" s="12" t="n"/>
      <c r="AE626" s="13">
        <f>IF(OR(COUNT(J626)=0,COUNT(AB626:AD626)&lt;3),"",ROUND(J626-SUM(AB626:AD626),2))</f>
        <v/>
      </c>
      <c r="AF626" s="15">
        <f>IF(COUNT(AE626)=0,"",IF(Z626=0,"n.a.",AE626/Z626))</f>
        <v/>
      </c>
      <c r="AG626" s="12" t="n"/>
      <c r="AH626" s="14">
        <f>IF(OR(A626="",COUNT(Z626)=0,COUNT(AG626)=0),"",ROUND(Z626-AG626,2))</f>
        <v/>
      </c>
      <c r="AI626" s="21" t="n"/>
      <c r="AJ626" s="11">
        <f>IF(A626="","",IF(COUNT(I626)=0,"Enter approved NTE",IF(COUNT(Z626)&gt;0,IF(Z626&gt;I626,"Invoice exceeds NTE","Invoice within NTE"),IF(COUNT(L626)=0,"Enter quote inputs",IF(L626&gt;I626,"Quote exceeds NTE","Quote within NTE")))))</f>
        <v/>
      </c>
      <c r="AK626" s="11">
        <f>IF(A626="","",IF(COUNT(H626)=0,"Enter direct cost",IF(COUNT(Z626)=0,"Enter invoice revenue",IF(COUNT(AB626:AD626)&lt;3,"Enter expenses (0 if none)","Complete"))))</f>
        <v/>
      </c>
      <c r="AL626" s="11">
        <f>IF(A626="","",IF(NOT(AND(COUNT(AH626)=1,N(AH626)&gt;0.004,V626&lt;&gt;"Void",V626&lt;&gt;"Not invoiced",V626&lt;&gt;"Draft")),"",IF(COUNT(X626)=0,"No due date",IF(TODAY()-X626&lt;=0,"Not yet due",IF(TODAY()-X626&lt;=30,"1-30 days",IF(TODAY()-X626&lt;=60,"31-60 days",IF(TODAY()-X626&lt;=90,"61-90 days","Over 90 days")))))))</f>
        <v/>
      </c>
      <c r="AM626" s="49">
        <f>IF(OR(AL626="",AL626="No due date"),"",MAX(TODAY()-X626,0))</f>
        <v/>
      </c>
      <c r="AN626" s="49">
        <f>IF(AL626="","",IF(COUNT(X626)=0,-100000,TODAY()-X626))</f>
        <v/>
      </c>
      <c r="AO626" s="49">
        <f>IF(AN626="","",COUNTIF(AN$11:AN$1010,"&gt;"&amp;AN626)+COUNTIF(AN$11:AN626,AN626))</f>
        <v/>
      </c>
      <c r="AP626" s="49">
        <f>IF(OR(A626="",B626=""),"",IF(COUNTIF(B$11:B626,B626)=1,MAX(AP$10:AP625)+1,""))</f>
        <v/>
      </c>
    </row>
    <row r="627">
      <c r="A627" s="20" t="n"/>
      <c r="B627" s="10" t="n"/>
      <c r="C627" s="10" t="n"/>
      <c r="D627" s="10" t="n"/>
      <c r="E627" s="10" t="n"/>
      <c r="F627" s="18" t="n"/>
      <c r="G627" s="10" t="n"/>
      <c r="H627" s="12" t="n"/>
      <c r="I627" s="12" t="n"/>
      <c r="J627" s="13">
        <f>IF(OR(A627="",COUNT(H627)=0,COUNT(Z627)=0),"",ROUND(Z627-H627,2))</f>
        <v/>
      </c>
      <c r="K627" s="15">
        <f>IF(COUNT(J627)=0,"",IF(Z627=0,"n.a.",J627/Z627))</f>
        <v/>
      </c>
      <c r="L627" s="14">
        <f>IF(OR(A627="",COUNT(H627)=0,COUNT(Y627)=0),"",ROUND(H627*(1+Y627),2))</f>
        <v/>
      </c>
      <c r="M627" s="10" t="n"/>
      <c r="N627" s="10" t="n"/>
      <c r="O627" s="10" t="n"/>
      <c r="P627" s="10" t="n"/>
      <c r="Q627" s="20" t="n"/>
      <c r="R627" s="10" t="n"/>
      <c r="S627" s="10" t="n"/>
      <c r="T627" s="18" t="n"/>
      <c r="U627" s="18" t="n"/>
      <c r="V627" s="10" t="n"/>
      <c r="W627" s="10" t="n"/>
      <c r="X627" s="19">
        <f>IF(OR(A627="",COUNT(U627)=0,COUNT(AI627)=0),"",U627+AI627)</f>
        <v/>
      </c>
      <c r="Y627" s="16" t="n"/>
      <c r="Z627" s="12" t="n"/>
      <c r="AA627" s="17">
        <f>IF(COUNT(J627)=0,"",IF(H627=0,"n.a.",J627/H627))</f>
        <v/>
      </c>
      <c r="AB627" s="12" t="n"/>
      <c r="AC627" s="12" t="n"/>
      <c r="AD627" s="12" t="n"/>
      <c r="AE627" s="13">
        <f>IF(OR(COUNT(J627)=0,COUNT(AB627:AD627)&lt;3),"",ROUND(J627-SUM(AB627:AD627),2))</f>
        <v/>
      </c>
      <c r="AF627" s="15">
        <f>IF(COUNT(AE627)=0,"",IF(Z627=0,"n.a.",AE627/Z627))</f>
        <v/>
      </c>
      <c r="AG627" s="12" t="n"/>
      <c r="AH627" s="14">
        <f>IF(OR(A627="",COUNT(Z627)=0,COUNT(AG627)=0),"",ROUND(Z627-AG627,2))</f>
        <v/>
      </c>
      <c r="AI627" s="21" t="n"/>
      <c r="AJ627" s="11">
        <f>IF(A627="","",IF(COUNT(I627)=0,"Enter approved NTE",IF(COUNT(Z627)&gt;0,IF(Z627&gt;I627,"Invoice exceeds NTE","Invoice within NTE"),IF(COUNT(L627)=0,"Enter quote inputs",IF(L627&gt;I627,"Quote exceeds NTE","Quote within NTE")))))</f>
        <v/>
      </c>
      <c r="AK627" s="11">
        <f>IF(A627="","",IF(COUNT(H627)=0,"Enter direct cost",IF(COUNT(Z627)=0,"Enter invoice revenue",IF(COUNT(AB627:AD627)&lt;3,"Enter expenses (0 if none)","Complete"))))</f>
        <v/>
      </c>
      <c r="AL627" s="11">
        <f>IF(A627="","",IF(NOT(AND(COUNT(AH627)=1,N(AH627)&gt;0.004,V627&lt;&gt;"Void",V627&lt;&gt;"Not invoiced",V627&lt;&gt;"Draft")),"",IF(COUNT(X627)=0,"No due date",IF(TODAY()-X627&lt;=0,"Not yet due",IF(TODAY()-X627&lt;=30,"1-30 days",IF(TODAY()-X627&lt;=60,"31-60 days",IF(TODAY()-X627&lt;=90,"61-90 days","Over 90 days")))))))</f>
        <v/>
      </c>
      <c r="AM627" s="49">
        <f>IF(OR(AL627="",AL627="No due date"),"",MAX(TODAY()-X627,0))</f>
        <v/>
      </c>
      <c r="AN627" s="49">
        <f>IF(AL627="","",IF(COUNT(X627)=0,-100000,TODAY()-X627))</f>
        <v/>
      </c>
      <c r="AO627" s="49">
        <f>IF(AN627="","",COUNTIF(AN$11:AN$1010,"&gt;"&amp;AN627)+COUNTIF(AN$11:AN627,AN627))</f>
        <v/>
      </c>
      <c r="AP627" s="49">
        <f>IF(OR(A627="",B627=""),"",IF(COUNTIF(B$11:B627,B627)=1,MAX(AP$10:AP626)+1,""))</f>
        <v/>
      </c>
    </row>
    <row r="628">
      <c r="A628" s="20" t="n"/>
      <c r="B628" s="10" t="n"/>
      <c r="C628" s="10" t="n"/>
      <c r="D628" s="10" t="n"/>
      <c r="E628" s="10" t="n"/>
      <c r="F628" s="18" t="n"/>
      <c r="G628" s="10" t="n"/>
      <c r="H628" s="12" t="n"/>
      <c r="I628" s="12" t="n"/>
      <c r="J628" s="13">
        <f>IF(OR(A628="",COUNT(H628)=0,COUNT(Z628)=0),"",ROUND(Z628-H628,2))</f>
        <v/>
      </c>
      <c r="K628" s="15">
        <f>IF(COUNT(J628)=0,"",IF(Z628=0,"n.a.",J628/Z628))</f>
        <v/>
      </c>
      <c r="L628" s="14">
        <f>IF(OR(A628="",COUNT(H628)=0,COUNT(Y628)=0),"",ROUND(H628*(1+Y628),2))</f>
        <v/>
      </c>
      <c r="M628" s="10" t="n"/>
      <c r="N628" s="10" t="n"/>
      <c r="O628" s="10" t="n"/>
      <c r="P628" s="10" t="n"/>
      <c r="Q628" s="20" t="n"/>
      <c r="R628" s="10" t="n"/>
      <c r="S628" s="10" t="n"/>
      <c r="T628" s="18" t="n"/>
      <c r="U628" s="18" t="n"/>
      <c r="V628" s="10" t="n"/>
      <c r="W628" s="10" t="n"/>
      <c r="X628" s="19">
        <f>IF(OR(A628="",COUNT(U628)=0,COUNT(AI628)=0),"",U628+AI628)</f>
        <v/>
      </c>
      <c r="Y628" s="16" t="n"/>
      <c r="Z628" s="12" t="n"/>
      <c r="AA628" s="17">
        <f>IF(COUNT(J628)=0,"",IF(H628=0,"n.a.",J628/H628))</f>
        <v/>
      </c>
      <c r="AB628" s="12" t="n"/>
      <c r="AC628" s="12" t="n"/>
      <c r="AD628" s="12" t="n"/>
      <c r="AE628" s="13">
        <f>IF(OR(COUNT(J628)=0,COUNT(AB628:AD628)&lt;3),"",ROUND(J628-SUM(AB628:AD628),2))</f>
        <v/>
      </c>
      <c r="AF628" s="15">
        <f>IF(COUNT(AE628)=0,"",IF(Z628=0,"n.a.",AE628/Z628))</f>
        <v/>
      </c>
      <c r="AG628" s="12" t="n"/>
      <c r="AH628" s="14">
        <f>IF(OR(A628="",COUNT(Z628)=0,COUNT(AG628)=0),"",ROUND(Z628-AG628,2))</f>
        <v/>
      </c>
      <c r="AI628" s="21" t="n"/>
      <c r="AJ628" s="11">
        <f>IF(A628="","",IF(COUNT(I628)=0,"Enter approved NTE",IF(COUNT(Z628)&gt;0,IF(Z628&gt;I628,"Invoice exceeds NTE","Invoice within NTE"),IF(COUNT(L628)=0,"Enter quote inputs",IF(L628&gt;I628,"Quote exceeds NTE","Quote within NTE")))))</f>
        <v/>
      </c>
      <c r="AK628" s="11">
        <f>IF(A628="","",IF(COUNT(H628)=0,"Enter direct cost",IF(COUNT(Z628)=0,"Enter invoice revenue",IF(COUNT(AB628:AD628)&lt;3,"Enter expenses (0 if none)","Complete"))))</f>
        <v/>
      </c>
      <c r="AL628" s="11">
        <f>IF(A628="","",IF(NOT(AND(COUNT(AH628)=1,N(AH628)&gt;0.004,V628&lt;&gt;"Void",V628&lt;&gt;"Not invoiced",V628&lt;&gt;"Draft")),"",IF(COUNT(X628)=0,"No due date",IF(TODAY()-X628&lt;=0,"Not yet due",IF(TODAY()-X628&lt;=30,"1-30 days",IF(TODAY()-X628&lt;=60,"31-60 days",IF(TODAY()-X628&lt;=90,"61-90 days","Over 90 days")))))))</f>
        <v/>
      </c>
      <c r="AM628" s="49">
        <f>IF(OR(AL628="",AL628="No due date"),"",MAX(TODAY()-X628,0))</f>
        <v/>
      </c>
      <c r="AN628" s="49">
        <f>IF(AL628="","",IF(COUNT(X628)=0,-100000,TODAY()-X628))</f>
        <v/>
      </c>
      <c r="AO628" s="49">
        <f>IF(AN628="","",COUNTIF(AN$11:AN$1010,"&gt;"&amp;AN628)+COUNTIF(AN$11:AN628,AN628))</f>
        <v/>
      </c>
      <c r="AP628" s="49">
        <f>IF(OR(A628="",B628=""),"",IF(COUNTIF(B$11:B628,B628)=1,MAX(AP$10:AP627)+1,""))</f>
        <v/>
      </c>
    </row>
    <row r="629">
      <c r="A629" s="20" t="n"/>
      <c r="B629" s="10" t="n"/>
      <c r="C629" s="10" t="n"/>
      <c r="D629" s="10" t="n"/>
      <c r="E629" s="10" t="n"/>
      <c r="F629" s="18" t="n"/>
      <c r="G629" s="10" t="n"/>
      <c r="H629" s="12" t="n"/>
      <c r="I629" s="12" t="n"/>
      <c r="J629" s="13">
        <f>IF(OR(A629="",COUNT(H629)=0,COUNT(Z629)=0),"",ROUND(Z629-H629,2))</f>
        <v/>
      </c>
      <c r="K629" s="15">
        <f>IF(COUNT(J629)=0,"",IF(Z629=0,"n.a.",J629/Z629))</f>
        <v/>
      </c>
      <c r="L629" s="14">
        <f>IF(OR(A629="",COUNT(H629)=0,COUNT(Y629)=0),"",ROUND(H629*(1+Y629),2))</f>
        <v/>
      </c>
      <c r="M629" s="10" t="n"/>
      <c r="N629" s="10" t="n"/>
      <c r="O629" s="10" t="n"/>
      <c r="P629" s="10" t="n"/>
      <c r="Q629" s="20" t="n"/>
      <c r="R629" s="10" t="n"/>
      <c r="S629" s="10" t="n"/>
      <c r="T629" s="18" t="n"/>
      <c r="U629" s="18" t="n"/>
      <c r="V629" s="10" t="n"/>
      <c r="W629" s="10" t="n"/>
      <c r="X629" s="19">
        <f>IF(OR(A629="",COUNT(U629)=0,COUNT(AI629)=0),"",U629+AI629)</f>
        <v/>
      </c>
      <c r="Y629" s="16" t="n"/>
      <c r="Z629" s="12" t="n"/>
      <c r="AA629" s="17">
        <f>IF(COUNT(J629)=0,"",IF(H629=0,"n.a.",J629/H629))</f>
        <v/>
      </c>
      <c r="AB629" s="12" t="n"/>
      <c r="AC629" s="12" t="n"/>
      <c r="AD629" s="12" t="n"/>
      <c r="AE629" s="13">
        <f>IF(OR(COUNT(J629)=0,COUNT(AB629:AD629)&lt;3),"",ROUND(J629-SUM(AB629:AD629),2))</f>
        <v/>
      </c>
      <c r="AF629" s="15">
        <f>IF(COUNT(AE629)=0,"",IF(Z629=0,"n.a.",AE629/Z629))</f>
        <v/>
      </c>
      <c r="AG629" s="12" t="n"/>
      <c r="AH629" s="14">
        <f>IF(OR(A629="",COUNT(Z629)=0,COUNT(AG629)=0),"",ROUND(Z629-AG629,2))</f>
        <v/>
      </c>
      <c r="AI629" s="21" t="n"/>
      <c r="AJ629" s="11">
        <f>IF(A629="","",IF(COUNT(I629)=0,"Enter approved NTE",IF(COUNT(Z629)&gt;0,IF(Z629&gt;I629,"Invoice exceeds NTE","Invoice within NTE"),IF(COUNT(L629)=0,"Enter quote inputs",IF(L629&gt;I629,"Quote exceeds NTE","Quote within NTE")))))</f>
        <v/>
      </c>
      <c r="AK629" s="11">
        <f>IF(A629="","",IF(COUNT(H629)=0,"Enter direct cost",IF(COUNT(Z629)=0,"Enter invoice revenue",IF(COUNT(AB629:AD629)&lt;3,"Enter expenses (0 if none)","Complete"))))</f>
        <v/>
      </c>
      <c r="AL629" s="11">
        <f>IF(A629="","",IF(NOT(AND(COUNT(AH629)=1,N(AH629)&gt;0.004,V629&lt;&gt;"Void",V629&lt;&gt;"Not invoiced",V629&lt;&gt;"Draft")),"",IF(COUNT(X629)=0,"No due date",IF(TODAY()-X629&lt;=0,"Not yet due",IF(TODAY()-X629&lt;=30,"1-30 days",IF(TODAY()-X629&lt;=60,"31-60 days",IF(TODAY()-X629&lt;=90,"61-90 days","Over 90 days")))))))</f>
        <v/>
      </c>
      <c r="AM629" s="49">
        <f>IF(OR(AL629="",AL629="No due date"),"",MAX(TODAY()-X629,0))</f>
        <v/>
      </c>
      <c r="AN629" s="49">
        <f>IF(AL629="","",IF(COUNT(X629)=0,-100000,TODAY()-X629))</f>
        <v/>
      </c>
      <c r="AO629" s="49">
        <f>IF(AN629="","",COUNTIF(AN$11:AN$1010,"&gt;"&amp;AN629)+COUNTIF(AN$11:AN629,AN629))</f>
        <v/>
      </c>
      <c r="AP629" s="49">
        <f>IF(OR(A629="",B629=""),"",IF(COUNTIF(B$11:B629,B629)=1,MAX(AP$10:AP628)+1,""))</f>
        <v/>
      </c>
    </row>
    <row r="630">
      <c r="A630" s="20" t="n"/>
      <c r="B630" s="10" t="n"/>
      <c r="C630" s="10" t="n"/>
      <c r="D630" s="10" t="n"/>
      <c r="E630" s="10" t="n"/>
      <c r="F630" s="18" t="n"/>
      <c r="G630" s="10" t="n"/>
      <c r="H630" s="12" t="n"/>
      <c r="I630" s="12" t="n"/>
      <c r="J630" s="13">
        <f>IF(OR(A630="",COUNT(H630)=0,COUNT(Z630)=0),"",ROUND(Z630-H630,2))</f>
        <v/>
      </c>
      <c r="K630" s="15">
        <f>IF(COUNT(J630)=0,"",IF(Z630=0,"n.a.",J630/Z630))</f>
        <v/>
      </c>
      <c r="L630" s="14">
        <f>IF(OR(A630="",COUNT(H630)=0,COUNT(Y630)=0),"",ROUND(H630*(1+Y630),2))</f>
        <v/>
      </c>
      <c r="M630" s="10" t="n"/>
      <c r="N630" s="10" t="n"/>
      <c r="O630" s="10" t="n"/>
      <c r="P630" s="10" t="n"/>
      <c r="Q630" s="20" t="n"/>
      <c r="R630" s="10" t="n"/>
      <c r="S630" s="10" t="n"/>
      <c r="T630" s="18" t="n"/>
      <c r="U630" s="18" t="n"/>
      <c r="V630" s="10" t="n"/>
      <c r="W630" s="10" t="n"/>
      <c r="X630" s="19">
        <f>IF(OR(A630="",COUNT(U630)=0,COUNT(AI630)=0),"",U630+AI630)</f>
        <v/>
      </c>
      <c r="Y630" s="16" t="n"/>
      <c r="Z630" s="12" t="n"/>
      <c r="AA630" s="17">
        <f>IF(COUNT(J630)=0,"",IF(H630=0,"n.a.",J630/H630))</f>
        <v/>
      </c>
      <c r="AB630" s="12" t="n"/>
      <c r="AC630" s="12" t="n"/>
      <c r="AD630" s="12" t="n"/>
      <c r="AE630" s="13">
        <f>IF(OR(COUNT(J630)=0,COUNT(AB630:AD630)&lt;3),"",ROUND(J630-SUM(AB630:AD630),2))</f>
        <v/>
      </c>
      <c r="AF630" s="15">
        <f>IF(COUNT(AE630)=0,"",IF(Z630=0,"n.a.",AE630/Z630))</f>
        <v/>
      </c>
      <c r="AG630" s="12" t="n"/>
      <c r="AH630" s="14">
        <f>IF(OR(A630="",COUNT(Z630)=0,COUNT(AG630)=0),"",ROUND(Z630-AG630,2))</f>
        <v/>
      </c>
      <c r="AI630" s="21" t="n"/>
      <c r="AJ630" s="11">
        <f>IF(A630="","",IF(COUNT(I630)=0,"Enter approved NTE",IF(COUNT(Z630)&gt;0,IF(Z630&gt;I630,"Invoice exceeds NTE","Invoice within NTE"),IF(COUNT(L630)=0,"Enter quote inputs",IF(L630&gt;I630,"Quote exceeds NTE","Quote within NTE")))))</f>
        <v/>
      </c>
      <c r="AK630" s="11">
        <f>IF(A630="","",IF(COUNT(H630)=0,"Enter direct cost",IF(COUNT(Z630)=0,"Enter invoice revenue",IF(COUNT(AB630:AD630)&lt;3,"Enter expenses (0 if none)","Complete"))))</f>
        <v/>
      </c>
      <c r="AL630" s="11">
        <f>IF(A630="","",IF(NOT(AND(COUNT(AH630)=1,N(AH630)&gt;0.004,V630&lt;&gt;"Void",V630&lt;&gt;"Not invoiced",V630&lt;&gt;"Draft")),"",IF(COUNT(X630)=0,"No due date",IF(TODAY()-X630&lt;=0,"Not yet due",IF(TODAY()-X630&lt;=30,"1-30 days",IF(TODAY()-X630&lt;=60,"31-60 days",IF(TODAY()-X630&lt;=90,"61-90 days","Over 90 days")))))))</f>
        <v/>
      </c>
      <c r="AM630" s="49">
        <f>IF(OR(AL630="",AL630="No due date"),"",MAX(TODAY()-X630,0))</f>
        <v/>
      </c>
      <c r="AN630" s="49">
        <f>IF(AL630="","",IF(COUNT(X630)=0,-100000,TODAY()-X630))</f>
        <v/>
      </c>
      <c r="AO630" s="49">
        <f>IF(AN630="","",COUNTIF(AN$11:AN$1010,"&gt;"&amp;AN630)+COUNTIF(AN$11:AN630,AN630))</f>
        <v/>
      </c>
      <c r="AP630" s="49">
        <f>IF(OR(A630="",B630=""),"",IF(COUNTIF(B$11:B630,B630)=1,MAX(AP$10:AP629)+1,""))</f>
        <v/>
      </c>
    </row>
    <row r="631">
      <c r="A631" s="20" t="n"/>
      <c r="B631" s="10" t="n"/>
      <c r="C631" s="10" t="n"/>
      <c r="D631" s="10" t="n"/>
      <c r="E631" s="10" t="n"/>
      <c r="F631" s="18" t="n"/>
      <c r="G631" s="10" t="n"/>
      <c r="H631" s="12" t="n"/>
      <c r="I631" s="12" t="n"/>
      <c r="J631" s="13">
        <f>IF(OR(A631="",COUNT(H631)=0,COUNT(Z631)=0),"",ROUND(Z631-H631,2))</f>
        <v/>
      </c>
      <c r="K631" s="15">
        <f>IF(COUNT(J631)=0,"",IF(Z631=0,"n.a.",J631/Z631))</f>
        <v/>
      </c>
      <c r="L631" s="14">
        <f>IF(OR(A631="",COUNT(H631)=0,COUNT(Y631)=0),"",ROUND(H631*(1+Y631),2))</f>
        <v/>
      </c>
      <c r="M631" s="10" t="n"/>
      <c r="N631" s="10" t="n"/>
      <c r="O631" s="10" t="n"/>
      <c r="P631" s="10" t="n"/>
      <c r="Q631" s="20" t="n"/>
      <c r="R631" s="10" t="n"/>
      <c r="S631" s="10" t="n"/>
      <c r="T631" s="18" t="n"/>
      <c r="U631" s="18" t="n"/>
      <c r="V631" s="10" t="n"/>
      <c r="W631" s="10" t="n"/>
      <c r="X631" s="19">
        <f>IF(OR(A631="",COUNT(U631)=0,COUNT(AI631)=0),"",U631+AI631)</f>
        <v/>
      </c>
      <c r="Y631" s="16" t="n"/>
      <c r="Z631" s="12" t="n"/>
      <c r="AA631" s="17">
        <f>IF(COUNT(J631)=0,"",IF(H631=0,"n.a.",J631/H631))</f>
        <v/>
      </c>
      <c r="AB631" s="12" t="n"/>
      <c r="AC631" s="12" t="n"/>
      <c r="AD631" s="12" t="n"/>
      <c r="AE631" s="13">
        <f>IF(OR(COUNT(J631)=0,COUNT(AB631:AD631)&lt;3),"",ROUND(J631-SUM(AB631:AD631),2))</f>
        <v/>
      </c>
      <c r="AF631" s="15">
        <f>IF(COUNT(AE631)=0,"",IF(Z631=0,"n.a.",AE631/Z631))</f>
        <v/>
      </c>
      <c r="AG631" s="12" t="n"/>
      <c r="AH631" s="14">
        <f>IF(OR(A631="",COUNT(Z631)=0,COUNT(AG631)=0),"",ROUND(Z631-AG631,2))</f>
        <v/>
      </c>
      <c r="AI631" s="21" t="n"/>
      <c r="AJ631" s="11">
        <f>IF(A631="","",IF(COUNT(I631)=0,"Enter approved NTE",IF(COUNT(Z631)&gt;0,IF(Z631&gt;I631,"Invoice exceeds NTE","Invoice within NTE"),IF(COUNT(L631)=0,"Enter quote inputs",IF(L631&gt;I631,"Quote exceeds NTE","Quote within NTE")))))</f>
        <v/>
      </c>
      <c r="AK631" s="11">
        <f>IF(A631="","",IF(COUNT(H631)=0,"Enter direct cost",IF(COUNT(Z631)=0,"Enter invoice revenue",IF(COUNT(AB631:AD631)&lt;3,"Enter expenses (0 if none)","Complete"))))</f>
        <v/>
      </c>
      <c r="AL631" s="11">
        <f>IF(A631="","",IF(NOT(AND(COUNT(AH631)=1,N(AH631)&gt;0.004,V631&lt;&gt;"Void",V631&lt;&gt;"Not invoiced",V631&lt;&gt;"Draft")),"",IF(COUNT(X631)=0,"No due date",IF(TODAY()-X631&lt;=0,"Not yet due",IF(TODAY()-X631&lt;=30,"1-30 days",IF(TODAY()-X631&lt;=60,"31-60 days",IF(TODAY()-X631&lt;=90,"61-90 days","Over 90 days")))))))</f>
        <v/>
      </c>
      <c r="AM631" s="49">
        <f>IF(OR(AL631="",AL631="No due date"),"",MAX(TODAY()-X631,0))</f>
        <v/>
      </c>
      <c r="AN631" s="49">
        <f>IF(AL631="","",IF(COUNT(X631)=0,-100000,TODAY()-X631))</f>
        <v/>
      </c>
      <c r="AO631" s="49">
        <f>IF(AN631="","",COUNTIF(AN$11:AN$1010,"&gt;"&amp;AN631)+COUNTIF(AN$11:AN631,AN631))</f>
        <v/>
      </c>
      <c r="AP631" s="49">
        <f>IF(OR(A631="",B631=""),"",IF(COUNTIF(B$11:B631,B631)=1,MAX(AP$10:AP630)+1,""))</f>
        <v/>
      </c>
    </row>
    <row r="632">
      <c r="A632" s="20" t="n"/>
      <c r="B632" s="10" t="n"/>
      <c r="C632" s="10" t="n"/>
      <c r="D632" s="10" t="n"/>
      <c r="E632" s="10" t="n"/>
      <c r="F632" s="18" t="n"/>
      <c r="G632" s="10" t="n"/>
      <c r="H632" s="12" t="n"/>
      <c r="I632" s="12" t="n"/>
      <c r="J632" s="13">
        <f>IF(OR(A632="",COUNT(H632)=0,COUNT(Z632)=0),"",ROUND(Z632-H632,2))</f>
        <v/>
      </c>
      <c r="K632" s="15">
        <f>IF(COUNT(J632)=0,"",IF(Z632=0,"n.a.",J632/Z632))</f>
        <v/>
      </c>
      <c r="L632" s="14">
        <f>IF(OR(A632="",COUNT(H632)=0,COUNT(Y632)=0),"",ROUND(H632*(1+Y632),2))</f>
        <v/>
      </c>
      <c r="M632" s="10" t="n"/>
      <c r="N632" s="10" t="n"/>
      <c r="O632" s="10" t="n"/>
      <c r="P632" s="10" t="n"/>
      <c r="Q632" s="20" t="n"/>
      <c r="R632" s="10" t="n"/>
      <c r="S632" s="10" t="n"/>
      <c r="T632" s="18" t="n"/>
      <c r="U632" s="18" t="n"/>
      <c r="V632" s="10" t="n"/>
      <c r="W632" s="10" t="n"/>
      <c r="X632" s="19">
        <f>IF(OR(A632="",COUNT(U632)=0,COUNT(AI632)=0),"",U632+AI632)</f>
        <v/>
      </c>
      <c r="Y632" s="16" t="n"/>
      <c r="Z632" s="12" t="n"/>
      <c r="AA632" s="17">
        <f>IF(COUNT(J632)=0,"",IF(H632=0,"n.a.",J632/H632))</f>
        <v/>
      </c>
      <c r="AB632" s="12" t="n"/>
      <c r="AC632" s="12" t="n"/>
      <c r="AD632" s="12" t="n"/>
      <c r="AE632" s="13">
        <f>IF(OR(COUNT(J632)=0,COUNT(AB632:AD632)&lt;3),"",ROUND(J632-SUM(AB632:AD632),2))</f>
        <v/>
      </c>
      <c r="AF632" s="15">
        <f>IF(COUNT(AE632)=0,"",IF(Z632=0,"n.a.",AE632/Z632))</f>
        <v/>
      </c>
      <c r="AG632" s="12" t="n"/>
      <c r="AH632" s="14">
        <f>IF(OR(A632="",COUNT(Z632)=0,COUNT(AG632)=0),"",ROUND(Z632-AG632,2))</f>
        <v/>
      </c>
      <c r="AI632" s="21" t="n"/>
      <c r="AJ632" s="11">
        <f>IF(A632="","",IF(COUNT(I632)=0,"Enter approved NTE",IF(COUNT(Z632)&gt;0,IF(Z632&gt;I632,"Invoice exceeds NTE","Invoice within NTE"),IF(COUNT(L632)=0,"Enter quote inputs",IF(L632&gt;I632,"Quote exceeds NTE","Quote within NTE")))))</f>
        <v/>
      </c>
      <c r="AK632" s="11">
        <f>IF(A632="","",IF(COUNT(H632)=0,"Enter direct cost",IF(COUNT(Z632)=0,"Enter invoice revenue",IF(COUNT(AB632:AD632)&lt;3,"Enter expenses (0 if none)","Complete"))))</f>
        <v/>
      </c>
      <c r="AL632" s="11">
        <f>IF(A632="","",IF(NOT(AND(COUNT(AH632)=1,N(AH632)&gt;0.004,V632&lt;&gt;"Void",V632&lt;&gt;"Not invoiced",V632&lt;&gt;"Draft")),"",IF(COUNT(X632)=0,"No due date",IF(TODAY()-X632&lt;=0,"Not yet due",IF(TODAY()-X632&lt;=30,"1-30 days",IF(TODAY()-X632&lt;=60,"31-60 days",IF(TODAY()-X632&lt;=90,"61-90 days","Over 90 days")))))))</f>
        <v/>
      </c>
      <c r="AM632" s="49">
        <f>IF(OR(AL632="",AL632="No due date"),"",MAX(TODAY()-X632,0))</f>
        <v/>
      </c>
      <c r="AN632" s="49">
        <f>IF(AL632="","",IF(COUNT(X632)=0,-100000,TODAY()-X632))</f>
        <v/>
      </c>
      <c r="AO632" s="49">
        <f>IF(AN632="","",COUNTIF(AN$11:AN$1010,"&gt;"&amp;AN632)+COUNTIF(AN$11:AN632,AN632))</f>
        <v/>
      </c>
      <c r="AP632" s="49">
        <f>IF(OR(A632="",B632=""),"",IF(COUNTIF(B$11:B632,B632)=1,MAX(AP$10:AP631)+1,""))</f>
        <v/>
      </c>
    </row>
    <row r="633">
      <c r="A633" s="20" t="n"/>
      <c r="B633" s="10" t="n"/>
      <c r="C633" s="10" t="n"/>
      <c r="D633" s="10" t="n"/>
      <c r="E633" s="10" t="n"/>
      <c r="F633" s="18" t="n"/>
      <c r="G633" s="10" t="n"/>
      <c r="H633" s="12" t="n"/>
      <c r="I633" s="12" t="n"/>
      <c r="J633" s="13">
        <f>IF(OR(A633="",COUNT(H633)=0,COUNT(Z633)=0),"",ROUND(Z633-H633,2))</f>
        <v/>
      </c>
      <c r="K633" s="15">
        <f>IF(COUNT(J633)=0,"",IF(Z633=0,"n.a.",J633/Z633))</f>
        <v/>
      </c>
      <c r="L633" s="14">
        <f>IF(OR(A633="",COUNT(H633)=0,COUNT(Y633)=0),"",ROUND(H633*(1+Y633),2))</f>
        <v/>
      </c>
      <c r="M633" s="10" t="n"/>
      <c r="N633" s="10" t="n"/>
      <c r="O633" s="10" t="n"/>
      <c r="P633" s="10" t="n"/>
      <c r="Q633" s="20" t="n"/>
      <c r="R633" s="10" t="n"/>
      <c r="S633" s="10" t="n"/>
      <c r="T633" s="18" t="n"/>
      <c r="U633" s="18" t="n"/>
      <c r="V633" s="10" t="n"/>
      <c r="W633" s="10" t="n"/>
      <c r="X633" s="19">
        <f>IF(OR(A633="",COUNT(U633)=0,COUNT(AI633)=0),"",U633+AI633)</f>
        <v/>
      </c>
      <c r="Y633" s="16" t="n"/>
      <c r="Z633" s="12" t="n"/>
      <c r="AA633" s="17">
        <f>IF(COUNT(J633)=0,"",IF(H633=0,"n.a.",J633/H633))</f>
        <v/>
      </c>
      <c r="AB633" s="12" t="n"/>
      <c r="AC633" s="12" t="n"/>
      <c r="AD633" s="12" t="n"/>
      <c r="AE633" s="13">
        <f>IF(OR(COUNT(J633)=0,COUNT(AB633:AD633)&lt;3),"",ROUND(J633-SUM(AB633:AD633),2))</f>
        <v/>
      </c>
      <c r="AF633" s="15">
        <f>IF(COUNT(AE633)=0,"",IF(Z633=0,"n.a.",AE633/Z633))</f>
        <v/>
      </c>
      <c r="AG633" s="12" t="n"/>
      <c r="AH633" s="14">
        <f>IF(OR(A633="",COUNT(Z633)=0,COUNT(AG633)=0),"",ROUND(Z633-AG633,2))</f>
        <v/>
      </c>
      <c r="AI633" s="21" t="n"/>
      <c r="AJ633" s="11">
        <f>IF(A633="","",IF(COUNT(I633)=0,"Enter approved NTE",IF(COUNT(Z633)&gt;0,IF(Z633&gt;I633,"Invoice exceeds NTE","Invoice within NTE"),IF(COUNT(L633)=0,"Enter quote inputs",IF(L633&gt;I633,"Quote exceeds NTE","Quote within NTE")))))</f>
        <v/>
      </c>
      <c r="AK633" s="11">
        <f>IF(A633="","",IF(COUNT(H633)=0,"Enter direct cost",IF(COUNT(Z633)=0,"Enter invoice revenue",IF(COUNT(AB633:AD633)&lt;3,"Enter expenses (0 if none)","Complete"))))</f>
        <v/>
      </c>
      <c r="AL633" s="11">
        <f>IF(A633="","",IF(NOT(AND(COUNT(AH633)=1,N(AH633)&gt;0.004,V633&lt;&gt;"Void",V633&lt;&gt;"Not invoiced",V633&lt;&gt;"Draft")),"",IF(COUNT(X633)=0,"No due date",IF(TODAY()-X633&lt;=0,"Not yet due",IF(TODAY()-X633&lt;=30,"1-30 days",IF(TODAY()-X633&lt;=60,"31-60 days",IF(TODAY()-X633&lt;=90,"61-90 days","Over 90 days")))))))</f>
        <v/>
      </c>
      <c r="AM633" s="49">
        <f>IF(OR(AL633="",AL633="No due date"),"",MAX(TODAY()-X633,0))</f>
        <v/>
      </c>
      <c r="AN633" s="49">
        <f>IF(AL633="","",IF(COUNT(X633)=0,-100000,TODAY()-X633))</f>
        <v/>
      </c>
      <c r="AO633" s="49">
        <f>IF(AN633="","",COUNTIF(AN$11:AN$1010,"&gt;"&amp;AN633)+COUNTIF(AN$11:AN633,AN633))</f>
        <v/>
      </c>
      <c r="AP633" s="49">
        <f>IF(OR(A633="",B633=""),"",IF(COUNTIF(B$11:B633,B633)=1,MAX(AP$10:AP632)+1,""))</f>
        <v/>
      </c>
    </row>
    <row r="634">
      <c r="A634" s="20" t="n"/>
      <c r="B634" s="10" t="n"/>
      <c r="C634" s="10" t="n"/>
      <c r="D634" s="10" t="n"/>
      <c r="E634" s="10" t="n"/>
      <c r="F634" s="18" t="n"/>
      <c r="G634" s="10" t="n"/>
      <c r="H634" s="12" t="n"/>
      <c r="I634" s="12" t="n"/>
      <c r="J634" s="13">
        <f>IF(OR(A634="",COUNT(H634)=0,COUNT(Z634)=0),"",ROUND(Z634-H634,2))</f>
        <v/>
      </c>
      <c r="K634" s="15">
        <f>IF(COUNT(J634)=0,"",IF(Z634=0,"n.a.",J634/Z634))</f>
        <v/>
      </c>
      <c r="L634" s="14">
        <f>IF(OR(A634="",COUNT(H634)=0,COUNT(Y634)=0),"",ROUND(H634*(1+Y634),2))</f>
        <v/>
      </c>
      <c r="M634" s="10" t="n"/>
      <c r="N634" s="10" t="n"/>
      <c r="O634" s="10" t="n"/>
      <c r="P634" s="10" t="n"/>
      <c r="Q634" s="20" t="n"/>
      <c r="R634" s="10" t="n"/>
      <c r="S634" s="10" t="n"/>
      <c r="T634" s="18" t="n"/>
      <c r="U634" s="18" t="n"/>
      <c r="V634" s="10" t="n"/>
      <c r="W634" s="10" t="n"/>
      <c r="X634" s="19">
        <f>IF(OR(A634="",COUNT(U634)=0,COUNT(AI634)=0),"",U634+AI634)</f>
        <v/>
      </c>
      <c r="Y634" s="16" t="n"/>
      <c r="Z634" s="12" t="n"/>
      <c r="AA634" s="17">
        <f>IF(COUNT(J634)=0,"",IF(H634=0,"n.a.",J634/H634))</f>
        <v/>
      </c>
      <c r="AB634" s="12" t="n"/>
      <c r="AC634" s="12" t="n"/>
      <c r="AD634" s="12" t="n"/>
      <c r="AE634" s="13">
        <f>IF(OR(COUNT(J634)=0,COUNT(AB634:AD634)&lt;3),"",ROUND(J634-SUM(AB634:AD634),2))</f>
        <v/>
      </c>
      <c r="AF634" s="15">
        <f>IF(COUNT(AE634)=0,"",IF(Z634=0,"n.a.",AE634/Z634))</f>
        <v/>
      </c>
      <c r="AG634" s="12" t="n"/>
      <c r="AH634" s="14">
        <f>IF(OR(A634="",COUNT(Z634)=0,COUNT(AG634)=0),"",ROUND(Z634-AG634,2))</f>
        <v/>
      </c>
      <c r="AI634" s="21" t="n"/>
      <c r="AJ634" s="11">
        <f>IF(A634="","",IF(COUNT(I634)=0,"Enter approved NTE",IF(COUNT(Z634)&gt;0,IF(Z634&gt;I634,"Invoice exceeds NTE","Invoice within NTE"),IF(COUNT(L634)=0,"Enter quote inputs",IF(L634&gt;I634,"Quote exceeds NTE","Quote within NTE")))))</f>
        <v/>
      </c>
      <c r="AK634" s="11">
        <f>IF(A634="","",IF(COUNT(H634)=0,"Enter direct cost",IF(COUNT(Z634)=0,"Enter invoice revenue",IF(COUNT(AB634:AD634)&lt;3,"Enter expenses (0 if none)","Complete"))))</f>
        <v/>
      </c>
      <c r="AL634" s="11">
        <f>IF(A634="","",IF(NOT(AND(COUNT(AH634)=1,N(AH634)&gt;0.004,V634&lt;&gt;"Void",V634&lt;&gt;"Not invoiced",V634&lt;&gt;"Draft")),"",IF(COUNT(X634)=0,"No due date",IF(TODAY()-X634&lt;=0,"Not yet due",IF(TODAY()-X634&lt;=30,"1-30 days",IF(TODAY()-X634&lt;=60,"31-60 days",IF(TODAY()-X634&lt;=90,"61-90 days","Over 90 days")))))))</f>
        <v/>
      </c>
      <c r="AM634" s="49">
        <f>IF(OR(AL634="",AL634="No due date"),"",MAX(TODAY()-X634,0))</f>
        <v/>
      </c>
      <c r="AN634" s="49">
        <f>IF(AL634="","",IF(COUNT(X634)=0,-100000,TODAY()-X634))</f>
        <v/>
      </c>
      <c r="AO634" s="49">
        <f>IF(AN634="","",COUNTIF(AN$11:AN$1010,"&gt;"&amp;AN634)+COUNTIF(AN$11:AN634,AN634))</f>
        <v/>
      </c>
      <c r="AP634" s="49">
        <f>IF(OR(A634="",B634=""),"",IF(COUNTIF(B$11:B634,B634)=1,MAX(AP$10:AP633)+1,""))</f>
        <v/>
      </c>
    </row>
    <row r="635">
      <c r="A635" s="20" t="n"/>
      <c r="B635" s="10" t="n"/>
      <c r="C635" s="10" t="n"/>
      <c r="D635" s="10" t="n"/>
      <c r="E635" s="10" t="n"/>
      <c r="F635" s="18" t="n"/>
      <c r="G635" s="10" t="n"/>
      <c r="H635" s="12" t="n"/>
      <c r="I635" s="12" t="n"/>
      <c r="J635" s="13">
        <f>IF(OR(A635="",COUNT(H635)=0,COUNT(Z635)=0),"",ROUND(Z635-H635,2))</f>
        <v/>
      </c>
      <c r="K635" s="15">
        <f>IF(COUNT(J635)=0,"",IF(Z635=0,"n.a.",J635/Z635))</f>
        <v/>
      </c>
      <c r="L635" s="14">
        <f>IF(OR(A635="",COUNT(H635)=0,COUNT(Y635)=0),"",ROUND(H635*(1+Y635),2))</f>
        <v/>
      </c>
      <c r="M635" s="10" t="n"/>
      <c r="N635" s="10" t="n"/>
      <c r="O635" s="10" t="n"/>
      <c r="P635" s="10" t="n"/>
      <c r="Q635" s="20" t="n"/>
      <c r="R635" s="10" t="n"/>
      <c r="S635" s="10" t="n"/>
      <c r="T635" s="18" t="n"/>
      <c r="U635" s="18" t="n"/>
      <c r="V635" s="10" t="n"/>
      <c r="W635" s="10" t="n"/>
      <c r="X635" s="19">
        <f>IF(OR(A635="",COUNT(U635)=0,COUNT(AI635)=0),"",U635+AI635)</f>
        <v/>
      </c>
      <c r="Y635" s="16" t="n"/>
      <c r="Z635" s="12" t="n"/>
      <c r="AA635" s="17">
        <f>IF(COUNT(J635)=0,"",IF(H635=0,"n.a.",J635/H635))</f>
        <v/>
      </c>
      <c r="AB635" s="12" t="n"/>
      <c r="AC635" s="12" t="n"/>
      <c r="AD635" s="12" t="n"/>
      <c r="AE635" s="13">
        <f>IF(OR(COUNT(J635)=0,COUNT(AB635:AD635)&lt;3),"",ROUND(J635-SUM(AB635:AD635),2))</f>
        <v/>
      </c>
      <c r="AF635" s="15">
        <f>IF(COUNT(AE635)=0,"",IF(Z635=0,"n.a.",AE635/Z635))</f>
        <v/>
      </c>
      <c r="AG635" s="12" t="n"/>
      <c r="AH635" s="14">
        <f>IF(OR(A635="",COUNT(Z635)=0,COUNT(AG635)=0),"",ROUND(Z635-AG635,2))</f>
        <v/>
      </c>
      <c r="AI635" s="21" t="n"/>
      <c r="AJ635" s="11">
        <f>IF(A635="","",IF(COUNT(I635)=0,"Enter approved NTE",IF(COUNT(Z635)&gt;0,IF(Z635&gt;I635,"Invoice exceeds NTE","Invoice within NTE"),IF(COUNT(L635)=0,"Enter quote inputs",IF(L635&gt;I635,"Quote exceeds NTE","Quote within NTE")))))</f>
        <v/>
      </c>
      <c r="AK635" s="11">
        <f>IF(A635="","",IF(COUNT(H635)=0,"Enter direct cost",IF(COUNT(Z635)=0,"Enter invoice revenue",IF(COUNT(AB635:AD635)&lt;3,"Enter expenses (0 if none)","Complete"))))</f>
        <v/>
      </c>
      <c r="AL635" s="11">
        <f>IF(A635="","",IF(NOT(AND(COUNT(AH635)=1,N(AH635)&gt;0.004,V635&lt;&gt;"Void",V635&lt;&gt;"Not invoiced",V635&lt;&gt;"Draft")),"",IF(COUNT(X635)=0,"No due date",IF(TODAY()-X635&lt;=0,"Not yet due",IF(TODAY()-X635&lt;=30,"1-30 days",IF(TODAY()-X635&lt;=60,"31-60 days",IF(TODAY()-X635&lt;=90,"61-90 days","Over 90 days")))))))</f>
        <v/>
      </c>
      <c r="AM635" s="49">
        <f>IF(OR(AL635="",AL635="No due date"),"",MAX(TODAY()-X635,0))</f>
        <v/>
      </c>
      <c r="AN635" s="49">
        <f>IF(AL635="","",IF(COUNT(X635)=0,-100000,TODAY()-X635))</f>
        <v/>
      </c>
      <c r="AO635" s="49">
        <f>IF(AN635="","",COUNTIF(AN$11:AN$1010,"&gt;"&amp;AN635)+COUNTIF(AN$11:AN635,AN635))</f>
        <v/>
      </c>
      <c r="AP635" s="49">
        <f>IF(OR(A635="",B635=""),"",IF(COUNTIF(B$11:B635,B635)=1,MAX(AP$10:AP634)+1,""))</f>
        <v/>
      </c>
    </row>
    <row r="636">
      <c r="A636" s="20" t="n"/>
      <c r="B636" s="10" t="n"/>
      <c r="C636" s="10" t="n"/>
      <c r="D636" s="10" t="n"/>
      <c r="E636" s="10" t="n"/>
      <c r="F636" s="18" t="n"/>
      <c r="G636" s="10" t="n"/>
      <c r="H636" s="12" t="n"/>
      <c r="I636" s="12" t="n"/>
      <c r="J636" s="13">
        <f>IF(OR(A636="",COUNT(H636)=0,COUNT(Z636)=0),"",ROUND(Z636-H636,2))</f>
        <v/>
      </c>
      <c r="K636" s="15">
        <f>IF(COUNT(J636)=0,"",IF(Z636=0,"n.a.",J636/Z636))</f>
        <v/>
      </c>
      <c r="L636" s="14">
        <f>IF(OR(A636="",COUNT(H636)=0,COUNT(Y636)=0),"",ROUND(H636*(1+Y636),2))</f>
        <v/>
      </c>
      <c r="M636" s="10" t="n"/>
      <c r="N636" s="10" t="n"/>
      <c r="O636" s="10" t="n"/>
      <c r="P636" s="10" t="n"/>
      <c r="Q636" s="20" t="n"/>
      <c r="R636" s="10" t="n"/>
      <c r="S636" s="10" t="n"/>
      <c r="T636" s="18" t="n"/>
      <c r="U636" s="18" t="n"/>
      <c r="V636" s="10" t="n"/>
      <c r="W636" s="10" t="n"/>
      <c r="X636" s="19">
        <f>IF(OR(A636="",COUNT(U636)=0,COUNT(AI636)=0),"",U636+AI636)</f>
        <v/>
      </c>
      <c r="Y636" s="16" t="n"/>
      <c r="Z636" s="12" t="n"/>
      <c r="AA636" s="17">
        <f>IF(COUNT(J636)=0,"",IF(H636=0,"n.a.",J636/H636))</f>
        <v/>
      </c>
      <c r="AB636" s="12" t="n"/>
      <c r="AC636" s="12" t="n"/>
      <c r="AD636" s="12" t="n"/>
      <c r="AE636" s="13">
        <f>IF(OR(COUNT(J636)=0,COUNT(AB636:AD636)&lt;3),"",ROUND(J636-SUM(AB636:AD636),2))</f>
        <v/>
      </c>
      <c r="AF636" s="15">
        <f>IF(COUNT(AE636)=0,"",IF(Z636=0,"n.a.",AE636/Z636))</f>
        <v/>
      </c>
      <c r="AG636" s="12" t="n"/>
      <c r="AH636" s="14">
        <f>IF(OR(A636="",COUNT(Z636)=0,COUNT(AG636)=0),"",ROUND(Z636-AG636,2))</f>
        <v/>
      </c>
      <c r="AI636" s="21" t="n"/>
      <c r="AJ636" s="11">
        <f>IF(A636="","",IF(COUNT(I636)=0,"Enter approved NTE",IF(COUNT(Z636)&gt;0,IF(Z636&gt;I636,"Invoice exceeds NTE","Invoice within NTE"),IF(COUNT(L636)=0,"Enter quote inputs",IF(L636&gt;I636,"Quote exceeds NTE","Quote within NTE")))))</f>
        <v/>
      </c>
      <c r="AK636" s="11">
        <f>IF(A636="","",IF(COUNT(H636)=0,"Enter direct cost",IF(COUNT(Z636)=0,"Enter invoice revenue",IF(COUNT(AB636:AD636)&lt;3,"Enter expenses (0 if none)","Complete"))))</f>
        <v/>
      </c>
      <c r="AL636" s="11">
        <f>IF(A636="","",IF(NOT(AND(COUNT(AH636)=1,N(AH636)&gt;0.004,V636&lt;&gt;"Void",V636&lt;&gt;"Not invoiced",V636&lt;&gt;"Draft")),"",IF(COUNT(X636)=0,"No due date",IF(TODAY()-X636&lt;=0,"Not yet due",IF(TODAY()-X636&lt;=30,"1-30 days",IF(TODAY()-X636&lt;=60,"31-60 days",IF(TODAY()-X636&lt;=90,"61-90 days","Over 90 days")))))))</f>
        <v/>
      </c>
      <c r="AM636" s="49">
        <f>IF(OR(AL636="",AL636="No due date"),"",MAX(TODAY()-X636,0))</f>
        <v/>
      </c>
      <c r="AN636" s="49">
        <f>IF(AL636="","",IF(COUNT(X636)=0,-100000,TODAY()-X636))</f>
        <v/>
      </c>
      <c r="AO636" s="49">
        <f>IF(AN636="","",COUNTIF(AN$11:AN$1010,"&gt;"&amp;AN636)+COUNTIF(AN$11:AN636,AN636))</f>
        <v/>
      </c>
      <c r="AP636" s="49">
        <f>IF(OR(A636="",B636=""),"",IF(COUNTIF(B$11:B636,B636)=1,MAX(AP$10:AP635)+1,""))</f>
        <v/>
      </c>
    </row>
    <row r="637">
      <c r="A637" s="20" t="n"/>
      <c r="B637" s="10" t="n"/>
      <c r="C637" s="10" t="n"/>
      <c r="D637" s="10" t="n"/>
      <c r="E637" s="10" t="n"/>
      <c r="F637" s="18" t="n"/>
      <c r="G637" s="10" t="n"/>
      <c r="H637" s="12" t="n"/>
      <c r="I637" s="12" t="n"/>
      <c r="J637" s="13">
        <f>IF(OR(A637="",COUNT(H637)=0,COUNT(Z637)=0),"",ROUND(Z637-H637,2))</f>
        <v/>
      </c>
      <c r="K637" s="15">
        <f>IF(COUNT(J637)=0,"",IF(Z637=0,"n.a.",J637/Z637))</f>
        <v/>
      </c>
      <c r="L637" s="14">
        <f>IF(OR(A637="",COUNT(H637)=0,COUNT(Y637)=0),"",ROUND(H637*(1+Y637),2))</f>
        <v/>
      </c>
      <c r="M637" s="10" t="n"/>
      <c r="N637" s="10" t="n"/>
      <c r="O637" s="10" t="n"/>
      <c r="P637" s="10" t="n"/>
      <c r="Q637" s="20" t="n"/>
      <c r="R637" s="10" t="n"/>
      <c r="S637" s="10" t="n"/>
      <c r="T637" s="18" t="n"/>
      <c r="U637" s="18" t="n"/>
      <c r="V637" s="10" t="n"/>
      <c r="W637" s="10" t="n"/>
      <c r="X637" s="19">
        <f>IF(OR(A637="",COUNT(U637)=0,COUNT(AI637)=0),"",U637+AI637)</f>
        <v/>
      </c>
      <c r="Y637" s="16" t="n"/>
      <c r="Z637" s="12" t="n"/>
      <c r="AA637" s="17">
        <f>IF(COUNT(J637)=0,"",IF(H637=0,"n.a.",J637/H637))</f>
        <v/>
      </c>
      <c r="AB637" s="12" t="n"/>
      <c r="AC637" s="12" t="n"/>
      <c r="AD637" s="12" t="n"/>
      <c r="AE637" s="13">
        <f>IF(OR(COUNT(J637)=0,COUNT(AB637:AD637)&lt;3),"",ROUND(J637-SUM(AB637:AD637),2))</f>
        <v/>
      </c>
      <c r="AF637" s="15">
        <f>IF(COUNT(AE637)=0,"",IF(Z637=0,"n.a.",AE637/Z637))</f>
        <v/>
      </c>
      <c r="AG637" s="12" t="n"/>
      <c r="AH637" s="14">
        <f>IF(OR(A637="",COUNT(Z637)=0,COUNT(AG637)=0),"",ROUND(Z637-AG637,2))</f>
        <v/>
      </c>
      <c r="AI637" s="21" t="n"/>
      <c r="AJ637" s="11">
        <f>IF(A637="","",IF(COUNT(I637)=0,"Enter approved NTE",IF(COUNT(Z637)&gt;0,IF(Z637&gt;I637,"Invoice exceeds NTE","Invoice within NTE"),IF(COUNT(L637)=0,"Enter quote inputs",IF(L637&gt;I637,"Quote exceeds NTE","Quote within NTE")))))</f>
        <v/>
      </c>
      <c r="AK637" s="11">
        <f>IF(A637="","",IF(COUNT(H637)=0,"Enter direct cost",IF(COUNT(Z637)=0,"Enter invoice revenue",IF(COUNT(AB637:AD637)&lt;3,"Enter expenses (0 if none)","Complete"))))</f>
        <v/>
      </c>
      <c r="AL637" s="11">
        <f>IF(A637="","",IF(NOT(AND(COUNT(AH637)=1,N(AH637)&gt;0.004,V637&lt;&gt;"Void",V637&lt;&gt;"Not invoiced",V637&lt;&gt;"Draft")),"",IF(COUNT(X637)=0,"No due date",IF(TODAY()-X637&lt;=0,"Not yet due",IF(TODAY()-X637&lt;=30,"1-30 days",IF(TODAY()-X637&lt;=60,"31-60 days",IF(TODAY()-X637&lt;=90,"61-90 days","Over 90 days")))))))</f>
        <v/>
      </c>
      <c r="AM637" s="49">
        <f>IF(OR(AL637="",AL637="No due date"),"",MAX(TODAY()-X637,0))</f>
        <v/>
      </c>
      <c r="AN637" s="49">
        <f>IF(AL637="","",IF(COUNT(X637)=0,-100000,TODAY()-X637))</f>
        <v/>
      </c>
      <c r="AO637" s="49">
        <f>IF(AN637="","",COUNTIF(AN$11:AN$1010,"&gt;"&amp;AN637)+COUNTIF(AN$11:AN637,AN637))</f>
        <v/>
      </c>
      <c r="AP637" s="49">
        <f>IF(OR(A637="",B637=""),"",IF(COUNTIF(B$11:B637,B637)=1,MAX(AP$10:AP636)+1,""))</f>
        <v/>
      </c>
    </row>
    <row r="638">
      <c r="A638" s="20" t="n"/>
      <c r="B638" s="10" t="n"/>
      <c r="C638" s="10" t="n"/>
      <c r="D638" s="10" t="n"/>
      <c r="E638" s="10" t="n"/>
      <c r="F638" s="18" t="n"/>
      <c r="G638" s="10" t="n"/>
      <c r="H638" s="12" t="n"/>
      <c r="I638" s="12" t="n"/>
      <c r="J638" s="13">
        <f>IF(OR(A638="",COUNT(H638)=0,COUNT(Z638)=0),"",ROUND(Z638-H638,2))</f>
        <v/>
      </c>
      <c r="K638" s="15">
        <f>IF(COUNT(J638)=0,"",IF(Z638=0,"n.a.",J638/Z638))</f>
        <v/>
      </c>
      <c r="L638" s="14">
        <f>IF(OR(A638="",COUNT(H638)=0,COUNT(Y638)=0),"",ROUND(H638*(1+Y638),2))</f>
        <v/>
      </c>
      <c r="M638" s="10" t="n"/>
      <c r="N638" s="10" t="n"/>
      <c r="O638" s="10" t="n"/>
      <c r="P638" s="10" t="n"/>
      <c r="Q638" s="20" t="n"/>
      <c r="R638" s="10" t="n"/>
      <c r="S638" s="10" t="n"/>
      <c r="T638" s="18" t="n"/>
      <c r="U638" s="18" t="n"/>
      <c r="V638" s="10" t="n"/>
      <c r="W638" s="10" t="n"/>
      <c r="X638" s="19">
        <f>IF(OR(A638="",COUNT(U638)=0,COUNT(AI638)=0),"",U638+AI638)</f>
        <v/>
      </c>
      <c r="Y638" s="16" t="n"/>
      <c r="Z638" s="12" t="n"/>
      <c r="AA638" s="17">
        <f>IF(COUNT(J638)=0,"",IF(H638=0,"n.a.",J638/H638))</f>
        <v/>
      </c>
      <c r="AB638" s="12" t="n"/>
      <c r="AC638" s="12" t="n"/>
      <c r="AD638" s="12" t="n"/>
      <c r="AE638" s="13">
        <f>IF(OR(COUNT(J638)=0,COUNT(AB638:AD638)&lt;3),"",ROUND(J638-SUM(AB638:AD638),2))</f>
        <v/>
      </c>
      <c r="AF638" s="15">
        <f>IF(COUNT(AE638)=0,"",IF(Z638=0,"n.a.",AE638/Z638))</f>
        <v/>
      </c>
      <c r="AG638" s="12" t="n"/>
      <c r="AH638" s="14">
        <f>IF(OR(A638="",COUNT(Z638)=0,COUNT(AG638)=0),"",ROUND(Z638-AG638,2))</f>
        <v/>
      </c>
      <c r="AI638" s="21" t="n"/>
      <c r="AJ638" s="11">
        <f>IF(A638="","",IF(COUNT(I638)=0,"Enter approved NTE",IF(COUNT(Z638)&gt;0,IF(Z638&gt;I638,"Invoice exceeds NTE","Invoice within NTE"),IF(COUNT(L638)=0,"Enter quote inputs",IF(L638&gt;I638,"Quote exceeds NTE","Quote within NTE")))))</f>
        <v/>
      </c>
      <c r="AK638" s="11">
        <f>IF(A638="","",IF(COUNT(H638)=0,"Enter direct cost",IF(COUNT(Z638)=0,"Enter invoice revenue",IF(COUNT(AB638:AD638)&lt;3,"Enter expenses (0 if none)","Complete"))))</f>
        <v/>
      </c>
      <c r="AL638" s="11">
        <f>IF(A638="","",IF(NOT(AND(COUNT(AH638)=1,N(AH638)&gt;0.004,V638&lt;&gt;"Void",V638&lt;&gt;"Not invoiced",V638&lt;&gt;"Draft")),"",IF(COUNT(X638)=0,"No due date",IF(TODAY()-X638&lt;=0,"Not yet due",IF(TODAY()-X638&lt;=30,"1-30 days",IF(TODAY()-X638&lt;=60,"31-60 days",IF(TODAY()-X638&lt;=90,"61-90 days","Over 90 days")))))))</f>
        <v/>
      </c>
      <c r="AM638" s="49">
        <f>IF(OR(AL638="",AL638="No due date"),"",MAX(TODAY()-X638,0))</f>
        <v/>
      </c>
      <c r="AN638" s="49">
        <f>IF(AL638="","",IF(COUNT(X638)=0,-100000,TODAY()-X638))</f>
        <v/>
      </c>
      <c r="AO638" s="49">
        <f>IF(AN638="","",COUNTIF(AN$11:AN$1010,"&gt;"&amp;AN638)+COUNTIF(AN$11:AN638,AN638))</f>
        <v/>
      </c>
      <c r="AP638" s="49">
        <f>IF(OR(A638="",B638=""),"",IF(COUNTIF(B$11:B638,B638)=1,MAX(AP$10:AP637)+1,""))</f>
        <v/>
      </c>
    </row>
    <row r="639">
      <c r="A639" s="20" t="n"/>
      <c r="B639" s="10" t="n"/>
      <c r="C639" s="10" t="n"/>
      <c r="D639" s="10" t="n"/>
      <c r="E639" s="10" t="n"/>
      <c r="F639" s="18" t="n"/>
      <c r="G639" s="10" t="n"/>
      <c r="H639" s="12" t="n"/>
      <c r="I639" s="12" t="n"/>
      <c r="J639" s="13">
        <f>IF(OR(A639="",COUNT(H639)=0,COUNT(Z639)=0),"",ROUND(Z639-H639,2))</f>
        <v/>
      </c>
      <c r="K639" s="15">
        <f>IF(COUNT(J639)=0,"",IF(Z639=0,"n.a.",J639/Z639))</f>
        <v/>
      </c>
      <c r="L639" s="14">
        <f>IF(OR(A639="",COUNT(H639)=0,COUNT(Y639)=0),"",ROUND(H639*(1+Y639),2))</f>
        <v/>
      </c>
      <c r="M639" s="10" t="n"/>
      <c r="N639" s="10" t="n"/>
      <c r="O639" s="10" t="n"/>
      <c r="P639" s="10" t="n"/>
      <c r="Q639" s="20" t="n"/>
      <c r="R639" s="10" t="n"/>
      <c r="S639" s="10" t="n"/>
      <c r="T639" s="18" t="n"/>
      <c r="U639" s="18" t="n"/>
      <c r="V639" s="10" t="n"/>
      <c r="W639" s="10" t="n"/>
      <c r="X639" s="19">
        <f>IF(OR(A639="",COUNT(U639)=0,COUNT(AI639)=0),"",U639+AI639)</f>
        <v/>
      </c>
      <c r="Y639" s="16" t="n"/>
      <c r="Z639" s="12" t="n"/>
      <c r="AA639" s="17">
        <f>IF(COUNT(J639)=0,"",IF(H639=0,"n.a.",J639/H639))</f>
        <v/>
      </c>
      <c r="AB639" s="12" t="n"/>
      <c r="AC639" s="12" t="n"/>
      <c r="AD639" s="12" t="n"/>
      <c r="AE639" s="13">
        <f>IF(OR(COUNT(J639)=0,COUNT(AB639:AD639)&lt;3),"",ROUND(J639-SUM(AB639:AD639),2))</f>
        <v/>
      </c>
      <c r="AF639" s="15">
        <f>IF(COUNT(AE639)=0,"",IF(Z639=0,"n.a.",AE639/Z639))</f>
        <v/>
      </c>
      <c r="AG639" s="12" t="n"/>
      <c r="AH639" s="14">
        <f>IF(OR(A639="",COUNT(Z639)=0,COUNT(AG639)=0),"",ROUND(Z639-AG639,2))</f>
        <v/>
      </c>
      <c r="AI639" s="21" t="n"/>
      <c r="AJ639" s="11">
        <f>IF(A639="","",IF(COUNT(I639)=0,"Enter approved NTE",IF(COUNT(Z639)&gt;0,IF(Z639&gt;I639,"Invoice exceeds NTE","Invoice within NTE"),IF(COUNT(L639)=0,"Enter quote inputs",IF(L639&gt;I639,"Quote exceeds NTE","Quote within NTE")))))</f>
        <v/>
      </c>
      <c r="AK639" s="11">
        <f>IF(A639="","",IF(COUNT(H639)=0,"Enter direct cost",IF(COUNT(Z639)=0,"Enter invoice revenue",IF(COUNT(AB639:AD639)&lt;3,"Enter expenses (0 if none)","Complete"))))</f>
        <v/>
      </c>
      <c r="AL639" s="11">
        <f>IF(A639="","",IF(NOT(AND(COUNT(AH639)=1,N(AH639)&gt;0.004,V639&lt;&gt;"Void",V639&lt;&gt;"Not invoiced",V639&lt;&gt;"Draft")),"",IF(COUNT(X639)=0,"No due date",IF(TODAY()-X639&lt;=0,"Not yet due",IF(TODAY()-X639&lt;=30,"1-30 days",IF(TODAY()-X639&lt;=60,"31-60 days",IF(TODAY()-X639&lt;=90,"61-90 days","Over 90 days")))))))</f>
        <v/>
      </c>
      <c r="AM639" s="49">
        <f>IF(OR(AL639="",AL639="No due date"),"",MAX(TODAY()-X639,0))</f>
        <v/>
      </c>
      <c r="AN639" s="49">
        <f>IF(AL639="","",IF(COUNT(X639)=0,-100000,TODAY()-X639))</f>
        <v/>
      </c>
      <c r="AO639" s="49">
        <f>IF(AN639="","",COUNTIF(AN$11:AN$1010,"&gt;"&amp;AN639)+COUNTIF(AN$11:AN639,AN639))</f>
        <v/>
      </c>
      <c r="AP639" s="49">
        <f>IF(OR(A639="",B639=""),"",IF(COUNTIF(B$11:B639,B639)=1,MAX(AP$10:AP638)+1,""))</f>
        <v/>
      </c>
    </row>
    <row r="640">
      <c r="A640" s="20" t="n"/>
      <c r="B640" s="10" t="n"/>
      <c r="C640" s="10" t="n"/>
      <c r="D640" s="10" t="n"/>
      <c r="E640" s="10" t="n"/>
      <c r="F640" s="18" t="n"/>
      <c r="G640" s="10" t="n"/>
      <c r="H640" s="12" t="n"/>
      <c r="I640" s="12" t="n"/>
      <c r="J640" s="13">
        <f>IF(OR(A640="",COUNT(H640)=0,COUNT(Z640)=0),"",ROUND(Z640-H640,2))</f>
        <v/>
      </c>
      <c r="K640" s="15">
        <f>IF(COUNT(J640)=0,"",IF(Z640=0,"n.a.",J640/Z640))</f>
        <v/>
      </c>
      <c r="L640" s="14">
        <f>IF(OR(A640="",COUNT(H640)=0,COUNT(Y640)=0),"",ROUND(H640*(1+Y640),2))</f>
        <v/>
      </c>
      <c r="M640" s="10" t="n"/>
      <c r="N640" s="10" t="n"/>
      <c r="O640" s="10" t="n"/>
      <c r="P640" s="10" t="n"/>
      <c r="Q640" s="20" t="n"/>
      <c r="R640" s="10" t="n"/>
      <c r="S640" s="10" t="n"/>
      <c r="T640" s="18" t="n"/>
      <c r="U640" s="18" t="n"/>
      <c r="V640" s="10" t="n"/>
      <c r="W640" s="10" t="n"/>
      <c r="X640" s="19">
        <f>IF(OR(A640="",COUNT(U640)=0,COUNT(AI640)=0),"",U640+AI640)</f>
        <v/>
      </c>
      <c r="Y640" s="16" t="n"/>
      <c r="Z640" s="12" t="n"/>
      <c r="AA640" s="17">
        <f>IF(COUNT(J640)=0,"",IF(H640=0,"n.a.",J640/H640))</f>
        <v/>
      </c>
      <c r="AB640" s="12" t="n"/>
      <c r="AC640" s="12" t="n"/>
      <c r="AD640" s="12" t="n"/>
      <c r="AE640" s="13">
        <f>IF(OR(COUNT(J640)=0,COUNT(AB640:AD640)&lt;3),"",ROUND(J640-SUM(AB640:AD640),2))</f>
        <v/>
      </c>
      <c r="AF640" s="15">
        <f>IF(COUNT(AE640)=0,"",IF(Z640=0,"n.a.",AE640/Z640))</f>
        <v/>
      </c>
      <c r="AG640" s="12" t="n"/>
      <c r="AH640" s="14">
        <f>IF(OR(A640="",COUNT(Z640)=0,COUNT(AG640)=0),"",ROUND(Z640-AG640,2))</f>
        <v/>
      </c>
      <c r="AI640" s="21" t="n"/>
      <c r="AJ640" s="11">
        <f>IF(A640="","",IF(COUNT(I640)=0,"Enter approved NTE",IF(COUNT(Z640)&gt;0,IF(Z640&gt;I640,"Invoice exceeds NTE","Invoice within NTE"),IF(COUNT(L640)=0,"Enter quote inputs",IF(L640&gt;I640,"Quote exceeds NTE","Quote within NTE")))))</f>
        <v/>
      </c>
      <c r="AK640" s="11">
        <f>IF(A640="","",IF(COUNT(H640)=0,"Enter direct cost",IF(COUNT(Z640)=0,"Enter invoice revenue",IF(COUNT(AB640:AD640)&lt;3,"Enter expenses (0 if none)","Complete"))))</f>
        <v/>
      </c>
      <c r="AL640" s="11">
        <f>IF(A640="","",IF(NOT(AND(COUNT(AH640)=1,N(AH640)&gt;0.004,V640&lt;&gt;"Void",V640&lt;&gt;"Not invoiced",V640&lt;&gt;"Draft")),"",IF(COUNT(X640)=0,"No due date",IF(TODAY()-X640&lt;=0,"Not yet due",IF(TODAY()-X640&lt;=30,"1-30 days",IF(TODAY()-X640&lt;=60,"31-60 days",IF(TODAY()-X640&lt;=90,"61-90 days","Over 90 days")))))))</f>
        <v/>
      </c>
      <c r="AM640" s="49">
        <f>IF(OR(AL640="",AL640="No due date"),"",MAX(TODAY()-X640,0))</f>
        <v/>
      </c>
      <c r="AN640" s="49">
        <f>IF(AL640="","",IF(COUNT(X640)=0,-100000,TODAY()-X640))</f>
        <v/>
      </c>
      <c r="AO640" s="49">
        <f>IF(AN640="","",COUNTIF(AN$11:AN$1010,"&gt;"&amp;AN640)+COUNTIF(AN$11:AN640,AN640))</f>
        <v/>
      </c>
      <c r="AP640" s="49">
        <f>IF(OR(A640="",B640=""),"",IF(COUNTIF(B$11:B640,B640)=1,MAX(AP$10:AP639)+1,""))</f>
        <v/>
      </c>
    </row>
    <row r="641">
      <c r="A641" s="20" t="n"/>
      <c r="B641" s="10" t="n"/>
      <c r="C641" s="10" t="n"/>
      <c r="D641" s="10" t="n"/>
      <c r="E641" s="10" t="n"/>
      <c r="F641" s="18" t="n"/>
      <c r="G641" s="10" t="n"/>
      <c r="H641" s="12" t="n"/>
      <c r="I641" s="12" t="n"/>
      <c r="J641" s="13">
        <f>IF(OR(A641="",COUNT(H641)=0,COUNT(Z641)=0),"",ROUND(Z641-H641,2))</f>
        <v/>
      </c>
      <c r="K641" s="15">
        <f>IF(COUNT(J641)=0,"",IF(Z641=0,"n.a.",J641/Z641))</f>
        <v/>
      </c>
      <c r="L641" s="14">
        <f>IF(OR(A641="",COUNT(H641)=0,COUNT(Y641)=0),"",ROUND(H641*(1+Y641),2))</f>
        <v/>
      </c>
      <c r="M641" s="10" t="n"/>
      <c r="N641" s="10" t="n"/>
      <c r="O641" s="10" t="n"/>
      <c r="P641" s="10" t="n"/>
      <c r="Q641" s="20" t="n"/>
      <c r="R641" s="10" t="n"/>
      <c r="S641" s="10" t="n"/>
      <c r="T641" s="18" t="n"/>
      <c r="U641" s="18" t="n"/>
      <c r="V641" s="10" t="n"/>
      <c r="W641" s="10" t="n"/>
      <c r="X641" s="19">
        <f>IF(OR(A641="",COUNT(U641)=0,COUNT(AI641)=0),"",U641+AI641)</f>
        <v/>
      </c>
      <c r="Y641" s="16" t="n"/>
      <c r="Z641" s="12" t="n"/>
      <c r="AA641" s="17">
        <f>IF(COUNT(J641)=0,"",IF(H641=0,"n.a.",J641/H641))</f>
        <v/>
      </c>
      <c r="AB641" s="12" t="n"/>
      <c r="AC641" s="12" t="n"/>
      <c r="AD641" s="12" t="n"/>
      <c r="AE641" s="13">
        <f>IF(OR(COUNT(J641)=0,COUNT(AB641:AD641)&lt;3),"",ROUND(J641-SUM(AB641:AD641),2))</f>
        <v/>
      </c>
      <c r="AF641" s="15">
        <f>IF(COUNT(AE641)=0,"",IF(Z641=0,"n.a.",AE641/Z641))</f>
        <v/>
      </c>
      <c r="AG641" s="12" t="n"/>
      <c r="AH641" s="14">
        <f>IF(OR(A641="",COUNT(Z641)=0,COUNT(AG641)=0),"",ROUND(Z641-AG641,2))</f>
        <v/>
      </c>
      <c r="AI641" s="21" t="n"/>
      <c r="AJ641" s="11">
        <f>IF(A641="","",IF(COUNT(I641)=0,"Enter approved NTE",IF(COUNT(Z641)&gt;0,IF(Z641&gt;I641,"Invoice exceeds NTE","Invoice within NTE"),IF(COUNT(L641)=0,"Enter quote inputs",IF(L641&gt;I641,"Quote exceeds NTE","Quote within NTE")))))</f>
        <v/>
      </c>
      <c r="AK641" s="11">
        <f>IF(A641="","",IF(COUNT(H641)=0,"Enter direct cost",IF(COUNT(Z641)=0,"Enter invoice revenue",IF(COUNT(AB641:AD641)&lt;3,"Enter expenses (0 if none)","Complete"))))</f>
        <v/>
      </c>
      <c r="AL641" s="11">
        <f>IF(A641="","",IF(NOT(AND(COUNT(AH641)=1,N(AH641)&gt;0.004,V641&lt;&gt;"Void",V641&lt;&gt;"Not invoiced",V641&lt;&gt;"Draft")),"",IF(COUNT(X641)=0,"No due date",IF(TODAY()-X641&lt;=0,"Not yet due",IF(TODAY()-X641&lt;=30,"1-30 days",IF(TODAY()-X641&lt;=60,"31-60 days",IF(TODAY()-X641&lt;=90,"61-90 days","Over 90 days")))))))</f>
        <v/>
      </c>
      <c r="AM641" s="49">
        <f>IF(OR(AL641="",AL641="No due date"),"",MAX(TODAY()-X641,0))</f>
        <v/>
      </c>
      <c r="AN641" s="49">
        <f>IF(AL641="","",IF(COUNT(X641)=0,-100000,TODAY()-X641))</f>
        <v/>
      </c>
      <c r="AO641" s="49">
        <f>IF(AN641="","",COUNTIF(AN$11:AN$1010,"&gt;"&amp;AN641)+COUNTIF(AN$11:AN641,AN641))</f>
        <v/>
      </c>
      <c r="AP641" s="49">
        <f>IF(OR(A641="",B641=""),"",IF(COUNTIF(B$11:B641,B641)=1,MAX(AP$10:AP640)+1,""))</f>
        <v/>
      </c>
    </row>
    <row r="642">
      <c r="A642" s="20" t="n"/>
      <c r="B642" s="10" t="n"/>
      <c r="C642" s="10" t="n"/>
      <c r="D642" s="10" t="n"/>
      <c r="E642" s="10" t="n"/>
      <c r="F642" s="18" t="n"/>
      <c r="G642" s="10" t="n"/>
      <c r="H642" s="12" t="n"/>
      <c r="I642" s="12" t="n"/>
      <c r="J642" s="13">
        <f>IF(OR(A642="",COUNT(H642)=0,COUNT(Z642)=0),"",ROUND(Z642-H642,2))</f>
        <v/>
      </c>
      <c r="K642" s="15">
        <f>IF(COUNT(J642)=0,"",IF(Z642=0,"n.a.",J642/Z642))</f>
        <v/>
      </c>
      <c r="L642" s="14">
        <f>IF(OR(A642="",COUNT(H642)=0,COUNT(Y642)=0),"",ROUND(H642*(1+Y642),2))</f>
        <v/>
      </c>
      <c r="M642" s="10" t="n"/>
      <c r="N642" s="10" t="n"/>
      <c r="O642" s="10" t="n"/>
      <c r="P642" s="10" t="n"/>
      <c r="Q642" s="20" t="n"/>
      <c r="R642" s="10" t="n"/>
      <c r="S642" s="10" t="n"/>
      <c r="T642" s="18" t="n"/>
      <c r="U642" s="18" t="n"/>
      <c r="V642" s="10" t="n"/>
      <c r="W642" s="10" t="n"/>
      <c r="X642" s="19">
        <f>IF(OR(A642="",COUNT(U642)=0,COUNT(AI642)=0),"",U642+AI642)</f>
        <v/>
      </c>
      <c r="Y642" s="16" t="n"/>
      <c r="Z642" s="12" t="n"/>
      <c r="AA642" s="17">
        <f>IF(COUNT(J642)=0,"",IF(H642=0,"n.a.",J642/H642))</f>
        <v/>
      </c>
      <c r="AB642" s="12" t="n"/>
      <c r="AC642" s="12" t="n"/>
      <c r="AD642" s="12" t="n"/>
      <c r="AE642" s="13">
        <f>IF(OR(COUNT(J642)=0,COUNT(AB642:AD642)&lt;3),"",ROUND(J642-SUM(AB642:AD642),2))</f>
        <v/>
      </c>
      <c r="AF642" s="15">
        <f>IF(COUNT(AE642)=0,"",IF(Z642=0,"n.a.",AE642/Z642))</f>
        <v/>
      </c>
      <c r="AG642" s="12" t="n"/>
      <c r="AH642" s="14">
        <f>IF(OR(A642="",COUNT(Z642)=0,COUNT(AG642)=0),"",ROUND(Z642-AG642,2))</f>
        <v/>
      </c>
      <c r="AI642" s="21" t="n"/>
      <c r="AJ642" s="11">
        <f>IF(A642="","",IF(COUNT(I642)=0,"Enter approved NTE",IF(COUNT(Z642)&gt;0,IF(Z642&gt;I642,"Invoice exceeds NTE","Invoice within NTE"),IF(COUNT(L642)=0,"Enter quote inputs",IF(L642&gt;I642,"Quote exceeds NTE","Quote within NTE")))))</f>
        <v/>
      </c>
      <c r="AK642" s="11">
        <f>IF(A642="","",IF(COUNT(H642)=0,"Enter direct cost",IF(COUNT(Z642)=0,"Enter invoice revenue",IF(COUNT(AB642:AD642)&lt;3,"Enter expenses (0 if none)","Complete"))))</f>
        <v/>
      </c>
      <c r="AL642" s="11">
        <f>IF(A642="","",IF(NOT(AND(COUNT(AH642)=1,N(AH642)&gt;0.004,V642&lt;&gt;"Void",V642&lt;&gt;"Not invoiced",V642&lt;&gt;"Draft")),"",IF(COUNT(X642)=0,"No due date",IF(TODAY()-X642&lt;=0,"Not yet due",IF(TODAY()-X642&lt;=30,"1-30 days",IF(TODAY()-X642&lt;=60,"31-60 days",IF(TODAY()-X642&lt;=90,"61-90 days","Over 90 days")))))))</f>
        <v/>
      </c>
      <c r="AM642" s="49">
        <f>IF(OR(AL642="",AL642="No due date"),"",MAX(TODAY()-X642,0))</f>
        <v/>
      </c>
      <c r="AN642" s="49">
        <f>IF(AL642="","",IF(COUNT(X642)=0,-100000,TODAY()-X642))</f>
        <v/>
      </c>
      <c r="AO642" s="49">
        <f>IF(AN642="","",COUNTIF(AN$11:AN$1010,"&gt;"&amp;AN642)+COUNTIF(AN$11:AN642,AN642))</f>
        <v/>
      </c>
      <c r="AP642" s="49">
        <f>IF(OR(A642="",B642=""),"",IF(COUNTIF(B$11:B642,B642)=1,MAX(AP$10:AP641)+1,""))</f>
        <v/>
      </c>
    </row>
    <row r="643">
      <c r="A643" s="20" t="n"/>
      <c r="B643" s="10" t="n"/>
      <c r="C643" s="10" t="n"/>
      <c r="D643" s="10" t="n"/>
      <c r="E643" s="10" t="n"/>
      <c r="F643" s="18" t="n"/>
      <c r="G643" s="10" t="n"/>
      <c r="H643" s="12" t="n"/>
      <c r="I643" s="12" t="n"/>
      <c r="J643" s="13">
        <f>IF(OR(A643="",COUNT(H643)=0,COUNT(Z643)=0),"",ROUND(Z643-H643,2))</f>
        <v/>
      </c>
      <c r="K643" s="15">
        <f>IF(COUNT(J643)=0,"",IF(Z643=0,"n.a.",J643/Z643))</f>
        <v/>
      </c>
      <c r="L643" s="14">
        <f>IF(OR(A643="",COUNT(H643)=0,COUNT(Y643)=0),"",ROUND(H643*(1+Y643),2))</f>
        <v/>
      </c>
      <c r="M643" s="10" t="n"/>
      <c r="N643" s="10" t="n"/>
      <c r="O643" s="10" t="n"/>
      <c r="P643" s="10" t="n"/>
      <c r="Q643" s="20" t="n"/>
      <c r="R643" s="10" t="n"/>
      <c r="S643" s="10" t="n"/>
      <c r="T643" s="18" t="n"/>
      <c r="U643" s="18" t="n"/>
      <c r="V643" s="10" t="n"/>
      <c r="W643" s="10" t="n"/>
      <c r="X643" s="19">
        <f>IF(OR(A643="",COUNT(U643)=0,COUNT(AI643)=0),"",U643+AI643)</f>
        <v/>
      </c>
      <c r="Y643" s="16" t="n"/>
      <c r="Z643" s="12" t="n"/>
      <c r="AA643" s="17">
        <f>IF(COUNT(J643)=0,"",IF(H643=0,"n.a.",J643/H643))</f>
        <v/>
      </c>
      <c r="AB643" s="12" t="n"/>
      <c r="AC643" s="12" t="n"/>
      <c r="AD643" s="12" t="n"/>
      <c r="AE643" s="13">
        <f>IF(OR(COUNT(J643)=0,COUNT(AB643:AD643)&lt;3),"",ROUND(J643-SUM(AB643:AD643),2))</f>
        <v/>
      </c>
      <c r="AF643" s="15">
        <f>IF(COUNT(AE643)=0,"",IF(Z643=0,"n.a.",AE643/Z643))</f>
        <v/>
      </c>
      <c r="AG643" s="12" t="n"/>
      <c r="AH643" s="14">
        <f>IF(OR(A643="",COUNT(Z643)=0,COUNT(AG643)=0),"",ROUND(Z643-AG643,2))</f>
        <v/>
      </c>
      <c r="AI643" s="21" t="n"/>
      <c r="AJ643" s="11">
        <f>IF(A643="","",IF(COUNT(I643)=0,"Enter approved NTE",IF(COUNT(Z643)&gt;0,IF(Z643&gt;I643,"Invoice exceeds NTE","Invoice within NTE"),IF(COUNT(L643)=0,"Enter quote inputs",IF(L643&gt;I643,"Quote exceeds NTE","Quote within NTE")))))</f>
        <v/>
      </c>
      <c r="AK643" s="11">
        <f>IF(A643="","",IF(COUNT(H643)=0,"Enter direct cost",IF(COUNT(Z643)=0,"Enter invoice revenue",IF(COUNT(AB643:AD643)&lt;3,"Enter expenses (0 if none)","Complete"))))</f>
        <v/>
      </c>
      <c r="AL643" s="11">
        <f>IF(A643="","",IF(NOT(AND(COUNT(AH643)=1,N(AH643)&gt;0.004,V643&lt;&gt;"Void",V643&lt;&gt;"Not invoiced",V643&lt;&gt;"Draft")),"",IF(COUNT(X643)=0,"No due date",IF(TODAY()-X643&lt;=0,"Not yet due",IF(TODAY()-X643&lt;=30,"1-30 days",IF(TODAY()-X643&lt;=60,"31-60 days",IF(TODAY()-X643&lt;=90,"61-90 days","Over 90 days")))))))</f>
        <v/>
      </c>
      <c r="AM643" s="49">
        <f>IF(OR(AL643="",AL643="No due date"),"",MAX(TODAY()-X643,0))</f>
        <v/>
      </c>
      <c r="AN643" s="49">
        <f>IF(AL643="","",IF(COUNT(X643)=0,-100000,TODAY()-X643))</f>
        <v/>
      </c>
      <c r="AO643" s="49">
        <f>IF(AN643="","",COUNTIF(AN$11:AN$1010,"&gt;"&amp;AN643)+COUNTIF(AN$11:AN643,AN643))</f>
        <v/>
      </c>
      <c r="AP643" s="49">
        <f>IF(OR(A643="",B643=""),"",IF(COUNTIF(B$11:B643,B643)=1,MAX(AP$10:AP642)+1,""))</f>
        <v/>
      </c>
    </row>
    <row r="644">
      <c r="A644" s="20" t="n"/>
      <c r="B644" s="10" t="n"/>
      <c r="C644" s="10" t="n"/>
      <c r="D644" s="10" t="n"/>
      <c r="E644" s="10" t="n"/>
      <c r="F644" s="18" t="n"/>
      <c r="G644" s="10" t="n"/>
      <c r="H644" s="12" t="n"/>
      <c r="I644" s="12" t="n"/>
      <c r="J644" s="13">
        <f>IF(OR(A644="",COUNT(H644)=0,COUNT(Z644)=0),"",ROUND(Z644-H644,2))</f>
        <v/>
      </c>
      <c r="K644" s="15">
        <f>IF(COUNT(J644)=0,"",IF(Z644=0,"n.a.",J644/Z644))</f>
        <v/>
      </c>
      <c r="L644" s="14">
        <f>IF(OR(A644="",COUNT(H644)=0,COUNT(Y644)=0),"",ROUND(H644*(1+Y644),2))</f>
        <v/>
      </c>
      <c r="M644" s="10" t="n"/>
      <c r="N644" s="10" t="n"/>
      <c r="O644" s="10" t="n"/>
      <c r="P644" s="10" t="n"/>
      <c r="Q644" s="20" t="n"/>
      <c r="R644" s="10" t="n"/>
      <c r="S644" s="10" t="n"/>
      <c r="T644" s="18" t="n"/>
      <c r="U644" s="18" t="n"/>
      <c r="V644" s="10" t="n"/>
      <c r="W644" s="10" t="n"/>
      <c r="X644" s="19">
        <f>IF(OR(A644="",COUNT(U644)=0,COUNT(AI644)=0),"",U644+AI644)</f>
        <v/>
      </c>
      <c r="Y644" s="16" t="n"/>
      <c r="Z644" s="12" t="n"/>
      <c r="AA644" s="17">
        <f>IF(COUNT(J644)=0,"",IF(H644=0,"n.a.",J644/H644))</f>
        <v/>
      </c>
      <c r="AB644" s="12" t="n"/>
      <c r="AC644" s="12" t="n"/>
      <c r="AD644" s="12" t="n"/>
      <c r="AE644" s="13">
        <f>IF(OR(COUNT(J644)=0,COUNT(AB644:AD644)&lt;3),"",ROUND(J644-SUM(AB644:AD644),2))</f>
        <v/>
      </c>
      <c r="AF644" s="15">
        <f>IF(COUNT(AE644)=0,"",IF(Z644=0,"n.a.",AE644/Z644))</f>
        <v/>
      </c>
      <c r="AG644" s="12" t="n"/>
      <c r="AH644" s="14">
        <f>IF(OR(A644="",COUNT(Z644)=0,COUNT(AG644)=0),"",ROUND(Z644-AG644,2))</f>
        <v/>
      </c>
      <c r="AI644" s="21" t="n"/>
      <c r="AJ644" s="11">
        <f>IF(A644="","",IF(COUNT(I644)=0,"Enter approved NTE",IF(COUNT(Z644)&gt;0,IF(Z644&gt;I644,"Invoice exceeds NTE","Invoice within NTE"),IF(COUNT(L644)=0,"Enter quote inputs",IF(L644&gt;I644,"Quote exceeds NTE","Quote within NTE")))))</f>
        <v/>
      </c>
      <c r="AK644" s="11">
        <f>IF(A644="","",IF(COUNT(H644)=0,"Enter direct cost",IF(COUNT(Z644)=0,"Enter invoice revenue",IF(COUNT(AB644:AD644)&lt;3,"Enter expenses (0 if none)","Complete"))))</f>
        <v/>
      </c>
      <c r="AL644" s="11">
        <f>IF(A644="","",IF(NOT(AND(COUNT(AH644)=1,N(AH644)&gt;0.004,V644&lt;&gt;"Void",V644&lt;&gt;"Not invoiced",V644&lt;&gt;"Draft")),"",IF(COUNT(X644)=0,"No due date",IF(TODAY()-X644&lt;=0,"Not yet due",IF(TODAY()-X644&lt;=30,"1-30 days",IF(TODAY()-X644&lt;=60,"31-60 days",IF(TODAY()-X644&lt;=90,"61-90 days","Over 90 days")))))))</f>
        <v/>
      </c>
      <c r="AM644" s="49">
        <f>IF(OR(AL644="",AL644="No due date"),"",MAX(TODAY()-X644,0))</f>
        <v/>
      </c>
      <c r="AN644" s="49">
        <f>IF(AL644="","",IF(COUNT(X644)=0,-100000,TODAY()-X644))</f>
        <v/>
      </c>
      <c r="AO644" s="49">
        <f>IF(AN644="","",COUNTIF(AN$11:AN$1010,"&gt;"&amp;AN644)+COUNTIF(AN$11:AN644,AN644))</f>
        <v/>
      </c>
      <c r="AP644" s="49">
        <f>IF(OR(A644="",B644=""),"",IF(COUNTIF(B$11:B644,B644)=1,MAX(AP$10:AP643)+1,""))</f>
        <v/>
      </c>
    </row>
    <row r="645">
      <c r="A645" s="20" t="n"/>
      <c r="B645" s="10" t="n"/>
      <c r="C645" s="10" t="n"/>
      <c r="D645" s="10" t="n"/>
      <c r="E645" s="10" t="n"/>
      <c r="F645" s="18" t="n"/>
      <c r="G645" s="10" t="n"/>
      <c r="H645" s="12" t="n"/>
      <c r="I645" s="12" t="n"/>
      <c r="J645" s="13">
        <f>IF(OR(A645="",COUNT(H645)=0,COUNT(Z645)=0),"",ROUND(Z645-H645,2))</f>
        <v/>
      </c>
      <c r="K645" s="15">
        <f>IF(COUNT(J645)=0,"",IF(Z645=0,"n.a.",J645/Z645))</f>
        <v/>
      </c>
      <c r="L645" s="14">
        <f>IF(OR(A645="",COUNT(H645)=0,COUNT(Y645)=0),"",ROUND(H645*(1+Y645),2))</f>
        <v/>
      </c>
      <c r="M645" s="10" t="n"/>
      <c r="N645" s="10" t="n"/>
      <c r="O645" s="10" t="n"/>
      <c r="P645" s="10" t="n"/>
      <c r="Q645" s="20" t="n"/>
      <c r="R645" s="10" t="n"/>
      <c r="S645" s="10" t="n"/>
      <c r="T645" s="18" t="n"/>
      <c r="U645" s="18" t="n"/>
      <c r="V645" s="10" t="n"/>
      <c r="W645" s="10" t="n"/>
      <c r="X645" s="19">
        <f>IF(OR(A645="",COUNT(U645)=0,COUNT(AI645)=0),"",U645+AI645)</f>
        <v/>
      </c>
      <c r="Y645" s="16" t="n"/>
      <c r="Z645" s="12" t="n"/>
      <c r="AA645" s="17">
        <f>IF(COUNT(J645)=0,"",IF(H645=0,"n.a.",J645/H645))</f>
        <v/>
      </c>
      <c r="AB645" s="12" t="n"/>
      <c r="AC645" s="12" t="n"/>
      <c r="AD645" s="12" t="n"/>
      <c r="AE645" s="13">
        <f>IF(OR(COUNT(J645)=0,COUNT(AB645:AD645)&lt;3),"",ROUND(J645-SUM(AB645:AD645),2))</f>
        <v/>
      </c>
      <c r="AF645" s="15">
        <f>IF(COUNT(AE645)=0,"",IF(Z645=0,"n.a.",AE645/Z645))</f>
        <v/>
      </c>
      <c r="AG645" s="12" t="n"/>
      <c r="AH645" s="14">
        <f>IF(OR(A645="",COUNT(Z645)=0,COUNT(AG645)=0),"",ROUND(Z645-AG645,2))</f>
        <v/>
      </c>
      <c r="AI645" s="21" t="n"/>
      <c r="AJ645" s="11">
        <f>IF(A645="","",IF(COUNT(I645)=0,"Enter approved NTE",IF(COUNT(Z645)&gt;0,IF(Z645&gt;I645,"Invoice exceeds NTE","Invoice within NTE"),IF(COUNT(L645)=0,"Enter quote inputs",IF(L645&gt;I645,"Quote exceeds NTE","Quote within NTE")))))</f>
        <v/>
      </c>
      <c r="AK645" s="11">
        <f>IF(A645="","",IF(COUNT(H645)=0,"Enter direct cost",IF(COUNT(Z645)=0,"Enter invoice revenue",IF(COUNT(AB645:AD645)&lt;3,"Enter expenses (0 if none)","Complete"))))</f>
        <v/>
      </c>
      <c r="AL645" s="11">
        <f>IF(A645="","",IF(NOT(AND(COUNT(AH645)=1,N(AH645)&gt;0.004,V645&lt;&gt;"Void",V645&lt;&gt;"Not invoiced",V645&lt;&gt;"Draft")),"",IF(COUNT(X645)=0,"No due date",IF(TODAY()-X645&lt;=0,"Not yet due",IF(TODAY()-X645&lt;=30,"1-30 days",IF(TODAY()-X645&lt;=60,"31-60 days",IF(TODAY()-X645&lt;=90,"61-90 days","Over 90 days")))))))</f>
        <v/>
      </c>
      <c r="AM645" s="49">
        <f>IF(OR(AL645="",AL645="No due date"),"",MAX(TODAY()-X645,0))</f>
        <v/>
      </c>
      <c r="AN645" s="49">
        <f>IF(AL645="","",IF(COUNT(X645)=0,-100000,TODAY()-X645))</f>
        <v/>
      </c>
      <c r="AO645" s="49">
        <f>IF(AN645="","",COUNTIF(AN$11:AN$1010,"&gt;"&amp;AN645)+COUNTIF(AN$11:AN645,AN645))</f>
        <v/>
      </c>
      <c r="AP645" s="49">
        <f>IF(OR(A645="",B645=""),"",IF(COUNTIF(B$11:B645,B645)=1,MAX(AP$10:AP644)+1,""))</f>
        <v/>
      </c>
    </row>
    <row r="646">
      <c r="A646" s="20" t="n"/>
      <c r="B646" s="10" t="n"/>
      <c r="C646" s="10" t="n"/>
      <c r="D646" s="10" t="n"/>
      <c r="E646" s="10" t="n"/>
      <c r="F646" s="18" t="n"/>
      <c r="G646" s="10" t="n"/>
      <c r="H646" s="12" t="n"/>
      <c r="I646" s="12" t="n"/>
      <c r="J646" s="13">
        <f>IF(OR(A646="",COUNT(H646)=0,COUNT(Z646)=0),"",ROUND(Z646-H646,2))</f>
        <v/>
      </c>
      <c r="K646" s="15">
        <f>IF(COUNT(J646)=0,"",IF(Z646=0,"n.a.",J646/Z646))</f>
        <v/>
      </c>
      <c r="L646" s="14">
        <f>IF(OR(A646="",COUNT(H646)=0,COUNT(Y646)=0),"",ROUND(H646*(1+Y646),2))</f>
        <v/>
      </c>
      <c r="M646" s="10" t="n"/>
      <c r="N646" s="10" t="n"/>
      <c r="O646" s="10" t="n"/>
      <c r="P646" s="10" t="n"/>
      <c r="Q646" s="20" t="n"/>
      <c r="R646" s="10" t="n"/>
      <c r="S646" s="10" t="n"/>
      <c r="T646" s="18" t="n"/>
      <c r="U646" s="18" t="n"/>
      <c r="V646" s="10" t="n"/>
      <c r="W646" s="10" t="n"/>
      <c r="X646" s="19">
        <f>IF(OR(A646="",COUNT(U646)=0,COUNT(AI646)=0),"",U646+AI646)</f>
        <v/>
      </c>
      <c r="Y646" s="16" t="n"/>
      <c r="Z646" s="12" t="n"/>
      <c r="AA646" s="17">
        <f>IF(COUNT(J646)=0,"",IF(H646=0,"n.a.",J646/H646))</f>
        <v/>
      </c>
      <c r="AB646" s="12" t="n"/>
      <c r="AC646" s="12" t="n"/>
      <c r="AD646" s="12" t="n"/>
      <c r="AE646" s="13">
        <f>IF(OR(COUNT(J646)=0,COUNT(AB646:AD646)&lt;3),"",ROUND(J646-SUM(AB646:AD646),2))</f>
        <v/>
      </c>
      <c r="AF646" s="15">
        <f>IF(COUNT(AE646)=0,"",IF(Z646=0,"n.a.",AE646/Z646))</f>
        <v/>
      </c>
      <c r="AG646" s="12" t="n"/>
      <c r="AH646" s="14">
        <f>IF(OR(A646="",COUNT(Z646)=0,COUNT(AG646)=0),"",ROUND(Z646-AG646,2))</f>
        <v/>
      </c>
      <c r="AI646" s="21" t="n"/>
      <c r="AJ646" s="11">
        <f>IF(A646="","",IF(COUNT(I646)=0,"Enter approved NTE",IF(COUNT(Z646)&gt;0,IF(Z646&gt;I646,"Invoice exceeds NTE","Invoice within NTE"),IF(COUNT(L646)=0,"Enter quote inputs",IF(L646&gt;I646,"Quote exceeds NTE","Quote within NTE")))))</f>
        <v/>
      </c>
      <c r="AK646" s="11">
        <f>IF(A646="","",IF(COUNT(H646)=0,"Enter direct cost",IF(COUNT(Z646)=0,"Enter invoice revenue",IF(COUNT(AB646:AD646)&lt;3,"Enter expenses (0 if none)","Complete"))))</f>
        <v/>
      </c>
      <c r="AL646" s="11">
        <f>IF(A646="","",IF(NOT(AND(COUNT(AH646)=1,N(AH646)&gt;0.004,V646&lt;&gt;"Void",V646&lt;&gt;"Not invoiced",V646&lt;&gt;"Draft")),"",IF(COUNT(X646)=0,"No due date",IF(TODAY()-X646&lt;=0,"Not yet due",IF(TODAY()-X646&lt;=30,"1-30 days",IF(TODAY()-X646&lt;=60,"31-60 days",IF(TODAY()-X646&lt;=90,"61-90 days","Over 90 days")))))))</f>
        <v/>
      </c>
      <c r="AM646" s="49">
        <f>IF(OR(AL646="",AL646="No due date"),"",MAX(TODAY()-X646,0))</f>
        <v/>
      </c>
      <c r="AN646" s="49">
        <f>IF(AL646="","",IF(COUNT(X646)=0,-100000,TODAY()-X646))</f>
        <v/>
      </c>
      <c r="AO646" s="49">
        <f>IF(AN646="","",COUNTIF(AN$11:AN$1010,"&gt;"&amp;AN646)+COUNTIF(AN$11:AN646,AN646))</f>
        <v/>
      </c>
      <c r="AP646" s="49">
        <f>IF(OR(A646="",B646=""),"",IF(COUNTIF(B$11:B646,B646)=1,MAX(AP$10:AP645)+1,""))</f>
        <v/>
      </c>
    </row>
    <row r="647">
      <c r="A647" s="20" t="n"/>
      <c r="B647" s="10" t="n"/>
      <c r="C647" s="10" t="n"/>
      <c r="D647" s="10" t="n"/>
      <c r="E647" s="10" t="n"/>
      <c r="F647" s="18" t="n"/>
      <c r="G647" s="10" t="n"/>
      <c r="H647" s="12" t="n"/>
      <c r="I647" s="12" t="n"/>
      <c r="J647" s="13">
        <f>IF(OR(A647="",COUNT(H647)=0,COUNT(Z647)=0),"",ROUND(Z647-H647,2))</f>
        <v/>
      </c>
      <c r="K647" s="15">
        <f>IF(COUNT(J647)=0,"",IF(Z647=0,"n.a.",J647/Z647))</f>
        <v/>
      </c>
      <c r="L647" s="14">
        <f>IF(OR(A647="",COUNT(H647)=0,COUNT(Y647)=0),"",ROUND(H647*(1+Y647),2))</f>
        <v/>
      </c>
      <c r="M647" s="10" t="n"/>
      <c r="N647" s="10" t="n"/>
      <c r="O647" s="10" t="n"/>
      <c r="P647" s="10" t="n"/>
      <c r="Q647" s="20" t="n"/>
      <c r="R647" s="10" t="n"/>
      <c r="S647" s="10" t="n"/>
      <c r="T647" s="18" t="n"/>
      <c r="U647" s="18" t="n"/>
      <c r="V647" s="10" t="n"/>
      <c r="W647" s="10" t="n"/>
      <c r="X647" s="19">
        <f>IF(OR(A647="",COUNT(U647)=0,COUNT(AI647)=0),"",U647+AI647)</f>
        <v/>
      </c>
      <c r="Y647" s="16" t="n"/>
      <c r="Z647" s="12" t="n"/>
      <c r="AA647" s="17">
        <f>IF(COUNT(J647)=0,"",IF(H647=0,"n.a.",J647/H647))</f>
        <v/>
      </c>
      <c r="AB647" s="12" t="n"/>
      <c r="AC647" s="12" t="n"/>
      <c r="AD647" s="12" t="n"/>
      <c r="AE647" s="13">
        <f>IF(OR(COUNT(J647)=0,COUNT(AB647:AD647)&lt;3),"",ROUND(J647-SUM(AB647:AD647),2))</f>
        <v/>
      </c>
      <c r="AF647" s="15">
        <f>IF(COUNT(AE647)=0,"",IF(Z647=0,"n.a.",AE647/Z647))</f>
        <v/>
      </c>
      <c r="AG647" s="12" t="n"/>
      <c r="AH647" s="14">
        <f>IF(OR(A647="",COUNT(Z647)=0,COUNT(AG647)=0),"",ROUND(Z647-AG647,2))</f>
        <v/>
      </c>
      <c r="AI647" s="21" t="n"/>
      <c r="AJ647" s="11">
        <f>IF(A647="","",IF(COUNT(I647)=0,"Enter approved NTE",IF(COUNT(Z647)&gt;0,IF(Z647&gt;I647,"Invoice exceeds NTE","Invoice within NTE"),IF(COUNT(L647)=0,"Enter quote inputs",IF(L647&gt;I647,"Quote exceeds NTE","Quote within NTE")))))</f>
        <v/>
      </c>
      <c r="AK647" s="11">
        <f>IF(A647="","",IF(COUNT(H647)=0,"Enter direct cost",IF(COUNT(Z647)=0,"Enter invoice revenue",IF(COUNT(AB647:AD647)&lt;3,"Enter expenses (0 if none)","Complete"))))</f>
        <v/>
      </c>
      <c r="AL647" s="11">
        <f>IF(A647="","",IF(NOT(AND(COUNT(AH647)=1,N(AH647)&gt;0.004,V647&lt;&gt;"Void",V647&lt;&gt;"Not invoiced",V647&lt;&gt;"Draft")),"",IF(COUNT(X647)=0,"No due date",IF(TODAY()-X647&lt;=0,"Not yet due",IF(TODAY()-X647&lt;=30,"1-30 days",IF(TODAY()-X647&lt;=60,"31-60 days",IF(TODAY()-X647&lt;=90,"61-90 days","Over 90 days")))))))</f>
        <v/>
      </c>
      <c r="AM647" s="49">
        <f>IF(OR(AL647="",AL647="No due date"),"",MAX(TODAY()-X647,0))</f>
        <v/>
      </c>
      <c r="AN647" s="49">
        <f>IF(AL647="","",IF(COUNT(X647)=0,-100000,TODAY()-X647))</f>
        <v/>
      </c>
      <c r="AO647" s="49">
        <f>IF(AN647="","",COUNTIF(AN$11:AN$1010,"&gt;"&amp;AN647)+COUNTIF(AN$11:AN647,AN647))</f>
        <v/>
      </c>
      <c r="AP647" s="49">
        <f>IF(OR(A647="",B647=""),"",IF(COUNTIF(B$11:B647,B647)=1,MAX(AP$10:AP646)+1,""))</f>
        <v/>
      </c>
    </row>
    <row r="648">
      <c r="A648" s="20" t="n"/>
      <c r="B648" s="10" t="n"/>
      <c r="C648" s="10" t="n"/>
      <c r="D648" s="10" t="n"/>
      <c r="E648" s="10" t="n"/>
      <c r="F648" s="18" t="n"/>
      <c r="G648" s="10" t="n"/>
      <c r="H648" s="12" t="n"/>
      <c r="I648" s="12" t="n"/>
      <c r="J648" s="13">
        <f>IF(OR(A648="",COUNT(H648)=0,COUNT(Z648)=0),"",ROUND(Z648-H648,2))</f>
        <v/>
      </c>
      <c r="K648" s="15">
        <f>IF(COUNT(J648)=0,"",IF(Z648=0,"n.a.",J648/Z648))</f>
        <v/>
      </c>
      <c r="L648" s="14">
        <f>IF(OR(A648="",COUNT(H648)=0,COUNT(Y648)=0),"",ROUND(H648*(1+Y648),2))</f>
        <v/>
      </c>
      <c r="M648" s="10" t="n"/>
      <c r="N648" s="10" t="n"/>
      <c r="O648" s="10" t="n"/>
      <c r="P648" s="10" t="n"/>
      <c r="Q648" s="20" t="n"/>
      <c r="R648" s="10" t="n"/>
      <c r="S648" s="10" t="n"/>
      <c r="T648" s="18" t="n"/>
      <c r="U648" s="18" t="n"/>
      <c r="V648" s="10" t="n"/>
      <c r="W648" s="10" t="n"/>
      <c r="X648" s="19">
        <f>IF(OR(A648="",COUNT(U648)=0,COUNT(AI648)=0),"",U648+AI648)</f>
        <v/>
      </c>
      <c r="Y648" s="16" t="n"/>
      <c r="Z648" s="12" t="n"/>
      <c r="AA648" s="17">
        <f>IF(COUNT(J648)=0,"",IF(H648=0,"n.a.",J648/H648))</f>
        <v/>
      </c>
      <c r="AB648" s="12" t="n"/>
      <c r="AC648" s="12" t="n"/>
      <c r="AD648" s="12" t="n"/>
      <c r="AE648" s="13">
        <f>IF(OR(COUNT(J648)=0,COUNT(AB648:AD648)&lt;3),"",ROUND(J648-SUM(AB648:AD648),2))</f>
        <v/>
      </c>
      <c r="AF648" s="15">
        <f>IF(COUNT(AE648)=0,"",IF(Z648=0,"n.a.",AE648/Z648))</f>
        <v/>
      </c>
      <c r="AG648" s="12" t="n"/>
      <c r="AH648" s="14">
        <f>IF(OR(A648="",COUNT(Z648)=0,COUNT(AG648)=0),"",ROUND(Z648-AG648,2))</f>
        <v/>
      </c>
      <c r="AI648" s="21" t="n"/>
      <c r="AJ648" s="11">
        <f>IF(A648="","",IF(COUNT(I648)=0,"Enter approved NTE",IF(COUNT(Z648)&gt;0,IF(Z648&gt;I648,"Invoice exceeds NTE","Invoice within NTE"),IF(COUNT(L648)=0,"Enter quote inputs",IF(L648&gt;I648,"Quote exceeds NTE","Quote within NTE")))))</f>
        <v/>
      </c>
      <c r="AK648" s="11">
        <f>IF(A648="","",IF(COUNT(H648)=0,"Enter direct cost",IF(COUNT(Z648)=0,"Enter invoice revenue",IF(COUNT(AB648:AD648)&lt;3,"Enter expenses (0 if none)","Complete"))))</f>
        <v/>
      </c>
      <c r="AL648" s="11">
        <f>IF(A648="","",IF(NOT(AND(COUNT(AH648)=1,N(AH648)&gt;0.004,V648&lt;&gt;"Void",V648&lt;&gt;"Not invoiced",V648&lt;&gt;"Draft")),"",IF(COUNT(X648)=0,"No due date",IF(TODAY()-X648&lt;=0,"Not yet due",IF(TODAY()-X648&lt;=30,"1-30 days",IF(TODAY()-X648&lt;=60,"31-60 days",IF(TODAY()-X648&lt;=90,"61-90 days","Over 90 days")))))))</f>
        <v/>
      </c>
      <c r="AM648" s="49">
        <f>IF(OR(AL648="",AL648="No due date"),"",MAX(TODAY()-X648,0))</f>
        <v/>
      </c>
      <c r="AN648" s="49">
        <f>IF(AL648="","",IF(COUNT(X648)=0,-100000,TODAY()-X648))</f>
        <v/>
      </c>
      <c r="AO648" s="49">
        <f>IF(AN648="","",COUNTIF(AN$11:AN$1010,"&gt;"&amp;AN648)+COUNTIF(AN$11:AN648,AN648))</f>
        <v/>
      </c>
      <c r="AP648" s="49">
        <f>IF(OR(A648="",B648=""),"",IF(COUNTIF(B$11:B648,B648)=1,MAX(AP$10:AP647)+1,""))</f>
        <v/>
      </c>
    </row>
    <row r="649">
      <c r="A649" s="20" t="n"/>
      <c r="B649" s="10" t="n"/>
      <c r="C649" s="10" t="n"/>
      <c r="D649" s="10" t="n"/>
      <c r="E649" s="10" t="n"/>
      <c r="F649" s="18" t="n"/>
      <c r="G649" s="10" t="n"/>
      <c r="H649" s="12" t="n"/>
      <c r="I649" s="12" t="n"/>
      <c r="J649" s="13">
        <f>IF(OR(A649="",COUNT(H649)=0,COUNT(Z649)=0),"",ROUND(Z649-H649,2))</f>
        <v/>
      </c>
      <c r="K649" s="15">
        <f>IF(COUNT(J649)=0,"",IF(Z649=0,"n.a.",J649/Z649))</f>
        <v/>
      </c>
      <c r="L649" s="14">
        <f>IF(OR(A649="",COUNT(H649)=0,COUNT(Y649)=0),"",ROUND(H649*(1+Y649),2))</f>
        <v/>
      </c>
      <c r="M649" s="10" t="n"/>
      <c r="N649" s="10" t="n"/>
      <c r="O649" s="10" t="n"/>
      <c r="P649" s="10" t="n"/>
      <c r="Q649" s="20" t="n"/>
      <c r="R649" s="10" t="n"/>
      <c r="S649" s="10" t="n"/>
      <c r="T649" s="18" t="n"/>
      <c r="U649" s="18" t="n"/>
      <c r="V649" s="10" t="n"/>
      <c r="W649" s="10" t="n"/>
      <c r="X649" s="19">
        <f>IF(OR(A649="",COUNT(U649)=0,COUNT(AI649)=0),"",U649+AI649)</f>
        <v/>
      </c>
      <c r="Y649" s="16" t="n"/>
      <c r="Z649" s="12" t="n"/>
      <c r="AA649" s="17">
        <f>IF(COUNT(J649)=0,"",IF(H649=0,"n.a.",J649/H649))</f>
        <v/>
      </c>
      <c r="AB649" s="12" t="n"/>
      <c r="AC649" s="12" t="n"/>
      <c r="AD649" s="12" t="n"/>
      <c r="AE649" s="13">
        <f>IF(OR(COUNT(J649)=0,COUNT(AB649:AD649)&lt;3),"",ROUND(J649-SUM(AB649:AD649),2))</f>
        <v/>
      </c>
      <c r="AF649" s="15">
        <f>IF(COUNT(AE649)=0,"",IF(Z649=0,"n.a.",AE649/Z649))</f>
        <v/>
      </c>
      <c r="AG649" s="12" t="n"/>
      <c r="AH649" s="14">
        <f>IF(OR(A649="",COUNT(Z649)=0,COUNT(AG649)=0),"",ROUND(Z649-AG649,2))</f>
        <v/>
      </c>
      <c r="AI649" s="21" t="n"/>
      <c r="AJ649" s="11">
        <f>IF(A649="","",IF(COUNT(I649)=0,"Enter approved NTE",IF(COUNT(Z649)&gt;0,IF(Z649&gt;I649,"Invoice exceeds NTE","Invoice within NTE"),IF(COUNT(L649)=0,"Enter quote inputs",IF(L649&gt;I649,"Quote exceeds NTE","Quote within NTE")))))</f>
        <v/>
      </c>
      <c r="AK649" s="11">
        <f>IF(A649="","",IF(COUNT(H649)=0,"Enter direct cost",IF(COUNT(Z649)=0,"Enter invoice revenue",IF(COUNT(AB649:AD649)&lt;3,"Enter expenses (0 if none)","Complete"))))</f>
        <v/>
      </c>
      <c r="AL649" s="11">
        <f>IF(A649="","",IF(NOT(AND(COUNT(AH649)=1,N(AH649)&gt;0.004,V649&lt;&gt;"Void",V649&lt;&gt;"Not invoiced",V649&lt;&gt;"Draft")),"",IF(COUNT(X649)=0,"No due date",IF(TODAY()-X649&lt;=0,"Not yet due",IF(TODAY()-X649&lt;=30,"1-30 days",IF(TODAY()-X649&lt;=60,"31-60 days",IF(TODAY()-X649&lt;=90,"61-90 days","Over 90 days")))))))</f>
        <v/>
      </c>
      <c r="AM649" s="49">
        <f>IF(OR(AL649="",AL649="No due date"),"",MAX(TODAY()-X649,0))</f>
        <v/>
      </c>
      <c r="AN649" s="49">
        <f>IF(AL649="","",IF(COUNT(X649)=0,-100000,TODAY()-X649))</f>
        <v/>
      </c>
      <c r="AO649" s="49">
        <f>IF(AN649="","",COUNTIF(AN$11:AN$1010,"&gt;"&amp;AN649)+COUNTIF(AN$11:AN649,AN649))</f>
        <v/>
      </c>
      <c r="AP649" s="49">
        <f>IF(OR(A649="",B649=""),"",IF(COUNTIF(B$11:B649,B649)=1,MAX(AP$10:AP648)+1,""))</f>
        <v/>
      </c>
    </row>
    <row r="650">
      <c r="A650" s="20" t="n"/>
      <c r="B650" s="10" t="n"/>
      <c r="C650" s="10" t="n"/>
      <c r="D650" s="10" t="n"/>
      <c r="E650" s="10" t="n"/>
      <c r="F650" s="18" t="n"/>
      <c r="G650" s="10" t="n"/>
      <c r="H650" s="12" t="n"/>
      <c r="I650" s="12" t="n"/>
      <c r="J650" s="13">
        <f>IF(OR(A650="",COUNT(H650)=0,COUNT(Z650)=0),"",ROUND(Z650-H650,2))</f>
        <v/>
      </c>
      <c r="K650" s="15">
        <f>IF(COUNT(J650)=0,"",IF(Z650=0,"n.a.",J650/Z650))</f>
        <v/>
      </c>
      <c r="L650" s="14">
        <f>IF(OR(A650="",COUNT(H650)=0,COUNT(Y650)=0),"",ROUND(H650*(1+Y650),2))</f>
        <v/>
      </c>
      <c r="M650" s="10" t="n"/>
      <c r="N650" s="10" t="n"/>
      <c r="O650" s="10" t="n"/>
      <c r="P650" s="10" t="n"/>
      <c r="Q650" s="20" t="n"/>
      <c r="R650" s="10" t="n"/>
      <c r="S650" s="10" t="n"/>
      <c r="T650" s="18" t="n"/>
      <c r="U650" s="18" t="n"/>
      <c r="V650" s="10" t="n"/>
      <c r="W650" s="10" t="n"/>
      <c r="X650" s="19">
        <f>IF(OR(A650="",COUNT(U650)=0,COUNT(AI650)=0),"",U650+AI650)</f>
        <v/>
      </c>
      <c r="Y650" s="16" t="n"/>
      <c r="Z650" s="12" t="n"/>
      <c r="AA650" s="17">
        <f>IF(COUNT(J650)=0,"",IF(H650=0,"n.a.",J650/H650))</f>
        <v/>
      </c>
      <c r="AB650" s="12" t="n"/>
      <c r="AC650" s="12" t="n"/>
      <c r="AD650" s="12" t="n"/>
      <c r="AE650" s="13">
        <f>IF(OR(COUNT(J650)=0,COUNT(AB650:AD650)&lt;3),"",ROUND(J650-SUM(AB650:AD650),2))</f>
        <v/>
      </c>
      <c r="AF650" s="15">
        <f>IF(COUNT(AE650)=0,"",IF(Z650=0,"n.a.",AE650/Z650))</f>
        <v/>
      </c>
      <c r="AG650" s="12" t="n"/>
      <c r="AH650" s="14">
        <f>IF(OR(A650="",COUNT(Z650)=0,COUNT(AG650)=0),"",ROUND(Z650-AG650,2))</f>
        <v/>
      </c>
      <c r="AI650" s="21" t="n"/>
      <c r="AJ650" s="11">
        <f>IF(A650="","",IF(COUNT(I650)=0,"Enter approved NTE",IF(COUNT(Z650)&gt;0,IF(Z650&gt;I650,"Invoice exceeds NTE","Invoice within NTE"),IF(COUNT(L650)=0,"Enter quote inputs",IF(L650&gt;I650,"Quote exceeds NTE","Quote within NTE")))))</f>
        <v/>
      </c>
      <c r="AK650" s="11">
        <f>IF(A650="","",IF(COUNT(H650)=0,"Enter direct cost",IF(COUNT(Z650)=0,"Enter invoice revenue",IF(COUNT(AB650:AD650)&lt;3,"Enter expenses (0 if none)","Complete"))))</f>
        <v/>
      </c>
      <c r="AL650" s="11">
        <f>IF(A650="","",IF(NOT(AND(COUNT(AH650)=1,N(AH650)&gt;0.004,V650&lt;&gt;"Void",V650&lt;&gt;"Not invoiced",V650&lt;&gt;"Draft")),"",IF(COUNT(X650)=0,"No due date",IF(TODAY()-X650&lt;=0,"Not yet due",IF(TODAY()-X650&lt;=30,"1-30 days",IF(TODAY()-X650&lt;=60,"31-60 days",IF(TODAY()-X650&lt;=90,"61-90 days","Over 90 days")))))))</f>
        <v/>
      </c>
      <c r="AM650" s="49">
        <f>IF(OR(AL650="",AL650="No due date"),"",MAX(TODAY()-X650,0))</f>
        <v/>
      </c>
      <c r="AN650" s="49">
        <f>IF(AL650="","",IF(COUNT(X650)=0,-100000,TODAY()-X650))</f>
        <v/>
      </c>
      <c r="AO650" s="49">
        <f>IF(AN650="","",COUNTIF(AN$11:AN$1010,"&gt;"&amp;AN650)+COUNTIF(AN$11:AN650,AN650))</f>
        <v/>
      </c>
      <c r="AP650" s="49">
        <f>IF(OR(A650="",B650=""),"",IF(COUNTIF(B$11:B650,B650)=1,MAX(AP$10:AP649)+1,""))</f>
        <v/>
      </c>
    </row>
    <row r="651">
      <c r="A651" s="20" t="n"/>
      <c r="B651" s="10" t="n"/>
      <c r="C651" s="10" t="n"/>
      <c r="D651" s="10" t="n"/>
      <c r="E651" s="10" t="n"/>
      <c r="F651" s="18" t="n"/>
      <c r="G651" s="10" t="n"/>
      <c r="H651" s="12" t="n"/>
      <c r="I651" s="12" t="n"/>
      <c r="J651" s="13">
        <f>IF(OR(A651="",COUNT(H651)=0,COUNT(Z651)=0),"",ROUND(Z651-H651,2))</f>
        <v/>
      </c>
      <c r="K651" s="15">
        <f>IF(COUNT(J651)=0,"",IF(Z651=0,"n.a.",J651/Z651))</f>
        <v/>
      </c>
      <c r="L651" s="14">
        <f>IF(OR(A651="",COUNT(H651)=0,COUNT(Y651)=0),"",ROUND(H651*(1+Y651),2))</f>
        <v/>
      </c>
      <c r="M651" s="10" t="n"/>
      <c r="N651" s="10" t="n"/>
      <c r="O651" s="10" t="n"/>
      <c r="P651" s="10" t="n"/>
      <c r="Q651" s="20" t="n"/>
      <c r="R651" s="10" t="n"/>
      <c r="S651" s="10" t="n"/>
      <c r="T651" s="18" t="n"/>
      <c r="U651" s="18" t="n"/>
      <c r="V651" s="10" t="n"/>
      <c r="W651" s="10" t="n"/>
      <c r="X651" s="19">
        <f>IF(OR(A651="",COUNT(U651)=0,COUNT(AI651)=0),"",U651+AI651)</f>
        <v/>
      </c>
      <c r="Y651" s="16" t="n"/>
      <c r="Z651" s="12" t="n"/>
      <c r="AA651" s="17">
        <f>IF(COUNT(J651)=0,"",IF(H651=0,"n.a.",J651/H651))</f>
        <v/>
      </c>
      <c r="AB651" s="12" t="n"/>
      <c r="AC651" s="12" t="n"/>
      <c r="AD651" s="12" t="n"/>
      <c r="AE651" s="13">
        <f>IF(OR(COUNT(J651)=0,COUNT(AB651:AD651)&lt;3),"",ROUND(J651-SUM(AB651:AD651),2))</f>
        <v/>
      </c>
      <c r="AF651" s="15">
        <f>IF(COUNT(AE651)=0,"",IF(Z651=0,"n.a.",AE651/Z651))</f>
        <v/>
      </c>
      <c r="AG651" s="12" t="n"/>
      <c r="AH651" s="14">
        <f>IF(OR(A651="",COUNT(Z651)=0,COUNT(AG651)=0),"",ROUND(Z651-AG651,2))</f>
        <v/>
      </c>
      <c r="AI651" s="21" t="n"/>
      <c r="AJ651" s="11">
        <f>IF(A651="","",IF(COUNT(I651)=0,"Enter approved NTE",IF(COUNT(Z651)&gt;0,IF(Z651&gt;I651,"Invoice exceeds NTE","Invoice within NTE"),IF(COUNT(L651)=0,"Enter quote inputs",IF(L651&gt;I651,"Quote exceeds NTE","Quote within NTE")))))</f>
        <v/>
      </c>
      <c r="AK651" s="11">
        <f>IF(A651="","",IF(COUNT(H651)=0,"Enter direct cost",IF(COUNT(Z651)=0,"Enter invoice revenue",IF(COUNT(AB651:AD651)&lt;3,"Enter expenses (0 if none)","Complete"))))</f>
        <v/>
      </c>
      <c r="AL651" s="11">
        <f>IF(A651="","",IF(NOT(AND(COUNT(AH651)=1,N(AH651)&gt;0.004,V651&lt;&gt;"Void",V651&lt;&gt;"Not invoiced",V651&lt;&gt;"Draft")),"",IF(COUNT(X651)=0,"No due date",IF(TODAY()-X651&lt;=0,"Not yet due",IF(TODAY()-X651&lt;=30,"1-30 days",IF(TODAY()-X651&lt;=60,"31-60 days",IF(TODAY()-X651&lt;=90,"61-90 days","Over 90 days")))))))</f>
        <v/>
      </c>
      <c r="AM651" s="49">
        <f>IF(OR(AL651="",AL651="No due date"),"",MAX(TODAY()-X651,0))</f>
        <v/>
      </c>
      <c r="AN651" s="49">
        <f>IF(AL651="","",IF(COUNT(X651)=0,-100000,TODAY()-X651))</f>
        <v/>
      </c>
      <c r="AO651" s="49">
        <f>IF(AN651="","",COUNTIF(AN$11:AN$1010,"&gt;"&amp;AN651)+COUNTIF(AN$11:AN651,AN651))</f>
        <v/>
      </c>
      <c r="AP651" s="49">
        <f>IF(OR(A651="",B651=""),"",IF(COUNTIF(B$11:B651,B651)=1,MAX(AP$10:AP650)+1,""))</f>
        <v/>
      </c>
    </row>
    <row r="652">
      <c r="A652" s="20" t="n"/>
      <c r="B652" s="10" t="n"/>
      <c r="C652" s="10" t="n"/>
      <c r="D652" s="10" t="n"/>
      <c r="E652" s="10" t="n"/>
      <c r="F652" s="18" t="n"/>
      <c r="G652" s="10" t="n"/>
      <c r="H652" s="12" t="n"/>
      <c r="I652" s="12" t="n"/>
      <c r="J652" s="13">
        <f>IF(OR(A652="",COUNT(H652)=0,COUNT(Z652)=0),"",ROUND(Z652-H652,2))</f>
        <v/>
      </c>
      <c r="K652" s="15">
        <f>IF(COUNT(J652)=0,"",IF(Z652=0,"n.a.",J652/Z652))</f>
        <v/>
      </c>
      <c r="L652" s="14">
        <f>IF(OR(A652="",COUNT(H652)=0,COUNT(Y652)=0),"",ROUND(H652*(1+Y652),2))</f>
        <v/>
      </c>
      <c r="M652" s="10" t="n"/>
      <c r="N652" s="10" t="n"/>
      <c r="O652" s="10" t="n"/>
      <c r="P652" s="10" t="n"/>
      <c r="Q652" s="20" t="n"/>
      <c r="R652" s="10" t="n"/>
      <c r="S652" s="10" t="n"/>
      <c r="T652" s="18" t="n"/>
      <c r="U652" s="18" t="n"/>
      <c r="V652" s="10" t="n"/>
      <c r="W652" s="10" t="n"/>
      <c r="X652" s="19">
        <f>IF(OR(A652="",COUNT(U652)=0,COUNT(AI652)=0),"",U652+AI652)</f>
        <v/>
      </c>
      <c r="Y652" s="16" t="n"/>
      <c r="Z652" s="12" t="n"/>
      <c r="AA652" s="17">
        <f>IF(COUNT(J652)=0,"",IF(H652=0,"n.a.",J652/H652))</f>
        <v/>
      </c>
      <c r="AB652" s="12" t="n"/>
      <c r="AC652" s="12" t="n"/>
      <c r="AD652" s="12" t="n"/>
      <c r="AE652" s="13">
        <f>IF(OR(COUNT(J652)=0,COUNT(AB652:AD652)&lt;3),"",ROUND(J652-SUM(AB652:AD652),2))</f>
        <v/>
      </c>
      <c r="AF652" s="15">
        <f>IF(COUNT(AE652)=0,"",IF(Z652=0,"n.a.",AE652/Z652))</f>
        <v/>
      </c>
      <c r="AG652" s="12" t="n"/>
      <c r="AH652" s="14">
        <f>IF(OR(A652="",COUNT(Z652)=0,COUNT(AG652)=0),"",ROUND(Z652-AG652,2))</f>
        <v/>
      </c>
      <c r="AI652" s="21" t="n"/>
      <c r="AJ652" s="11">
        <f>IF(A652="","",IF(COUNT(I652)=0,"Enter approved NTE",IF(COUNT(Z652)&gt;0,IF(Z652&gt;I652,"Invoice exceeds NTE","Invoice within NTE"),IF(COUNT(L652)=0,"Enter quote inputs",IF(L652&gt;I652,"Quote exceeds NTE","Quote within NTE")))))</f>
        <v/>
      </c>
      <c r="AK652" s="11">
        <f>IF(A652="","",IF(COUNT(H652)=0,"Enter direct cost",IF(COUNT(Z652)=0,"Enter invoice revenue",IF(COUNT(AB652:AD652)&lt;3,"Enter expenses (0 if none)","Complete"))))</f>
        <v/>
      </c>
      <c r="AL652" s="11">
        <f>IF(A652="","",IF(NOT(AND(COUNT(AH652)=1,N(AH652)&gt;0.004,V652&lt;&gt;"Void",V652&lt;&gt;"Not invoiced",V652&lt;&gt;"Draft")),"",IF(COUNT(X652)=0,"No due date",IF(TODAY()-X652&lt;=0,"Not yet due",IF(TODAY()-X652&lt;=30,"1-30 days",IF(TODAY()-X652&lt;=60,"31-60 days",IF(TODAY()-X652&lt;=90,"61-90 days","Over 90 days")))))))</f>
        <v/>
      </c>
      <c r="AM652" s="49">
        <f>IF(OR(AL652="",AL652="No due date"),"",MAX(TODAY()-X652,0))</f>
        <v/>
      </c>
      <c r="AN652" s="49">
        <f>IF(AL652="","",IF(COUNT(X652)=0,-100000,TODAY()-X652))</f>
        <v/>
      </c>
      <c r="AO652" s="49">
        <f>IF(AN652="","",COUNTIF(AN$11:AN$1010,"&gt;"&amp;AN652)+COUNTIF(AN$11:AN652,AN652))</f>
        <v/>
      </c>
      <c r="AP652" s="49">
        <f>IF(OR(A652="",B652=""),"",IF(COUNTIF(B$11:B652,B652)=1,MAX(AP$10:AP651)+1,""))</f>
        <v/>
      </c>
    </row>
    <row r="653">
      <c r="A653" s="20" t="n"/>
      <c r="B653" s="10" t="n"/>
      <c r="C653" s="10" t="n"/>
      <c r="D653" s="10" t="n"/>
      <c r="E653" s="10" t="n"/>
      <c r="F653" s="18" t="n"/>
      <c r="G653" s="10" t="n"/>
      <c r="H653" s="12" t="n"/>
      <c r="I653" s="12" t="n"/>
      <c r="J653" s="13">
        <f>IF(OR(A653="",COUNT(H653)=0,COUNT(Z653)=0),"",ROUND(Z653-H653,2))</f>
        <v/>
      </c>
      <c r="K653" s="15">
        <f>IF(COUNT(J653)=0,"",IF(Z653=0,"n.a.",J653/Z653))</f>
        <v/>
      </c>
      <c r="L653" s="14">
        <f>IF(OR(A653="",COUNT(H653)=0,COUNT(Y653)=0),"",ROUND(H653*(1+Y653),2))</f>
        <v/>
      </c>
      <c r="M653" s="10" t="n"/>
      <c r="N653" s="10" t="n"/>
      <c r="O653" s="10" t="n"/>
      <c r="P653" s="10" t="n"/>
      <c r="Q653" s="20" t="n"/>
      <c r="R653" s="10" t="n"/>
      <c r="S653" s="10" t="n"/>
      <c r="T653" s="18" t="n"/>
      <c r="U653" s="18" t="n"/>
      <c r="V653" s="10" t="n"/>
      <c r="W653" s="10" t="n"/>
      <c r="X653" s="19">
        <f>IF(OR(A653="",COUNT(U653)=0,COUNT(AI653)=0),"",U653+AI653)</f>
        <v/>
      </c>
      <c r="Y653" s="16" t="n"/>
      <c r="Z653" s="12" t="n"/>
      <c r="AA653" s="17">
        <f>IF(COUNT(J653)=0,"",IF(H653=0,"n.a.",J653/H653))</f>
        <v/>
      </c>
      <c r="AB653" s="12" t="n"/>
      <c r="AC653" s="12" t="n"/>
      <c r="AD653" s="12" t="n"/>
      <c r="AE653" s="13">
        <f>IF(OR(COUNT(J653)=0,COUNT(AB653:AD653)&lt;3),"",ROUND(J653-SUM(AB653:AD653),2))</f>
        <v/>
      </c>
      <c r="AF653" s="15">
        <f>IF(COUNT(AE653)=0,"",IF(Z653=0,"n.a.",AE653/Z653))</f>
        <v/>
      </c>
      <c r="AG653" s="12" t="n"/>
      <c r="AH653" s="14">
        <f>IF(OR(A653="",COUNT(Z653)=0,COUNT(AG653)=0),"",ROUND(Z653-AG653,2))</f>
        <v/>
      </c>
      <c r="AI653" s="21" t="n"/>
      <c r="AJ653" s="11">
        <f>IF(A653="","",IF(COUNT(I653)=0,"Enter approved NTE",IF(COUNT(Z653)&gt;0,IF(Z653&gt;I653,"Invoice exceeds NTE","Invoice within NTE"),IF(COUNT(L653)=0,"Enter quote inputs",IF(L653&gt;I653,"Quote exceeds NTE","Quote within NTE")))))</f>
        <v/>
      </c>
      <c r="AK653" s="11">
        <f>IF(A653="","",IF(COUNT(H653)=0,"Enter direct cost",IF(COUNT(Z653)=0,"Enter invoice revenue",IF(COUNT(AB653:AD653)&lt;3,"Enter expenses (0 if none)","Complete"))))</f>
        <v/>
      </c>
      <c r="AL653" s="11">
        <f>IF(A653="","",IF(NOT(AND(COUNT(AH653)=1,N(AH653)&gt;0.004,V653&lt;&gt;"Void",V653&lt;&gt;"Not invoiced",V653&lt;&gt;"Draft")),"",IF(COUNT(X653)=0,"No due date",IF(TODAY()-X653&lt;=0,"Not yet due",IF(TODAY()-X653&lt;=30,"1-30 days",IF(TODAY()-X653&lt;=60,"31-60 days",IF(TODAY()-X653&lt;=90,"61-90 days","Over 90 days")))))))</f>
        <v/>
      </c>
      <c r="AM653" s="49">
        <f>IF(OR(AL653="",AL653="No due date"),"",MAX(TODAY()-X653,0))</f>
        <v/>
      </c>
      <c r="AN653" s="49">
        <f>IF(AL653="","",IF(COUNT(X653)=0,-100000,TODAY()-X653))</f>
        <v/>
      </c>
      <c r="AO653" s="49">
        <f>IF(AN653="","",COUNTIF(AN$11:AN$1010,"&gt;"&amp;AN653)+COUNTIF(AN$11:AN653,AN653))</f>
        <v/>
      </c>
      <c r="AP653" s="49">
        <f>IF(OR(A653="",B653=""),"",IF(COUNTIF(B$11:B653,B653)=1,MAX(AP$10:AP652)+1,""))</f>
        <v/>
      </c>
    </row>
    <row r="654">
      <c r="A654" s="20" t="n"/>
      <c r="B654" s="10" t="n"/>
      <c r="C654" s="10" t="n"/>
      <c r="D654" s="10" t="n"/>
      <c r="E654" s="10" t="n"/>
      <c r="F654" s="18" t="n"/>
      <c r="G654" s="10" t="n"/>
      <c r="H654" s="12" t="n"/>
      <c r="I654" s="12" t="n"/>
      <c r="J654" s="13">
        <f>IF(OR(A654="",COUNT(H654)=0,COUNT(Z654)=0),"",ROUND(Z654-H654,2))</f>
        <v/>
      </c>
      <c r="K654" s="15">
        <f>IF(COUNT(J654)=0,"",IF(Z654=0,"n.a.",J654/Z654))</f>
        <v/>
      </c>
      <c r="L654" s="14">
        <f>IF(OR(A654="",COUNT(H654)=0,COUNT(Y654)=0),"",ROUND(H654*(1+Y654),2))</f>
        <v/>
      </c>
      <c r="M654" s="10" t="n"/>
      <c r="N654" s="10" t="n"/>
      <c r="O654" s="10" t="n"/>
      <c r="P654" s="10" t="n"/>
      <c r="Q654" s="20" t="n"/>
      <c r="R654" s="10" t="n"/>
      <c r="S654" s="10" t="n"/>
      <c r="T654" s="18" t="n"/>
      <c r="U654" s="18" t="n"/>
      <c r="V654" s="10" t="n"/>
      <c r="W654" s="10" t="n"/>
      <c r="X654" s="19">
        <f>IF(OR(A654="",COUNT(U654)=0,COUNT(AI654)=0),"",U654+AI654)</f>
        <v/>
      </c>
      <c r="Y654" s="16" t="n"/>
      <c r="Z654" s="12" t="n"/>
      <c r="AA654" s="17">
        <f>IF(COUNT(J654)=0,"",IF(H654=0,"n.a.",J654/H654))</f>
        <v/>
      </c>
      <c r="AB654" s="12" t="n"/>
      <c r="AC654" s="12" t="n"/>
      <c r="AD654" s="12" t="n"/>
      <c r="AE654" s="13">
        <f>IF(OR(COUNT(J654)=0,COUNT(AB654:AD654)&lt;3),"",ROUND(J654-SUM(AB654:AD654),2))</f>
        <v/>
      </c>
      <c r="AF654" s="15">
        <f>IF(COUNT(AE654)=0,"",IF(Z654=0,"n.a.",AE654/Z654))</f>
        <v/>
      </c>
      <c r="AG654" s="12" t="n"/>
      <c r="AH654" s="14">
        <f>IF(OR(A654="",COUNT(Z654)=0,COUNT(AG654)=0),"",ROUND(Z654-AG654,2))</f>
        <v/>
      </c>
      <c r="AI654" s="21" t="n"/>
      <c r="AJ654" s="11">
        <f>IF(A654="","",IF(COUNT(I654)=0,"Enter approved NTE",IF(COUNT(Z654)&gt;0,IF(Z654&gt;I654,"Invoice exceeds NTE","Invoice within NTE"),IF(COUNT(L654)=0,"Enter quote inputs",IF(L654&gt;I654,"Quote exceeds NTE","Quote within NTE")))))</f>
        <v/>
      </c>
      <c r="AK654" s="11">
        <f>IF(A654="","",IF(COUNT(H654)=0,"Enter direct cost",IF(COUNT(Z654)=0,"Enter invoice revenue",IF(COUNT(AB654:AD654)&lt;3,"Enter expenses (0 if none)","Complete"))))</f>
        <v/>
      </c>
      <c r="AL654" s="11">
        <f>IF(A654="","",IF(NOT(AND(COUNT(AH654)=1,N(AH654)&gt;0.004,V654&lt;&gt;"Void",V654&lt;&gt;"Not invoiced",V654&lt;&gt;"Draft")),"",IF(COUNT(X654)=0,"No due date",IF(TODAY()-X654&lt;=0,"Not yet due",IF(TODAY()-X654&lt;=30,"1-30 days",IF(TODAY()-X654&lt;=60,"31-60 days",IF(TODAY()-X654&lt;=90,"61-90 days","Over 90 days")))))))</f>
        <v/>
      </c>
      <c r="AM654" s="49">
        <f>IF(OR(AL654="",AL654="No due date"),"",MAX(TODAY()-X654,0))</f>
        <v/>
      </c>
      <c r="AN654" s="49">
        <f>IF(AL654="","",IF(COUNT(X654)=0,-100000,TODAY()-X654))</f>
        <v/>
      </c>
      <c r="AO654" s="49">
        <f>IF(AN654="","",COUNTIF(AN$11:AN$1010,"&gt;"&amp;AN654)+COUNTIF(AN$11:AN654,AN654))</f>
        <v/>
      </c>
      <c r="AP654" s="49">
        <f>IF(OR(A654="",B654=""),"",IF(COUNTIF(B$11:B654,B654)=1,MAX(AP$10:AP653)+1,""))</f>
        <v/>
      </c>
    </row>
    <row r="655">
      <c r="A655" s="20" t="n"/>
      <c r="B655" s="10" t="n"/>
      <c r="C655" s="10" t="n"/>
      <c r="D655" s="10" t="n"/>
      <c r="E655" s="10" t="n"/>
      <c r="F655" s="18" t="n"/>
      <c r="G655" s="10" t="n"/>
      <c r="H655" s="12" t="n"/>
      <c r="I655" s="12" t="n"/>
      <c r="J655" s="13">
        <f>IF(OR(A655="",COUNT(H655)=0,COUNT(Z655)=0),"",ROUND(Z655-H655,2))</f>
        <v/>
      </c>
      <c r="K655" s="15">
        <f>IF(COUNT(J655)=0,"",IF(Z655=0,"n.a.",J655/Z655))</f>
        <v/>
      </c>
      <c r="L655" s="14">
        <f>IF(OR(A655="",COUNT(H655)=0,COUNT(Y655)=0),"",ROUND(H655*(1+Y655),2))</f>
        <v/>
      </c>
      <c r="M655" s="10" t="n"/>
      <c r="N655" s="10" t="n"/>
      <c r="O655" s="10" t="n"/>
      <c r="P655" s="10" t="n"/>
      <c r="Q655" s="20" t="n"/>
      <c r="R655" s="10" t="n"/>
      <c r="S655" s="10" t="n"/>
      <c r="T655" s="18" t="n"/>
      <c r="U655" s="18" t="n"/>
      <c r="V655" s="10" t="n"/>
      <c r="W655" s="10" t="n"/>
      <c r="X655" s="19">
        <f>IF(OR(A655="",COUNT(U655)=0,COUNT(AI655)=0),"",U655+AI655)</f>
        <v/>
      </c>
      <c r="Y655" s="16" t="n"/>
      <c r="Z655" s="12" t="n"/>
      <c r="AA655" s="17">
        <f>IF(COUNT(J655)=0,"",IF(H655=0,"n.a.",J655/H655))</f>
        <v/>
      </c>
      <c r="AB655" s="12" t="n"/>
      <c r="AC655" s="12" t="n"/>
      <c r="AD655" s="12" t="n"/>
      <c r="AE655" s="13">
        <f>IF(OR(COUNT(J655)=0,COUNT(AB655:AD655)&lt;3),"",ROUND(J655-SUM(AB655:AD655),2))</f>
        <v/>
      </c>
      <c r="AF655" s="15">
        <f>IF(COUNT(AE655)=0,"",IF(Z655=0,"n.a.",AE655/Z655))</f>
        <v/>
      </c>
      <c r="AG655" s="12" t="n"/>
      <c r="AH655" s="14">
        <f>IF(OR(A655="",COUNT(Z655)=0,COUNT(AG655)=0),"",ROUND(Z655-AG655,2))</f>
        <v/>
      </c>
      <c r="AI655" s="21" t="n"/>
      <c r="AJ655" s="11">
        <f>IF(A655="","",IF(COUNT(I655)=0,"Enter approved NTE",IF(COUNT(Z655)&gt;0,IF(Z655&gt;I655,"Invoice exceeds NTE","Invoice within NTE"),IF(COUNT(L655)=0,"Enter quote inputs",IF(L655&gt;I655,"Quote exceeds NTE","Quote within NTE")))))</f>
        <v/>
      </c>
      <c r="AK655" s="11">
        <f>IF(A655="","",IF(COUNT(H655)=0,"Enter direct cost",IF(COUNT(Z655)=0,"Enter invoice revenue",IF(COUNT(AB655:AD655)&lt;3,"Enter expenses (0 if none)","Complete"))))</f>
        <v/>
      </c>
      <c r="AL655" s="11">
        <f>IF(A655="","",IF(NOT(AND(COUNT(AH655)=1,N(AH655)&gt;0.004,V655&lt;&gt;"Void",V655&lt;&gt;"Not invoiced",V655&lt;&gt;"Draft")),"",IF(COUNT(X655)=0,"No due date",IF(TODAY()-X655&lt;=0,"Not yet due",IF(TODAY()-X655&lt;=30,"1-30 days",IF(TODAY()-X655&lt;=60,"31-60 days",IF(TODAY()-X655&lt;=90,"61-90 days","Over 90 days")))))))</f>
        <v/>
      </c>
      <c r="AM655" s="49">
        <f>IF(OR(AL655="",AL655="No due date"),"",MAX(TODAY()-X655,0))</f>
        <v/>
      </c>
      <c r="AN655" s="49">
        <f>IF(AL655="","",IF(COUNT(X655)=0,-100000,TODAY()-X655))</f>
        <v/>
      </c>
      <c r="AO655" s="49">
        <f>IF(AN655="","",COUNTIF(AN$11:AN$1010,"&gt;"&amp;AN655)+COUNTIF(AN$11:AN655,AN655))</f>
        <v/>
      </c>
      <c r="AP655" s="49">
        <f>IF(OR(A655="",B655=""),"",IF(COUNTIF(B$11:B655,B655)=1,MAX(AP$10:AP654)+1,""))</f>
        <v/>
      </c>
    </row>
    <row r="656">
      <c r="A656" s="20" t="n"/>
      <c r="B656" s="10" t="n"/>
      <c r="C656" s="10" t="n"/>
      <c r="D656" s="10" t="n"/>
      <c r="E656" s="10" t="n"/>
      <c r="F656" s="18" t="n"/>
      <c r="G656" s="10" t="n"/>
      <c r="H656" s="12" t="n"/>
      <c r="I656" s="12" t="n"/>
      <c r="J656" s="13">
        <f>IF(OR(A656="",COUNT(H656)=0,COUNT(Z656)=0),"",ROUND(Z656-H656,2))</f>
        <v/>
      </c>
      <c r="K656" s="15">
        <f>IF(COUNT(J656)=0,"",IF(Z656=0,"n.a.",J656/Z656))</f>
        <v/>
      </c>
      <c r="L656" s="14">
        <f>IF(OR(A656="",COUNT(H656)=0,COUNT(Y656)=0),"",ROUND(H656*(1+Y656),2))</f>
        <v/>
      </c>
      <c r="M656" s="10" t="n"/>
      <c r="N656" s="10" t="n"/>
      <c r="O656" s="10" t="n"/>
      <c r="P656" s="10" t="n"/>
      <c r="Q656" s="20" t="n"/>
      <c r="R656" s="10" t="n"/>
      <c r="S656" s="10" t="n"/>
      <c r="T656" s="18" t="n"/>
      <c r="U656" s="18" t="n"/>
      <c r="V656" s="10" t="n"/>
      <c r="W656" s="10" t="n"/>
      <c r="X656" s="19">
        <f>IF(OR(A656="",COUNT(U656)=0,COUNT(AI656)=0),"",U656+AI656)</f>
        <v/>
      </c>
      <c r="Y656" s="16" t="n"/>
      <c r="Z656" s="12" t="n"/>
      <c r="AA656" s="17">
        <f>IF(COUNT(J656)=0,"",IF(H656=0,"n.a.",J656/H656))</f>
        <v/>
      </c>
      <c r="AB656" s="12" t="n"/>
      <c r="AC656" s="12" t="n"/>
      <c r="AD656" s="12" t="n"/>
      <c r="AE656" s="13">
        <f>IF(OR(COUNT(J656)=0,COUNT(AB656:AD656)&lt;3),"",ROUND(J656-SUM(AB656:AD656),2))</f>
        <v/>
      </c>
      <c r="AF656" s="15">
        <f>IF(COUNT(AE656)=0,"",IF(Z656=0,"n.a.",AE656/Z656))</f>
        <v/>
      </c>
      <c r="AG656" s="12" t="n"/>
      <c r="AH656" s="14">
        <f>IF(OR(A656="",COUNT(Z656)=0,COUNT(AG656)=0),"",ROUND(Z656-AG656,2))</f>
        <v/>
      </c>
      <c r="AI656" s="21" t="n"/>
      <c r="AJ656" s="11">
        <f>IF(A656="","",IF(COUNT(I656)=0,"Enter approved NTE",IF(COUNT(Z656)&gt;0,IF(Z656&gt;I656,"Invoice exceeds NTE","Invoice within NTE"),IF(COUNT(L656)=0,"Enter quote inputs",IF(L656&gt;I656,"Quote exceeds NTE","Quote within NTE")))))</f>
        <v/>
      </c>
      <c r="AK656" s="11">
        <f>IF(A656="","",IF(COUNT(H656)=0,"Enter direct cost",IF(COUNT(Z656)=0,"Enter invoice revenue",IF(COUNT(AB656:AD656)&lt;3,"Enter expenses (0 if none)","Complete"))))</f>
        <v/>
      </c>
      <c r="AL656" s="11">
        <f>IF(A656="","",IF(NOT(AND(COUNT(AH656)=1,N(AH656)&gt;0.004,V656&lt;&gt;"Void",V656&lt;&gt;"Not invoiced",V656&lt;&gt;"Draft")),"",IF(COUNT(X656)=0,"No due date",IF(TODAY()-X656&lt;=0,"Not yet due",IF(TODAY()-X656&lt;=30,"1-30 days",IF(TODAY()-X656&lt;=60,"31-60 days",IF(TODAY()-X656&lt;=90,"61-90 days","Over 90 days")))))))</f>
        <v/>
      </c>
      <c r="AM656" s="49">
        <f>IF(OR(AL656="",AL656="No due date"),"",MAX(TODAY()-X656,0))</f>
        <v/>
      </c>
      <c r="AN656" s="49">
        <f>IF(AL656="","",IF(COUNT(X656)=0,-100000,TODAY()-X656))</f>
        <v/>
      </c>
      <c r="AO656" s="49">
        <f>IF(AN656="","",COUNTIF(AN$11:AN$1010,"&gt;"&amp;AN656)+COUNTIF(AN$11:AN656,AN656))</f>
        <v/>
      </c>
      <c r="AP656" s="49">
        <f>IF(OR(A656="",B656=""),"",IF(COUNTIF(B$11:B656,B656)=1,MAX(AP$10:AP655)+1,""))</f>
        <v/>
      </c>
    </row>
    <row r="657">
      <c r="A657" s="20" t="n"/>
      <c r="B657" s="10" t="n"/>
      <c r="C657" s="10" t="n"/>
      <c r="D657" s="10" t="n"/>
      <c r="E657" s="10" t="n"/>
      <c r="F657" s="18" t="n"/>
      <c r="G657" s="10" t="n"/>
      <c r="H657" s="12" t="n"/>
      <c r="I657" s="12" t="n"/>
      <c r="J657" s="13">
        <f>IF(OR(A657="",COUNT(H657)=0,COUNT(Z657)=0),"",ROUND(Z657-H657,2))</f>
        <v/>
      </c>
      <c r="K657" s="15">
        <f>IF(COUNT(J657)=0,"",IF(Z657=0,"n.a.",J657/Z657))</f>
        <v/>
      </c>
      <c r="L657" s="14">
        <f>IF(OR(A657="",COUNT(H657)=0,COUNT(Y657)=0),"",ROUND(H657*(1+Y657),2))</f>
        <v/>
      </c>
      <c r="M657" s="10" t="n"/>
      <c r="N657" s="10" t="n"/>
      <c r="O657" s="10" t="n"/>
      <c r="P657" s="10" t="n"/>
      <c r="Q657" s="20" t="n"/>
      <c r="R657" s="10" t="n"/>
      <c r="S657" s="10" t="n"/>
      <c r="T657" s="18" t="n"/>
      <c r="U657" s="18" t="n"/>
      <c r="V657" s="10" t="n"/>
      <c r="W657" s="10" t="n"/>
      <c r="X657" s="19">
        <f>IF(OR(A657="",COUNT(U657)=0,COUNT(AI657)=0),"",U657+AI657)</f>
        <v/>
      </c>
      <c r="Y657" s="16" t="n"/>
      <c r="Z657" s="12" t="n"/>
      <c r="AA657" s="17">
        <f>IF(COUNT(J657)=0,"",IF(H657=0,"n.a.",J657/H657))</f>
        <v/>
      </c>
      <c r="AB657" s="12" t="n"/>
      <c r="AC657" s="12" t="n"/>
      <c r="AD657" s="12" t="n"/>
      <c r="AE657" s="13">
        <f>IF(OR(COUNT(J657)=0,COUNT(AB657:AD657)&lt;3),"",ROUND(J657-SUM(AB657:AD657),2))</f>
        <v/>
      </c>
      <c r="AF657" s="15">
        <f>IF(COUNT(AE657)=0,"",IF(Z657=0,"n.a.",AE657/Z657))</f>
        <v/>
      </c>
      <c r="AG657" s="12" t="n"/>
      <c r="AH657" s="14">
        <f>IF(OR(A657="",COUNT(Z657)=0,COUNT(AG657)=0),"",ROUND(Z657-AG657,2))</f>
        <v/>
      </c>
      <c r="AI657" s="21" t="n"/>
      <c r="AJ657" s="11">
        <f>IF(A657="","",IF(COUNT(I657)=0,"Enter approved NTE",IF(COUNT(Z657)&gt;0,IF(Z657&gt;I657,"Invoice exceeds NTE","Invoice within NTE"),IF(COUNT(L657)=0,"Enter quote inputs",IF(L657&gt;I657,"Quote exceeds NTE","Quote within NTE")))))</f>
        <v/>
      </c>
      <c r="AK657" s="11">
        <f>IF(A657="","",IF(COUNT(H657)=0,"Enter direct cost",IF(COUNT(Z657)=0,"Enter invoice revenue",IF(COUNT(AB657:AD657)&lt;3,"Enter expenses (0 if none)","Complete"))))</f>
        <v/>
      </c>
      <c r="AL657" s="11">
        <f>IF(A657="","",IF(NOT(AND(COUNT(AH657)=1,N(AH657)&gt;0.004,V657&lt;&gt;"Void",V657&lt;&gt;"Not invoiced",V657&lt;&gt;"Draft")),"",IF(COUNT(X657)=0,"No due date",IF(TODAY()-X657&lt;=0,"Not yet due",IF(TODAY()-X657&lt;=30,"1-30 days",IF(TODAY()-X657&lt;=60,"31-60 days",IF(TODAY()-X657&lt;=90,"61-90 days","Over 90 days")))))))</f>
        <v/>
      </c>
      <c r="AM657" s="49">
        <f>IF(OR(AL657="",AL657="No due date"),"",MAX(TODAY()-X657,0))</f>
        <v/>
      </c>
      <c r="AN657" s="49">
        <f>IF(AL657="","",IF(COUNT(X657)=0,-100000,TODAY()-X657))</f>
        <v/>
      </c>
      <c r="AO657" s="49">
        <f>IF(AN657="","",COUNTIF(AN$11:AN$1010,"&gt;"&amp;AN657)+COUNTIF(AN$11:AN657,AN657))</f>
        <v/>
      </c>
      <c r="AP657" s="49">
        <f>IF(OR(A657="",B657=""),"",IF(COUNTIF(B$11:B657,B657)=1,MAX(AP$10:AP656)+1,""))</f>
        <v/>
      </c>
    </row>
    <row r="658">
      <c r="A658" s="20" t="n"/>
      <c r="B658" s="10" t="n"/>
      <c r="C658" s="10" t="n"/>
      <c r="D658" s="10" t="n"/>
      <c r="E658" s="10" t="n"/>
      <c r="F658" s="18" t="n"/>
      <c r="G658" s="10" t="n"/>
      <c r="H658" s="12" t="n"/>
      <c r="I658" s="12" t="n"/>
      <c r="J658" s="13">
        <f>IF(OR(A658="",COUNT(H658)=0,COUNT(Z658)=0),"",ROUND(Z658-H658,2))</f>
        <v/>
      </c>
      <c r="K658" s="15">
        <f>IF(COUNT(J658)=0,"",IF(Z658=0,"n.a.",J658/Z658))</f>
        <v/>
      </c>
      <c r="L658" s="14">
        <f>IF(OR(A658="",COUNT(H658)=0,COUNT(Y658)=0),"",ROUND(H658*(1+Y658),2))</f>
        <v/>
      </c>
      <c r="M658" s="10" t="n"/>
      <c r="N658" s="10" t="n"/>
      <c r="O658" s="10" t="n"/>
      <c r="P658" s="10" t="n"/>
      <c r="Q658" s="20" t="n"/>
      <c r="R658" s="10" t="n"/>
      <c r="S658" s="10" t="n"/>
      <c r="T658" s="18" t="n"/>
      <c r="U658" s="18" t="n"/>
      <c r="V658" s="10" t="n"/>
      <c r="W658" s="10" t="n"/>
      <c r="X658" s="19">
        <f>IF(OR(A658="",COUNT(U658)=0,COUNT(AI658)=0),"",U658+AI658)</f>
        <v/>
      </c>
      <c r="Y658" s="16" t="n"/>
      <c r="Z658" s="12" t="n"/>
      <c r="AA658" s="17">
        <f>IF(COUNT(J658)=0,"",IF(H658=0,"n.a.",J658/H658))</f>
        <v/>
      </c>
      <c r="AB658" s="12" t="n"/>
      <c r="AC658" s="12" t="n"/>
      <c r="AD658" s="12" t="n"/>
      <c r="AE658" s="13">
        <f>IF(OR(COUNT(J658)=0,COUNT(AB658:AD658)&lt;3),"",ROUND(J658-SUM(AB658:AD658),2))</f>
        <v/>
      </c>
      <c r="AF658" s="15">
        <f>IF(COUNT(AE658)=0,"",IF(Z658=0,"n.a.",AE658/Z658))</f>
        <v/>
      </c>
      <c r="AG658" s="12" t="n"/>
      <c r="AH658" s="14">
        <f>IF(OR(A658="",COUNT(Z658)=0,COUNT(AG658)=0),"",ROUND(Z658-AG658,2))</f>
        <v/>
      </c>
      <c r="AI658" s="21" t="n"/>
      <c r="AJ658" s="11">
        <f>IF(A658="","",IF(COUNT(I658)=0,"Enter approved NTE",IF(COUNT(Z658)&gt;0,IF(Z658&gt;I658,"Invoice exceeds NTE","Invoice within NTE"),IF(COUNT(L658)=0,"Enter quote inputs",IF(L658&gt;I658,"Quote exceeds NTE","Quote within NTE")))))</f>
        <v/>
      </c>
      <c r="AK658" s="11">
        <f>IF(A658="","",IF(COUNT(H658)=0,"Enter direct cost",IF(COUNT(Z658)=0,"Enter invoice revenue",IF(COUNT(AB658:AD658)&lt;3,"Enter expenses (0 if none)","Complete"))))</f>
        <v/>
      </c>
      <c r="AL658" s="11">
        <f>IF(A658="","",IF(NOT(AND(COUNT(AH658)=1,N(AH658)&gt;0.004,V658&lt;&gt;"Void",V658&lt;&gt;"Not invoiced",V658&lt;&gt;"Draft")),"",IF(COUNT(X658)=0,"No due date",IF(TODAY()-X658&lt;=0,"Not yet due",IF(TODAY()-X658&lt;=30,"1-30 days",IF(TODAY()-X658&lt;=60,"31-60 days",IF(TODAY()-X658&lt;=90,"61-90 days","Over 90 days")))))))</f>
        <v/>
      </c>
      <c r="AM658" s="49">
        <f>IF(OR(AL658="",AL658="No due date"),"",MAX(TODAY()-X658,0))</f>
        <v/>
      </c>
      <c r="AN658" s="49">
        <f>IF(AL658="","",IF(COUNT(X658)=0,-100000,TODAY()-X658))</f>
        <v/>
      </c>
      <c r="AO658" s="49">
        <f>IF(AN658="","",COUNTIF(AN$11:AN$1010,"&gt;"&amp;AN658)+COUNTIF(AN$11:AN658,AN658))</f>
        <v/>
      </c>
      <c r="AP658" s="49">
        <f>IF(OR(A658="",B658=""),"",IF(COUNTIF(B$11:B658,B658)=1,MAX(AP$10:AP657)+1,""))</f>
        <v/>
      </c>
    </row>
    <row r="659">
      <c r="A659" s="20" t="n"/>
      <c r="B659" s="10" t="n"/>
      <c r="C659" s="10" t="n"/>
      <c r="D659" s="10" t="n"/>
      <c r="E659" s="10" t="n"/>
      <c r="F659" s="18" t="n"/>
      <c r="G659" s="10" t="n"/>
      <c r="H659" s="12" t="n"/>
      <c r="I659" s="12" t="n"/>
      <c r="J659" s="13">
        <f>IF(OR(A659="",COUNT(H659)=0,COUNT(Z659)=0),"",ROUND(Z659-H659,2))</f>
        <v/>
      </c>
      <c r="K659" s="15">
        <f>IF(COUNT(J659)=0,"",IF(Z659=0,"n.a.",J659/Z659))</f>
        <v/>
      </c>
      <c r="L659" s="14">
        <f>IF(OR(A659="",COUNT(H659)=0,COUNT(Y659)=0),"",ROUND(H659*(1+Y659),2))</f>
        <v/>
      </c>
      <c r="M659" s="10" t="n"/>
      <c r="N659" s="10" t="n"/>
      <c r="O659" s="10" t="n"/>
      <c r="P659" s="10" t="n"/>
      <c r="Q659" s="20" t="n"/>
      <c r="R659" s="10" t="n"/>
      <c r="S659" s="10" t="n"/>
      <c r="T659" s="18" t="n"/>
      <c r="U659" s="18" t="n"/>
      <c r="V659" s="10" t="n"/>
      <c r="W659" s="10" t="n"/>
      <c r="X659" s="19">
        <f>IF(OR(A659="",COUNT(U659)=0,COUNT(AI659)=0),"",U659+AI659)</f>
        <v/>
      </c>
      <c r="Y659" s="16" t="n"/>
      <c r="Z659" s="12" t="n"/>
      <c r="AA659" s="17">
        <f>IF(COUNT(J659)=0,"",IF(H659=0,"n.a.",J659/H659))</f>
        <v/>
      </c>
      <c r="AB659" s="12" t="n"/>
      <c r="AC659" s="12" t="n"/>
      <c r="AD659" s="12" t="n"/>
      <c r="AE659" s="13">
        <f>IF(OR(COUNT(J659)=0,COUNT(AB659:AD659)&lt;3),"",ROUND(J659-SUM(AB659:AD659),2))</f>
        <v/>
      </c>
      <c r="AF659" s="15">
        <f>IF(COUNT(AE659)=0,"",IF(Z659=0,"n.a.",AE659/Z659))</f>
        <v/>
      </c>
      <c r="AG659" s="12" t="n"/>
      <c r="AH659" s="14">
        <f>IF(OR(A659="",COUNT(Z659)=0,COUNT(AG659)=0),"",ROUND(Z659-AG659,2))</f>
        <v/>
      </c>
      <c r="AI659" s="21" t="n"/>
      <c r="AJ659" s="11">
        <f>IF(A659="","",IF(COUNT(I659)=0,"Enter approved NTE",IF(COUNT(Z659)&gt;0,IF(Z659&gt;I659,"Invoice exceeds NTE","Invoice within NTE"),IF(COUNT(L659)=0,"Enter quote inputs",IF(L659&gt;I659,"Quote exceeds NTE","Quote within NTE")))))</f>
        <v/>
      </c>
      <c r="AK659" s="11">
        <f>IF(A659="","",IF(COUNT(H659)=0,"Enter direct cost",IF(COUNT(Z659)=0,"Enter invoice revenue",IF(COUNT(AB659:AD659)&lt;3,"Enter expenses (0 if none)","Complete"))))</f>
        <v/>
      </c>
      <c r="AL659" s="11">
        <f>IF(A659="","",IF(NOT(AND(COUNT(AH659)=1,N(AH659)&gt;0.004,V659&lt;&gt;"Void",V659&lt;&gt;"Not invoiced",V659&lt;&gt;"Draft")),"",IF(COUNT(X659)=0,"No due date",IF(TODAY()-X659&lt;=0,"Not yet due",IF(TODAY()-X659&lt;=30,"1-30 days",IF(TODAY()-X659&lt;=60,"31-60 days",IF(TODAY()-X659&lt;=90,"61-90 days","Over 90 days")))))))</f>
        <v/>
      </c>
      <c r="AM659" s="49">
        <f>IF(OR(AL659="",AL659="No due date"),"",MAX(TODAY()-X659,0))</f>
        <v/>
      </c>
      <c r="AN659" s="49">
        <f>IF(AL659="","",IF(COUNT(X659)=0,-100000,TODAY()-X659))</f>
        <v/>
      </c>
      <c r="AO659" s="49">
        <f>IF(AN659="","",COUNTIF(AN$11:AN$1010,"&gt;"&amp;AN659)+COUNTIF(AN$11:AN659,AN659))</f>
        <v/>
      </c>
      <c r="AP659" s="49">
        <f>IF(OR(A659="",B659=""),"",IF(COUNTIF(B$11:B659,B659)=1,MAX(AP$10:AP658)+1,""))</f>
        <v/>
      </c>
    </row>
    <row r="660">
      <c r="A660" s="20" t="n"/>
      <c r="B660" s="10" t="n"/>
      <c r="C660" s="10" t="n"/>
      <c r="D660" s="10" t="n"/>
      <c r="E660" s="10" t="n"/>
      <c r="F660" s="18" t="n"/>
      <c r="G660" s="10" t="n"/>
      <c r="H660" s="12" t="n"/>
      <c r="I660" s="12" t="n"/>
      <c r="J660" s="13">
        <f>IF(OR(A660="",COUNT(H660)=0,COUNT(Z660)=0),"",ROUND(Z660-H660,2))</f>
        <v/>
      </c>
      <c r="K660" s="15">
        <f>IF(COUNT(J660)=0,"",IF(Z660=0,"n.a.",J660/Z660))</f>
        <v/>
      </c>
      <c r="L660" s="14">
        <f>IF(OR(A660="",COUNT(H660)=0,COUNT(Y660)=0),"",ROUND(H660*(1+Y660),2))</f>
        <v/>
      </c>
      <c r="M660" s="10" t="n"/>
      <c r="N660" s="10" t="n"/>
      <c r="O660" s="10" t="n"/>
      <c r="P660" s="10" t="n"/>
      <c r="Q660" s="20" t="n"/>
      <c r="R660" s="10" t="n"/>
      <c r="S660" s="10" t="n"/>
      <c r="T660" s="18" t="n"/>
      <c r="U660" s="18" t="n"/>
      <c r="V660" s="10" t="n"/>
      <c r="W660" s="10" t="n"/>
      <c r="X660" s="19">
        <f>IF(OR(A660="",COUNT(U660)=0,COUNT(AI660)=0),"",U660+AI660)</f>
        <v/>
      </c>
      <c r="Y660" s="16" t="n"/>
      <c r="Z660" s="12" t="n"/>
      <c r="AA660" s="17">
        <f>IF(COUNT(J660)=0,"",IF(H660=0,"n.a.",J660/H660))</f>
        <v/>
      </c>
      <c r="AB660" s="12" t="n"/>
      <c r="AC660" s="12" t="n"/>
      <c r="AD660" s="12" t="n"/>
      <c r="AE660" s="13">
        <f>IF(OR(COUNT(J660)=0,COUNT(AB660:AD660)&lt;3),"",ROUND(J660-SUM(AB660:AD660),2))</f>
        <v/>
      </c>
      <c r="AF660" s="15">
        <f>IF(COUNT(AE660)=0,"",IF(Z660=0,"n.a.",AE660/Z660))</f>
        <v/>
      </c>
      <c r="AG660" s="12" t="n"/>
      <c r="AH660" s="14">
        <f>IF(OR(A660="",COUNT(Z660)=0,COUNT(AG660)=0),"",ROUND(Z660-AG660,2))</f>
        <v/>
      </c>
      <c r="AI660" s="21" t="n"/>
      <c r="AJ660" s="11">
        <f>IF(A660="","",IF(COUNT(I660)=0,"Enter approved NTE",IF(COUNT(Z660)&gt;0,IF(Z660&gt;I660,"Invoice exceeds NTE","Invoice within NTE"),IF(COUNT(L660)=0,"Enter quote inputs",IF(L660&gt;I660,"Quote exceeds NTE","Quote within NTE")))))</f>
        <v/>
      </c>
      <c r="AK660" s="11">
        <f>IF(A660="","",IF(COUNT(H660)=0,"Enter direct cost",IF(COUNT(Z660)=0,"Enter invoice revenue",IF(COUNT(AB660:AD660)&lt;3,"Enter expenses (0 if none)","Complete"))))</f>
        <v/>
      </c>
      <c r="AL660" s="11">
        <f>IF(A660="","",IF(NOT(AND(COUNT(AH660)=1,N(AH660)&gt;0.004,V660&lt;&gt;"Void",V660&lt;&gt;"Not invoiced",V660&lt;&gt;"Draft")),"",IF(COUNT(X660)=0,"No due date",IF(TODAY()-X660&lt;=0,"Not yet due",IF(TODAY()-X660&lt;=30,"1-30 days",IF(TODAY()-X660&lt;=60,"31-60 days",IF(TODAY()-X660&lt;=90,"61-90 days","Over 90 days")))))))</f>
        <v/>
      </c>
      <c r="AM660" s="49">
        <f>IF(OR(AL660="",AL660="No due date"),"",MAX(TODAY()-X660,0))</f>
        <v/>
      </c>
      <c r="AN660" s="49">
        <f>IF(AL660="","",IF(COUNT(X660)=0,-100000,TODAY()-X660))</f>
        <v/>
      </c>
      <c r="AO660" s="49">
        <f>IF(AN660="","",COUNTIF(AN$11:AN$1010,"&gt;"&amp;AN660)+COUNTIF(AN$11:AN660,AN660))</f>
        <v/>
      </c>
      <c r="AP660" s="49">
        <f>IF(OR(A660="",B660=""),"",IF(COUNTIF(B$11:B660,B660)=1,MAX(AP$10:AP659)+1,""))</f>
        <v/>
      </c>
    </row>
    <row r="661">
      <c r="A661" s="20" t="n"/>
      <c r="B661" s="10" t="n"/>
      <c r="C661" s="10" t="n"/>
      <c r="D661" s="10" t="n"/>
      <c r="E661" s="10" t="n"/>
      <c r="F661" s="18" t="n"/>
      <c r="G661" s="10" t="n"/>
      <c r="H661" s="12" t="n"/>
      <c r="I661" s="12" t="n"/>
      <c r="J661" s="13">
        <f>IF(OR(A661="",COUNT(H661)=0,COUNT(Z661)=0),"",ROUND(Z661-H661,2))</f>
        <v/>
      </c>
      <c r="K661" s="15">
        <f>IF(COUNT(J661)=0,"",IF(Z661=0,"n.a.",J661/Z661))</f>
        <v/>
      </c>
      <c r="L661" s="14">
        <f>IF(OR(A661="",COUNT(H661)=0,COUNT(Y661)=0),"",ROUND(H661*(1+Y661),2))</f>
        <v/>
      </c>
      <c r="M661" s="10" t="n"/>
      <c r="N661" s="10" t="n"/>
      <c r="O661" s="10" t="n"/>
      <c r="P661" s="10" t="n"/>
      <c r="Q661" s="20" t="n"/>
      <c r="R661" s="10" t="n"/>
      <c r="S661" s="10" t="n"/>
      <c r="T661" s="18" t="n"/>
      <c r="U661" s="18" t="n"/>
      <c r="V661" s="10" t="n"/>
      <c r="W661" s="10" t="n"/>
      <c r="X661" s="19">
        <f>IF(OR(A661="",COUNT(U661)=0,COUNT(AI661)=0),"",U661+AI661)</f>
        <v/>
      </c>
      <c r="Y661" s="16" t="n"/>
      <c r="Z661" s="12" t="n"/>
      <c r="AA661" s="17">
        <f>IF(COUNT(J661)=0,"",IF(H661=0,"n.a.",J661/H661))</f>
        <v/>
      </c>
      <c r="AB661" s="12" t="n"/>
      <c r="AC661" s="12" t="n"/>
      <c r="AD661" s="12" t="n"/>
      <c r="AE661" s="13">
        <f>IF(OR(COUNT(J661)=0,COUNT(AB661:AD661)&lt;3),"",ROUND(J661-SUM(AB661:AD661),2))</f>
        <v/>
      </c>
      <c r="AF661" s="15">
        <f>IF(COUNT(AE661)=0,"",IF(Z661=0,"n.a.",AE661/Z661))</f>
        <v/>
      </c>
      <c r="AG661" s="12" t="n"/>
      <c r="AH661" s="14">
        <f>IF(OR(A661="",COUNT(Z661)=0,COUNT(AG661)=0),"",ROUND(Z661-AG661,2))</f>
        <v/>
      </c>
      <c r="AI661" s="21" t="n"/>
      <c r="AJ661" s="11">
        <f>IF(A661="","",IF(COUNT(I661)=0,"Enter approved NTE",IF(COUNT(Z661)&gt;0,IF(Z661&gt;I661,"Invoice exceeds NTE","Invoice within NTE"),IF(COUNT(L661)=0,"Enter quote inputs",IF(L661&gt;I661,"Quote exceeds NTE","Quote within NTE")))))</f>
        <v/>
      </c>
      <c r="AK661" s="11">
        <f>IF(A661="","",IF(COUNT(H661)=0,"Enter direct cost",IF(COUNT(Z661)=0,"Enter invoice revenue",IF(COUNT(AB661:AD661)&lt;3,"Enter expenses (0 if none)","Complete"))))</f>
        <v/>
      </c>
      <c r="AL661" s="11">
        <f>IF(A661="","",IF(NOT(AND(COUNT(AH661)=1,N(AH661)&gt;0.004,V661&lt;&gt;"Void",V661&lt;&gt;"Not invoiced",V661&lt;&gt;"Draft")),"",IF(COUNT(X661)=0,"No due date",IF(TODAY()-X661&lt;=0,"Not yet due",IF(TODAY()-X661&lt;=30,"1-30 days",IF(TODAY()-X661&lt;=60,"31-60 days",IF(TODAY()-X661&lt;=90,"61-90 days","Over 90 days")))))))</f>
        <v/>
      </c>
      <c r="AM661" s="49">
        <f>IF(OR(AL661="",AL661="No due date"),"",MAX(TODAY()-X661,0))</f>
        <v/>
      </c>
      <c r="AN661" s="49">
        <f>IF(AL661="","",IF(COUNT(X661)=0,-100000,TODAY()-X661))</f>
        <v/>
      </c>
      <c r="AO661" s="49">
        <f>IF(AN661="","",COUNTIF(AN$11:AN$1010,"&gt;"&amp;AN661)+COUNTIF(AN$11:AN661,AN661))</f>
        <v/>
      </c>
      <c r="AP661" s="49">
        <f>IF(OR(A661="",B661=""),"",IF(COUNTIF(B$11:B661,B661)=1,MAX(AP$10:AP660)+1,""))</f>
        <v/>
      </c>
    </row>
    <row r="662">
      <c r="A662" s="20" t="n"/>
      <c r="B662" s="10" t="n"/>
      <c r="C662" s="10" t="n"/>
      <c r="D662" s="10" t="n"/>
      <c r="E662" s="10" t="n"/>
      <c r="F662" s="18" t="n"/>
      <c r="G662" s="10" t="n"/>
      <c r="H662" s="12" t="n"/>
      <c r="I662" s="12" t="n"/>
      <c r="J662" s="13">
        <f>IF(OR(A662="",COUNT(H662)=0,COUNT(Z662)=0),"",ROUND(Z662-H662,2))</f>
        <v/>
      </c>
      <c r="K662" s="15">
        <f>IF(COUNT(J662)=0,"",IF(Z662=0,"n.a.",J662/Z662))</f>
        <v/>
      </c>
      <c r="L662" s="14">
        <f>IF(OR(A662="",COUNT(H662)=0,COUNT(Y662)=0),"",ROUND(H662*(1+Y662),2))</f>
        <v/>
      </c>
      <c r="M662" s="10" t="n"/>
      <c r="N662" s="10" t="n"/>
      <c r="O662" s="10" t="n"/>
      <c r="P662" s="10" t="n"/>
      <c r="Q662" s="20" t="n"/>
      <c r="R662" s="10" t="n"/>
      <c r="S662" s="10" t="n"/>
      <c r="T662" s="18" t="n"/>
      <c r="U662" s="18" t="n"/>
      <c r="V662" s="10" t="n"/>
      <c r="W662" s="10" t="n"/>
      <c r="X662" s="19">
        <f>IF(OR(A662="",COUNT(U662)=0,COUNT(AI662)=0),"",U662+AI662)</f>
        <v/>
      </c>
      <c r="Y662" s="16" t="n"/>
      <c r="Z662" s="12" t="n"/>
      <c r="AA662" s="17">
        <f>IF(COUNT(J662)=0,"",IF(H662=0,"n.a.",J662/H662))</f>
        <v/>
      </c>
      <c r="AB662" s="12" t="n"/>
      <c r="AC662" s="12" t="n"/>
      <c r="AD662" s="12" t="n"/>
      <c r="AE662" s="13">
        <f>IF(OR(COUNT(J662)=0,COUNT(AB662:AD662)&lt;3),"",ROUND(J662-SUM(AB662:AD662),2))</f>
        <v/>
      </c>
      <c r="AF662" s="15">
        <f>IF(COUNT(AE662)=0,"",IF(Z662=0,"n.a.",AE662/Z662))</f>
        <v/>
      </c>
      <c r="AG662" s="12" t="n"/>
      <c r="AH662" s="14">
        <f>IF(OR(A662="",COUNT(Z662)=0,COUNT(AG662)=0),"",ROUND(Z662-AG662,2))</f>
        <v/>
      </c>
      <c r="AI662" s="21" t="n"/>
      <c r="AJ662" s="11">
        <f>IF(A662="","",IF(COUNT(I662)=0,"Enter approved NTE",IF(COUNT(Z662)&gt;0,IF(Z662&gt;I662,"Invoice exceeds NTE","Invoice within NTE"),IF(COUNT(L662)=0,"Enter quote inputs",IF(L662&gt;I662,"Quote exceeds NTE","Quote within NTE")))))</f>
        <v/>
      </c>
      <c r="AK662" s="11">
        <f>IF(A662="","",IF(COUNT(H662)=0,"Enter direct cost",IF(COUNT(Z662)=0,"Enter invoice revenue",IF(COUNT(AB662:AD662)&lt;3,"Enter expenses (0 if none)","Complete"))))</f>
        <v/>
      </c>
      <c r="AL662" s="11">
        <f>IF(A662="","",IF(NOT(AND(COUNT(AH662)=1,N(AH662)&gt;0.004,V662&lt;&gt;"Void",V662&lt;&gt;"Not invoiced",V662&lt;&gt;"Draft")),"",IF(COUNT(X662)=0,"No due date",IF(TODAY()-X662&lt;=0,"Not yet due",IF(TODAY()-X662&lt;=30,"1-30 days",IF(TODAY()-X662&lt;=60,"31-60 days",IF(TODAY()-X662&lt;=90,"61-90 days","Over 90 days")))))))</f>
        <v/>
      </c>
      <c r="AM662" s="49">
        <f>IF(OR(AL662="",AL662="No due date"),"",MAX(TODAY()-X662,0))</f>
        <v/>
      </c>
      <c r="AN662" s="49">
        <f>IF(AL662="","",IF(COUNT(X662)=0,-100000,TODAY()-X662))</f>
        <v/>
      </c>
      <c r="AO662" s="49">
        <f>IF(AN662="","",COUNTIF(AN$11:AN$1010,"&gt;"&amp;AN662)+COUNTIF(AN$11:AN662,AN662))</f>
        <v/>
      </c>
      <c r="AP662" s="49">
        <f>IF(OR(A662="",B662=""),"",IF(COUNTIF(B$11:B662,B662)=1,MAX(AP$10:AP661)+1,""))</f>
        <v/>
      </c>
    </row>
    <row r="663">
      <c r="A663" s="20" t="n"/>
      <c r="B663" s="10" t="n"/>
      <c r="C663" s="10" t="n"/>
      <c r="D663" s="10" t="n"/>
      <c r="E663" s="10" t="n"/>
      <c r="F663" s="18" t="n"/>
      <c r="G663" s="10" t="n"/>
      <c r="H663" s="12" t="n"/>
      <c r="I663" s="12" t="n"/>
      <c r="J663" s="13">
        <f>IF(OR(A663="",COUNT(H663)=0,COUNT(Z663)=0),"",ROUND(Z663-H663,2))</f>
        <v/>
      </c>
      <c r="K663" s="15">
        <f>IF(COUNT(J663)=0,"",IF(Z663=0,"n.a.",J663/Z663))</f>
        <v/>
      </c>
      <c r="L663" s="14">
        <f>IF(OR(A663="",COUNT(H663)=0,COUNT(Y663)=0),"",ROUND(H663*(1+Y663),2))</f>
        <v/>
      </c>
      <c r="M663" s="10" t="n"/>
      <c r="N663" s="10" t="n"/>
      <c r="O663" s="10" t="n"/>
      <c r="P663" s="10" t="n"/>
      <c r="Q663" s="20" t="n"/>
      <c r="R663" s="10" t="n"/>
      <c r="S663" s="10" t="n"/>
      <c r="T663" s="18" t="n"/>
      <c r="U663" s="18" t="n"/>
      <c r="V663" s="10" t="n"/>
      <c r="W663" s="10" t="n"/>
      <c r="X663" s="19">
        <f>IF(OR(A663="",COUNT(U663)=0,COUNT(AI663)=0),"",U663+AI663)</f>
        <v/>
      </c>
      <c r="Y663" s="16" t="n"/>
      <c r="Z663" s="12" t="n"/>
      <c r="AA663" s="17">
        <f>IF(COUNT(J663)=0,"",IF(H663=0,"n.a.",J663/H663))</f>
        <v/>
      </c>
      <c r="AB663" s="12" t="n"/>
      <c r="AC663" s="12" t="n"/>
      <c r="AD663" s="12" t="n"/>
      <c r="AE663" s="13">
        <f>IF(OR(COUNT(J663)=0,COUNT(AB663:AD663)&lt;3),"",ROUND(J663-SUM(AB663:AD663),2))</f>
        <v/>
      </c>
      <c r="AF663" s="15">
        <f>IF(COUNT(AE663)=0,"",IF(Z663=0,"n.a.",AE663/Z663))</f>
        <v/>
      </c>
      <c r="AG663" s="12" t="n"/>
      <c r="AH663" s="14">
        <f>IF(OR(A663="",COUNT(Z663)=0,COUNT(AG663)=0),"",ROUND(Z663-AG663,2))</f>
        <v/>
      </c>
      <c r="AI663" s="21" t="n"/>
      <c r="AJ663" s="11">
        <f>IF(A663="","",IF(COUNT(I663)=0,"Enter approved NTE",IF(COUNT(Z663)&gt;0,IF(Z663&gt;I663,"Invoice exceeds NTE","Invoice within NTE"),IF(COUNT(L663)=0,"Enter quote inputs",IF(L663&gt;I663,"Quote exceeds NTE","Quote within NTE")))))</f>
        <v/>
      </c>
      <c r="AK663" s="11">
        <f>IF(A663="","",IF(COUNT(H663)=0,"Enter direct cost",IF(COUNT(Z663)=0,"Enter invoice revenue",IF(COUNT(AB663:AD663)&lt;3,"Enter expenses (0 if none)","Complete"))))</f>
        <v/>
      </c>
      <c r="AL663" s="11">
        <f>IF(A663="","",IF(NOT(AND(COUNT(AH663)=1,N(AH663)&gt;0.004,V663&lt;&gt;"Void",V663&lt;&gt;"Not invoiced",V663&lt;&gt;"Draft")),"",IF(COUNT(X663)=0,"No due date",IF(TODAY()-X663&lt;=0,"Not yet due",IF(TODAY()-X663&lt;=30,"1-30 days",IF(TODAY()-X663&lt;=60,"31-60 days",IF(TODAY()-X663&lt;=90,"61-90 days","Over 90 days")))))))</f>
        <v/>
      </c>
      <c r="AM663" s="49">
        <f>IF(OR(AL663="",AL663="No due date"),"",MAX(TODAY()-X663,0))</f>
        <v/>
      </c>
      <c r="AN663" s="49">
        <f>IF(AL663="","",IF(COUNT(X663)=0,-100000,TODAY()-X663))</f>
        <v/>
      </c>
      <c r="AO663" s="49">
        <f>IF(AN663="","",COUNTIF(AN$11:AN$1010,"&gt;"&amp;AN663)+COUNTIF(AN$11:AN663,AN663))</f>
        <v/>
      </c>
      <c r="AP663" s="49">
        <f>IF(OR(A663="",B663=""),"",IF(COUNTIF(B$11:B663,B663)=1,MAX(AP$10:AP662)+1,""))</f>
        <v/>
      </c>
    </row>
    <row r="664">
      <c r="A664" s="20" t="n"/>
      <c r="B664" s="10" t="n"/>
      <c r="C664" s="10" t="n"/>
      <c r="D664" s="10" t="n"/>
      <c r="E664" s="10" t="n"/>
      <c r="F664" s="18" t="n"/>
      <c r="G664" s="10" t="n"/>
      <c r="H664" s="12" t="n"/>
      <c r="I664" s="12" t="n"/>
      <c r="J664" s="13">
        <f>IF(OR(A664="",COUNT(H664)=0,COUNT(Z664)=0),"",ROUND(Z664-H664,2))</f>
        <v/>
      </c>
      <c r="K664" s="15">
        <f>IF(COUNT(J664)=0,"",IF(Z664=0,"n.a.",J664/Z664))</f>
        <v/>
      </c>
      <c r="L664" s="14">
        <f>IF(OR(A664="",COUNT(H664)=0,COUNT(Y664)=0),"",ROUND(H664*(1+Y664),2))</f>
        <v/>
      </c>
      <c r="M664" s="10" t="n"/>
      <c r="N664" s="10" t="n"/>
      <c r="O664" s="10" t="n"/>
      <c r="P664" s="10" t="n"/>
      <c r="Q664" s="20" t="n"/>
      <c r="R664" s="10" t="n"/>
      <c r="S664" s="10" t="n"/>
      <c r="T664" s="18" t="n"/>
      <c r="U664" s="18" t="n"/>
      <c r="V664" s="10" t="n"/>
      <c r="W664" s="10" t="n"/>
      <c r="X664" s="19">
        <f>IF(OR(A664="",COUNT(U664)=0,COUNT(AI664)=0),"",U664+AI664)</f>
        <v/>
      </c>
      <c r="Y664" s="16" t="n"/>
      <c r="Z664" s="12" t="n"/>
      <c r="AA664" s="17">
        <f>IF(COUNT(J664)=0,"",IF(H664=0,"n.a.",J664/H664))</f>
        <v/>
      </c>
      <c r="AB664" s="12" t="n"/>
      <c r="AC664" s="12" t="n"/>
      <c r="AD664" s="12" t="n"/>
      <c r="AE664" s="13">
        <f>IF(OR(COUNT(J664)=0,COUNT(AB664:AD664)&lt;3),"",ROUND(J664-SUM(AB664:AD664),2))</f>
        <v/>
      </c>
      <c r="AF664" s="15">
        <f>IF(COUNT(AE664)=0,"",IF(Z664=0,"n.a.",AE664/Z664))</f>
        <v/>
      </c>
      <c r="AG664" s="12" t="n"/>
      <c r="AH664" s="14">
        <f>IF(OR(A664="",COUNT(Z664)=0,COUNT(AG664)=0),"",ROUND(Z664-AG664,2))</f>
        <v/>
      </c>
      <c r="AI664" s="21" t="n"/>
      <c r="AJ664" s="11">
        <f>IF(A664="","",IF(COUNT(I664)=0,"Enter approved NTE",IF(COUNT(Z664)&gt;0,IF(Z664&gt;I664,"Invoice exceeds NTE","Invoice within NTE"),IF(COUNT(L664)=0,"Enter quote inputs",IF(L664&gt;I664,"Quote exceeds NTE","Quote within NTE")))))</f>
        <v/>
      </c>
      <c r="AK664" s="11">
        <f>IF(A664="","",IF(COUNT(H664)=0,"Enter direct cost",IF(COUNT(Z664)=0,"Enter invoice revenue",IF(COUNT(AB664:AD664)&lt;3,"Enter expenses (0 if none)","Complete"))))</f>
        <v/>
      </c>
      <c r="AL664" s="11">
        <f>IF(A664="","",IF(NOT(AND(COUNT(AH664)=1,N(AH664)&gt;0.004,V664&lt;&gt;"Void",V664&lt;&gt;"Not invoiced",V664&lt;&gt;"Draft")),"",IF(COUNT(X664)=0,"No due date",IF(TODAY()-X664&lt;=0,"Not yet due",IF(TODAY()-X664&lt;=30,"1-30 days",IF(TODAY()-X664&lt;=60,"31-60 days",IF(TODAY()-X664&lt;=90,"61-90 days","Over 90 days")))))))</f>
        <v/>
      </c>
      <c r="AM664" s="49">
        <f>IF(OR(AL664="",AL664="No due date"),"",MAX(TODAY()-X664,0))</f>
        <v/>
      </c>
      <c r="AN664" s="49">
        <f>IF(AL664="","",IF(COUNT(X664)=0,-100000,TODAY()-X664))</f>
        <v/>
      </c>
      <c r="AO664" s="49">
        <f>IF(AN664="","",COUNTIF(AN$11:AN$1010,"&gt;"&amp;AN664)+COUNTIF(AN$11:AN664,AN664))</f>
        <v/>
      </c>
      <c r="AP664" s="49">
        <f>IF(OR(A664="",B664=""),"",IF(COUNTIF(B$11:B664,B664)=1,MAX(AP$10:AP663)+1,""))</f>
        <v/>
      </c>
    </row>
    <row r="665">
      <c r="A665" s="20" t="n"/>
      <c r="B665" s="10" t="n"/>
      <c r="C665" s="10" t="n"/>
      <c r="D665" s="10" t="n"/>
      <c r="E665" s="10" t="n"/>
      <c r="F665" s="18" t="n"/>
      <c r="G665" s="10" t="n"/>
      <c r="H665" s="12" t="n"/>
      <c r="I665" s="12" t="n"/>
      <c r="J665" s="13">
        <f>IF(OR(A665="",COUNT(H665)=0,COUNT(Z665)=0),"",ROUND(Z665-H665,2))</f>
        <v/>
      </c>
      <c r="K665" s="15">
        <f>IF(COUNT(J665)=0,"",IF(Z665=0,"n.a.",J665/Z665))</f>
        <v/>
      </c>
      <c r="L665" s="14">
        <f>IF(OR(A665="",COUNT(H665)=0,COUNT(Y665)=0),"",ROUND(H665*(1+Y665),2))</f>
        <v/>
      </c>
      <c r="M665" s="10" t="n"/>
      <c r="N665" s="10" t="n"/>
      <c r="O665" s="10" t="n"/>
      <c r="P665" s="10" t="n"/>
      <c r="Q665" s="20" t="n"/>
      <c r="R665" s="10" t="n"/>
      <c r="S665" s="10" t="n"/>
      <c r="T665" s="18" t="n"/>
      <c r="U665" s="18" t="n"/>
      <c r="V665" s="10" t="n"/>
      <c r="W665" s="10" t="n"/>
      <c r="X665" s="19">
        <f>IF(OR(A665="",COUNT(U665)=0,COUNT(AI665)=0),"",U665+AI665)</f>
        <v/>
      </c>
      <c r="Y665" s="16" t="n"/>
      <c r="Z665" s="12" t="n"/>
      <c r="AA665" s="17">
        <f>IF(COUNT(J665)=0,"",IF(H665=0,"n.a.",J665/H665))</f>
        <v/>
      </c>
      <c r="AB665" s="12" t="n"/>
      <c r="AC665" s="12" t="n"/>
      <c r="AD665" s="12" t="n"/>
      <c r="AE665" s="13">
        <f>IF(OR(COUNT(J665)=0,COUNT(AB665:AD665)&lt;3),"",ROUND(J665-SUM(AB665:AD665),2))</f>
        <v/>
      </c>
      <c r="AF665" s="15">
        <f>IF(COUNT(AE665)=0,"",IF(Z665=0,"n.a.",AE665/Z665))</f>
        <v/>
      </c>
      <c r="AG665" s="12" t="n"/>
      <c r="AH665" s="14">
        <f>IF(OR(A665="",COUNT(Z665)=0,COUNT(AG665)=0),"",ROUND(Z665-AG665,2))</f>
        <v/>
      </c>
      <c r="AI665" s="21" t="n"/>
      <c r="AJ665" s="11">
        <f>IF(A665="","",IF(COUNT(I665)=0,"Enter approved NTE",IF(COUNT(Z665)&gt;0,IF(Z665&gt;I665,"Invoice exceeds NTE","Invoice within NTE"),IF(COUNT(L665)=0,"Enter quote inputs",IF(L665&gt;I665,"Quote exceeds NTE","Quote within NTE")))))</f>
        <v/>
      </c>
      <c r="AK665" s="11">
        <f>IF(A665="","",IF(COUNT(H665)=0,"Enter direct cost",IF(COUNT(Z665)=0,"Enter invoice revenue",IF(COUNT(AB665:AD665)&lt;3,"Enter expenses (0 if none)","Complete"))))</f>
        <v/>
      </c>
      <c r="AL665" s="11">
        <f>IF(A665="","",IF(NOT(AND(COUNT(AH665)=1,N(AH665)&gt;0.004,V665&lt;&gt;"Void",V665&lt;&gt;"Not invoiced",V665&lt;&gt;"Draft")),"",IF(COUNT(X665)=0,"No due date",IF(TODAY()-X665&lt;=0,"Not yet due",IF(TODAY()-X665&lt;=30,"1-30 days",IF(TODAY()-X665&lt;=60,"31-60 days",IF(TODAY()-X665&lt;=90,"61-90 days","Over 90 days")))))))</f>
        <v/>
      </c>
      <c r="AM665" s="49">
        <f>IF(OR(AL665="",AL665="No due date"),"",MAX(TODAY()-X665,0))</f>
        <v/>
      </c>
      <c r="AN665" s="49">
        <f>IF(AL665="","",IF(COUNT(X665)=0,-100000,TODAY()-X665))</f>
        <v/>
      </c>
      <c r="AO665" s="49">
        <f>IF(AN665="","",COUNTIF(AN$11:AN$1010,"&gt;"&amp;AN665)+COUNTIF(AN$11:AN665,AN665))</f>
        <v/>
      </c>
      <c r="AP665" s="49">
        <f>IF(OR(A665="",B665=""),"",IF(COUNTIF(B$11:B665,B665)=1,MAX(AP$10:AP664)+1,""))</f>
        <v/>
      </c>
    </row>
    <row r="666">
      <c r="A666" s="20" t="n"/>
      <c r="B666" s="10" t="n"/>
      <c r="C666" s="10" t="n"/>
      <c r="D666" s="10" t="n"/>
      <c r="E666" s="10" t="n"/>
      <c r="F666" s="18" t="n"/>
      <c r="G666" s="10" t="n"/>
      <c r="H666" s="12" t="n"/>
      <c r="I666" s="12" t="n"/>
      <c r="J666" s="13">
        <f>IF(OR(A666="",COUNT(H666)=0,COUNT(Z666)=0),"",ROUND(Z666-H666,2))</f>
        <v/>
      </c>
      <c r="K666" s="15">
        <f>IF(COUNT(J666)=0,"",IF(Z666=0,"n.a.",J666/Z666))</f>
        <v/>
      </c>
      <c r="L666" s="14">
        <f>IF(OR(A666="",COUNT(H666)=0,COUNT(Y666)=0),"",ROUND(H666*(1+Y666),2))</f>
        <v/>
      </c>
      <c r="M666" s="10" t="n"/>
      <c r="N666" s="10" t="n"/>
      <c r="O666" s="10" t="n"/>
      <c r="P666" s="10" t="n"/>
      <c r="Q666" s="20" t="n"/>
      <c r="R666" s="10" t="n"/>
      <c r="S666" s="10" t="n"/>
      <c r="T666" s="18" t="n"/>
      <c r="U666" s="18" t="n"/>
      <c r="V666" s="10" t="n"/>
      <c r="W666" s="10" t="n"/>
      <c r="X666" s="19">
        <f>IF(OR(A666="",COUNT(U666)=0,COUNT(AI666)=0),"",U666+AI666)</f>
        <v/>
      </c>
      <c r="Y666" s="16" t="n"/>
      <c r="Z666" s="12" t="n"/>
      <c r="AA666" s="17">
        <f>IF(COUNT(J666)=0,"",IF(H666=0,"n.a.",J666/H666))</f>
        <v/>
      </c>
      <c r="AB666" s="12" t="n"/>
      <c r="AC666" s="12" t="n"/>
      <c r="AD666" s="12" t="n"/>
      <c r="AE666" s="13">
        <f>IF(OR(COUNT(J666)=0,COUNT(AB666:AD666)&lt;3),"",ROUND(J666-SUM(AB666:AD666),2))</f>
        <v/>
      </c>
      <c r="AF666" s="15">
        <f>IF(COUNT(AE666)=0,"",IF(Z666=0,"n.a.",AE666/Z666))</f>
        <v/>
      </c>
      <c r="AG666" s="12" t="n"/>
      <c r="AH666" s="14">
        <f>IF(OR(A666="",COUNT(Z666)=0,COUNT(AG666)=0),"",ROUND(Z666-AG666,2))</f>
        <v/>
      </c>
      <c r="AI666" s="21" t="n"/>
      <c r="AJ666" s="11">
        <f>IF(A666="","",IF(COUNT(I666)=0,"Enter approved NTE",IF(COUNT(Z666)&gt;0,IF(Z666&gt;I666,"Invoice exceeds NTE","Invoice within NTE"),IF(COUNT(L666)=0,"Enter quote inputs",IF(L666&gt;I666,"Quote exceeds NTE","Quote within NTE")))))</f>
        <v/>
      </c>
      <c r="AK666" s="11">
        <f>IF(A666="","",IF(COUNT(H666)=0,"Enter direct cost",IF(COUNT(Z666)=0,"Enter invoice revenue",IF(COUNT(AB666:AD666)&lt;3,"Enter expenses (0 if none)","Complete"))))</f>
        <v/>
      </c>
      <c r="AL666" s="11">
        <f>IF(A666="","",IF(NOT(AND(COUNT(AH666)=1,N(AH666)&gt;0.004,V666&lt;&gt;"Void",V666&lt;&gt;"Not invoiced",V666&lt;&gt;"Draft")),"",IF(COUNT(X666)=0,"No due date",IF(TODAY()-X666&lt;=0,"Not yet due",IF(TODAY()-X666&lt;=30,"1-30 days",IF(TODAY()-X666&lt;=60,"31-60 days",IF(TODAY()-X666&lt;=90,"61-90 days","Over 90 days")))))))</f>
        <v/>
      </c>
      <c r="AM666" s="49">
        <f>IF(OR(AL666="",AL666="No due date"),"",MAX(TODAY()-X666,0))</f>
        <v/>
      </c>
      <c r="AN666" s="49">
        <f>IF(AL666="","",IF(COUNT(X666)=0,-100000,TODAY()-X666))</f>
        <v/>
      </c>
      <c r="AO666" s="49">
        <f>IF(AN666="","",COUNTIF(AN$11:AN$1010,"&gt;"&amp;AN666)+COUNTIF(AN$11:AN666,AN666))</f>
        <v/>
      </c>
      <c r="AP666" s="49">
        <f>IF(OR(A666="",B666=""),"",IF(COUNTIF(B$11:B666,B666)=1,MAX(AP$10:AP665)+1,""))</f>
        <v/>
      </c>
    </row>
    <row r="667">
      <c r="A667" s="20" t="n"/>
      <c r="B667" s="10" t="n"/>
      <c r="C667" s="10" t="n"/>
      <c r="D667" s="10" t="n"/>
      <c r="E667" s="10" t="n"/>
      <c r="F667" s="18" t="n"/>
      <c r="G667" s="10" t="n"/>
      <c r="H667" s="12" t="n"/>
      <c r="I667" s="12" t="n"/>
      <c r="J667" s="13">
        <f>IF(OR(A667="",COUNT(H667)=0,COUNT(Z667)=0),"",ROUND(Z667-H667,2))</f>
        <v/>
      </c>
      <c r="K667" s="15">
        <f>IF(COUNT(J667)=0,"",IF(Z667=0,"n.a.",J667/Z667))</f>
        <v/>
      </c>
      <c r="L667" s="14">
        <f>IF(OR(A667="",COUNT(H667)=0,COUNT(Y667)=0),"",ROUND(H667*(1+Y667),2))</f>
        <v/>
      </c>
      <c r="M667" s="10" t="n"/>
      <c r="N667" s="10" t="n"/>
      <c r="O667" s="10" t="n"/>
      <c r="P667" s="10" t="n"/>
      <c r="Q667" s="20" t="n"/>
      <c r="R667" s="10" t="n"/>
      <c r="S667" s="10" t="n"/>
      <c r="T667" s="18" t="n"/>
      <c r="U667" s="18" t="n"/>
      <c r="V667" s="10" t="n"/>
      <c r="W667" s="10" t="n"/>
      <c r="X667" s="19">
        <f>IF(OR(A667="",COUNT(U667)=0,COUNT(AI667)=0),"",U667+AI667)</f>
        <v/>
      </c>
      <c r="Y667" s="16" t="n"/>
      <c r="Z667" s="12" t="n"/>
      <c r="AA667" s="17">
        <f>IF(COUNT(J667)=0,"",IF(H667=0,"n.a.",J667/H667))</f>
        <v/>
      </c>
      <c r="AB667" s="12" t="n"/>
      <c r="AC667" s="12" t="n"/>
      <c r="AD667" s="12" t="n"/>
      <c r="AE667" s="13">
        <f>IF(OR(COUNT(J667)=0,COUNT(AB667:AD667)&lt;3),"",ROUND(J667-SUM(AB667:AD667),2))</f>
        <v/>
      </c>
      <c r="AF667" s="15">
        <f>IF(COUNT(AE667)=0,"",IF(Z667=0,"n.a.",AE667/Z667))</f>
        <v/>
      </c>
      <c r="AG667" s="12" t="n"/>
      <c r="AH667" s="14">
        <f>IF(OR(A667="",COUNT(Z667)=0,COUNT(AG667)=0),"",ROUND(Z667-AG667,2))</f>
        <v/>
      </c>
      <c r="AI667" s="21" t="n"/>
      <c r="AJ667" s="11">
        <f>IF(A667="","",IF(COUNT(I667)=0,"Enter approved NTE",IF(COUNT(Z667)&gt;0,IF(Z667&gt;I667,"Invoice exceeds NTE","Invoice within NTE"),IF(COUNT(L667)=0,"Enter quote inputs",IF(L667&gt;I667,"Quote exceeds NTE","Quote within NTE")))))</f>
        <v/>
      </c>
      <c r="AK667" s="11">
        <f>IF(A667="","",IF(COUNT(H667)=0,"Enter direct cost",IF(COUNT(Z667)=0,"Enter invoice revenue",IF(COUNT(AB667:AD667)&lt;3,"Enter expenses (0 if none)","Complete"))))</f>
        <v/>
      </c>
      <c r="AL667" s="11">
        <f>IF(A667="","",IF(NOT(AND(COUNT(AH667)=1,N(AH667)&gt;0.004,V667&lt;&gt;"Void",V667&lt;&gt;"Not invoiced",V667&lt;&gt;"Draft")),"",IF(COUNT(X667)=0,"No due date",IF(TODAY()-X667&lt;=0,"Not yet due",IF(TODAY()-X667&lt;=30,"1-30 days",IF(TODAY()-X667&lt;=60,"31-60 days",IF(TODAY()-X667&lt;=90,"61-90 days","Over 90 days")))))))</f>
        <v/>
      </c>
      <c r="AM667" s="49">
        <f>IF(OR(AL667="",AL667="No due date"),"",MAX(TODAY()-X667,0))</f>
        <v/>
      </c>
      <c r="AN667" s="49">
        <f>IF(AL667="","",IF(COUNT(X667)=0,-100000,TODAY()-X667))</f>
        <v/>
      </c>
      <c r="AO667" s="49">
        <f>IF(AN667="","",COUNTIF(AN$11:AN$1010,"&gt;"&amp;AN667)+COUNTIF(AN$11:AN667,AN667))</f>
        <v/>
      </c>
      <c r="AP667" s="49">
        <f>IF(OR(A667="",B667=""),"",IF(COUNTIF(B$11:B667,B667)=1,MAX(AP$10:AP666)+1,""))</f>
        <v/>
      </c>
    </row>
    <row r="668">
      <c r="A668" s="20" t="n"/>
      <c r="B668" s="10" t="n"/>
      <c r="C668" s="10" t="n"/>
      <c r="D668" s="10" t="n"/>
      <c r="E668" s="10" t="n"/>
      <c r="F668" s="18" t="n"/>
      <c r="G668" s="10" t="n"/>
      <c r="H668" s="12" t="n"/>
      <c r="I668" s="12" t="n"/>
      <c r="J668" s="13">
        <f>IF(OR(A668="",COUNT(H668)=0,COUNT(Z668)=0),"",ROUND(Z668-H668,2))</f>
        <v/>
      </c>
      <c r="K668" s="15">
        <f>IF(COUNT(J668)=0,"",IF(Z668=0,"n.a.",J668/Z668))</f>
        <v/>
      </c>
      <c r="L668" s="14">
        <f>IF(OR(A668="",COUNT(H668)=0,COUNT(Y668)=0),"",ROUND(H668*(1+Y668),2))</f>
        <v/>
      </c>
      <c r="M668" s="10" t="n"/>
      <c r="N668" s="10" t="n"/>
      <c r="O668" s="10" t="n"/>
      <c r="P668" s="10" t="n"/>
      <c r="Q668" s="20" t="n"/>
      <c r="R668" s="10" t="n"/>
      <c r="S668" s="10" t="n"/>
      <c r="T668" s="18" t="n"/>
      <c r="U668" s="18" t="n"/>
      <c r="V668" s="10" t="n"/>
      <c r="W668" s="10" t="n"/>
      <c r="X668" s="19">
        <f>IF(OR(A668="",COUNT(U668)=0,COUNT(AI668)=0),"",U668+AI668)</f>
        <v/>
      </c>
      <c r="Y668" s="16" t="n"/>
      <c r="Z668" s="12" t="n"/>
      <c r="AA668" s="17">
        <f>IF(COUNT(J668)=0,"",IF(H668=0,"n.a.",J668/H668))</f>
        <v/>
      </c>
      <c r="AB668" s="12" t="n"/>
      <c r="AC668" s="12" t="n"/>
      <c r="AD668" s="12" t="n"/>
      <c r="AE668" s="13">
        <f>IF(OR(COUNT(J668)=0,COUNT(AB668:AD668)&lt;3),"",ROUND(J668-SUM(AB668:AD668),2))</f>
        <v/>
      </c>
      <c r="AF668" s="15">
        <f>IF(COUNT(AE668)=0,"",IF(Z668=0,"n.a.",AE668/Z668))</f>
        <v/>
      </c>
      <c r="AG668" s="12" t="n"/>
      <c r="AH668" s="14">
        <f>IF(OR(A668="",COUNT(Z668)=0,COUNT(AG668)=0),"",ROUND(Z668-AG668,2))</f>
        <v/>
      </c>
      <c r="AI668" s="21" t="n"/>
      <c r="AJ668" s="11">
        <f>IF(A668="","",IF(COUNT(I668)=0,"Enter approved NTE",IF(COUNT(Z668)&gt;0,IF(Z668&gt;I668,"Invoice exceeds NTE","Invoice within NTE"),IF(COUNT(L668)=0,"Enter quote inputs",IF(L668&gt;I668,"Quote exceeds NTE","Quote within NTE")))))</f>
        <v/>
      </c>
      <c r="AK668" s="11">
        <f>IF(A668="","",IF(COUNT(H668)=0,"Enter direct cost",IF(COUNT(Z668)=0,"Enter invoice revenue",IF(COUNT(AB668:AD668)&lt;3,"Enter expenses (0 if none)","Complete"))))</f>
        <v/>
      </c>
      <c r="AL668" s="11">
        <f>IF(A668="","",IF(NOT(AND(COUNT(AH668)=1,N(AH668)&gt;0.004,V668&lt;&gt;"Void",V668&lt;&gt;"Not invoiced",V668&lt;&gt;"Draft")),"",IF(COUNT(X668)=0,"No due date",IF(TODAY()-X668&lt;=0,"Not yet due",IF(TODAY()-X668&lt;=30,"1-30 days",IF(TODAY()-X668&lt;=60,"31-60 days",IF(TODAY()-X668&lt;=90,"61-90 days","Over 90 days")))))))</f>
        <v/>
      </c>
      <c r="AM668" s="49">
        <f>IF(OR(AL668="",AL668="No due date"),"",MAX(TODAY()-X668,0))</f>
        <v/>
      </c>
      <c r="AN668" s="49">
        <f>IF(AL668="","",IF(COUNT(X668)=0,-100000,TODAY()-X668))</f>
        <v/>
      </c>
      <c r="AO668" s="49">
        <f>IF(AN668="","",COUNTIF(AN$11:AN$1010,"&gt;"&amp;AN668)+COUNTIF(AN$11:AN668,AN668))</f>
        <v/>
      </c>
      <c r="AP668" s="49">
        <f>IF(OR(A668="",B668=""),"",IF(COUNTIF(B$11:B668,B668)=1,MAX(AP$10:AP667)+1,""))</f>
        <v/>
      </c>
    </row>
    <row r="669">
      <c r="A669" s="20" t="n"/>
      <c r="B669" s="10" t="n"/>
      <c r="C669" s="10" t="n"/>
      <c r="D669" s="10" t="n"/>
      <c r="E669" s="10" t="n"/>
      <c r="F669" s="18" t="n"/>
      <c r="G669" s="10" t="n"/>
      <c r="H669" s="12" t="n"/>
      <c r="I669" s="12" t="n"/>
      <c r="J669" s="13">
        <f>IF(OR(A669="",COUNT(H669)=0,COUNT(Z669)=0),"",ROUND(Z669-H669,2))</f>
        <v/>
      </c>
      <c r="K669" s="15">
        <f>IF(COUNT(J669)=0,"",IF(Z669=0,"n.a.",J669/Z669))</f>
        <v/>
      </c>
      <c r="L669" s="14">
        <f>IF(OR(A669="",COUNT(H669)=0,COUNT(Y669)=0),"",ROUND(H669*(1+Y669),2))</f>
        <v/>
      </c>
      <c r="M669" s="10" t="n"/>
      <c r="N669" s="10" t="n"/>
      <c r="O669" s="10" t="n"/>
      <c r="P669" s="10" t="n"/>
      <c r="Q669" s="20" t="n"/>
      <c r="R669" s="10" t="n"/>
      <c r="S669" s="10" t="n"/>
      <c r="T669" s="18" t="n"/>
      <c r="U669" s="18" t="n"/>
      <c r="V669" s="10" t="n"/>
      <c r="W669" s="10" t="n"/>
      <c r="X669" s="19">
        <f>IF(OR(A669="",COUNT(U669)=0,COUNT(AI669)=0),"",U669+AI669)</f>
        <v/>
      </c>
      <c r="Y669" s="16" t="n"/>
      <c r="Z669" s="12" t="n"/>
      <c r="AA669" s="17">
        <f>IF(COUNT(J669)=0,"",IF(H669=0,"n.a.",J669/H669))</f>
        <v/>
      </c>
      <c r="AB669" s="12" t="n"/>
      <c r="AC669" s="12" t="n"/>
      <c r="AD669" s="12" t="n"/>
      <c r="AE669" s="13">
        <f>IF(OR(COUNT(J669)=0,COUNT(AB669:AD669)&lt;3),"",ROUND(J669-SUM(AB669:AD669),2))</f>
        <v/>
      </c>
      <c r="AF669" s="15">
        <f>IF(COUNT(AE669)=0,"",IF(Z669=0,"n.a.",AE669/Z669))</f>
        <v/>
      </c>
      <c r="AG669" s="12" t="n"/>
      <c r="AH669" s="14">
        <f>IF(OR(A669="",COUNT(Z669)=0,COUNT(AG669)=0),"",ROUND(Z669-AG669,2))</f>
        <v/>
      </c>
      <c r="AI669" s="21" t="n"/>
      <c r="AJ669" s="11">
        <f>IF(A669="","",IF(COUNT(I669)=0,"Enter approved NTE",IF(COUNT(Z669)&gt;0,IF(Z669&gt;I669,"Invoice exceeds NTE","Invoice within NTE"),IF(COUNT(L669)=0,"Enter quote inputs",IF(L669&gt;I669,"Quote exceeds NTE","Quote within NTE")))))</f>
        <v/>
      </c>
      <c r="AK669" s="11">
        <f>IF(A669="","",IF(COUNT(H669)=0,"Enter direct cost",IF(COUNT(Z669)=0,"Enter invoice revenue",IF(COUNT(AB669:AD669)&lt;3,"Enter expenses (0 if none)","Complete"))))</f>
        <v/>
      </c>
      <c r="AL669" s="11">
        <f>IF(A669="","",IF(NOT(AND(COUNT(AH669)=1,N(AH669)&gt;0.004,V669&lt;&gt;"Void",V669&lt;&gt;"Not invoiced",V669&lt;&gt;"Draft")),"",IF(COUNT(X669)=0,"No due date",IF(TODAY()-X669&lt;=0,"Not yet due",IF(TODAY()-X669&lt;=30,"1-30 days",IF(TODAY()-X669&lt;=60,"31-60 days",IF(TODAY()-X669&lt;=90,"61-90 days","Over 90 days")))))))</f>
        <v/>
      </c>
      <c r="AM669" s="49">
        <f>IF(OR(AL669="",AL669="No due date"),"",MAX(TODAY()-X669,0))</f>
        <v/>
      </c>
      <c r="AN669" s="49">
        <f>IF(AL669="","",IF(COUNT(X669)=0,-100000,TODAY()-X669))</f>
        <v/>
      </c>
      <c r="AO669" s="49">
        <f>IF(AN669="","",COUNTIF(AN$11:AN$1010,"&gt;"&amp;AN669)+COUNTIF(AN$11:AN669,AN669))</f>
        <v/>
      </c>
      <c r="AP669" s="49">
        <f>IF(OR(A669="",B669=""),"",IF(COUNTIF(B$11:B669,B669)=1,MAX(AP$10:AP668)+1,""))</f>
        <v/>
      </c>
    </row>
    <row r="670">
      <c r="A670" s="20" t="n"/>
      <c r="B670" s="10" t="n"/>
      <c r="C670" s="10" t="n"/>
      <c r="D670" s="10" t="n"/>
      <c r="E670" s="10" t="n"/>
      <c r="F670" s="18" t="n"/>
      <c r="G670" s="10" t="n"/>
      <c r="H670" s="12" t="n"/>
      <c r="I670" s="12" t="n"/>
      <c r="J670" s="13">
        <f>IF(OR(A670="",COUNT(H670)=0,COUNT(Z670)=0),"",ROUND(Z670-H670,2))</f>
        <v/>
      </c>
      <c r="K670" s="15">
        <f>IF(COUNT(J670)=0,"",IF(Z670=0,"n.a.",J670/Z670))</f>
        <v/>
      </c>
      <c r="L670" s="14">
        <f>IF(OR(A670="",COUNT(H670)=0,COUNT(Y670)=0),"",ROUND(H670*(1+Y670),2))</f>
        <v/>
      </c>
      <c r="M670" s="10" t="n"/>
      <c r="N670" s="10" t="n"/>
      <c r="O670" s="10" t="n"/>
      <c r="P670" s="10" t="n"/>
      <c r="Q670" s="20" t="n"/>
      <c r="R670" s="10" t="n"/>
      <c r="S670" s="10" t="n"/>
      <c r="T670" s="18" t="n"/>
      <c r="U670" s="18" t="n"/>
      <c r="V670" s="10" t="n"/>
      <c r="W670" s="10" t="n"/>
      <c r="X670" s="19">
        <f>IF(OR(A670="",COUNT(U670)=0,COUNT(AI670)=0),"",U670+AI670)</f>
        <v/>
      </c>
      <c r="Y670" s="16" t="n"/>
      <c r="Z670" s="12" t="n"/>
      <c r="AA670" s="17">
        <f>IF(COUNT(J670)=0,"",IF(H670=0,"n.a.",J670/H670))</f>
        <v/>
      </c>
      <c r="AB670" s="12" t="n"/>
      <c r="AC670" s="12" t="n"/>
      <c r="AD670" s="12" t="n"/>
      <c r="AE670" s="13">
        <f>IF(OR(COUNT(J670)=0,COUNT(AB670:AD670)&lt;3),"",ROUND(J670-SUM(AB670:AD670),2))</f>
        <v/>
      </c>
      <c r="AF670" s="15">
        <f>IF(COUNT(AE670)=0,"",IF(Z670=0,"n.a.",AE670/Z670))</f>
        <v/>
      </c>
      <c r="AG670" s="12" t="n"/>
      <c r="AH670" s="14">
        <f>IF(OR(A670="",COUNT(Z670)=0,COUNT(AG670)=0),"",ROUND(Z670-AG670,2))</f>
        <v/>
      </c>
      <c r="AI670" s="21" t="n"/>
      <c r="AJ670" s="11">
        <f>IF(A670="","",IF(COUNT(I670)=0,"Enter approved NTE",IF(COUNT(Z670)&gt;0,IF(Z670&gt;I670,"Invoice exceeds NTE","Invoice within NTE"),IF(COUNT(L670)=0,"Enter quote inputs",IF(L670&gt;I670,"Quote exceeds NTE","Quote within NTE")))))</f>
        <v/>
      </c>
      <c r="AK670" s="11">
        <f>IF(A670="","",IF(COUNT(H670)=0,"Enter direct cost",IF(COUNT(Z670)=0,"Enter invoice revenue",IF(COUNT(AB670:AD670)&lt;3,"Enter expenses (0 if none)","Complete"))))</f>
        <v/>
      </c>
      <c r="AL670" s="11">
        <f>IF(A670="","",IF(NOT(AND(COUNT(AH670)=1,N(AH670)&gt;0.004,V670&lt;&gt;"Void",V670&lt;&gt;"Not invoiced",V670&lt;&gt;"Draft")),"",IF(COUNT(X670)=0,"No due date",IF(TODAY()-X670&lt;=0,"Not yet due",IF(TODAY()-X670&lt;=30,"1-30 days",IF(TODAY()-X670&lt;=60,"31-60 days",IF(TODAY()-X670&lt;=90,"61-90 days","Over 90 days")))))))</f>
        <v/>
      </c>
      <c r="AM670" s="49">
        <f>IF(OR(AL670="",AL670="No due date"),"",MAX(TODAY()-X670,0))</f>
        <v/>
      </c>
      <c r="AN670" s="49">
        <f>IF(AL670="","",IF(COUNT(X670)=0,-100000,TODAY()-X670))</f>
        <v/>
      </c>
      <c r="AO670" s="49">
        <f>IF(AN670="","",COUNTIF(AN$11:AN$1010,"&gt;"&amp;AN670)+COUNTIF(AN$11:AN670,AN670))</f>
        <v/>
      </c>
      <c r="AP670" s="49">
        <f>IF(OR(A670="",B670=""),"",IF(COUNTIF(B$11:B670,B670)=1,MAX(AP$10:AP669)+1,""))</f>
        <v/>
      </c>
    </row>
    <row r="671">
      <c r="A671" s="20" t="n"/>
      <c r="B671" s="10" t="n"/>
      <c r="C671" s="10" t="n"/>
      <c r="D671" s="10" t="n"/>
      <c r="E671" s="10" t="n"/>
      <c r="F671" s="18" t="n"/>
      <c r="G671" s="10" t="n"/>
      <c r="H671" s="12" t="n"/>
      <c r="I671" s="12" t="n"/>
      <c r="J671" s="13">
        <f>IF(OR(A671="",COUNT(H671)=0,COUNT(Z671)=0),"",ROUND(Z671-H671,2))</f>
        <v/>
      </c>
      <c r="K671" s="15">
        <f>IF(COUNT(J671)=0,"",IF(Z671=0,"n.a.",J671/Z671))</f>
        <v/>
      </c>
      <c r="L671" s="14">
        <f>IF(OR(A671="",COUNT(H671)=0,COUNT(Y671)=0),"",ROUND(H671*(1+Y671),2))</f>
        <v/>
      </c>
      <c r="M671" s="10" t="n"/>
      <c r="N671" s="10" t="n"/>
      <c r="O671" s="10" t="n"/>
      <c r="P671" s="10" t="n"/>
      <c r="Q671" s="20" t="n"/>
      <c r="R671" s="10" t="n"/>
      <c r="S671" s="10" t="n"/>
      <c r="T671" s="18" t="n"/>
      <c r="U671" s="18" t="n"/>
      <c r="V671" s="10" t="n"/>
      <c r="W671" s="10" t="n"/>
      <c r="X671" s="19">
        <f>IF(OR(A671="",COUNT(U671)=0,COUNT(AI671)=0),"",U671+AI671)</f>
        <v/>
      </c>
      <c r="Y671" s="16" t="n"/>
      <c r="Z671" s="12" t="n"/>
      <c r="AA671" s="17">
        <f>IF(COUNT(J671)=0,"",IF(H671=0,"n.a.",J671/H671))</f>
        <v/>
      </c>
      <c r="AB671" s="12" t="n"/>
      <c r="AC671" s="12" t="n"/>
      <c r="AD671" s="12" t="n"/>
      <c r="AE671" s="13">
        <f>IF(OR(COUNT(J671)=0,COUNT(AB671:AD671)&lt;3),"",ROUND(J671-SUM(AB671:AD671),2))</f>
        <v/>
      </c>
      <c r="AF671" s="15">
        <f>IF(COUNT(AE671)=0,"",IF(Z671=0,"n.a.",AE671/Z671))</f>
        <v/>
      </c>
      <c r="AG671" s="12" t="n"/>
      <c r="AH671" s="14">
        <f>IF(OR(A671="",COUNT(Z671)=0,COUNT(AG671)=0),"",ROUND(Z671-AG671,2))</f>
        <v/>
      </c>
      <c r="AI671" s="21" t="n"/>
      <c r="AJ671" s="11">
        <f>IF(A671="","",IF(COUNT(I671)=0,"Enter approved NTE",IF(COUNT(Z671)&gt;0,IF(Z671&gt;I671,"Invoice exceeds NTE","Invoice within NTE"),IF(COUNT(L671)=0,"Enter quote inputs",IF(L671&gt;I671,"Quote exceeds NTE","Quote within NTE")))))</f>
        <v/>
      </c>
      <c r="AK671" s="11">
        <f>IF(A671="","",IF(COUNT(H671)=0,"Enter direct cost",IF(COUNT(Z671)=0,"Enter invoice revenue",IF(COUNT(AB671:AD671)&lt;3,"Enter expenses (0 if none)","Complete"))))</f>
        <v/>
      </c>
      <c r="AL671" s="11">
        <f>IF(A671="","",IF(NOT(AND(COUNT(AH671)=1,N(AH671)&gt;0.004,V671&lt;&gt;"Void",V671&lt;&gt;"Not invoiced",V671&lt;&gt;"Draft")),"",IF(COUNT(X671)=0,"No due date",IF(TODAY()-X671&lt;=0,"Not yet due",IF(TODAY()-X671&lt;=30,"1-30 days",IF(TODAY()-X671&lt;=60,"31-60 days",IF(TODAY()-X671&lt;=90,"61-90 days","Over 90 days")))))))</f>
        <v/>
      </c>
      <c r="AM671" s="49">
        <f>IF(OR(AL671="",AL671="No due date"),"",MAX(TODAY()-X671,0))</f>
        <v/>
      </c>
      <c r="AN671" s="49">
        <f>IF(AL671="","",IF(COUNT(X671)=0,-100000,TODAY()-X671))</f>
        <v/>
      </c>
      <c r="AO671" s="49">
        <f>IF(AN671="","",COUNTIF(AN$11:AN$1010,"&gt;"&amp;AN671)+COUNTIF(AN$11:AN671,AN671))</f>
        <v/>
      </c>
      <c r="AP671" s="49">
        <f>IF(OR(A671="",B671=""),"",IF(COUNTIF(B$11:B671,B671)=1,MAX(AP$10:AP670)+1,""))</f>
        <v/>
      </c>
    </row>
    <row r="672">
      <c r="A672" s="20" t="n"/>
      <c r="B672" s="10" t="n"/>
      <c r="C672" s="10" t="n"/>
      <c r="D672" s="10" t="n"/>
      <c r="E672" s="10" t="n"/>
      <c r="F672" s="18" t="n"/>
      <c r="G672" s="10" t="n"/>
      <c r="H672" s="12" t="n"/>
      <c r="I672" s="12" t="n"/>
      <c r="J672" s="13">
        <f>IF(OR(A672="",COUNT(H672)=0,COUNT(Z672)=0),"",ROUND(Z672-H672,2))</f>
        <v/>
      </c>
      <c r="K672" s="15">
        <f>IF(COUNT(J672)=0,"",IF(Z672=0,"n.a.",J672/Z672))</f>
        <v/>
      </c>
      <c r="L672" s="14">
        <f>IF(OR(A672="",COUNT(H672)=0,COUNT(Y672)=0),"",ROUND(H672*(1+Y672),2))</f>
        <v/>
      </c>
      <c r="M672" s="10" t="n"/>
      <c r="N672" s="10" t="n"/>
      <c r="O672" s="10" t="n"/>
      <c r="P672" s="10" t="n"/>
      <c r="Q672" s="20" t="n"/>
      <c r="R672" s="10" t="n"/>
      <c r="S672" s="10" t="n"/>
      <c r="T672" s="18" t="n"/>
      <c r="U672" s="18" t="n"/>
      <c r="V672" s="10" t="n"/>
      <c r="W672" s="10" t="n"/>
      <c r="X672" s="19">
        <f>IF(OR(A672="",COUNT(U672)=0,COUNT(AI672)=0),"",U672+AI672)</f>
        <v/>
      </c>
      <c r="Y672" s="16" t="n"/>
      <c r="Z672" s="12" t="n"/>
      <c r="AA672" s="17">
        <f>IF(COUNT(J672)=0,"",IF(H672=0,"n.a.",J672/H672))</f>
        <v/>
      </c>
      <c r="AB672" s="12" t="n"/>
      <c r="AC672" s="12" t="n"/>
      <c r="AD672" s="12" t="n"/>
      <c r="AE672" s="13">
        <f>IF(OR(COUNT(J672)=0,COUNT(AB672:AD672)&lt;3),"",ROUND(J672-SUM(AB672:AD672),2))</f>
        <v/>
      </c>
      <c r="AF672" s="15">
        <f>IF(COUNT(AE672)=0,"",IF(Z672=0,"n.a.",AE672/Z672))</f>
        <v/>
      </c>
      <c r="AG672" s="12" t="n"/>
      <c r="AH672" s="14">
        <f>IF(OR(A672="",COUNT(Z672)=0,COUNT(AG672)=0),"",ROUND(Z672-AG672,2))</f>
        <v/>
      </c>
      <c r="AI672" s="21" t="n"/>
      <c r="AJ672" s="11">
        <f>IF(A672="","",IF(COUNT(I672)=0,"Enter approved NTE",IF(COUNT(Z672)&gt;0,IF(Z672&gt;I672,"Invoice exceeds NTE","Invoice within NTE"),IF(COUNT(L672)=0,"Enter quote inputs",IF(L672&gt;I672,"Quote exceeds NTE","Quote within NTE")))))</f>
        <v/>
      </c>
      <c r="AK672" s="11">
        <f>IF(A672="","",IF(COUNT(H672)=0,"Enter direct cost",IF(COUNT(Z672)=0,"Enter invoice revenue",IF(COUNT(AB672:AD672)&lt;3,"Enter expenses (0 if none)","Complete"))))</f>
        <v/>
      </c>
      <c r="AL672" s="11">
        <f>IF(A672="","",IF(NOT(AND(COUNT(AH672)=1,N(AH672)&gt;0.004,V672&lt;&gt;"Void",V672&lt;&gt;"Not invoiced",V672&lt;&gt;"Draft")),"",IF(COUNT(X672)=0,"No due date",IF(TODAY()-X672&lt;=0,"Not yet due",IF(TODAY()-X672&lt;=30,"1-30 days",IF(TODAY()-X672&lt;=60,"31-60 days",IF(TODAY()-X672&lt;=90,"61-90 days","Over 90 days")))))))</f>
        <v/>
      </c>
      <c r="AM672" s="49">
        <f>IF(OR(AL672="",AL672="No due date"),"",MAX(TODAY()-X672,0))</f>
        <v/>
      </c>
      <c r="AN672" s="49">
        <f>IF(AL672="","",IF(COUNT(X672)=0,-100000,TODAY()-X672))</f>
        <v/>
      </c>
      <c r="AO672" s="49">
        <f>IF(AN672="","",COUNTIF(AN$11:AN$1010,"&gt;"&amp;AN672)+COUNTIF(AN$11:AN672,AN672))</f>
        <v/>
      </c>
      <c r="AP672" s="49">
        <f>IF(OR(A672="",B672=""),"",IF(COUNTIF(B$11:B672,B672)=1,MAX(AP$10:AP671)+1,""))</f>
        <v/>
      </c>
    </row>
    <row r="673">
      <c r="A673" s="20" t="n"/>
      <c r="B673" s="10" t="n"/>
      <c r="C673" s="10" t="n"/>
      <c r="D673" s="10" t="n"/>
      <c r="E673" s="10" t="n"/>
      <c r="F673" s="18" t="n"/>
      <c r="G673" s="10" t="n"/>
      <c r="H673" s="12" t="n"/>
      <c r="I673" s="12" t="n"/>
      <c r="J673" s="13">
        <f>IF(OR(A673="",COUNT(H673)=0,COUNT(Z673)=0),"",ROUND(Z673-H673,2))</f>
        <v/>
      </c>
      <c r="K673" s="15">
        <f>IF(COUNT(J673)=0,"",IF(Z673=0,"n.a.",J673/Z673))</f>
        <v/>
      </c>
      <c r="L673" s="14">
        <f>IF(OR(A673="",COUNT(H673)=0,COUNT(Y673)=0),"",ROUND(H673*(1+Y673),2))</f>
        <v/>
      </c>
      <c r="M673" s="10" t="n"/>
      <c r="N673" s="10" t="n"/>
      <c r="O673" s="10" t="n"/>
      <c r="P673" s="10" t="n"/>
      <c r="Q673" s="20" t="n"/>
      <c r="R673" s="10" t="n"/>
      <c r="S673" s="10" t="n"/>
      <c r="T673" s="18" t="n"/>
      <c r="U673" s="18" t="n"/>
      <c r="V673" s="10" t="n"/>
      <c r="W673" s="10" t="n"/>
      <c r="X673" s="19">
        <f>IF(OR(A673="",COUNT(U673)=0,COUNT(AI673)=0),"",U673+AI673)</f>
        <v/>
      </c>
      <c r="Y673" s="16" t="n"/>
      <c r="Z673" s="12" t="n"/>
      <c r="AA673" s="17">
        <f>IF(COUNT(J673)=0,"",IF(H673=0,"n.a.",J673/H673))</f>
        <v/>
      </c>
      <c r="AB673" s="12" t="n"/>
      <c r="AC673" s="12" t="n"/>
      <c r="AD673" s="12" t="n"/>
      <c r="AE673" s="13">
        <f>IF(OR(COUNT(J673)=0,COUNT(AB673:AD673)&lt;3),"",ROUND(J673-SUM(AB673:AD673),2))</f>
        <v/>
      </c>
      <c r="AF673" s="15">
        <f>IF(COUNT(AE673)=0,"",IF(Z673=0,"n.a.",AE673/Z673))</f>
        <v/>
      </c>
      <c r="AG673" s="12" t="n"/>
      <c r="AH673" s="14">
        <f>IF(OR(A673="",COUNT(Z673)=0,COUNT(AG673)=0),"",ROUND(Z673-AG673,2))</f>
        <v/>
      </c>
      <c r="AI673" s="21" t="n"/>
      <c r="AJ673" s="11">
        <f>IF(A673="","",IF(COUNT(I673)=0,"Enter approved NTE",IF(COUNT(Z673)&gt;0,IF(Z673&gt;I673,"Invoice exceeds NTE","Invoice within NTE"),IF(COUNT(L673)=0,"Enter quote inputs",IF(L673&gt;I673,"Quote exceeds NTE","Quote within NTE")))))</f>
        <v/>
      </c>
      <c r="AK673" s="11">
        <f>IF(A673="","",IF(COUNT(H673)=0,"Enter direct cost",IF(COUNT(Z673)=0,"Enter invoice revenue",IF(COUNT(AB673:AD673)&lt;3,"Enter expenses (0 if none)","Complete"))))</f>
        <v/>
      </c>
      <c r="AL673" s="11">
        <f>IF(A673="","",IF(NOT(AND(COUNT(AH673)=1,N(AH673)&gt;0.004,V673&lt;&gt;"Void",V673&lt;&gt;"Not invoiced",V673&lt;&gt;"Draft")),"",IF(COUNT(X673)=0,"No due date",IF(TODAY()-X673&lt;=0,"Not yet due",IF(TODAY()-X673&lt;=30,"1-30 days",IF(TODAY()-X673&lt;=60,"31-60 days",IF(TODAY()-X673&lt;=90,"61-90 days","Over 90 days")))))))</f>
        <v/>
      </c>
      <c r="AM673" s="49">
        <f>IF(OR(AL673="",AL673="No due date"),"",MAX(TODAY()-X673,0))</f>
        <v/>
      </c>
      <c r="AN673" s="49">
        <f>IF(AL673="","",IF(COUNT(X673)=0,-100000,TODAY()-X673))</f>
        <v/>
      </c>
      <c r="AO673" s="49">
        <f>IF(AN673="","",COUNTIF(AN$11:AN$1010,"&gt;"&amp;AN673)+COUNTIF(AN$11:AN673,AN673))</f>
        <v/>
      </c>
      <c r="AP673" s="49">
        <f>IF(OR(A673="",B673=""),"",IF(COUNTIF(B$11:B673,B673)=1,MAX(AP$10:AP672)+1,""))</f>
        <v/>
      </c>
    </row>
    <row r="674">
      <c r="A674" s="20" t="n"/>
      <c r="B674" s="10" t="n"/>
      <c r="C674" s="10" t="n"/>
      <c r="D674" s="10" t="n"/>
      <c r="E674" s="10" t="n"/>
      <c r="F674" s="18" t="n"/>
      <c r="G674" s="10" t="n"/>
      <c r="H674" s="12" t="n"/>
      <c r="I674" s="12" t="n"/>
      <c r="J674" s="13">
        <f>IF(OR(A674="",COUNT(H674)=0,COUNT(Z674)=0),"",ROUND(Z674-H674,2))</f>
        <v/>
      </c>
      <c r="K674" s="15">
        <f>IF(COUNT(J674)=0,"",IF(Z674=0,"n.a.",J674/Z674))</f>
        <v/>
      </c>
      <c r="L674" s="14">
        <f>IF(OR(A674="",COUNT(H674)=0,COUNT(Y674)=0),"",ROUND(H674*(1+Y674),2))</f>
        <v/>
      </c>
      <c r="M674" s="10" t="n"/>
      <c r="N674" s="10" t="n"/>
      <c r="O674" s="10" t="n"/>
      <c r="P674" s="10" t="n"/>
      <c r="Q674" s="20" t="n"/>
      <c r="R674" s="10" t="n"/>
      <c r="S674" s="10" t="n"/>
      <c r="T674" s="18" t="n"/>
      <c r="U674" s="18" t="n"/>
      <c r="V674" s="10" t="n"/>
      <c r="W674" s="10" t="n"/>
      <c r="X674" s="19">
        <f>IF(OR(A674="",COUNT(U674)=0,COUNT(AI674)=0),"",U674+AI674)</f>
        <v/>
      </c>
      <c r="Y674" s="16" t="n"/>
      <c r="Z674" s="12" t="n"/>
      <c r="AA674" s="17">
        <f>IF(COUNT(J674)=0,"",IF(H674=0,"n.a.",J674/H674))</f>
        <v/>
      </c>
      <c r="AB674" s="12" t="n"/>
      <c r="AC674" s="12" t="n"/>
      <c r="AD674" s="12" t="n"/>
      <c r="AE674" s="13">
        <f>IF(OR(COUNT(J674)=0,COUNT(AB674:AD674)&lt;3),"",ROUND(J674-SUM(AB674:AD674),2))</f>
        <v/>
      </c>
      <c r="AF674" s="15">
        <f>IF(COUNT(AE674)=0,"",IF(Z674=0,"n.a.",AE674/Z674))</f>
        <v/>
      </c>
      <c r="AG674" s="12" t="n"/>
      <c r="AH674" s="14">
        <f>IF(OR(A674="",COUNT(Z674)=0,COUNT(AG674)=0),"",ROUND(Z674-AG674,2))</f>
        <v/>
      </c>
      <c r="AI674" s="21" t="n"/>
      <c r="AJ674" s="11">
        <f>IF(A674="","",IF(COUNT(I674)=0,"Enter approved NTE",IF(COUNT(Z674)&gt;0,IF(Z674&gt;I674,"Invoice exceeds NTE","Invoice within NTE"),IF(COUNT(L674)=0,"Enter quote inputs",IF(L674&gt;I674,"Quote exceeds NTE","Quote within NTE")))))</f>
        <v/>
      </c>
      <c r="AK674" s="11">
        <f>IF(A674="","",IF(COUNT(H674)=0,"Enter direct cost",IF(COUNT(Z674)=0,"Enter invoice revenue",IF(COUNT(AB674:AD674)&lt;3,"Enter expenses (0 if none)","Complete"))))</f>
        <v/>
      </c>
      <c r="AL674" s="11">
        <f>IF(A674="","",IF(NOT(AND(COUNT(AH674)=1,N(AH674)&gt;0.004,V674&lt;&gt;"Void",V674&lt;&gt;"Not invoiced",V674&lt;&gt;"Draft")),"",IF(COUNT(X674)=0,"No due date",IF(TODAY()-X674&lt;=0,"Not yet due",IF(TODAY()-X674&lt;=30,"1-30 days",IF(TODAY()-X674&lt;=60,"31-60 days",IF(TODAY()-X674&lt;=90,"61-90 days","Over 90 days")))))))</f>
        <v/>
      </c>
      <c r="AM674" s="49">
        <f>IF(OR(AL674="",AL674="No due date"),"",MAX(TODAY()-X674,0))</f>
        <v/>
      </c>
      <c r="AN674" s="49">
        <f>IF(AL674="","",IF(COUNT(X674)=0,-100000,TODAY()-X674))</f>
        <v/>
      </c>
      <c r="AO674" s="49">
        <f>IF(AN674="","",COUNTIF(AN$11:AN$1010,"&gt;"&amp;AN674)+COUNTIF(AN$11:AN674,AN674))</f>
        <v/>
      </c>
      <c r="AP674" s="49">
        <f>IF(OR(A674="",B674=""),"",IF(COUNTIF(B$11:B674,B674)=1,MAX(AP$10:AP673)+1,""))</f>
        <v/>
      </c>
    </row>
    <row r="675">
      <c r="A675" s="20" t="n"/>
      <c r="B675" s="10" t="n"/>
      <c r="C675" s="10" t="n"/>
      <c r="D675" s="10" t="n"/>
      <c r="E675" s="10" t="n"/>
      <c r="F675" s="18" t="n"/>
      <c r="G675" s="10" t="n"/>
      <c r="H675" s="12" t="n"/>
      <c r="I675" s="12" t="n"/>
      <c r="J675" s="13">
        <f>IF(OR(A675="",COUNT(H675)=0,COUNT(Z675)=0),"",ROUND(Z675-H675,2))</f>
        <v/>
      </c>
      <c r="K675" s="15">
        <f>IF(COUNT(J675)=0,"",IF(Z675=0,"n.a.",J675/Z675))</f>
        <v/>
      </c>
      <c r="L675" s="14">
        <f>IF(OR(A675="",COUNT(H675)=0,COUNT(Y675)=0),"",ROUND(H675*(1+Y675),2))</f>
        <v/>
      </c>
      <c r="M675" s="10" t="n"/>
      <c r="N675" s="10" t="n"/>
      <c r="O675" s="10" t="n"/>
      <c r="P675" s="10" t="n"/>
      <c r="Q675" s="20" t="n"/>
      <c r="R675" s="10" t="n"/>
      <c r="S675" s="10" t="n"/>
      <c r="T675" s="18" t="n"/>
      <c r="U675" s="18" t="n"/>
      <c r="V675" s="10" t="n"/>
      <c r="W675" s="10" t="n"/>
      <c r="X675" s="19">
        <f>IF(OR(A675="",COUNT(U675)=0,COUNT(AI675)=0),"",U675+AI675)</f>
        <v/>
      </c>
      <c r="Y675" s="16" t="n"/>
      <c r="Z675" s="12" t="n"/>
      <c r="AA675" s="17">
        <f>IF(COUNT(J675)=0,"",IF(H675=0,"n.a.",J675/H675))</f>
        <v/>
      </c>
      <c r="AB675" s="12" t="n"/>
      <c r="AC675" s="12" t="n"/>
      <c r="AD675" s="12" t="n"/>
      <c r="AE675" s="13">
        <f>IF(OR(COUNT(J675)=0,COUNT(AB675:AD675)&lt;3),"",ROUND(J675-SUM(AB675:AD675),2))</f>
        <v/>
      </c>
      <c r="AF675" s="15">
        <f>IF(COUNT(AE675)=0,"",IF(Z675=0,"n.a.",AE675/Z675))</f>
        <v/>
      </c>
      <c r="AG675" s="12" t="n"/>
      <c r="AH675" s="14">
        <f>IF(OR(A675="",COUNT(Z675)=0,COUNT(AG675)=0),"",ROUND(Z675-AG675,2))</f>
        <v/>
      </c>
      <c r="AI675" s="21" t="n"/>
      <c r="AJ675" s="11">
        <f>IF(A675="","",IF(COUNT(I675)=0,"Enter approved NTE",IF(COUNT(Z675)&gt;0,IF(Z675&gt;I675,"Invoice exceeds NTE","Invoice within NTE"),IF(COUNT(L675)=0,"Enter quote inputs",IF(L675&gt;I675,"Quote exceeds NTE","Quote within NTE")))))</f>
        <v/>
      </c>
      <c r="AK675" s="11">
        <f>IF(A675="","",IF(COUNT(H675)=0,"Enter direct cost",IF(COUNT(Z675)=0,"Enter invoice revenue",IF(COUNT(AB675:AD675)&lt;3,"Enter expenses (0 if none)","Complete"))))</f>
        <v/>
      </c>
      <c r="AL675" s="11">
        <f>IF(A675="","",IF(NOT(AND(COUNT(AH675)=1,N(AH675)&gt;0.004,V675&lt;&gt;"Void",V675&lt;&gt;"Not invoiced",V675&lt;&gt;"Draft")),"",IF(COUNT(X675)=0,"No due date",IF(TODAY()-X675&lt;=0,"Not yet due",IF(TODAY()-X675&lt;=30,"1-30 days",IF(TODAY()-X675&lt;=60,"31-60 days",IF(TODAY()-X675&lt;=90,"61-90 days","Over 90 days")))))))</f>
        <v/>
      </c>
      <c r="AM675" s="49">
        <f>IF(OR(AL675="",AL675="No due date"),"",MAX(TODAY()-X675,0))</f>
        <v/>
      </c>
      <c r="AN675" s="49">
        <f>IF(AL675="","",IF(COUNT(X675)=0,-100000,TODAY()-X675))</f>
        <v/>
      </c>
      <c r="AO675" s="49">
        <f>IF(AN675="","",COUNTIF(AN$11:AN$1010,"&gt;"&amp;AN675)+COUNTIF(AN$11:AN675,AN675))</f>
        <v/>
      </c>
      <c r="AP675" s="49">
        <f>IF(OR(A675="",B675=""),"",IF(COUNTIF(B$11:B675,B675)=1,MAX(AP$10:AP674)+1,""))</f>
        <v/>
      </c>
    </row>
    <row r="676">
      <c r="A676" s="20" t="n"/>
      <c r="B676" s="10" t="n"/>
      <c r="C676" s="10" t="n"/>
      <c r="D676" s="10" t="n"/>
      <c r="E676" s="10" t="n"/>
      <c r="F676" s="18" t="n"/>
      <c r="G676" s="10" t="n"/>
      <c r="H676" s="12" t="n"/>
      <c r="I676" s="12" t="n"/>
      <c r="J676" s="13">
        <f>IF(OR(A676="",COUNT(H676)=0,COUNT(Z676)=0),"",ROUND(Z676-H676,2))</f>
        <v/>
      </c>
      <c r="K676" s="15">
        <f>IF(COUNT(J676)=0,"",IF(Z676=0,"n.a.",J676/Z676))</f>
        <v/>
      </c>
      <c r="L676" s="14">
        <f>IF(OR(A676="",COUNT(H676)=0,COUNT(Y676)=0),"",ROUND(H676*(1+Y676),2))</f>
        <v/>
      </c>
      <c r="M676" s="10" t="n"/>
      <c r="N676" s="10" t="n"/>
      <c r="O676" s="10" t="n"/>
      <c r="P676" s="10" t="n"/>
      <c r="Q676" s="20" t="n"/>
      <c r="R676" s="10" t="n"/>
      <c r="S676" s="10" t="n"/>
      <c r="T676" s="18" t="n"/>
      <c r="U676" s="18" t="n"/>
      <c r="V676" s="10" t="n"/>
      <c r="W676" s="10" t="n"/>
      <c r="X676" s="19">
        <f>IF(OR(A676="",COUNT(U676)=0,COUNT(AI676)=0),"",U676+AI676)</f>
        <v/>
      </c>
      <c r="Y676" s="16" t="n"/>
      <c r="Z676" s="12" t="n"/>
      <c r="AA676" s="17">
        <f>IF(COUNT(J676)=0,"",IF(H676=0,"n.a.",J676/H676))</f>
        <v/>
      </c>
      <c r="AB676" s="12" t="n"/>
      <c r="AC676" s="12" t="n"/>
      <c r="AD676" s="12" t="n"/>
      <c r="AE676" s="13">
        <f>IF(OR(COUNT(J676)=0,COUNT(AB676:AD676)&lt;3),"",ROUND(J676-SUM(AB676:AD676),2))</f>
        <v/>
      </c>
      <c r="AF676" s="15">
        <f>IF(COUNT(AE676)=0,"",IF(Z676=0,"n.a.",AE676/Z676))</f>
        <v/>
      </c>
      <c r="AG676" s="12" t="n"/>
      <c r="AH676" s="14">
        <f>IF(OR(A676="",COUNT(Z676)=0,COUNT(AG676)=0),"",ROUND(Z676-AG676,2))</f>
        <v/>
      </c>
      <c r="AI676" s="21" t="n"/>
      <c r="AJ676" s="11">
        <f>IF(A676="","",IF(COUNT(I676)=0,"Enter approved NTE",IF(COUNT(Z676)&gt;0,IF(Z676&gt;I676,"Invoice exceeds NTE","Invoice within NTE"),IF(COUNT(L676)=0,"Enter quote inputs",IF(L676&gt;I676,"Quote exceeds NTE","Quote within NTE")))))</f>
        <v/>
      </c>
      <c r="AK676" s="11">
        <f>IF(A676="","",IF(COUNT(H676)=0,"Enter direct cost",IF(COUNT(Z676)=0,"Enter invoice revenue",IF(COUNT(AB676:AD676)&lt;3,"Enter expenses (0 if none)","Complete"))))</f>
        <v/>
      </c>
      <c r="AL676" s="11">
        <f>IF(A676="","",IF(NOT(AND(COUNT(AH676)=1,N(AH676)&gt;0.004,V676&lt;&gt;"Void",V676&lt;&gt;"Not invoiced",V676&lt;&gt;"Draft")),"",IF(COUNT(X676)=0,"No due date",IF(TODAY()-X676&lt;=0,"Not yet due",IF(TODAY()-X676&lt;=30,"1-30 days",IF(TODAY()-X676&lt;=60,"31-60 days",IF(TODAY()-X676&lt;=90,"61-90 days","Over 90 days")))))))</f>
        <v/>
      </c>
      <c r="AM676" s="49">
        <f>IF(OR(AL676="",AL676="No due date"),"",MAX(TODAY()-X676,0))</f>
        <v/>
      </c>
      <c r="AN676" s="49">
        <f>IF(AL676="","",IF(COUNT(X676)=0,-100000,TODAY()-X676))</f>
        <v/>
      </c>
      <c r="AO676" s="49">
        <f>IF(AN676="","",COUNTIF(AN$11:AN$1010,"&gt;"&amp;AN676)+COUNTIF(AN$11:AN676,AN676))</f>
        <v/>
      </c>
      <c r="AP676" s="49">
        <f>IF(OR(A676="",B676=""),"",IF(COUNTIF(B$11:B676,B676)=1,MAX(AP$10:AP675)+1,""))</f>
        <v/>
      </c>
    </row>
    <row r="677">
      <c r="A677" s="20" t="n"/>
      <c r="B677" s="10" t="n"/>
      <c r="C677" s="10" t="n"/>
      <c r="D677" s="10" t="n"/>
      <c r="E677" s="10" t="n"/>
      <c r="F677" s="18" t="n"/>
      <c r="G677" s="10" t="n"/>
      <c r="H677" s="12" t="n"/>
      <c r="I677" s="12" t="n"/>
      <c r="J677" s="13">
        <f>IF(OR(A677="",COUNT(H677)=0,COUNT(Z677)=0),"",ROUND(Z677-H677,2))</f>
        <v/>
      </c>
      <c r="K677" s="15">
        <f>IF(COUNT(J677)=0,"",IF(Z677=0,"n.a.",J677/Z677))</f>
        <v/>
      </c>
      <c r="L677" s="14">
        <f>IF(OR(A677="",COUNT(H677)=0,COUNT(Y677)=0),"",ROUND(H677*(1+Y677),2))</f>
        <v/>
      </c>
      <c r="M677" s="10" t="n"/>
      <c r="N677" s="10" t="n"/>
      <c r="O677" s="10" t="n"/>
      <c r="P677" s="10" t="n"/>
      <c r="Q677" s="20" t="n"/>
      <c r="R677" s="10" t="n"/>
      <c r="S677" s="10" t="n"/>
      <c r="T677" s="18" t="n"/>
      <c r="U677" s="18" t="n"/>
      <c r="V677" s="10" t="n"/>
      <c r="W677" s="10" t="n"/>
      <c r="X677" s="19">
        <f>IF(OR(A677="",COUNT(U677)=0,COUNT(AI677)=0),"",U677+AI677)</f>
        <v/>
      </c>
      <c r="Y677" s="16" t="n"/>
      <c r="Z677" s="12" t="n"/>
      <c r="AA677" s="17">
        <f>IF(COUNT(J677)=0,"",IF(H677=0,"n.a.",J677/H677))</f>
        <v/>
      </c>
      <c r="AB677" s="12" t="n"/>
      <c r="AC677" s="12" t="n"/>
      <c r="AD677" s="12" t="n"/>
      <c r="AE677" s="13">
        <f>IF(OR(COUNT(J677)=0,COUNT(AB677:AD677)&lt;3),"",ROUND(J677-SUM(AB677:AD677),2))</f>
        <v/>
      </c>
      <c r="AF677" s="15">
        <f>IF(COUNT(AE677)=0,"",IF(Z677=0,"n.a.",AE677/Z677))</f>
        <v/>
      </c>
      <c r="AG677" s="12" t="n"/>
      <c r="AH677" s="14">
        <f>IF(OR(A677="",COUNT(Z677)=0,COUNT(AG677)=0),"",ROUND(Z677-AG677,2))</f>
        <v/>
      </c>
      <c r="AI677" s="21" t="n"/>
      <c r="AJ677" s="11">
        <f>IF(A677="","",IF(COUNT(I677)=0,"Enter approved NTE",IF(COUNT(Z677)&gt;0,IF(Z677&gt;I677,"Invoice exceeds NTE","Invoice within NTE"),IF(COUNT(L677)=0,"Enter quote inputs",IF(L677&gt;I677,"Quote exceeds NTE","Quote within NTE")))))</f>
        <v/>
      </c>
      <c r="AK677" s="11">
        <f>IF(A677="","",IF(COUNT(H677)=0,"Enter direct cost",IF(COUNT(Z677)=0,"Enter invoice revenue",IF(COUNT(AB677:AD677)&lt;3,"Enter expenses (0 if none)","Complete"))))</f>
        <v/>
      </c>
      <c r="AL677" s="11">
        <f>IF(A677="","",IF(NOT(AND(COUNT(AH677)=1,N(AH677)&gt;0.004,V677&lt;&gt;"Void",V677&lt;&gt;"Not invoiced",V677&lt;&gt;"Draft")),"",IF(COUNT(X677)=0,"No due date",IF(TODAY()-X677&lt;=0,"Not yet due",IF(TODAY()-X677&lt;=30,"1-30 days",IF(TODAY()-X677&lt;=60,"31-60 days",IF(TODAY()-X677&lt;=90,"61-90 days","Over 90 days")))))))</f>
        <v/>
      </c>
      <c r="AM677" s="49">
        <f>IF(OR(AL677="",AL677="No due date"),"",MAX(TODAY()-X677,0))</f>
        <v/>
      </c>
      <c r="AN677" s="49">
        <f>IF(AL677="","",IF(COUNT(X677)=0,-100000,TODAY()-X677))</f>
        <v/>
      </c>
      <c r="AO677" s="49">
        <f>IF(AN677="","",COUNTIF(AN$11:AN$1010,"&gt;"&amp;AN677)+COUNTIF(AN$11:AN677,AN677))</f>
        <v/>
      </c>
      <c r="AP677" s="49">
        <f>IF(OR(A677="",B677=""),"",IF(COUNTIF(B$11:B677,B677)=1,MAX(AP$10:AP676)+1,""))</f>
        <v/>
      </c>
    </row>
    <row r="678">
      <c r="A678" s="20" t="n"/>
      <c r="B678" s="10" t="n"/>
      <c r="C678" s="10" t="n"/>
      <c r="D678" s="10" t="n"/>
      <c r="E678" s="10" t="n"/>
      <c r="F678" s="18" t="n"/>
      <c r="G678" s="10" t="n"/>
      <c r="H678" s="12" t="n"/>
      <c r="I678" s="12" t="n"/>
      <c r="J678" s="13">
        <f>IF(OR(A678="",COUNT(H678)=0,COUNT(Z678)=0),"",ROUND(Z678-H678,2))</f>
        <v/>
      </c>
      <c r="K678" s="15">
        <f>IF(COUNT(J678)=0,"",IF(Z678=0,"n.a.",J678/Z678))</f>
        <v/>
      </c>
      <c r="L678" s="14">
        <f>IF(OR(A678="",COUNT(H678)=0,COUNT(Y678)=0),"",ROUND(H678*(1+Y678),2))</f>
        <v/>
      </c>
      <c r="M678" s="10" t="n"/>
      <c r="N678" s="10" t="n"/>
      <c r="O678" s="10" t="n"/>
      <c r="P678" s="10" t="n"/>
      <c r="Q678" s="20" t="n"/>
      <c r="R678" s="10" t="n"/>
      <c r="S678" s="10" t="n"/>
      <c r="T678" s="18" t="n"/>
      <c r="U678" s="18" t="n"/>
      <c r="V678" s="10" t="n"/>
      <c r="W678" s="10" t="n"/>
      <c r="X678" s="19">
        <f>IF(OR(A678="",COUNT(U678)=0,COUNT(AI678)=0),"",U678+AI678)</f>
        <v/>
      </c>
      <c r="Y678" s="16" t="n"/>
      <c r="Z678" s="12" t="n"/>
      <c r="AA678" s="17">
        <f>IF(COUNT(J678)=0,"",IF(H678=0,"n.a.",J678/H678))</f>
        <v/>
      </c>
      <c r="AB678" s="12" t="n"/>
      <c r="AC678" s="12" t="n"/>
      <c r="AD678" s="12" t="n"/>
      <c r="AE678" s="13">
        <f>IF(OR(COUNT(J678)=0,COUNT(AB678:AD678)&lt;3),"",ROUND(J678-SUM(AB678:AD678),2))</f>
        <v/>
      </c>
      <c r="AF678" s="15">
        <f>IF(COUNT(AE678)=0,"",IF(Z678=0,"n.a.",AE678/Z678))</f>
        <v/>
      </c>
      <c r="AG678" s="12" t="n"/>
      <c r="AH678" s="14">
        <f>IF(OR(A678="",COUNT(Z678)=0,COUNT(AG678)=0),"",ROUND(Z678-AG678,2))</f>
        <v/>
      </c>
      <c r="AI678" s="21" t="n"/>
      <c r="AJ678" s="11">
        <f>IF(A678="","",IF(COUNT(I678)=0,"Enter approved NTE",IF(COUNT(Z678)&gt;0,IF(Z678&gt;I678,"Invoice exceeds NTE","Invoice within NTE"),IF(COUNT(L678)=0,"Enter quote inputs",IF(L678&gt;I678,"Quote exceeds NTE","Quote within NTE")))))</f>
        <v/>
      </c>
      <c r="AK678" s="11">
        <f>IF(A678="","",IF(COUNT(H678)=0,"Enter direct cost",IF(COUNT(Z678)=0,"Enter invoice revenue",IF(COUNT(AB678:AD678)&lt;3,"Enter expenses (0 if none)","Complete"))))</f>
        <v/>
      </c>
      <c r="AL678" s="11">
        <f>IF(A678="","",IF(NOT(AND(COUNT(AH678)=1,N(AH678)&gt;0.004,V678&lt;&gt;"Void",V678&lt;&gt;"Not invoiced",V678&lt;&gt;"Draft")),"",IF(COUNT(X678)=0,"No due date",IF(TODAY()-X678&lt;=0,"Not yet due",IF(TODAY()-X678&lt;=30,"1-30 days",IF(TODAY()-X678&lt;=60,"31-60 days",IF(TODAY()-X678&lt;=90,"61-90 days","Over 90 days")))))))</f>
        <v/>
      </c>
      <c r="AM678" s="49">
        <f>IF(OR(AL678="",AL678="No due date"),"",MAX(TODAY()-X678,0))</f>
        <v/>
      </c>
      <c r="AN678" s="49">
        <f>IF(AL678="","",IF(COUNT(X678)=0,-100000,TODAY()-X678))</f>
        <v/>
      </c>
      <c r="AO678" s="49">
        <f>IF(AN678="","",COUNTIF(AN$11:AN$1010,"&gt;"&amp;AN678)+COUNTIF(AN$11:AN678,AN678))</f>
        <v/>
      </c>
      <c r="AP678" s="49">
        <f>IF(OR(A678="",B678=""),"",IF(COUNTIF(B$11:B678,B678)=1,MAX(AP$10:AP677)+1,""))</f>
        <v/>
      </c>
    </row>
    <row r="679">
      <c r="A679" s="20" t="n"/>
      <c r="B679" s="10" t="n"/>
      <c r="C679" s="10" t="n"/>
      <c r="D679" s="10" t="n"/>
      <c r="E679" s="10" t="n"/>
      <c r="F679" s="18" t="n"/>
      <c r="G679" s="10" t="n"/>
      <c r="H679" s="12" t="n"/>
      <c r="I679" s="12" t="n"/>
      <c r="J679" s="13">
        <f>IF(OR(A679="",COUNT(H679)=0,COUNT(Z679)=0),"",ROUND(Z679-H679,2))</f>
        <v/>
      </c>
      <c r="K679" s="15">
        <f>IF(COUNT(J679)=0,"",IF(Z679=0,"n.a.",J679/Z679))</f>
        <v/>
      </c>
      <c r="L679" s="14">
        <f>IF(OR(A679="",COUNT(H679)=0,COUNT(Y679)=0),"",ROUND(H679*(1+Y679),2))</f>
        <v/>
      </c>
      <c r="M679" s="10" t="n"/>
      <c r="N679" s="10" t="n"/>
      <c r="O679" s="10" t="n"/>
      <c r="P679" s="10" t="n"/>
      <c r="Q679" s="20" t="n"/>
      <c r="R679" s="10" t="n"/>
      <c r="S679" s="10" t="n"/>
      <c r="T679" s="18" t="n"/>
      <c r="U679" s="18" t="n"/>
      <c r="V679" s="10" t="n"/>
      <c r="W679" s="10" t="n"/>
      <c r="X679" s="19">
        <f>IF(OR(A679="",COUNT(U679)=0,COUNT(AI679)=0),"",U679+AI679)</f>
        <v/>
      </c>
      <c r="Y679" s="16" t="n"/>
      <c r="Z679" s="12" t="n"/>
      <c r="AA679" s="17">
        <f>IF(COUNT(J679)=0,"",IF(H679=0,"n.a.",J679/H679))</f>
        <v/>
      </c>
      <c r="AB679" s="12" t="n"/>
      <c r="AC679" s="12" t="n"/>
      <c r="AD679" s="12" t="n"/>
      <c r="AE679" s="13">
        <f>IF(OR(COUNT(J679)=0,COUNT(AB679:AD679)&lt;3),"",ROUND(J679-SUM(AB679:AD679),2))</f>
        <v/>
      </c>
      <c r="AF679" s="15">
        <f>IF(COUNT(AE679)=0,"",IF(Z679=0,"n.a.",AE679/Z679))</f>
        <v/>
      </c>
      <c r="AG679" s="12" t="n"/>
      <c r="AH679" s="14">
        <f>IF(OR(A679="",COUNT(Z679)=0,COUNT(AG679)=0),"",ROUND(Z679-AG679,2))</f>
        <v/>
      </c>
      <c r="AI679" s="21" t="n"/>
      <c r="AJ679" s="11">
        <f>IF(A679="","",IF(COUNT(I679)=0,"Enter approved NTE",IF(COUNT(Z679)&gt;0,IF(Z679&gt;I679,"Invoice exceeds NTE","Invoice within NTE"),IF(COUNT(L679)=0,"Enter quote inputs",IF(L679&gt;I679,"Quote exceeds NTE","Quote within NTE")))))</f>
        <v/>
      </c>
      <c r="AK679" s="11">
        <f>IF(A679="","",IF(COUNT(H679)=0,"Enter direct cost",IF(COUNT(Z679)=0,"Enter invoice revenue",IF(COUNT(AB679:AD679)&lt;3,"Enter expenses (0 if none)","Complete"))))</f>
        <v/>
      </c>
      <c r="AL679" s="11">
        <f>IF(A679="","",IF(NOT(AND(COUNT(AH679)=1,N(AH679)&gt;0.004,V679&lt;&gt;"Void",V679&lt;&gt;"Not invoiced",V679&lt;&gt;"Draft")),"",IF(COUNT(X679)=0,"No due date",IF(TODAY()-X679&lt;=0,"Not yet due",IF(TODAY()-X679&lt;=30,"1-30 days",IF(TODAY()-X679&lt;=60,"31-60 days",IF(TODAY()-X679&lt;=90,"61-90 days","Over 90 days")))))))</f>
        <v/>
      </c>
      <c r="AM679" s="49">
        <f>IF(OR(AL679="",AL679="No due date"),"",MAX(TODAY()-X679,0))</f>
        <v/>
      </c>
      <c r="AN679" s="49">
        <f>IF(AL679="","",IF(COUNT(X679)=0,-100000,TODAY()-X679))</f>
        <v/>
      </c>
      <c r="AO679" s="49">
        <f>IF(AN679="","",COUNTIF(AN$11:AN$1010,"&gt;"&amp;AN679)+COUNTIF(AN$11:AN679,AN679))</f>
        <v/>
      </c>
      <c r="AP679" s="49">
        <f>IF(OR(A679="",B679=""),"",IF(COUNTIF(B$11:B679,B679)=1,MAX(AP$10:AP678)+1,""))</f>
        <v/>
      </c>
    </row>
    <row r="680">
      <c r="A680" s="20" t="n"/>
      <c r="B680" s="10" t="n"/>
      <c r="C680" s="10" t="n"/>
      <c r="D680" s="10" t="n"/>
      <c r="E680" s="10" t="n"/>
      <c r="F680" s="18" t="n"/>
      <c r="G680" s="10" t="n"/>
      <c r="H680" s="12" t="n"/>
      <c r="I680" s="12" t="n"/>
      <c r="J680" s="13">
        <f>IF(OR(A680="",COUNT(H680)=0,COUNT(Z680)=0),"",ROUND(Z680-H680,2))</f>
        <v/>
      </c>
      <c r="K680" s="15">
        <f>IF(COUNT(J680)=0,"",IF(Z680=0,"n.a.",J680/Z680))</f>
        <v/>
      </c>
      <c r="L680" s="14">
        <f>IF(OR(A680="",COUNT(H680)=0,COUNT(Y680)=0),"",ROUND(H680*(1+Y680),2))</f>
        <v/>
      </c>
      <c r="M680" s="10" t="n"/>
      <c r="N680" s="10" t="n"/>
      <c r="O680" s="10" t="n"/>
      <c r="P680" s="10" t="n"/>
      <c r="Q680" s="20" t="n"/>
      <c r="R680" s="10" t="n"/>
      <c r="S680" s="10" t="n"/>
      <c r="T680" s="18" t="n"/>
      <c r="U680" s="18" t="n"/>
      <c r="V680" s="10" t="n"/>
      <c r="W680" s="10" t="n"/>
      <c r="X680" s="19">
        <f>IF(OR(A680="",COUNT(U680)=0,COUNT(AI680)=0),"",U680+AI680)</f>
        <v/>
      </c>
      <c r="Y680" s="16" t="n"/>
      <c r="Z680" s="12" t="n"/>
      <c r="AA680" s="17">
        <f>IF(COUNT(J680)=0,"",IF(H680=0,"n.a.",J680/H680))</f>
        <v/>
      </c>
      <c r="AB680" s="12" t="n"/>
      <c r="AC680" s="12" t="n"/>
      <c r="AD680" s="12" t="n"/>
      <c r="AE680" s="13">
        <f>IF(OR(COUNT(J680)=0,COUNT(AB680:AD680)&lt;3),"",ROUND(J680-SUM(AB680:AD680),2))</f>
        <v/>
      </c>
      <c r="AF680" s="15">
        <f>IF(COUNT(AE680)=0,"",IF(Z680=0,"n.a.",AE680/Z680))</f>
        <v/>
      </c>
      <c r="AG680" s="12" t="n"/>
      <c r="AH680" s="14">
        <f>IF(OR(A680="",COUNT(Z680)=0,COUNT(AG680)=0),"",ROUND(Z680-AG680,2))</f>
        <v/>
      </c>
      <c r="AI680" s="21" t="n"/>
      <c r="AJ680" s="11">
        <f>IF(A680="","",IF(COUNT(I680)=0,"Enter approved NTE",IF(COUNT(Z680)&gt;0,IF(Z680&gt;I680,"Invoice exceeds NTE","Invoice within NTE"),IF(COUNT(L680)=0,"Enter quote inputs",IF(L680&gt;I680,"Quote exceeds NTE","Quote within NTE")))))</f>
        <v/>
      </c>
      <c r="AK680" s="11">
        <f>IF(A680="","",IF(COUNT(H680)=0,"Enter direct cost",IF(COUNT(Z680)=0,"Enter invoice revenue",IF(COUNT(AB680:AD680)&lt;3,"Enter expenses (0 if none)","Complete"))))</f>
        <v/>
      </c>
      <c r="AL680" s="11">
        <f>IF(A680="","",IF(NOT(AND(COUNT(AH680)=1,N(AH680)&gt;0.004,V680&lt;&gt;"Void",V680&lt;&gt;"Not invoiced",V680&lt;&gt;"Draft")),"",IF(COUNT(X680)=0,"No due date",IF(TODAY()-X680&lt;=0,"Not yet due",IF(TODAY()-X680&lt;=30,"1-30 days",IF(TODAY()-X680&lt;=60,"31-60 days",IF(TODAY()-X680&lt;=90,"61-90 days","Over 90 days")))))))</f>
        <v/>
      </c>
      <c r="AM680" s="49">
        <f>IF(OR(AL680="",AL680="No due date"),"",MAX(TODAY()-X680,0))</f>
        <v/>
      </c>
      <c r="AN680" s="49">
        <f>IF(AL680="","",IF(COUNT(X680)=0,-100000,TODAY()-X680))</f>
        <v/>
      </c>
      <c r="AO680" s="49">
        <f>IF(AN680="","",COUNTIF(AN$11:AN$1010,"&gt;"&amp;AN680)+COUNTIF(AN$11:AN680,AN680))</f>
        <v/>
      </c>
      <c r="AP680" s="49">
        <f>IF(OR(A680="",B680=""),"",IF(COUNTIF(B$11:B680,B680)=1,MAX(AP$10:AP679)+1,""))</f>
        <v/>
      </c>
    </row>
    <row r="681">
      <c r="A681" s="20" t="n"/>
      <c r="B681" s="10" t="n"/>
      <c r="C681" s="10" t="n"/>
      <c r="D681" s="10" t="n"/>
      <c r="E681" s="10" t="n"/>
      <c r="F681" s="18" t="n"/>
      <c r="G681" s="10" t="n"/>
      <c r="H681" s="12" t="n"/>
      <c r="I681" s="12" t="n"/>
      <c r="J681" s="13">
        <f>IF(OR(A681="",COUNT(H681)=0,COUNT(Z681)=0),"",ROUND(Z681-H681,2))</f>
        <v/>
      </c>
      <c r="K681" s="15">
        <f>IF(COUNT(J681)=0,"",IF(Z681=0,"n.a.",J681/Z681))</f>
        <v/>
      </c>
      <c r="L681" s="14">
        <f>IF(OR(A681="",COUNT(H681)=0,COUNT(Y681)=0),"",ROUND(H681*(1+Y681),2))</f>
        <v/>
      </c>
      <c r="M681" s="10" t="n"/>
      <c r="N681" s="10" t="n"/>
      <c r="O681" s="10" t="n"/>
      <c r="P681" s="10" t="n"/>
      <c r="Q681" s="20" t="n"/>
      <c r="R681" s="10" t="n"/>
      <c r="S681" s="10" t="n"/>
      <c r="T681" s="18" t="n"/>
      <c r="U681" s="18" t="n"/>
      <c r="V681" s="10" t="n"/>
      <c r="W681" s="10" t="n"/>
      <c r="X681" s="19">
        <f>IF(OR(A681="",COUNT(U681)=0,COUNT(AI681)=0),"",U681+AI681)</f>
        <v/>
      </c>
      <c r="Y681" s="16" t="n"/>
      <c r="Z681" s="12" t="n"/>
      <c r="AA681" s="17">
        <f>IF(COUNT(J681)=0,"",IF(H681=0,"n.a.",J681/H681))</f>
        <v/>
      </c>
      <c r="AB681" s="12" t="n"/>
      <c r="AC681" s="12" t="n"/>
      <c r="AD681" s="12" t="n"/>
      <c r="AE681" s="13">
        <f>IF(OR(COUNT(J681)=0,COUNT(AB681:AD681)&lt;3),"",ROUND(J681-SUM(AB681:AD681),2))</f>
        <v/>
      </c>
      <c r="AF681" s="15">
        <f>IF(COUNT(AE681)=0,"",IF(Z681=0,"n.a.",AE681/Z681))</f>
        <v/>
      </c>
      <c r="AG681" s="12" t="n"/>
      <c r="AH681" s="14">
        <f>IF(OR(A681="",COUNT(Z681)=0,COUNT(AG681)=0),"",ROUND(Z681-AG681,2))</f>
        <v/>
      </c>
      <c r="AI681" s="21" t="n"/>
      <c r="AJ681" s="11">
        <f>IF(A681="","",IF(COUNT(I681)=0,"Enter approved NTE",IF(COUNT(Z681)&gt;0,IF(Z681&gt;I681,"Invoice exceeds NTE","Invoice within NTE"),IF(COUNT(L681)=0,"Enter quote inputs",IF(L681&gt;I681,"Quote exceeds NTE","Quote within NTE")))))</f>
        <v/>
      </c>
      <c r="AK681" s="11">
        <f>IF(A681="","",IF(COUNT(H681)=0,"Enter direct cost",IF(COUNT(Z681)=0,"Enter invoice revenue",IF(COUNT(AB681:AD681)&lt;3,"Enter expenses (0 if none)","Complete"))))</f>
        <v/>
      </c>
      <c r="AL681" s="11">
        <f>IF(A681="","",IF(NOT(AND(COUNT(AH681)=1,N(AH681)&gt;0.004,V681&lt;&gt;"Void",V681&lt;&gt;"Not invoiced",V681&lt;&gt;"Draft")),"",IF(COUNT(X681)=0,"No due date",IF(TODAY()-X681&lt;=0,"Not yet due",IF(TODAY()-X681&lt;=30,"1-30 days",IF(TODAY()-X681&lt;=60,"31-60 days",IF(TODAY()-X681&lt;=90,"61-90 days","Over 90 days")))))))</f>
        <v/>
      </c>
      <c r="AM681" s="49">
        <f>IF(OR(AL681="",AL681="No due date"),"",MAX(TODAY()-X681,0))</f>
        <v/>
      </c>
      <c r="AN681" s="49">
        <f>IF(AL681="","",IF(COUNT(X681)=0,-100000,TODAY()-X681))</f>
        <v/>
      </c>
      <c r="AO681" s="49">
        <f>IF(AN681="","",COUNTIF(AN$11:AN$1010,"&gt;"&amp;AN681)+COUNTIF(AN$11:AN681,AN681))</f>
        <v/>
      </c>
      <c r="AP681" s="49">
        <f>IF(OR(A681="",B681=""),"",IF(COUNTIF(B$11:B681,B681)=1,MAX(AP$10:AP680)+1,""))</f>
        <v/>
      </c>
    </row>
    <row r="682">
      <c r="A682" s="20" t="n"/>
      <c r="B682" s="10" t="n"/>
      <c r="C682" s="10" t="n"/>
      <c r="D682" s="10" t="n"/>
      <c r="E682" s="10" t="n"/>
      <c r="F682" s="18" t="n"/>
      <c r="G682" s="10" t="n"/>
      <c r="H682" s="12" t="n"/>
      <c r="I682" s="12" t="n"/>
      <c r="J682" s="13">
        <f>IF(OR(A682="",COUNT(H682)=0,COUNT(Z682)=0),"",ROUND(Z682-H682,2))</f>
        <v/>
      </c>
      <c r="K682" s="15">
        <f>IF(COUNT(J682)=0,"",IF(Z682=0,"n.a.",J682/Z682))</f>
        <v/>
      </c>
      <c r="L682" s="14">
        <f>IF(OR(A682="",COUNT(H682)=0,COUNT(Y682)=0),"",ROUND(H682*(1+Y682),2))</f>
        <v/>
      </c>
      <c r="M682" s="10" t="n"/>
      <c r="N682" s="10" t="n"/>
      <c r="O682" s="10" t="n"/>
      <c r="P682" s="10" t="n"/>
      <c r="Q682" s="20" t="n"/>
      <c r="R682" s="10" t="n"/>
      <c r="S682" s="10" t="n"/>
      <c r="T682" s="18" t="n"/>
      <c r="U682" s="18" t="n"/>
      <c r="V682" s="10" t="n"/>
      <c r="W682" s="10" t="n"/>
      <c r="X682" s="19">
        <f>IF(OR(A682="",COUNT(U682)=0,COUNT(AI682)=0),"",U682+AI682)</f>
        <v/>
      </c>
      <c r="Y682" s="16" t="n"/>
      <c r="Z682" s="12" t="n"/>
      <c r="AA682" s="17">
        <f>IF(COUNT(J682)=0,"",IF(H682=0,"n.a.",J682/H682))</f>
        <v/>
      </c>
      <c r="AB682" s="12" t="n"/>
      <c r="AC682" s="12" t="n"/>
      <c r="AD682" s="12" t="n"/>
      <c r="AE682" s="13">
        <f>IF(OR(COUNT(J682)=0,COUNT(AB682:AD682)&lt;3),"",ROUND(J682-SUM(AB682:AD682),2))</f>
        <v/>
      </c>
      <c r="AF682" s="15">
        <f>IF(COUNT(AE682)=0,"",IF(Z682=0,"n.a.",AE682/Z682))</f>
        <v/>
      </c>
      <c r="AG682" s="12" t="n"/>
      <c r="AH682" s="14">
        <f>IF(OR(A682="",COUNT(Z682)=0,COUNT(AG682)=0),"",ROUND(Z682-AG682,2))</f>
        <v/>
      </c>
      <c r="AI682" s="21" t="n"/>
      <c r="AJ682" s="11">
        <f>IF(A682="","",IF(COUNT(I682)=0,"Enter approved NTE",IF(COUNT(Z682)&gt;0,IF(Z682&gt;I682,"Invoice exceeds NTE","Invoice within NTE"),IF(COUNT(L682)=0,"Enter quote inputs",IF(L682&gt;I682,"Quote exceeds NTE","Quote within NTE")))))</f>
        <v/>
      </c>
      <c r="AK682" s="11">
        <f>IF(A682="","",IF(COUNT(H682)=0,"Enter direct cost",IF(COUNT(Z682)=0,"Enter invoice revenue",IF(COUNT(AB682:AD682)&lt;3,"Enter expenses (0 if none)","Complete"))))</f>
        <v/>
      </c>
      <c r="AL682" s="11">
        <f>IF(A682="","",IF(NOT(AND(COUNT(AH682)=1,N(AH682)&gt;0.004,V682&lt;&gt;"Void",V682&lt;&gt;"Not invoiced",V682&lt;&gt;"Draft")),"",IF(COUNT(X682)=0,"No due date",IF(TODAY()-X682&lt;=0,"Not yet due",IF(TODAY()-X682&lt;=30,"1-30 days",IF(TODAY()-X682&lt;=60,"31-60 days",IF(TODAY()-X682&lt;=90,"61-90 days","Over 90 days")))))))</f>
        <v/>
      </c>
      <c r="AM682" s="49">
        <f>IF(OR(AL682="",AL682="No due date"),"",MAX(TODAY()-X682,0))</f>
        <v/>
      </c>
      <c r="AN682" s="49">
        <f>IF(AL682="","",IF(COUNT(X682)=0,-100000,TODAY()-X682))</f>
        <v/>
      </c>
      <c r="AO682" s="49">
        <f>IF(AN682="","",COUNTIF(AN$11:AN$1010,"&gt;"&amp;AN682)+COUNTIF(AN$11:AN682,AN682))</f>
        <v/>
      </c>
      <c r="AP682" s="49">
        <f>IF(OR(A682="",B682=""),"",IF(COUNTIF(B$11:B682,B682)=1,MAX(AP$10:AP681)+1,""))</f>
        <v/>
      </c>
    </row>
    <row r="683">
      <c r="A683" s="20" t="n"/>
      <c r="B683" s="10" t="n"/>
      <c r="C683" s="10" t="n"/>
      <c r="D683" s="10" t="n"/>
      <c r="E683" s="10" t="n"/>
      <c r="F683" s="18" t="n"/>
      <c r="G683" s="10" t="n"/>
      <c r="H683" s="12" t="n"/>
      <c r="I683" s="12" t="n"/>
      <c r="J683" s="13">
        <f>IF(OR(A683="",COUNT(H683)=0,COUNT(Z683)=0),"",ROUND(Z683-H683,2))</f>
        <v/>
      </c>
      <c r="K683" s="15">
        <f>IF(COUNT(J683)=0,"",IF(Z683=0,"n.a.",J683/Z683))</f>
        <v/>
      </c>
      <c r="L683" s="14">
        <f>IF(OR(A683="",COUNT(H683)=0,COUNT(Y683)=0),"",ROUND(H683*(1+Y683),2))</f>
        <v/>
      </c>
      <c r="M683" s="10" t="n"/>
      <c r="N683" s="10" t="n"/>
      <c r="O683" s="10" t="n"/>
      <c r="P683" s="10" t="n"/>
      <c r="Q683" s="20" t="n"/>
      <c r="R683" s="10" t="n"/>
      <c r="S683" s="10" t="n"/>
      <c r="T683" s="18" t="n"/>
      <c r="U683" s="18" t="n"/>
      <c r="V683" s="10" t="n"/>
      <c r="W683" s="10" t="n"/>
      <c r="X683" s="19">
        <f>IF(OR(A683="",COUNT(U683)=0,COUNT(AI683)=0),"",U683+AI683)</f>
        <v/>
      </c>
      <c r="Y683" s="16" t="n"/>
      <c r="Z683" s="12" t="n"/>
      <c r="AA683" s="17">
        <f>IF(COUNT(J683)=0,"",IF(H683=0,"n.a.",J683/H683))</f>
        <v/>
      </c>
      <c r="AB683" s="12" t="n"/>
      <c r="AC683" s="12" t="n"/>
      <c r="AD683" s="12" t="n"/>
      <c r="AE683" s="13">
        <f>IF(OR(COUNT(J683)=0,COUNT(AB683:AD683)&lt;3),"",ROUND(J683-SUM(AB683:AD683),2))</f>
        <v/>
      </c>
      <c r="AF683" s="15">
        <f>IF(COUNT(AE683)=0,"",IF(Z683=0,"n.a.",AE683/Z683))</f>
        <v/>
      </c>
      <c r="AG683" s="12" t="n"/>
      <c r="AH683" s="14">
        <f>IF(OR(A683="",COUNT(Z683)=0,COUNT(AG683)=0),"",ROUND(Z683-AG683,2))</f>
        <v/>
      </c>
      <c r="AI683" s="21" t="n"/>
      <c r="AJ683" s="11">
        <f>IF(A683="","",IF(COUNT(I683)=0,"Enter approved NTE",IF(COUNT(Z683)&gt;0,IF(Z683&gt;I683,"Invoice exceeds NTE","Invoice within NTE"),IF(COUNT(L683)=0,"Enter quote inputs",IF(L683&gt;I683,"Quote exceeds NTE","Quote within NTE")))))</f>
        <v/>
      </c>
      <c r="AK683" s="11">
        <f>IF(A683="","",IF(COUNT(H683)=0,"Enter direct cost",IF(COUNT(Z683)=0,"Enter invoice revenue",IF(COUNT(AB683:AD683)&lt;3,"Enter expenses (0 if none)","Complete"))))</f>
        <v/>
      </c>
      <c r="AL683" s="11">
        <f>IF(A683="","",IF(NOT(AND(COUNT(AH683)=1,N(AH683)&gt;0.004,V683&lt;&gt;"Void",V683&lt;&gt;"Not invoiced",V683&lt;&gt;"Draft")),"",IF(COUNT(X683)=0,"No due date",IF(TODAY()-X683&lt;=0,"Not yet due",IF(TODAY()-X683&lt;=30,"1-30 days",IF(TODAY()-X683&lt;=60,"31-60 days",IF(TODAY()-X683&lt;=90,"61-90 days","Over 90 days")))))))</f>
        <v/>
      </c>
      <c r="AM683" s="49">
        <f>IF(OR(AL683="",AL683="No due date"),"",MAX(TODAY()-X683,0))</f>
        <v/>
      </c>
      <c r="AN683" s="49">
        <f>IF(AL683="","",IF(COUNT(X683)=0,-100000,TODAY()-X683))</f>
        <v/>
      </c>
      <c r="AO683" s="49">
        <f>IF(AN683="","",COUNTIF(AN$11:AN$1010,"&gt;"&amp;AN683)+COUNTIF(AN$11:AN683,AN683))</f>
        <v/>
      </c>
      <c r="AP683" s="49">
        <f>IF(OR(A683="",B683=""),"",IF(COUNTIF(B$11:B683,B683)=1,MAX(AP$10:AP682)+1,""))</f>
        <v/>
      </c>
    </row>
    <row r="684">
      <c r="A684" s="20" t="n"/>
      <c r="B684" s="10" t="n"/>
      <c r="C684" s="10" t="n"/>
      <c r="D684" s="10" t="n"/>
      <c r="E684" s="10" t="n"/>
      <c r="F684" s="18" t="n"/>
      <c r="G684" s="10" t="n"/>
      <c r="H684" s="12" t="n"/>
      <c r="I684" s="12" t="n"/>
      <c r="J684" s="13">
        <f>IF(OR(A684="",COUNT(H684)=0,COUNT(Z684)=0),"",ROUND(Z684-H684,2))</f>
        <v/>
      </c>
      <c r="K684" s="15">
        <f>IF(COUNT(J684)=0,"",IF(Z684=0,"n.a.",J684/Z684))</f>
        <v/>
      </c>
      <c r="L684" s="14">
        <f>IF(OR(A684="",COUNT(H684)=0,COUNT(Y684)=0),"",ROUND(H684*(1+Y684),2))</f>
        <v/>
      </c>
      <c r="M684" s="10" t="n"/>
      <c r="N684" s="10" t="n"/>
      <c r="O684" s="10" t="n"/>
      <c r="P684" s="10" t="n"/>
      <c r="Q684" s="20" t="n"/>
      <c r="R684" s="10" t="n"/>
      <c r="S684" s="10" t="n"/>
      <c r="T684" s="18" t="n"/>
      <c r="U684" s="18" t="n"/>
      <c r="V684" s="10" t="n"/>
      <c r="W684" s="10" t="n"/>
      <c r="X684" s="19">
        <f>IF(OR(A684="",COUNT(U684)=0,COUNT(AI684)=0),"",U684+AI684)</f>
        <v/>
      </c>
      <c r="Y684" s="16" t="n"/>
      <c r="Z684" s="12" t="n"/>
      <c r="AA684" s="17">
        <f>IF(COUNT(J684)=0,"",IF(H684=0,"n.a.",J684/H684))</f>
        <v/>
      </c>
      <c r="AB684" s="12" t="n"/>
      <c r="AC684" s="12" t="n"/>
      <c r="AD684" s="12" t="n"/>
      <c r="AE684" s="13">
        <f>IF(OR(COUNT(J684)=0,COUNT(AB684:AD684)&lt;3),"",ROUND(J684-SUM(AB684:AD684),2))</f>
        <v/>
      </c>
      <c r="AF684" s="15">
        <f>IF(COUNT(AE684)=0,"",IF(Z684=0,"n.a.",AE684/Z684))</f>
        <v/>
      </c>
      <c r="AG684" s="12" t="n"/>
      <c r="AH684" s="14">
        <f>IF(OR(A684="",COUNT(Z684)=0,COUNT(AG684)=0),"",ROUND(Z684-AG684,2))</f>
        <v/>
      </c>
      <c r="AI684" s="21" t="n"/>
      <c r="AJ684" s="11">
        <f>IF(A684="","",IF(COUNT(I684)=0,"Enter approved NTE",IF(COUNT(Z684)&gt;0,IF(Z684&gt;I684,"Invoice exceeds NTE","Invoice within NTE"),IF(COUNT(L684)=0,"Enter quote inputs",IF(L684&gt;I684,"Quote exceeds NTE","Quote within NTE")))))</f>
        <v/>
      </c>
      <c r="AK684" s="11">
        <f>IF(A684="","",IF(COUNT(H684)=0,"Enter direct cost",IF(COUNT(Z684)=0,"Enter invoice revenue",IF(COUNT(AB684:AD684)&lt;3,"Enter expenses (0 if none)","Complete"))))</f>
        <v/>
      </c>
      <c r="AL684" s="11">
        <f>IF(A684="","",IF(NOT(AND(COUNT(AH684)=1,N(AH684)&gt;0.004,V684&lt;&gt;"Void",V684&lt;&gt;"Not invoiced",V684&lt;&gt;"Draft")),"",IF(COUNT(X684)=0,"No due date",IF(TODAY()-X684&lt;=0,"Not yet due",IF(TODAY()-X684&lt;=30,"1-30 days",IF(TODAY()-X684&lt;=60,"31-60 days",IF(TODAY()-X684&lt;=90,"61-90 days","Over 90 days")))))))</f>
        <v/>
      </c>
      <c r="AM684" s="49">
        <f>IF(OR(AL684="",AL684="No due date"),"",MAX(TODAY()-X684,0))</f>
        <v/>
      </c>
      <c r="AN684" s="49">
        <f>IF(AL684="","",IF(COUNT(X684)=0,-100000,TODAY()-X684))</f>
        <v/>
      </c>
      <c r="AO684" s="49">
        <f>IF(AN684="","",COUNTIF(AN$11:AN$1010,"&gt;"&amp;AN684)+COUNTIF(AN$11:AN684,AN684))</f>
        <v/>
      </c>
      <c r="AP684" s="49">
        <f>IF(OR(A684="",B684=""),"",IF(COUNTIF(B$11:B684,B684)=1,MAX(AP$10:AP683)+1,""))</f>
        <v/>
      </c>
    </row>
    <row r="685">
      <c r="A685" s="20" t="n"/>
      <c r="B685" s="10" t="n"/>
      <c r="C685" s="10" t="n"/>
      <c r="D685" s="10" t="n"/>
      <c r="E685" s="10" t="n"/>
      <c r="F685" s="18" t="n"/>
      <c r="G685" s="10" t="n"/>
      <c r="H685" s="12" t="n"/>
      <c r="I685" s="12" t="n"/>
      <c r="J685" s="13">
        <f>IF(OR(A685="",COUNT(H685)=0,COUNT(Z685)=0),"",ROUND(Z685-H685,2))</f>
        <v/>
      </c>
      <c r="K685" s="15">
        <f>IF(COUNT(J685)=0,"",IF(Z685=0,"n.a.",J685/Z685))</f>
        <v/>
      </c>
      <c r="L685" s="14">
        <f>IF(OR(A685="",COUNT(H685)=0,COUNT(Y685)=0),"",ROUND(H685*(1+Y685),2))</f>
        <v/>
      </c>
      <c r="M685" s="10" t="n"/>
      <c r="N685" s="10" t="n"/>
      <c r="O685" s="10" t="n"/>
      <c r="P685" s="10" t="n"/>
      <c r="Q685" s="20" t="n"/>
      <c r="R685" s="10" t="n"/>
      <c r="S685" s="10" t="n"/>
      <c r="T685" s="18" t="n"/>
      <c r="U685" s="18" t="n"/>
      <c r="V685" s="10" t="n"/>
      <c r="W685" s="10" t="n"/>
      <c r="X685" s="19">
        <f>IF(OR(A685="",COUNT(U685)=0,COUNT(AI685)=0),"",U685+AI685)</f>
        <v/>
      </c>
      <c r="Y685" s="16" t="n"/>
      <c r="Z685" s="12" t="n"/>
      <c r="AA685" s="17">
        <f>IF(COUNT(J685)=0,"",IF(H685=0,"n.a.",J685/H685))</f>
        <v/>
      </c>
      <c r="AB685" s="12" t="n"/>
      <c r="AC685" s="12" t="n"/>
      <c r="AD685" s="12" t="n"/>
      <c r="AE685" s="13">
        <f>IF(OR(COUNT(J685)=0,COUNT(AB685:AD685)&lt;3),"",ROUND(J685-SUM(AB685:AD685),2))</f>
        <v/>
      </c>
      <c r="AF685" s="15">
        <f>IF(COUNT(AE685)=0,"",IF(Z685=0,"n.a.",AE685/Z685))</f>
        <v/>
      </c>
      <c r="AG685" s="12" t="n"/>
      <c r="AH685" s="14">
        <f>IF(OR(A685="",COUNT(Z685)=0,COUNT(AG685)=0),"",ROUND(Z685-AG685,2))</f>
        <v/>
      </c>
      <c r="AI685" s="21" t="n"/>
      <c r="AJ685" s="11">
        <f>IF(A685="","",IF(COUNT(I685)=0,"Enter approved NTE",IF(COUNT(Z685)&gt;0,IF(Z685&gt;I685,"Invoice exceeds NTE","Invoice within NTE"),IF(COUNT(L685)=0,"Enter quote inputs",IF(L685&gt;I685,"Quote exceeds NTE","Quote within NTE")))))</f>
        <v/>
      </c>
      <c r="AK685" s="11">
        <f>IF(A685="","",IF(COUNT(H685)=0,"Enter direct cost",IF(COUNT(Z685)=0,"Enter invoice revenue",IF(COUNT(AB685:AD685)&lt;3,"Enter expenses (0 if none)","Complete"))))</f>
        <v/>
      </c>
      <c r="AL685" s="11">
        <f>IF(A685="","",IF(NOT(AND(COUNT(AH685)=1,N(AH685)&gt;0.004,V685&lt;&gt;"Void",V685&lt;&gt;"Not invoiced",V685&lt;&gt;"Draft")),"",IF(COUNT(X685)=0,"No due date",IF(TODAY()-X685&lt;=0,"Not yet due",IF(TODAY()-X685&lt;=30,"1-30 days",IF(TODAY()-X685&lt;=60,"31-60 days",IF(TODAY()-X685&lt;=90,"61-90 days","Over 90 days")))))))</f>
        <v/>
      </c>
      <c r="AM685" s="49">
        <f>IF(OR(AL685="",AL685="No due date"),"",MAX(TODAY()-X685,0))</f>
        <v/>
      </c>
      <c r="AN685" s="49">
        <f>IF(AL685="","",IF(COUNT(X685)=0,-100000,TODAY()-X685))</f>
        <v/>
      </c>
      <c r="AO685" s="49">
        <f>IF(AN685="","",COUNTIF(AN$11:AN$1010,"&gt;"&amp;AN685)+COUNTIF(AN$11:AN685,AN685))</f>
        <v/>
      </c>
      <c r="AP685" s="49">
        <f>IF(OR(A685="",B685=""),"",IF(COUNTIF(B$11:B685,B685)=1,MAX(AP$10:AP684)+1,""))</f>
        <v/>
      </c>
    </row>
    <row r="686">
      <c r="A686" s="20" t="n"/>
      <c r="B686" s="10" t="n"/>
      <c r="C686" s="10" t="n"/>
      <c r="D686" s="10" t="n"/>
      <c r="E686" s="10" t="n"/>
      <c r="F686" s="18" t="n"/>
      <c r="G686" s="10" t="n"/>
      <c r="H686" s="12" t="n"/>
      <c r="I686" s="12" t="n"/>
      <c r="J686" s="13">
        <f>IF(OR(A686="",COUNT(H686)=0,COUNT(Z686)=0),"",ROUND(Z686-H686,2))</f>
        <v/>
      </c>
      <c r="K686" s="15">
        <f>IF(COUNT(J686)=0,"",IF(Z686=0,"n.a.",J686/Z686))</f>
        <v/>
      </c>
      <c r="L686" s="14">
        <f>IF(OR(A686="",COUNT(H686)=0,COUNT(Y686)=0),"",ROUND(H686*(1+Y686),2))</f>
        <v/>
      </c>
      <c r="M686" s="10" t="n"/>
      <c r="N686" s="10" t="n"/>
      <c r="O686" s="10" t="n"/>
      <c r="P686" s="10" t="n"/>
      <c r="Q686" s="20" t="n"/>
      <c r="R686" s="10" t="n"/>
      <c r="S686" s="10" t="n"/>
      <c r="T686" s="18" t="n"/>
      <c r="U686" s="18" t="n"/>
      <c r="V686" s="10" t="n"/>
      <c r="W686" s="10" t="n"/>
      <c r="X686" s="19">
        <f>IF(OR(A686="",COUNT(U686)=0,COUNT(AI686)=0),"",U686+AI686)</f>
        <v/>
      </c>
      <c r="Y686" s="16" t="n"/>
      <c r="Z686" s="12" t="n"/>
      <c r="AA686" s="17">
        <f>IF(COUNT(J686)=0,"",IF(H686=0,"n.a.",J686/H686))</f>
        <v/>
      </c>
      <c r="AB686" s="12" t="n"/>
      <c r="AC686" s="12" t="n"/>
      <c r="AD686" s="12" t="n"/>
      <c r="AE686" s="13">
        <f>IF(OR(COUNT(J686)=0,COUNT(AB686:AD686)&lt;3),"",ROUND(J686-SUM(AB686:AD686),2))</f>
        <v/>
      </c>
      <c r="AF686" s="15">
        <f>IF(COUNT(AE686)=0,"",IF(Z686=0,"n.a.",AE686/Z686))</f>
        <v/>
      </c>
      <c r="AG686" s="12" t="n"/>
      <c r="AH686" s="14">
        <f>IF(OR(A686="",COUNT(Z686)=0,COUNT(AG686)=0),"",ROUND(Z686-AG686,2))</f>
        <v/>
      </c>
      <c r="AI686" s="21" t="n"/>
      <c r="AJ686" s="11">
        <f>IF(A686="","",IF(COUNT(I686)=0,"Enter approved NTE",IF(COUNT(Z686)&gt;0,IF(Z686&gt;I686,"Invoice exceeds NTE","Invoice within NTE"),IF(COUNT(L686)=0,"Enter quote inputs",IF(L686&gt;I686,"Quote exceeds NTE","Quote within NTE")))))</f>
        <v/>
      </c>
      <c r="AK686" s="11">
        <f>IF(A686="","",IF(COUNT(H686)=0,"Enter direct cost",IF(COUNT(Z686)=0,"Enter invoice revenue",IF(COUNT(AB686:AD686)&lt;3,"Enter expenses (0 if none)","Complete"))))</f>
        <v/>
      </c>
      <c r="AL686" s="11">
        <f>IF(A686="","",IF(NOT(AND(COUNT(AH686)=1,N(AH686)&gt;0.004,V686&lt;&gt;"Void",V686&lt;&gt;"Not invoiced",V686&lt;&gt;"Draft")),"",IF(COUNT(X686)=0,"No due date",IF(TODAY()-X686&lt;=0,"Not yet due",IF(TODAY()-X686&lt;=30,"1-30 days",IF(TODAY()-X686&lt;=60,"31-60 days",IF(TODAY()-X686&lt;=90,"61-90 days","Over 90 days")))))))</f>
        <v/>
      </c>
      <c r="AM686" s="49">
        <f>IF(OR(AL686="",AL686="No due date"),"",MAX(TODAY()-X686,0))</f>
        <v/>
      </c>
      <c r="AN686" s="49">
        <f>IF(AL686="","",IF(COUNT(X686)=0,-100000,TODAY()-X686))</f>
        <v/>
      </c>
      <c r="AO686" s="49">
        <f>IF(AN686="","",COUNTIF(AN$11:AN$1010,"&gt;"&amp;AN686)+COUNTIF(AN$11:AN686,AN686))</f>
        <v/>
      </c>
      <c r="AP686" s="49">
        <f>IF(OR(A686="",B686=""),"",IF(COUNTIF(B$11:B686,B686)=1,MAX(AP$10:AP685)+1,""))</f>
        <v/>
      </c>
    </row>
    <row r="687">
      <c r="A687" s="20" t="n"/>
      <c r="B687" s="10" t="n"/>
      <c r="C687" s="10" t="n"/>
      <c r="D687" s="10" t="n"/>
      <c r="E687" s="10" t="n"/>
      <c r="F687" s="18" t="n"/>
      <c r="G687" s="10" t="n"/>
      <c r="H687" s="12" t="n"/>
      <c r="I687" s="12" t="n"/>
      <c r="J687" s="13">
        <f>IF(OR(A687="",COUNT(H687)=0,COUNT(Z687)=0),"",ROUND(Z687-H687,2))</f>
        <v/>
      </c>
      <c r="K687" s="15">
        <f>IF(COUNT(J687)=0,"",IF(Z687=0,"n.a.",J687/Z687))</f>
        <v/>
      </c>
      <c r="L687" s="14">
        <f>IF(OR(A687="",COUNT(H687)=0,COUNT(Y687)=0),"",ROUND(H687*(1+Y687),2))</f>
        <v/>
      </c>
      <c r="M687" s="10" t="n"/>
      <c r="N687" s="10" t="n"/>
      <c r="O687" s="10" t="n"/>
      <c r="P687" s="10" t="n"/>
      <c r="Q687" s="20" t="n"/>
      <c r="R687" s="10" t="n"/>
      <c r="S687" s="10" t="n"/>
      <c r="T687" s="18" t="n"/>
      <c r="U687" s="18" t="n"/>
      <c r="V687" s="10" t="n"/>
      <c r="W687" s="10" t="n"/>
      <c r="X687" s="19">
        <f>IF(OR(A687="",COUNT(U687)=0,COUNT(AI687)=0),"",U687+AI687)</f>
        <v/>
      </c>
      <c r="Y687" s="16" t="n"/>
      <c r="Z687" s="12" t="n"/>
      <c r="AA687" s="17">
        <f>IF(COUNT(J687)=0,"",IF(H687=0,"n.a.",J687/H687))</f>
        <v/>
      </c>
      <c r="AB687" s="12" t="n"/>
      <c r="AC687" s="12" t="n"/>
      <c r="AD687" s="12" t="n"/>
      <c r="AE687" s="13">
        <f>IF(OR(COUNT(J687)=0,COUNT(AB687:AD687)&lt;3),"",ROUND(J687-SUM(AB687:AD687),2))</f>
        <v/>
      </c>
      <c r="AF687" s="15">
        <f>IF(COUNT(AE687)=0,"",IF(Z687=0,"n.a.",AE687/Z687))</f>
        <v/>
      </c>
      <c r="AG687" s="12" t="n"/>
      <c r="AH687" s="14">
        <f>IF(OR(A687="",COUNT(Z687)=0,COUNT(AG687)=0),"",ROUND(Z687-AG687,2))</f>
        <v/>
      </c>
      <c r="AI687" s="21" t="n"/>
      <c r="AJ687" s="11">
        <f>IF(A687="","",IF(COUNT(I687)=0,"Enter approved NTE",IF(COUNT(Z687)&gt;0,IF(Z687&gt;I687,"Invoice exceeds NTE","Invoice within NTE"),IF(COUNT(L687)=0,"Enter quote inputs",IF(L687&gt;I687,"Quote exceeds NTE","Quote within NTE")))))</f>
        <v/>
      </c>
      <c r="AK687" s="11">
        <f>IF(A687="","",IF(COUNT(H687)=0,"Enter direct cost",IF(COUNT(Z687)=0,"Enter invoice revenue",IF(COUNT(AB687:AD687)&lt;3,"Enter expenses (0 if none)","Complete"))))</f>
        <v/>
      </c>
      <c r="AL687" s="11">
        <f>IF(A687="","",IF(NOT(AND(COUNT(AH687)=1,N(AH687)&gt;0.004,V687&lt;&gt;"Void",V687&lt;&gt;"Not invoiced",V687&lt;&gt;"Draft")),"",IF(COUNT(X687)=0,"No due date",IF(TODAY()-X687&lt;=0,"Not yet due",IF(TODAY()-X687&lt;=30,"1-30 days",IF(TODAY()-X687&lt;=60,"31-60 days",IF(TODAY()-X687&lt;=90,"61-90 days","Over 90 days")))))))</f>
        <v/>
      </c>
      <c r="AM687" s="49">
        <f>IF(OR(AL687="",AL687="No due date"),"",MAX(TODAY()-X687,0))</f>
        <v/>
      </c>
      <c r="AN687" s="49">
        <f>IF(AL687="","",IF(COUNT(X687)=0,-100000,TODAY()-X687))</f>
        <v/>
      </c>
      <c r="AO687" s="49">
        <f>IF(AN687="","",COUNTIF(AN$11:AN$1010,"&gt;"&amp;AN687)+COUNTIF(AN$11:AN687,AN687))</f>
        <v/>
      </c>
      <c r="AP687" s="49">
        <f>IF(OR(A687="",B687=""),"",IF(COUNTIF(B$11:B687,B687)=1,MAX(AP$10:AP686)+1,""))</f>
        <v/>
      </c>
    </row>
    <row r="688">
      <c r="A688" s="20" t="n"/>
      <c r="B688" s="10" t="n"/>
      <c r="C688" s="10" t="n"/>
      <c r="D688" s="10" t="n"/>
      <c r="E688" s="10" t="n"/>
      <c r="F688" s="18" t="n"/>
      <c r="G688" s="10" t="n"/>
      <c r="H688" s="12" t="n"/>
      <c r="I688" s="12" t="n"/>
      <c r="J688" s="13">
        <f>IF(OR(A688="",COUNT(H688)=0,COUNT(Z688)=0),"",ROUND(Z688-H688,2))</f>
        <v/>
      </c>
      <c r="K688" s="15">
        <f>IF(COUNT(J688)=0,"",IF(Z688=0,"n.a.",J688/Z688))</f>
        <v/>
      </c>
      <c r="L688" s="14">
        <f>IF(OR(A688="",COUNT(H688)=0,COUNT(Y688)=0),"",ROUND(H688*(1+Y688),2))</f>
        <v/>
      </c>
      <c r="M688" s="10" t="n"/>
      <c r="N688" s="10" t="n"/>
      <c r="O688" s="10" t="n"/>
      <c r="P688" s="10" t="n"/>
      <c r="Q688" s="20" t="n"/>
      <c r="R688" s="10" t="n"/>
      <c r="S688" s="10" t="n"/>
      <c r="T688" s="18" t="n"/>
      <c r="U688" s="18" t="n"/>
      <c r="V688" s="10" t="n"/>
      <c r="W688" s="10" t="n"/>
      <c r="X688" s="19">
        <f>IF(OR(A688="",COUNT(U688)=0,COUNT(AI688)=0),"",U688+AI688)</f>
        <v/>
      </c>
      <c r="Y688" s="16" t="n"/>
      <c r="Z688" s="12" t="n"/>
      <c r="AA688" s="17">
        <f>IF(COUNT(J688)=0,"",IF(H688=0,"n.a.",J688/H688))</f>
        <v/>
      </c>
      <c r="AB688" s="12" t="n"/>
      <c r="AC688" s="12" t="n"/>
      <c r="AD688" s="12" t="n"/>
      <c r="AE688" s="13">
        <f>IF(OR(COUNT(J688)=0,COUNT(AB688:AD688)&lt;3),"",ROUND(J688-SUM(AB688:AD688),2))</f>
        <v/>
      </c>
      <c r="AF688" s="15">
        <f>IF(COUNT(AE688)=0,"",IF(Z688=0,"n.a.",AE688/Z688))</f>
        <v/>
      </c>
      <c r="AG688" s="12" t="n"/>
      <c r="AH688" s="14">
        <f>IF(OR(A688="",COUNT(Z688)=0,COUNT(AG688)=0),"",ROUND(Z688-AG688,2))</f>
        <v/>
      </c>
      <c r="AI688" s="21" t="n"/>
      <c r="AJ688" s="11">
        <f>IF(A688="","",IF(COUNT(I688)=0,"Enter approved NTE",IF(COUNT(Z688)&gt;0,IF(Z688&gt;I688,"Invoice exceeds NTE","Invoice within NTE"),IF(COUNT(L688)=0,"Enter quote inputs",IF(L688&gt;I688,"Quote exceeds NTE","Quote within NTE")))))</f>
        <v/>
      </c>
      <c r="AK688" s="11">
        <f>IF(A688="","",IF(COUNT(H688)=0,"Enter direct cost",IF(COUNT(Z688)=0,"Enter invoice revenue",IF(COUNT(AB688:AD688)&lt;3,"Enter expenses (0 if none)","Complete"))))</f>
        <v/>
      </c>
      <c r="AL688" s="11">
        <f>IF(A688="","",IF(NOT(AND(COUNT(AH688)=1,N(AH688)&gt;0.004,V688&lt;&gt;"Void",V688&lt;&gt;"Not invoiced",V688&lt;&gt;"Draft")),"",IF(COUNT(X688)=0,"No due date",IF(TODAY()-X688&lt;=0,"Not yet due",IF(TODAY()-X688&lt;=30,"1-30 days",IF(TODAY()-X688&lt;=60,"31-60 days",IF(TODAY()-X688&lt;=90,"61-90 days","Over 90 days")))))))</f>
        <v/>
      </c>
      <c r="AM688" s="49">
        <f>IF(OR(AL688="",AL688="No due date"),"",MAX(TODAY()-X688,0))</f>
        <v/>
      </c>
      <c r="AN688" s="49">
        <f>IF(AL688="","",IF(COUNT(X688)=0,-100000,TODAY()-X688))</f>
        <v/>
      </c>
      <c r="AO688" s="49">
        <f>IF(AN688="","",COUNTIF(AN$11:AN$1010,"&gt;"&amp;AN688)+COUNTIF(AN$11:AN688,AN688))</f>
        <v/>
      </c>
      <c r="AP688" s="49">
        <f>IF(OR(A688="",B688=""),"",IF(COUNTIF(B$11:B688,B688)=1,MAX(AP$10:AP687)+1,""))</f>
        <v/>
      </c>
    </row>
    <row r="689">
      <c r="A689" s="20" t="n"/>
      <c r="B689" s="10" t="n"/>
      <c r="C689" s="10" t="n"/>
      <c r="D689" s="10" t="n"/>
      <c r="E689" s="10" t="n"/>
      <c r="F689" s="18" t="n"/>
      <c r="G689" s="10" t="n"/>
      <c r="H689" s="12" t="n"/>
      <c r="I689" s="12" t="n"/>
      <c r="J689" s="13">
        <f>IF(OR(A689="",COUNT(H689)=0,COUNT(Z689)=0),"",ROUND(Z689-H689,2))</f>
        <v/>
      </c>
      <c r="K689" s="15">
        <f>IF(COUNT(J689)=0,"",IF(Z689=0,"n.a.",J689/Z689))</f>
        <v/>
      </c>
      <c r="L689" s="14">
        <f>IF(OR(A689="",COUNT(H689)=0,COUNT(Y689)=0),"",ROUND(H689*(1+Y689),2))</f>
        <v/>
      </c>
      <c r="M689" s="10" t="n"/>
      <c r="N689" s="10" t="n"/>
      <c r="O689" s="10" t="n"/>
      <c r="P689" s="10" t="n"/>
      <c r="Q689" s="20" t="n"/>
      <c r="R689" s="10" t="n"/>
      <c r="S689" s="10" t="n"/>
      <c r="T689" s="18" t="n"/>
      <c r="U689" s="18" t="n"/>
      <c r="V689" s="10" t="n"/>
      <c r="W689" s="10" t="n"/>
      <c r="X689" s="19">
        <f>IF(OR(A689="",COUNT(U689)=0,COUNT(AI689)=0),"",U689+AI689)</f>
        <v/>
      </c>
      <c r="Y689" s="16" t="n"/>
      <c r="Z689" s="12" t="n"/>
      <c r="AA689" s="17">
        <f>IF(COUNT(J689)=0,"",IF(H689=0,"n.a.",J689/H689))</f>
        <v/>
      </c>
      <c r="AB689" s="12" t="n"/>
      <c r="AC689" s="12" t="n"/>
      <c r="AD689" s="12" t="n"/>
      <c r="AE689" s="13">
        <f>IF(OR(COUNT(J689)=0,COUNT(AB689:AD689)&lt;3),"",ROUND(J689-SUM(AB689:AD689),2))</f>
        <v/>
      </c>
      <c r="AF689" s="15">
        <f>IF(COUNT(AE689)=0,"",IF(Z689=0,"n.a.",AE689/Z689))</f>
        <v/>
      </c>
      <c r="AG689" s="12" t="n"/>
      <c r="AH689" s="14">
        <f>IF(OR(A689="",COUNT(Z689)=0,COUNT(AG689)=0),"",ROUND(Z689-AG689,2))</f>
        <v/>
      </c>
      <c r="AI689" s="21" t="n"/>
      <c r="AJ689" s="11">
        <f>IF(A689="","",IF(COUNT(I689)=0,"Enter approved NTE",IF(COUNT(Z689)&gt;0,IF(Z689&gt;I689,"Invoice exceeds NTE","Invoice within NTE"),IF(COUNT(L689)=0,"Enter quote inputs",IF(L689&gt;I689,"Quote exceeds NTE","Quote within NTE")))))</f>
        <v/>
      </c>
      <c r="AK689" s="11">
        <f>IF(A689="","",IF(COUNT(H689)=0,"Enter direct cost",IF(COUNT(Z689)=0,"Enter invoice revenue",IF(COUNT(AB689:AD689)&lt;3,"Enter expenses (0 if none)","Complete"))))</f>
        <v/>
      </c>
      <c r="AL689" s="11">
        <f>IF(A689="","",IF(NOT(AND(COUNT(AH689)=1,N(AH689)&gt;0.004,V689&lt;&gt;"Void",V689&lt;&gt;"Not invoiced",V689&lt;&gt;"Draft")),"",IF(COUNT(X689)=0,"No due date",IF(TODAY()-X689&lt;=0,"Not yet due",IF(TODAY()-X689&lt;=30,"1-30 days",IF(TODAY()-X689&lt;=60,"31-60 days",IF(TODAY()-X689&lt;=90,"61-90 days","Over 90 days")))))))</f>
        <v/>
      </c>
      <c r="AM689" s="49">
        <f>IF(OR(AL689="",AL689="No due date"),"",MAX(TODAY()-X689,0))</f>
        <v/>
      </c>
      <c r="AN689" s="49">
        <f>IF(AL689="","",IF(COUNT(X689)=0,-100000,TODAY()-X689))</f>
        <v/>
      </c>
      <c r="AO689" s="49">
        <f>IF(AN689="","",COUNTIF(AN$11:AN$1010,"&gt;"&amp;AN689)+COUNTIF(AN$11:AN689,AN689))</f>
        <v/>
      </c>
      <c r="AP689" s="49">
        <f>IF(OR(A689="",B689=""),"",IF(COUNTIF(B$11:B689,B689)=1,MAX(AP$10:AP688)+1,""))</f>
        <v/>
      </c>
    </row>
    <row r="690">
      <c r="A690" s="20" t="n"/>
      <c r="B690" s="10" t="n"/>
      <c r="C690" s="10" t="n"/>
      <c r="D690" s="10" t="n"/>
      <c r="E690" s="10" t="n"/>
      <c r="F690" s="18" t="n"/>
      <c r="G690" s="10" t="n"/>
      <c r="H690" s="12" t="n"/>
      <c r="I690" s="12" t="n"/>
      <c r="J690" s="13">
        <f>IF(OR(A690="",COUNT(H690)=0,COUNT(Z690)=0),"",ROUND(Z690-H690,2))</f>
        <v/>
      </c>
      <c r="K690" s="15">
        <f>IF(COUNT(J690)=0,"",IF(Z690=0,"n.a.",J690/Z690))</f>
        <v/>
      </c>
      <c r="L690" s="14">
        <f>IF(OR(A690="",COUNT(H690)=0,COUNT(Y690)=0),"",ROUND(H690*(1+Y690),2))</f>
        <v/>
      </c>
      <c r="M690" s="10" t="n"/>
      <c r="N690" s="10" t="n"/>
      <c r="O690" s="10" t="n"/>
      <c r="P690" s="10" t="n"/>
      <c r="Q690" s="20" t="n"/>
      <c r="R690" s="10" t="n"/>
      <c r="S690" s="10" t="n"/>
      <c r="T690" s="18" t="n"/>
      <c r="U690" s="18" t="n"/>
      <c r="V690" s="10" t="n"/>
      <c r="W690" s="10" t="n"/>
      <c r="X690" s="19">
        <f>IF(OR(A690="",COUNT(U690)=0,COUNT(AI690)=0),"",U690+AI690)</f>
        <v/>
      </c>
      <c r="Y690" s="16" t="n"/>
      <c r="Z690" s="12" t="n"/>
      <c r="AA690" s="17">
        <f>IF(COUNT(J690)=0,"",IF(H690=0,"n.a.",J690/H690))</f>
        <v/>
      </c>
      <c r="AB690" s="12" t="n"/>
      <c r="AC690" s="12" t="n"/>
      <c r="AD690" s="12" t="n"/>
      <c r="AE690" s="13">
        <f>IF(OR(COUNT(J690)=0,COUNT(AB690:AD690)&lt;3),"",ROUND(J690-SUM(AB690:AD690),2))</f>
        <v/>
      </c>
      <c r="AF690" s="15">
        <f>IF(COUNT(AE690)=0,"",IF(Z690=0,"n.a.",AE690/Z690))</f>
        <v/>
      </c>
      <c r="AG690" s="12" t="n"/>
      <c r="AH690" s="14">
        <f>IF(OR(A690="",COUNT(Z690)=0,COUNT(AG690)=0),"",ROUND(Z690-AG690,2))</f>
        <v/>
      </c>
      <c r="AI690" s="21" t="n"/>
      <c r="AJ690" s="11">
        <f>IF(A690="","",IF(COUNT(I690)=0,"Enter approved NTE",IF(COUNT(Z690)&gt;0,IF(Z690&gt;I690,"Invoice exceeds NTE","Invoice within NTE"),IF(COUNT(L690)=0,"Enter quote inputs",IF(L690&gt;I690,"Quote exceeds NTE","Quote within NTE")))))</f>
        <v/>
      </c>
      <c r="AK690" s="11">
        <f>IF(A690="","",IF(COUNT(H690)=0,"Enter direct cost",IF(COUNT(Z690)=0,"Enter invoice revenue",IF(COUNT(AB690:AD690)&lt;3,"Enter expenses (0 if none)","Complete"))))</f>
        <v/>
      </c>
      <c r="AL690" s="11">
        <f>IF(A690="","",IF(NOT(AND(COUNT(AH690)=1,N(AH690)&gt;0.004,V690&lt;&gt;"Void",V690&lt;&gt;"Not invoiced",V690&lt;&gt;"Draft")),"",IF(COUNT(X690)=0,"No due date",IF(TODAY()-X690&lt;=0,"Not yet due",IF(TODAY()-X690&lt;=30,"1-30 days",IF(TODAY()-X690&lt;=60,"31-60 days",IF(TODAY()-X690&lt;=90,"61-90 days","Over 90 days")))))))</f>
        <v/>
      </c>
      <c r="AM690" s="49">
        <f>IF(OR(AL690="",AL690="No due date"),"",MAX(TODAY()-X690,0))</f>
        <v/>
      </c>
      <c r="AN690" s="49">
        <f>IF(AL690="","",IF(COUNT(X690)=0,-100000,TODAY()-X690))</f>
        <v/>
      </c>
      <c r="AO690" s="49">
        <f>IF(AN690="","",COUNTIF(AN$11:AN$1010,"&gt;"&amp;AN690)+COUNTIF(AN$11:AN690,AN690))</f>
        <v/>
      </c>
      <c r="AP690" s="49">
        <f>IF(OR(A690="",B690=""),"",IF(COUNTIF(B$11:B690,B690)=1,MAX(AP$10:AP689)+1,""))</f>
        <v/>
      </c>
    </row>
    <row r="691">
      <c r="A691" s="20" t="n"/>
      <c r="B691" s="10" t="n"/>
      <c r="C691" s="10" t="n"/>
      <c r="D691" s="10" t="n"/>
      <c r="E691" s="10" t="n"/>
      <c r="F691" s="18" t="n"/>
      <c r="G691" s="10" t="n"/>
      <c r="H691" s="12" t="n"/>
      <c r="I691" s="12" t="n"/>
      <c r="J691" s="13">
        <f>IF(OR(A691="",COUNT(H691)=0,COUNT(Z691)=0),"",ROUND(Z691-H691,2))</f>
        <v/>
      </c>
      <c r="K691" s="15">
        <f>IF(COUNT(J691)=0,"",IF(Z691=0,"n.a.",J691/Z691))</f>
        <v/>
      </c>
      <c r="L691" s="14">
        <f>IF(OR(A691="",COUNT(H691)=0,COUNT(Y691)=0),"",ROUND(H691*(1+Y691),2))</f>
        <v/>
      </c>
      <c r="M691" s="10" t="n"/>
      <c r="N691" s="10" t="n"/>
      <c r="O691" s="10" t="n"/>
      <c r="P691" s="10" t="n"/>
      <c r="Q691" s="20" t="n"/>
      <c r="R691" s="10" t="n"/>
      <c r="S691" s="10" t="n"/>
      <c r="T691" s="18" t="n"/>
      <c r="U691" s="18" t="n"/>
      <c r="V691" s="10" t="n"/>
      <c r="W691" s="10" t="n"/>
      <c r="X691" s="19">
        <f>IF(OR(A691="",COUNT(U691)=0,COUNT(AI691)=0),"",U691+AI691)</f>
        <v/>
      </c>
      <c r="Y691" s="16" t="n"/>
      <c r="Z691" s="12" t="n"/>
      <c r="AA691" s="17">
        <f>IF(COUNT(J691)=0,"",IF(H691=0,"n.a.",J691/H691))</f>
        <v/>
      </c>
      <c r="AB691" s="12" t="n"/>
      <c r="AC691" s="12" t="n"/>
      <c r="AD691" s="12" t="n"/>
      <c r="AE691" s="13">
        <f>IF(OR(COUNT(J691)=0,COUNT(AB691:AD691)&lt;3),"",ROUND(J691-SUM(AB691:AD691),2))</f>
        <v/>
      </c>
      <c r="AF691" s="15">
        <f>IF(COUNT(AE691)=0,"",IF(Z691=0,"n.a.",AE691/Z691))</f>
        <v/>
      </c>
      <c r="AG691" s="12" t="n"/>
      <c r="AH691" s="14">
        <f>IF(OR(A691="",COUNT(Z691)=0,COUNT(AG691)=0),"",ROUND(Z691-AG691,2))</f>
        <v/>
      </c>
      <c r="AI691" s="21" t="n"/>
      <c r="AJ691" s="11">
        <f>IF(A691="","",IF(COUNT(I691)=0,"Enter approved NTE",IF(COUNT(Z691)&gt;0,IF(Z691&gt;I691,"Invoice exceeds NTE","Invoice within NTE"),IF(COUNT(L691)=0,"Enter quote inputs",IF(L691&gt;I691,"Quote exceeds NTE","Quote within NTE")))))</f>
        <v/>
      </c>
      <c r="AK691" s="11">
        <f>IF(A691="","",IF(COUNT(H691)=0,"Enter direct cost",IF(COUNT(Z691)=0,"Enter invoice revenue",IF(COUNT(AB691:AD691)&lt;3,"Enter expenses (0 if none)","Complete"))))</f>
        <v/>
      </c>
      <c r="AL691" s="11">
        <f>IF(A691="","",IF(NOT(AND(COUNT(AH691)=1,N(AH691)&gt;0.004,V691&lt;&gt;"Void",V691&lt;&gt;"Not invoiced",V691&lt;&gt;"Draft")),"",IF(COUNT(X691)=0,"No due date",IF(TODAY()-X691&lt;=0,"Not yet due",IF(TODAY()-X691&lt;=30,"1-30 days",IF(TODAY()-X691&lt;=60,"31-60 days",IF(TODAY()-X691&lt;=90,"61-90 days","Over 90 days")))))))</f>
        <v/>
      </c>
      <c r="AM691" s="49">
        <f>IF(OR(AL691="",AL691="No due date"),"",MAX(TODAY()-X691,0))</f>
        <v/>
      </c>
      <c r="AN691" s="49">
        <f>IF(AL691="","",IF(COUNT(X691)=0,-100000,TODAY()-X691))</f>
        <v/>
      </c>
      <c r="AO691" s="49">
        <f>IF(AN691="","",COUNTIF(AN$11:AN$1010,"&gt;"&amp;AN691)+COUNTIF(AN$11:AN691,AN691))</f>
        <v/>
      </c>
      <c r="AP691" s="49">
        <f>IF(OR(A691="",B691=""),"",IF(COUNTIF(B$11:B691,B691)=1,MAX(AP$10:AP690)+1,""))</f>
        <v/>
      </c>
    </row>
    <row r="692">
      <c r="A692" s="20" t="n"/>
      <c r="B692" s="10" t="n"/>
      <c r="C692" s="10" t="n"/>
      <c r="D692" s="10" t="n"/>
      <c r="E692" s="10" t="n"/>
      <c r="F692" s="18" t="n"/>
      <c r="G692" s="10" t="n"/>
      <c r="H692" s="12" t="n"/>
      <c r="I692" s="12" t="n"/>
      <c r="J692" s="13">
        <f>IF(OR(A692="",COUNT(H692)=0,COUNT(Z692)=0),"",ROUND(Z692-H692,2))</f>
        <v/>
      </c>
      <c r="K692" s="15">
        <f>IF(COUNT(J692)=0,"",IF(Z692=0,"n.a.",J692/Z692))</f>
        <v/>
      </c>
      <c r="L692" s="14">
        <f>IF(OR(A692="",COUNT(H692)=0,COUNT(Y692)=0),"",ROUND(H692*(1+Y692),2))</f>
        <v/>
      </c>
      <c r="M692" s="10" t="n"/>
      <c r="N692" s="10" t="n"/>
      <c r="O692" s="10" t="n"/>
      <c r="P692" s="10" t="n"/>
      <c r="Q692" s="20" t="n"/>
      <c r="R692" s="10" t="n"/>
      <c r="S692" s="10" t="n"/>
      <c r="T692" s="18" t="n"/>
      <c r="U692" s="18" t="n"/>
      <c r="V692" s="10" t="n"/>
      <c r="W692" s="10" t="n"/>
      <c r="X692" s="19">
        <f>IF(OR(A692="",COUNT(U692)=0,COUNT(AI692)=0),"",U692+AI692)</f>
        <v/>
      </c>
      <c r="Y692" s="16" t="n"/>
      <c r="Z692" s="12" t="n"/>
      <c r="AA692" s="17">
        <f>IF(COUNT(J692)=0,"",IF(H692=0,"n.a.",J692/H692))</f>
        <v/>
      </c>
      <c r="AB692" s="12" t="n"/>
      <c r="AC692" s="12" t="n"/>
      <c r="AD692" s="12" t="n"/>
      <c r="AE692" s="13">
        <f>IF(OR(COUNT(J692)=0,COUNT(AB692:AD692)&lt;3),"",ROUND(J692-SUM(AB692:AD692),2))</f>
        <v/>
      </c>
      <c r="AF692" s="15">
        <f>IF(COUNT(AE692)=0,"",IF(Z692=0,"n.a.",AE692/Z692))</f>
        <v/>
      </c>
      <c r="AG692" s="12" t="n"/>
      <c r="AH692" s="14">
        <f>IF(OR(A692="",COUNT(Z692)=0,COUNT(AG692)=0),"",ROUND(Z692-AG692,2))</f>
        <v/>
      </c>
      <c r="AI692" s="21" t="n"/>
      <c r="AJ692" s="11">
        <f>IF(A692="","",IF(COUNT(I692)=0,"Enter approved NTE",IF(COUNT(Z692)&gt;0,IF(Z692&gt;I692,"Invoice exceeds NTE","Invoice within NTE"),IF(COUNT(L692)=0,"Enter quote inputs",IF(L692&gt;I692,"Quote exceeds NTE","Quote within NTE")))))</f>
        <v/>
      </c>
      <c r="AK692" s="11">
        <f>IF(A692="","",IF(COUNT(H692)=0,"Enter direct cost",IF(COUNT(Z692)=0,"Enter invoice revenue",IF(COUNT(AB692:AD692)&lt;3,"Enter expenses (0 if none)","Complete"))))</f>
        <v/>
      </c>
      <c r="AL692" s="11">
        <f>IF(A692="","",IF(NOT(AND(COUNT(AH692)=1,N(AH692)&gt;0.004,V692&lt;&gt;"Void",V692&lt;&gt;"Not invoiced",V692&lt;&gt;"Draft")),"",IF(COUNT(X692)=0,"No due date",IF(TODAY()-X692&lt;=0,"Not yet due",IF(TODAY()-X692&lt;=30,"1-30 days",IF(TODAY()-X692&lt;=60,"31-60 days",IF(TODAY()-X692&lt;=90,"61-90 days","Over 90 days")))))))</f>
        <v/>
      </c>
      <c r="AM692" s="49">
        <f>IF(OR(AL692="",AL692="No due date"),"",MAX(TODAY()-X692,0))</f>
        <v/>
      </c>
      <c r="AN692" s="49">
        <f>IF(AL692="","",IF(COUNT(X692)=0,-100000,TODAY()-X692))</f>
        <v/>
      </c>
      <c r="AO692" s="49">
        <f>IF(AN692="","",COUNTIF(AN$11:AN$1010,"&gt;"&amp;AN692)+COUNTIF(AN$11:AN692,AN692))</f>
        <v/>
      </c>
      <c r="AP692" s="49">
        <f>IF(OR(A692="",B692=""),"",IF(COUNTIF(B$11:B692,B692)=1,MAX(AP$10:AP691)+1,""))</f>
        <v/>
      </c>
    </row>
    <row r="693">
      <c r="A693" s="20" t="n"/>
      <c r="B693" s="10" t="n"/>
      <c r="C693" s="10" t="n"/>
      <c r="D693" s="10" t="n"/>
      <c r="E693" s="10" t="n"/>
      <c r="F693" s="18" t="n"/>
      <c r="G693" s="10" t="n"/>
      <c r="H693" s="12" t="n"/>
      <c r="I693" s="12" t="n"/>
      <c r="J693" s="13">
        <f>IF(OR(A693="",COUNT(H693)=0,COUNT(Z693)=0),"",ROUND(Z693-H693,2))</f>
        <v/>
      </c>
      <c r="K693" s="15">
        <f>IF(COUNT(J693)=0,"",IF(Z693=0,"n.a.",J693/Z693))</f>
        <v/>
      </c>
      <c r="L693" s="14">
        <f>IF(OR(A693="",COUNT(H693)=0,COUNT(Y693)=0),"",ROUND(H693*(1+Y693),2))</f>
        <v/>
      </c>
      <c r="M693" s="10" t="n"/>
      <c r="N693" s="10" t="n"/>
      <c r="O693" s="10" t="n"/>
      <c r="P693" s="10" t="n"/>
      <c r="Q693" s="20" t="n"/>
      <c r="R693" s="10" t="n"/>
      <c r="S693" s="10" t="n"/>
      <c r="T693" s="18" t="n"/>
      <c r="U693" s="18" t="n"/>
      <c r="V693" s="10" t="n"/>
      <c r="W693" s="10" t="n"/>
      <c r="X693" s="19">
        <f>IF(OR(A693="",COUNT(U693)=0,COUNT(AI693)=0),"",U693+AI693)</f>
        <v/>
      </c>
      <c r="Y693" s="16" t="n"/>
      <c r="Z693" s="12" t="n"/>
      <c r="AA693" s="17">
        <f>IF(COUNT(J693)=0,"",IF(H693=0,"n.a.",J693/H693))</f>
        <v/>
      </c>
      <c r="AB693" s="12" t="n"/>
      <c r="AC693" s="12" t="n"/>
      <c r="AD693" s="12" t="n"/>
      <c r="AE693" s="13">
        <f>IF(OR(COUNT(J693)=0,COUNT(AB693:AD693)&lt;3),"",ROUND(J693-SUM(AB693:AD693),2))</f>
        <v/>
      </c>
      <c r="AF693" s="15">
        <f>IF(COUNT(AE693)=0,"",IF(Z693=0,"n.a.",AE693/Z693))</f>
        <v/>
      </c>
      <c r="AG693" s="12" t="n"/>
      <c r="AH693" s="14">
        <f>IF(OR(A693="",COUNT(Z693)=0,COUNT(AG693)=0),"",ROUND(Z693-AG693,2))</f>
        <v/>
      </c>
      <c r="AI693" s="21" t="n"/>
      <c r="AJ693" s="11">
        <f>IF(A693="","",IF(COUNT(I693)=0,"Enter approved NTE",IF(COUNT(Z693)&gt;0,IF(Z693&gt;I693,"Invoice exceeds NTE","Invoice within NTE"),IF(COUNT(L693)=0,"Enter quote inputs",IF(L693&gt;I693,"Quote exceeds NTE","Quote within NTE")))))</f>
        <v/>
      </c>
      <c r="AK693" s="11">
        <f>IF(A693="","",IF(COUNT(H693)=0,"Enter direct cost",IF(COUNT(Z693)=0,"Enter invoice revenue",IF(COUNT(AB693:AD693)&lt;3,"Enter expenses (0 if none)","Complete"))))</f>
        <v/>
      </c>
      <c r="AL693" s="11">
        <f>IF(A693="","",IF(NOT(AND(COUNT(AH693)=1,N(AH693)&gt;0.004,V693&lt;&gt;"Void",V693&lt;&gt;"Not invoiced",V693&lt;&gt;"Draft")),"",IF(COUNT(X693)=0,"No due date",IF(TODAY()-X693&lt;=0,"Not yet due",IF(TODAY()-X693&lt;=30,"1-30 days",IF(TODAY()-X693&lt;=60,"31-60 days",IF(TODAY()-X693&lt;=90,"61-90 days","Over 90 days")))))))</f>
        <v/>
      </c>
      <c r="AM693" s="49">
        <f>IF(OR(AL693="",AL693="No due date"),"",MAX(TODAY()-X693,0))</f>
        <v/>
      </c>
      <c r="AN693" s="49">
        <f>IF(AL693="","",IF(COUNT(X693)=0,-100000,TODAY()-X693))</f>
        <v/>
      </c>
      <c r="AO693" s="49">
        <f>IF(AN693="","",COUNTIF(AN$11:AN$1010,"&gt;"&amp;AN693)+COUNTIF(AN$11:AN693,AN693))</f>
        <v/>
      </c>
      <c r="AP693" s="49">
        <f>IF(OR(A693="",B693=""),"",IF(COUNTIF(B$11:B693,B693)=1,MAX(AP$10:AP692)+1,""))</f>
        <v/>
      </c>
    </row>
    <row r="694">
      <c r="A694" s="20" t="n"/>
      <c r="B694" s="10" t="n"/>
      <c r="C694" s="10" t="n"/>
      <c r="D694" s="10" t="n"/>
      <c r="E694" s="10" t="n"/>
      <c r="F694" s="18" t="n"/>
      <c r="G694" s="10" t="n"/>
      <c r="H694" s="12" t="n"/>
      <c r="I694" s="12" t="n"/>
      <c r="J694" s="13">
        <f>IF(OR(A694="",COUNT(H694)=0,COUNT(Z694)=0),"",ROUND(Z694-H694,2))</f>
        <v/>
      </c>
      <c r="K694" s="15">
        <f>IF(COUNT(J694)=0,"",IF(Z694=0,"n.a.",J694/Z694))</f>
        <v/>
      </c>
      <c r="L694" s="14">
        <f>IF(OR(A694="",COUNT(H694)=0,COUNT(Y694)=0),"",ROUND(H694*(1+Y694),2))</f>
        <v/>
      </c>
      <c r="M694" s="10" t="n"/>
      <c r="N694" s="10" t="n"/>
      <c r="O694" s="10" t="n"/>
      <c r="P694" s="10" t="n"/>
      <c r="Q694" s="20" t="n"/>
      <c r="R694" s="10" t="n"/>
      <c r="S694" s="10" t="n"/>
      <c r="T694" s="18" t="n"/>
      <c r="U694" s="18" t="n"/>
      <c r="V694" s="10" t="n"/>
      <c r="W694" s="10" t="n"/>
      <c r="X694" s="19">
        <f>IF(OR(A694="",COUNT(U694)=0,COUNT(AI694)=0),"",U694+AI694)</f>
        <v/>
      </c>
      <c r="Y694" s="16" t="n"/>
      <c r="Z694" s="12" t="n"/>
      <c r="AA694" s="17">
        <f>IF(COUNT(J694)=0,"",IF(H694=0,"n.a.",J694/H694))</f>
        <v/>
      </c>
      <c r="AB694" s="12" t="n"/>
      <c r="AC694" s="12" t="n"/>
      <c r="AD694" s="12" t="n"/>
      <c r="AE694" s="13">
        <f>IF(OR(COUNT(J694)=0,COUNT(AB694:AD694)&lt;3),"",ROUND(J694-SUM(AB694:AD694),2))</f>
        <v/>
      </c>
      <c r="AF694" s="15">
        <f>IF(COUNT(AE694)=0,"",IF(Z694=0,"n.a.",AE694/Z694))</f>
        <v/>
      </c>
      <c r="AG694" s="12" t="n"/>
      <c r="AH694" s="14">
        <f>IF(OR(A694="",COUNT(Z694)=0,COUNT(AG694)=0),"",ROUND(Z694-AG694,2))</f>
        <v/>
      </c>
      <c r="AI694" s="21" t="n"/>
      <c r="AJ694" s="11">
        <f>IF(A694="","",IF(COUNT(I694)=0,"Enter approved NTE",IF(COUNT(Z694)&gt;0,IF(Z694&gt;I694,"Invoice exceeds NTE","Invoice within NTE"),IF(COUNT(L694)=0,"Enter quote inputs",IF(L694&gt;I694,"Quote exceeds NTE","Quote within NTE")))))</f>
        <v/>
      </c>
      <c r="AK694" s="11">
        <f>IF(A694="","",IF(COUNT(H694)=0,"Enter direct cost",IF(COUNT(Z694)=0,"Enter invoice revenue",IF(COUNT(AB694:AD694)&lt;3,"Enter expenses (0 if none)","Complete"))))</f>
        <v/>
      </c>
      <c r="AL694" s="11">
        <f>IF(A694="","",IF(NOT(AND(COUNT(AH694)=1,N(AH694)&gt;0.004,V694&lt;&gt;"Void",V694&lt;&gt;"Not invoiced",V694&lt;&gt;"Draft")),"",IF(COUNT(X694)=0,"No due date",IF(TODAY()-X694&lt;=0,"Not yet due",IF(TODAY()-X694&lt;=30,"1-30 days",IF(TODAY()-X694&lt;=60,"31-60 days",IF(TODAY()-X694&lt;=90,"61-90 days","Over 90 days")))))))</f>
        <v/>
      </c>
      <c r="AM694" s="49">
        <f>IF(OR(AL694="",AL694="No due date"),"",MAX(TODAY()-X694,0))</f>
        <v/>
      </c>
      <c r="AN694" s="49">
        <f>IF(AL694="","",IF(COUNT(X694)=0,-100000,TODAY()-X694))</f>
        <v/>
      </c>
      <c r="AO694" s="49">
        <f>IF(AN694="","",COUNTIF(AN$11:AN$1010,"&gt;"&amp;AN694)+COUNTIF(AN$11:AN694,AN694))</f>
        <v/>
      </c>
      <c r="AP694" s="49">
        <f>IF(OR(A694="",B694=""),"",IF(COUNTIF(B$11:B694,B694)=1,MAX(AP$10:AP693)+1,""))</f>
        <v/>
      </c>
    </row>
    <row r="695">
      <c r="A695" s="20" t="n"/>
      <c r="B695" s="10" t="n"/>
      <c r="C695" s="10" t="n"/>
      <c r="D695" s="10" t="n"/>
      <c r="E695" s="10" t="n"/>
      <c r="F695" s="18" t="n"/>
      <c r="G695" s="10" t="n"/>
      <c r="H695" s="12" t="n"/>
      <c r="I695" s="12" t="n"/>
      <c r="J695" s="13">
        <f>IF(OR(A695="",COUNT(H695)=0,COUNT(Z695)=0),"",ROUND(Z695-H695,2))</f>
        <v/>
      </c>
      <c r="K695" s="15">
        <f>IF(COUNT(J695)=0,"",IF(Z695=0,"n.a.",J695/Z695))</f>
        <v/>
      </c>
      <c r="L695" s="14">
        <f>IF(OR(A695="",COUNT(H695)=0,COUNT(Y695)=0),"",ROUND(H695*(1+Y695),2))</f>
        <v/>
      </c>
      <c r="M695" s="10" t="n"/>
      <c r="N695" s="10" t="n"/>
      <c r="O695" s="10" t="n"/>
      <c r="P695" s="10" t="n"/>
      <c r="Q695" s="20" t="n"/>
      <c r="R695" s="10" t="n"/>
      <c r="S695" s="10" t="n"/>
      <c r="T695" s="18" t="n"/>
      <c r="U695" s="18" t="n"/>
      <c r="V695" s="10" t="n"/>
      <c r="W695" s="10" t="n"/>
      <c r="X695" s="19">
        <f>IF(OR(A695="",COUNT(U695)=0,COUNT(AI695)=0),"",U695+AI695)</f>
        <v/>
      </c>
      <c r="Y695" s="16" t="n"/>
      <c r="Z695" s="12" t="n"/>
      <c r="AA695" s="17">
        <f>IF(COUNT(J695)=0,"",IF(H695=0,"n.a.",J695/H695))</f>
        <v/>
      </c>
      <c r="AB695" s="12" t="n"/>
      <c r="AC695" s="12" t="n"/>
      <c r="AD695" s="12" t="n"/>
      <c r="AE695" s="13">
        <f>IF(OR(COUNT(J695)=0,COUNT(AB695:AD695)&lt;3),"",ROUND(J695-SUM(AB695:AD695),2))</f>
        <v/>
      </c>
      <c r="AF695" s="15">
        <f>IF(COUNT(AE695)=0,"",IF(Z695=0,"n.a.",AE695/Z695))</f>
        <v/>
      </c>
      <c r="AG695" s="12" t="n"/>
      <c r="AH695" s="14">
        <f>IF(OR(A695="",COUNT(Z695)=0,COUNT(AG695)=0),"",ROUND(Z695-AG695,2))</f>
        <v/>
      </c>
      <c r="AI695" s="21" t="n"/>
      <c r="AJ695" s="11">
        <f>IF(A695="","",IF(COUNT(I695)=0,"Enter approved NTE",IF(COUNT(Z695)&gt;0,IF(Z695&gt;I695,"Invoice exceeds NTE","Invoice within NTE"),IF(COUNT(L695)=0,"Enter quote inputs",IF(L695&gt;I695,"Quote exceeds NTE","Quote within NTE")))))</f>
        <v/>
      </c>
      <c r="AK695" s="11">
        <f>IF(A695="","",IF(COUNT(H695)=0,"Enter direct cost",IF(COUNT(Z695)=0,"Enter invoice revenue",IF(COUNT(AB695:AD695)&lt;3,"Enter expenses (0 if none)","Complete"))))</f>
        <v/>
      </c>
      <c r="AL695" s="11">
        <f>IF(A695="","",IF(NOT(AND(COUNT(AH695)=1,N(AH695)&gt;0.004,V695&lt;&gt;"Void",V695&lt;&gt;"Not invoiced",V695&lt;&gt;"Draft")),"",IF(COUNT(X695)=0,"No due date",IF(TODAY()-X695&lt;=0,"Not yet due",IF(TODAY()-X695&lt;=30,"1-30 days",IF(TODAY()-X695&lt;=60,"31-60 days",IF(TODAY()-X695&lt;=90,"61-90 days","Over 90 days")))))))</f>
        <v/>
      </c>
      <c r="AM695" s="49">
        <f>IF(OR(AL695="",AL695="No due date"),"",MAX(TODAY()-X695,0))</f>
        <v/>
      </c>
      <c r="AN695" s="49">
        <f>IF(AL695="","",IF(COUNT(X695)=0,-100000,TODAY()-X695))</f>
        <v/>
      </c>
      <c r="AO695" s="49">
        <f>IF(AN695="","",COUNTIF(AN$11:AN$1010,"&gt;"&amp;AN695)+COUNTIF(AN$11:AN695,AN695))</f>
        <v/>
      </c>
      <c r="AP695" s="49">
        <f>IF(OR(A695="",B695=""),"",IF(COUNTIF(B$11:B695,B695)=1,MAX(AP$10:AP694)+1,""))</f>
        <v/>
      </c>
    </row>
    <row r="696">
      <c r="A696" s="20" t="n"/>
      <c r="B696" s="10" t="n"/>
      <c r="C696" s="10" t="n"/>
      <c r="D696" s="10" t="n"/>
      <c r="E696" s="10" t="n"/>
      <c r="F696" s="18" t="n"/>
      <c r="G696" s="10" t="n"/>
      <c r="H696" s="12" t="n"/>
      <c r="I696" s="12" t="n"/>
      <c r="J696" s="13">
        <f>IF(OR(A696="",COUNT(H696)=0,COUNT(Z696)=0),"",ROUND(Z696-H696,2))</f>
        <v/>
      </c>
      <c r="K696" s="15">
        <f>IF(COUNT(J696)=0,"",IF(Z696=0,"n.a.",J696/Z696))</f>
        <v/>
      </c>
      <c r="L696" s="14">
        <f>IF(OR(A696="",COUNT(H696)=0,COUNT(Y696)=0),"",ROUND(H696*(1+Y696),2))</f>
        <v/>
      </c>
      <c r="M696" s="10" t="n"/>
      <c r="N696" s="10" t="n"/>
      <c r="O696" s="10" t="n"/>
      <c r="P696" s="10" t="n"/>
      <c r="Q696" s="20" t="n"/>
      <c r="R696" s="10" t="n"/>
      <c r="S696" s="10" t="n"/>
      <c r="T696" s="18" t="n"/>
      <c r="U696" s="18" t="n"/>
      <c r="V696" s="10" t="n"/>
      <c r="W696" s="10" t="n"/>
      <c r="X696" s="19">
        <f>IF(OR(A696="",COUNT(U696)=0,COUNT(AI696)=0),"",U696+AI696)</f>
        <v/>
      </c>
      <c r="Y696" s="16" t="n"/>
      <c r="Z696" s="12" t="n"/>
      <c r="AA696" s="17">
        <f>IF(COUNT(J696)=0,"",IF(H696=0,"n.a.",J696/H696))</f>
        <v/>
      </c>
      <c r="AB696" s="12" t="n"/>
      <c r="AC696" s="12" t="n"/>
      <c r="AD696" s="12" t="n"/>
      <c r="AE696" s="13">
        <f>IF(OR(COUNT(J696)=0,COUNT(AB696:AD696)&lt;3),"",ROUND(J696-SUM(AB696:AD696),2))</f>
        <v/>
      </c>
      <c r="AF696" s="15">
        <f>IF(COUNT(AE696)=0,"",IF(Z696=0,"n.a.",AE696/Z696))</f>
        <v/>
      </c>
      <c r="AG696" s="12" t="n"/>
      <c r="AH696" s="14">
        <f>IF(OR(A696="",COUNT(Z696)=0,COUNT(AG696)=0),"",ROUND(Z696-AG696,2))</f>
        <v/>
      </c>
      <c r="AI696" s="21" t="n"/>
      <c r="AJ696" s="11">
        <f>IF(A696="","",IF(COUNT(I696)=0,"Enter approved NTE",IF(COUNT(Z696)&gt;0,IF(Z696&gt;I696,"Invoice exceeds NTE","Invoice within NTE"),IF(COUNT(L696)=0,"Enter quote inputs",IF(L696&gt;I696,"Quote exceeds NTE","Quote within NTE")))))</f>
        <v/>
      </c>
      <c r="AK696" s="11">
        <f>IF(A696="","",IF(COUNT(H696)=0,"Enter direct cost",IF(COUNT(Z696)=0,"Enter invoice revenue",IF(COUNT(AB696:AD696)&lt;3,"Enter expenses (0 if none)","Complete"))))</f>
        <v/>
      </c>
      <c r="AL696" s="11">
        <f>IF(A696="","",IF(NOT(AND(COUNT(AH696)=1,N(AH696)&gt;0.004,V696&lt;&gt;"Void",V696&lt;&gt;"Not invoiced",V696&lt;&gt;"Draft")),"",IF(COUNT(X696)=0,"No due date",IF(TODAY()-X696&lt;=0,"Not yet due",IF(TODAY()-X696&lt;=30,"1-30 days",IF(TODAY()-X696&lt;=60,"31-60 days",IF(TODAY()-X696&lt;=90,"61-90 days","Over 90 days")))))))</f>
        <v/>
      </c>
      <c r="AM696" s="49">
        <f>IF(OR(AL696="",AL696="No due date"),"",MAX(TODAY()-X696,0))</f>
        <v/>
      </c>
      <c r="AN696" s="49">
        <f>IF(AL696="","",IF(COUNT(X696)=0,-100000,TODAY()-X696))</f>
        <v/>
      </c>
      <c r="AO696" s="49">
        <f>IF(AN696="","",COUNTIF(AN$11:AN$1010,"&gt;"&amp;AN696)+COUNTIF(AN$11:AN696,AN696))</f>
        <v/>
      </c>
      <c r="AP696" s="49">
        <f>IF(OR(A696="",B696=""),"",IF(COUNTIF(B$11:B696,B696)=1,MAX(AP$10:AP695)+1,""))</f>
        <v/>
      </c>
    </row>
    <row r="697">
      <c r="A697" s="20" t="n"/>
      <c r="B697" s="10" t="n"/>
      <c r="C697" s="10" t="n"/>
      <c r="D697" s="10" t="n"/>
      <c r="E697" s="10" t="n"/>
      <c r="F697" s="18" t="n"/>
      <c r="G697" s="10" t="n"/>
      <c r="H697" s="12" t="n"/>
      <c r="I697" s="12" t="n"/>
      <c r="J697" s="13">
        <f>IF(OR(A697="",COUNT(H697)=0,COUNT(Z697)=0),"",ROUND(Z697-H697,2))</f>
        <v/>
      </c>
      <c r="K697" s="15">
        <f>IF(COUNT(J697)=0,"",IF(Z697=0,"n.a.",J697/Z697))</f>
        <v/>
      </c>
      <c r="L697" s="14">
        <f>IF(OR(A697="",COUNT(H697)=0,COUNT(Y697)=0),"",ROUND(H697*(1+Y697),2))</f>
        <v/>
      </c>
      <c r="M697" s="10" t="n"/>
      <c r="N697" s="10" t="n"/>
      <c r="O697" s="10" t="n"/>
      <c r="P697" s="10" t="n"/>
      <c r="Q697" s="20" t="n"/>
      <c r="R697" s="10" t="n"/>
      <c r="S697" s="10" t="n"/>
      <c r="T697" s="18" t="n"/>
      <c r="U697" s="18" t="n"/>
      <c r="V697" s="10" t="n"/>
      <c r="W697" s="10" t="n"/>
      <c r="X697" s="19">
        <f>IF(OR(A697="",COUNT(U697)=0,COUNT(AI697)=0),"",U697+AI697)</f>
        <v/>
      </c>
      <c r="Y697" s="16" t="n"/>
      <c r="Z697" s="12" t="n"/>
      <c r="AA697" s="17">
        <f>IF(COUNT(J697)=0,"",IF(H697=0,"n.a.",J697/H697))</f>
        <v/>
      </c>
      <c r="AB697" s="12" t="n"/>
      <c r="AC697" s="12" t="n"/>
      <c r="AD697" s="12" t="n"/>
      <c r="AE697" s="13">
        <f>IF(OR(COUNT(J697)=0,COUNT(AB697:AD697)&lt;3),"",ROUND(J697-SUM(AB697:AD697),2))</f>
        <v/>
      </c>
      <c r="AF697" s="15">
        <f>IF(COUNT(AE697)=0,"",IF(Z697=0,"n.a.",AE697/Z697))</f>
        <v/>
      </c>
      <c r="AG697" s="12" t="n"/>
      <c r="AH697" s="14">
        <f>IF(OR(A697="",COUNT(Z697)=0,COUNT(AG697)=0),"",ROUND(Z697-AG697,2))</f>
        <v/>
      </c>
      <c r="AI697" s="21" t="n"/>
      <c r="AJ697" s="11">
        <f>IF(A697="","",IF(COUNT(I697)=0,"Enter approved NTE",IF(COUNT(Z697)&gt;0,IF(Z697&gt;I697,"Invoice exceeds NTE","Invoice within NTE"),IF(COUNT(L697)=0,"Enter quote inputs",IF(L697&gt;I697,"Quote exceeds NTE","Quote within NTE")))))</f>
        <v/>
      </c>
      <c r="AK697" s="11">
        <f>IF(A697="","",IF(COUNT(H697)=0,"Enter direct cost",IF(COUNT(Z697)=0,"Enter invoice revenue",IF(COUNT(AB697:AD697)&lt;3,"Enter expenses (0 if none)","Complete"))))</f>
        <v/>
      </c>
      <c r="AL697" s="11">
        <f>IF(A697="","",IF(NOT(AND(COUNT(AH697)=1,N(AH697)&gt;0.004,V697&lt;&gt;"Void",V697&lt;&gt;"Not invoiced",V697&lt;&gt;"Draft")),"",IF(COUNT(X697)=0,"No due date",IF(TODAY()-X697&lt;=0,"Not yet due",IF(TODAY()-X697&lt;=30,"1-30 days",IF(TODAY()-X697&lt;=60,"31-60 days",IF(TODAY()-X697&lt;=90,"61-90 days","Over 90 days")))))))</f>
        <v/>
      </c>
      <c r="AM697" s="49">
        <f>IF(OR(AL697="",AL697="No due date"),"",MAX(TODAY()-X697,0))</f>
        <v/>
      </c>
      <c r="AN697" s="49">
        <f>IF(AL697="","",IF(COUNT(X697)=0,-100000,TODAY()-X697))</f>
        <v/>
      </c>
      <c r="AO697" s="49">
        <f>IF(AN697="","",COUNTIF(AN$11:AN$1010,"&gt;"&amp;AN697)+COUNTIF(AN$11:AN697,AN697))</f>
        <v/>
      </c>
      <c r="AP697" s="49">
        <f>IF(OR(A697="",B697=""),"",IF(COUNTIF(B$11:B697,B697)=1,MAX(AP$10:AP696)+1,""))</f>
        <v/>
      </c>
    </row>
    <row r="698">
      <c r="A698" s="20" t="n"/>
      <c r="B698" s="10" t="n"/>
      <c r="C698" s="10" t="n"/>
      <c r="D698" s="10" t="n"/>
      <c r="E698" s="10" t="n"/>
      <c r="F698" s="18" t="n"/>
      <c r="G698" s="10" t="n"/>
      <c r="H698" s="12" t="n"/>
      <c r="I698" s="12" t="n"/>
      <c r="J698" s="13">
        <f>IF(OR(A698="",COUNT(H698)=0,COUNT(Z698)=0),"",ROUND(Z698-H698,2))</f>
        <v/>
      </c>
      <c r="K698" s="15">
        <f>IF(COUNT(J698)=0,"",IF(Z698=0,"n.a.",J698/Z698))</f>
        <v/>
      </c>
      <c r="L698" s="14">
        <f>IF(OR(A698="",COUNT(H698)=0,COUNT(Y698)=0),"",ROUND(H698*(1+Y698),2))</f>
        <v/>
      </c>
      <c r="M698" s="10" t="n"/>
      <c r="N698" s="10" t="n"/>
      <c r="O698" s="10" t="n"/>
      <c r="P698" s="10" t="n"/>
      <c r="Q698" s="20" t="n"/>
      <c r="R698" s="10" t="n"/>
      <c r="S698" s="10" t="n"/>
      <c r="T698" s="18" t="n"/>
      <c r="U698" s="18" t="n"/>
      <c r="V698" s="10" t="n"/>
      <c r="W698" s="10" t="n"/>
      <c r="X698" s="19">
        <f>IF(OR(A698="",COUNT(U698)=0,COUNT(AI698)=0),"",U698+AI698)</f>
        <v/>
      </c>
      <c r="Y698" s="16" t="n"/>
      <c r="Z698" s="12" t="n"/>
      <c r="AA698" s="17">
        <f>IF(COUNT(J698)=0,"",IF(H698=0,"n.a.",J698/H698))</f>
        <v/>
      </c>
      <c r="AB698" s="12" t="n"/>
      <c r="AC698" s="12" t="n"/>
      <c r="AD698" s="12" t="n"/>
      <c r="AE698" s="13">
        <f>IF(OR(COUNT(J698)=0,COUNT(AB698:AD698)&lt;3),"",ROUND(J698-SUM(AB698:AD698),2))</f>
        <v/>
      </c>
      <c r="AF698" s="15">
        <f>IF(COUNT(AE698)=0,"",IF(Z698=0,"n.a.",AE698/Z698))</f>
        <v/>
      </c>
      <c r="AG698" s="12" t="n"/>
      <c r="AH698" s="14">
        <f>IF(OR(A698="",COUNT(Z698)=0,COUNT(AG698)=0),"",ROUND(Z698-AG698,2))</f>
        <v/>
      </c>
      <c r="AI698" s="21" t="n"/>
      <c r="AJ698" s="11">
        <f>IF(A698="","",IF(COUNT(I698)=0,"Enter approved NTE",IF(COUNT(Z698)&gt;0,IF(Z698&gt;I698,"Invoice exceeds NTE","Invoice within NTE"),IF(COUNT(L698)=0,"Enter quote inputs",IF(L698&gt;I698,"Quote exceeds NTE","Quote within NTE")))))</f>
        <v/>
      </c>
      <c r="AK698" s="11">
        <f>IF(A698="","",IF(COUNT(H698)=0,"Enter direct cost",IF(COUNT(Z698)=0,"Enter invoice revenue",IF(COUNT(AB698:AD698)&lt;3,"Enter expenses (0 if none)","Complete"))))</f>
        <v/>
      </c>
      <c r="AL698" s="11">
        <f>IF(A698="","",IF(NOT(AND(COUNT(AH698)=1,N(AH698)&gt;0.004,V698&lt;&gt;"Void",V698&lt;&gt;"Not invoiced",V698&lt;&gt;"Draft")),"",IF(COUNT(X698)=0,"No due date",IF(TODAY()-X698&lt;=0,"Not yet due",IF(TODAY()-X698&lt;=30,"1-30 days",IF(TODAY()-X698&lt;=60,"31-60 days",IF(TODAY()-X698&lt;=90,"61-90 days","Over 90 days")))))))</f>
        <v/>
      </c>
      <c r="AM698" s="49">
        <f>IF(OR(AL698="",AL698="No due date"),"",MAX(TODAY()-X698,0))</f>
        <v/>
      </c>
      <c r="AN698" s="49">
        <f>IF(AL698="","",IF(COUNT(X698)=0,-100000,TODAY()-X698))</f>
        <v/>
      </c>
      <c r="AO698" s="49">
        <f>IF(AN698="","",COUNTIF(AN$11:AN$1010,"&gt;"&amp;AN698)+COUNTIF(AN$11:AN698,AN698))</f>
        <v/>
      </c>
      <c r="AP698" s="49">
        <f>IF(OR(A698="",B698=""),"",IF(COUNTIF(B$11:B698,B698)=1,MAX(AP$10:AP697)+1,""))</f>
        <v/>
      </c>
    </row>
    <row r="699">
      <c r="A699" s="20" t="n"/>
      <c r="B699" s="10" t="n"/>
      <c r="C699" s="10" t="n"/>
      <c r="D699" s="10" t="n"/>
      <c r="E699" s="10" t="n"/>
      <c r="F699" s="18" t="n"/>
      <c r="G699" s="10" t="n"/>
      <c r="H699" s="12" t="n"/>
      <c r="I699" s="12" t="n"/>
      <c r="J699" s="13">
        <f>IF(OR(A699="",COUNT(H699)=0,COUNT(Z699)=0),"",ROUND(Z699-H699,2))</f>
        <v/>
      </c>
      <c r="K699" s="15">
        <f>IF(COUNT(J699)=0,"",IF(Z699=0,"n.a.",J699/Z699))</f>
        <v/>
      </c>
      <c r="L699" s="14">
        <f>IF(OR(A699="",COUNT(H699)=0,COUNT(Y699)=0),"",ROUND(H699*(1+Y699),2))</f>
        <v/>
      </c>
      <c r="M699" s="10" t="n"/>
      <c r="N699" s="10" t="n"/>
      <c r="O699" s="10" t="n"/>
      <c r="P699" s="10" t="n"/>
      <c r="Q699" s="20" t="n"/>
      <c r="R699" s="10" t="n"/>
      <c r="S699" s="10" t="n"/>
      <c r="T699" s="18" t="n"/>
      <c r="U699" s="18" t="n"/>
      <c r="V699" s="10" t="n"/>
      <c r="W699" s="10" t="n"/>
      <c r="X699" s="19">
        <f>IF(OR(A699="",COUNT(U699)=0,COUNT(AI699)=0),"",U699+AI699)</f>
        <v/>
      </c>
      <c r="Y699" s="16" t="n"/>
      <c r="Z699" s="12" t="n"/>
      <c r="AA699" s="17">
        <f>IF(COUNT(J699)=0,"",IF(H699=0,"n.a.",J699/H699))</f>
        <v/>
      </c>
      <c r="AB699" s="12" t="n"/>
      <c r="AC699" s="12" t="n"/>
      <c r="AD699" s="12" t="n"/>
      <c r="AE699" s="13">
        <f>IF(OR(COUNT(J699)=0,COUNT(AB699:AD699)&lt;3),"",ROUND(J699-SUM(AB699:AD699),2))</f>
        <v/>
      </c>
      <c r="AF699" s="15">
        <f>IF(COUNT(AE699)=0,"",IF(Z699=0,"n.a.",AE699/Z699))</f>
        <v/>
      </c>
      <c r="AG699" s="12" t="n"/>
      <c r="AH699" s="14">
        <f>IF(OR(A699="",COUNT(Z699)=0,COUNT(AG699)=0),"",ROUND(Z699-AG699,2))</f>
        <v/>
      </c>
      <c r="AI699" s="21" t="n"/>
      <c r="AJ699" s="11">
        <f>IF(A699="","",IF(COUNT(I699)=0,"Enter approved NTE",IF(COUNT(Z699)&gt;0,IF(Z699&gt;I699,"Invoice exceeds NTE","Invoice within NTE"),IF(COUNT(L699)=0,"Enter quote inputs",IF(L699&gt;I699,"Quote exceeds NTE","Quote within NTE")))))</f>
        <v/>
      </c>
      <c r="AK699" s="11">
        <f>IF(A699="","",IF(COUNT(H699)=0,"Enter direct cost",IF(COUNT(Z699)=0,"Enter invoice revenue",IF(COUNT(AB699:AD699)&lt;3,"Enter expenses (0 if none)","Complete"))))</f>
        <v/>
      </c>
      <c r="AL699" s="11">
        <f>IF(A699="","",IF(NOT(AND(COUNT(AH699)=1,N(AH699)&gt;0.004,V699&lt;&gt;"Void",V699&lt;&gt;"Not invoiced",V699&lt;&gt;"Draft")),"",IF(COUNT(X699)=0,"No due date",IF(TODAY()-X699&lt;=0,"Not yet due",IF(TODAY()-X699&lt;=30,"1-30 days",IF(TODAY()-X699&lt;=60,"31-60 days",IF(TODAY()-X699&lt;=90,"61-90 days","Over 90 days")))))))</f>
        <v/>
      </c>
      <c r="AM699" s="49">
        <f>IF(OR(AL699="",AL699="No due date"),"",MAX(TODAY()-X699,0))</f>
        <v/>
      </c>
      <c r="AN699" s="49">
        <f>IF(AL699="","",IF(COUNT(X699)=0,-100000,TODAY()-X699))</f>
        <v/>
      </c>
      <c r="AO699" s="49">
        <f>IF(AN699="","",COUNTIF(AN$11:AN$1010,"&gt;"&amp;AN699)+COUNTIF(AN$11:AN699,AN699))</f>
        <v/>
      </c>
      <c r="AP699" s="49">
        <f>IF(OR(A699="",B699=""),"",IF(COUNTIF(B$11:B699,B699)=1,MAX(AP$10:AP698)+1,""))</f>
        <v/>
      </c>
    </row>
    <row r="700">
      <c r="A700" s="20" t="n"/>
      <c r="B700" s="10" t="n"/>
      <c r="C700" s="10" t="n"/>
      <c r="D700" s="10" t="n"/>
      <c r="E700" s="10" t="n"/>
      <c r="F700" s="18" t="n"/>
      <c r="G700" s="10" t="n"/>
      <c r="H700" s="12" t="n"/>
      <c r="I700" s="12" t="n"/>
      <c r="J700" s="13">
        <f>IF(OR(A700="",COUNT(H700)=0,COUNT(Z700)=0),"",ROUND(Z700-H700,2))</f>
        <v/>
      </c>
      <c r="K700" s="15">
        <f>IF(COUNT(J700)=0,"",IF(Z700=0,"n.a.",J700/Z700))</f>
        <v/>
      </c>
      <c r="L700" s="14">
        <f>IF(OR(A700="",COUNT(H700)=0,COUNT(Y700)=0),"",ROUND(H700*(1+Y700),2))</f>
        <v/>
      </c>
      <c r="M700" s="10" t="n"/>
      <c r="N700" s="10" t="n"/>
      <c r="O700" s="10" t="n"/>
      <c r="P700" s="10" t="n"/>
      <c r="Q700" s="20" t="n"/>
      <c r="R700" s="10" t="n"/>
      <c r="S700" s="10" t="n"/>
      <c r="T700" s="18" t="n"/>
      <c r="U700" s="18" t="n"/>
      <c r="V700" s="10" t="n"/>
      <c r="W700" s="10" t="n"/>
      <c r="X700" s="19">
        <f>IF(OR(A700="",COUNT(U700)=0,COUNT(AI700)=0),"",U700+AI700)</f>
        <v/>
      </c>
      <c r="Y700" s="16" t="n"/>
      <c r="Z700" s="12" t="n"/>
      <c r="AA700" s="17">
        <f>IF(COUNT(J700)=0,"",IF(H700=0,"n.a.",J700/H700))</f>
        <v/>
      </c>
      <c r="AB700" s="12" t="n"/>
      <c r="AC700" s="12" t="n"/>
      <c r="AD700" s="12" t="n"/>
      <c r="AE700" s="13">
        <f>IF(OR(COUNT(J700)=0,COUNT(AB700:AD700)&lt;3),"",ROUND(J700-SUM(AB700:AD700),2))</f>
        <v/>
      </c>
      <c r="AF700" s="15">
        <f>IF(COUNT(AE700)=0,"",IF(Z700=0,"n.a.",AE700/Z700))</f>
        <v/>
      </c>
      <c r="AG700" s="12" t="n"/>
      <c r="AH700" s="14">
        <f>IF(OR(A700="",COUNT(Z700)=0,COUNT(AG700)=0),"",ROUND(Z700-AG700,2))</f>
        <v/>
      </c>
      <c r="AI700" s="21" t="n"/>
      <c r="AJ700" s="11">
        <f>IF(A700="","",IF(COUNT(I700)=0,"Enter approved NTE",IF(COUNT(Z700)&gt;0,IF(Z700&gt;I700,"Invoice exceeds NTE","Invoice within NTE"),IF(COUNT(L700)=0,"Enter quote inputs",IF(L700&gt;I700,"Quote exceeds NTE","Quote within NTE")))))</f>
        <v/>
      </c>
      <c r="AK700" s="11">
        <f>IF(A700="","",IF(COUNT(H700)=0,"Enter direct cost",IF(COUNT(Z700)=0,"Enter invoice revenue",IF(COUNT(AB700:AD700)&lt;3,"Enter expenses (0 if none)","Complete"))))</f>
        <v/>
      </c>
      <c r="AL700" s="11">
        <f>IF(A700="","",IF(NOT(AND(COUNT(AH700)=1,N(AH700)&gt;0.004,V700&lt;&gt;"Void",V700&lt;&gt;"Not invoiced",V700&lt;&gt;"Draft")),"",IF(COUNT(X700)=0,"No due date",IF(TODAY()-X700&lt;=0,"Not yet due",IF(TODAY()-X700&lt;=30,"1-30 days",IF(TODAY()-X700&lt;=60,"31-60 days",IF(TODAY()-X700&lt;=90,"61-90 days","Over 90 days")))))))</f>
        <v/>
      </c>
      <c r="AM700" s="49">
        <f>IF(OR(AL700="",AL700="No due date"),"",MAX(TODAY()-X700,0))</f>
        <v/>
      </c>
      <c r="AN700" s="49">
        <f>IF(AL700="","",IF(COUNT(X700)=0,-100000,TODAY()-X700))</f>
        <v/>
      </c>
      <c r="AO700" s="49">
        <f>IF(AN700="","",COUNTIF(AN$11:AN$1010,"&gt;"&amp;AN700)+COUNTIF(AN$11:AN700,AN700))</f>
        <v/>
      </c>
      <c r="AP700" s="49">
        <f>IF(OR(A700="",B700=""),"",IF(COUNTIF(B$11:B700,B700)=1,MAX(AP$10:AP699)+1,""))</f>
        <v/>
      </c>
    </row>
    <row r="701">
      <c r="A701" s="20" t="n"/>
      <c r="B701" s="10" t="n"/>
      <c r="C701" s="10" t="n"/>
      <c r="D701" s="10" t="n"/>
      <c r="E701" s="10" t="n"/>
      <c r="F701" s="18" t="n"/>
      <c r="G701" s="10" t="n"/>
      <c r="H701" s="12" t="n"/>
      <c r="I701" s="12" t="n"/>
      <c r="J701" s="13">
        <f>IF(OR(A701="",COUNT(H701)=0,COUNT(Z701)=0),"",ROUND(Z701-H701,2))</f>
        <v/>
      </c>
      <c r="K701" s="15">
        <f>IF(COUNT(J701)=0,"",IF(Z701=0,"n.a.",J701/Z701))</f>
        <v/>
      </c>
      <c r="L701" s="14">
        <f>IF(OR(A701="",COUNT(H701)=0,COUNT(Y701)=0),"",ROUND(H701*(1+Y701),2))</f>
        <v/>
      </c>
      <c r="M701" s="10" t="n"/>
      <c r="N701" s="10" t="n"/>
      <c r="O701" s="10" t="n"/>
      <c r="P701" s="10" t="n"/>
      <c r="Q701" s="20" t="n"/>
      <c r="R701" s="10" t="n"/>
      <c r="S701" s="10" t="n"/>
      <c r="T701" s="18" t="n"/>
      <c r="U701" s="18" t="n"/>
      <c r="V701" s="10" t="n"/>
      <c r="W701" s="10" t="n"/>
      <c r="X701" s="19">
        <f>IF(OR(A701="",COUNT(U701)=0,COUNT(AI701)=0),"",U701+AI701)</f>
        <v/>
      </c>
      <c r="Y701" s="16" t="n"/>
      <c r="Z701" s="12" t="n"/>
      <c r="AA701" s="17">
        <f>IF(COUNT(J701)=0,"",IF(H701=0,"n.a.",J701/H701))</f>
        <v/>
      </c>
      <c r="AB701" s="12" t="n"/>
      <c r="AC701" s="12" t="n"/>
      <c r="AD701" s="12" t="n"/>
      <c r="AE701" s="13">
        <f>IF(OR(COUNT(J701)=0,COUNT(AB701:AD701)&lt;3),"",ROUND(J701-SUM(AB701:AD701),2))</f>
        <v/>
      </c>
      <c r="AF701" s="15">
        <f>IF(COUNT(AE701)=0,"",IF(Z701=0,"n.a.",AE701/Z701))</f>
        <v/>
      </c>
      <c r="AG701" s="12" t="n"/>
      <c r="AH701" s="14">
        <f>IF(OR(A701="",COUNT(Z701)=0,COUNT(AG701)=0),"",ROUND(Z701-AG701,2))</f>
        <v/>
      </c>
      <c r="AI701" s="21" t="n"/>
      <c r="AJ701" s="11">
        <f>IF(A701="","",IF(COUNT(I701)=0,"Enter approved NTE",IF(COUNT(Z701)&gt;0,IF(Z701&gt;I701,"Invoice exceeds NTE","Invoice within NTE"),IF(COUNT(L701)=0,"Enter quote inputs",IF(L701&gt;I701,"Quote exceeds NTE","Quote within NTE")))))</f>
        <v/>
      </c>
      <c r="AK701" s="11">
        <f>IF(A701="","",IF(COUNT(H701)=0,"Enter direct cost",IF(COUNT(Z701)=0,"Enter invoice revenue",IF(COUNT(AB701:AD701)&lt;3,"Enter expenses (0 if none)","Complete"))))</f>
        <v/>
      </c>
      <c r="AL701" s="11">
        <f>IF(A701="","",IF(NOT(AND(COUNT(AH701)=1,N(AH701)&gt;0.004,V701&lt;&gt;"Void",V701&lt;&gt;"Not invoiced",V701&lt;&gt;"Draft")),"",IF(COUNT(X701)=0,"No due date",IF(TODAY()-X701&lt;=0,"Not yet due",IF(TODAY()-X701&lt;=30,"1-30 days",IF(TODAY()-X701&lt;=60,"31-60 days",IF(TODAY()-X701&lt;=90,"61-90 days","Over 90 days")))))))</f>
        <v/>
      </c>
      <c r="AM701" s="49">
        <f>IF(OR(AL701="",AL701="No due date"),"",MAX(TODAY()-X701,0))</f>
        <v/>
      </c>
      <c r="AN701" s="49">
        <f>IF(AL701="","",IF(COUNT(X701)=0,-100000,TODAY()-X701))</f>
        <v/>
      </c>
      <c r="AO701" s="49">
        <f>IF(AN701="","",COUNTIF(AN$11:AN$1010,"&gt;"&amp;AN701)+COUNTIF(AN$11:AN701,AN701))</f>
        <v/>
      </c>
      <c r="AP701" s="49">
        <f>IF(OR(A701="",B701=""),"",IF(COUNTIF(B$11:B701,B701)=1,MAX(AP$10:AP700)+1,""))</f>
        <v/>
      </c>
    </row>
    <row r="702">
      <c r="A702" s="20" t="n"/>
      <c r="B702" s="10" t="n"/>
      <c r="C702" s="10" t="n"/>
      <c r="D702" s="10" t="n"/>
      <c r="E702" s="10" t="n"/>
      <c r="F702" s="18" t="n"/>
      <c r="G702" s="10" t="n"/>
      <c r="H702" s="12" t="n"/>
      <c r="I702" s="12" t="n"/>
      <c r="J702" s="13">
        <f>IF(OR(A702="",COUNT(H702)=0,COUNT(Z702)=0),"",ROUND(Z702-H702,2))</f>
        <v/>
      </c>
      <c r="K702" s="15">
        <f>IF(COUNT(J702)=0,"",IF(Z702=0,"n.a.",J702/Z702))</f>
        <v/>
      </c>
      <c r="L702" s="14">
        <f>IF(OR(A702="",COUNT(H702)=0,COUNT(Y702)=0),"",ROUND(H702*(1+Y702),2))</f>
        <v/>
      </c>
      <c r="M702" s="10" t="n"/>
      <c r="N702" s="10" t="n"/>
      <c r="O702" s="10" t="n"/>
      <c r="P702" s="10" t="n"/>
      <c r="Q702" s="20" t="n"/>
      <c r="R702" s="10" t="n"/>
      <c r="S702" s="10" t="n"/>
      <c r="T702" s="18" t="n"/>
      <c r="U702" s="18" t="n"/>
      <c r="V702" s="10" t="n"/>
      <c r="W702" s="10" t="n"/>
      <c r="X702" s="19">
        <f>IF(OR(A702="",COUNT(U702)=0,COUNT(AI702)=0),"",U702+AI702)</f>
        <v/>
      </c>
      <c r="Y702" s="16" t="n"/>
      <c r="Z702" s="12" t="n"/>
      <c r="AA702" s="17">
        <f>IF(COUNT(J702)=0,"",IF(H702=0,"n.a.",J702/H702))</f>
        <v/>
      </c>
      <c r="AB702" s="12" t="n"/>
      <c r="AC702" s="12" t="n"/>
      <c r="AD702" s="12" t="n"/>
      <c r="AE702" s="13">
        <f>IF(OR(COUNT(J702)=0,COUNT(AB702:AD702)&lt;3),"",ROUND(J702-SUM(AB702:AD702),2))</f>
        <v/>
      </c>
      <c r="AF702" s="15">
        <f>IF(COUNT(AE702)=0,"",IF(Z702=0,"n.a.",AE702/Z702))</f>
        <v/>
      </c>
      <c r="AG702" s="12" t="n"/>
      <c r="AH702" s="14">
        <f>IF(OR(A702="",COUNT(Z702)=0,COUNT(AG702)=0),"",ROUND(Z702-AG702,2))</f>
        <v/>
      </c>
      <c r="AI702" s="21" t="n"/>
      <c r="AJ702" s="11">
        <f>IF(A702="","",IF(COUNT(I702)=0,"Enter approved NTE",IF(COUNT(Z702)&gt;0,IF(Z702&gt;I702,"Invoice exceeds NTE","Invoice within NTE"),IF(COUNT(L702)=0,"Enter quote inputs",IF(L702&gt;I702,"Quote exceeds NTE","Quote within NTE")))))</f>
        <v/>
      </c>
      <c r="AK702" s="11">
        <f>IF(A702="","",IF(COUNT(H702)=0,"Enter direct cost",IF(COUNT(Z702)=0,"Enter invoice revenue",IF(COUNT(AB702:AD702)&lt;3,"Enter expenses (0 if none)","Complete"))))</f>
        <v/>
      </c>
      <c r="AL702" s="11">
        <f>IF(A702="","",IF(NOT(AND(COUNT(AH702)=1,N(AH702)&gt;0.004,V702&lt;&gt;"Void",V702&lt;&gt;"Not invoiced",V702&lt;&gt;"Draft")),"",IF(COUNT(X702)=0,"No due date",IF(TODAY()-X702&lt;=0,"Not yet due",IF(TODAY()-X702&lt;=30,"1-30 days",IF(TODAY()-X702&lt;=60,"31-60 days",IF(TODAY()-X702&lt;=90,"61-90 days","Over 90 days")))))))</f>
        <v/>
      </c>
      <c r="AM702" s="49">
        <f>IF(OR(AL702="",AL702="No due date"),"",MAX(TODAY()-X702,0))</f>
        <v/>
      </c>
      <c r="AN702" s="49">
        <f>IF(AL702="","",IF(COUNT(X702)=0,-100000,TODAY()-X702))</f>
        <v/>
      </c>
      <c r="AO702" s="49">
        <f>IF(AN702="","",COUNTIF(AN$11:AN$1010,"&gt;"&amp;AN702)+COUNTIF(AN$11:AN702,AN702))</f>
        <v/>
      </c>
      <c r="AP702" s="49">
        <f>IF(OR(A702="",B702=""),"",IF(COUNTIF(B$11:B702,B702)=1,MAX(AP$10:AP701)+1,""))</f>
        <v/>
      </c>
    </row>
    <row r="703">
      <c r="A703" s="20" t="n"/>
      <c r="B703" s="10" t="n"/>
      <c r="C703" s="10" t="n"/>
      <c r="D703" s="10" t="n"/>
      <c r="E703" s="10" t="n"/>
      <c r="F703" s="18" t="n"/>
      <c r="G703" s="10" t="n"/>
      <c r="H703" s="12" t="n"/>
      <c r="I703" s="12" t="n"/>
      <c r="J703" s="13">
        <f>IF(OR(A703="",COUNT(H703)=0,COUNT(Z703)=0),"",ROUND(Z703-H703,2))</f>
        <v/>
      </c>
      <c r="K703" s="15">
        <f>IF(COUNT(J703)=0,"",IF(Z703=0,"n.a.",J703/Z703))</f>
        <v/>
      </c>
      <c r="L703" s="14">
        <f>IF(OR(A703="",COUNT(H703)=0,COUNT(Y703)=0),"",ROUND(H703*(1+Y703),2))</f>
        <v/>
      </c>
      <c r="M703" s="10" t="n"/>
      <c r="N703" s="10" t="n"/>
      <c r="O703" s="10" t="n"/>
      <c r="P703" s="10" t="n"/>
      <c r="Q703" s="20" t="n"/>
      <c r="R703" s="10" t="n"/>
      <c r="S703" s="10" t="n"/>
      <c r="T703" s="18" t="n"/>
      <c r="U703" s="18" t="n"/>
      <c r="V703" s="10" t="n"/>
      <c r="W703" s="10" t="n"/>
      <c r="X703" s="19">
        <f>IF(OR(A703="",COUNT(U703)=0,COUNT(AI703)=0),"",U703+AI703)</f>
        <v/>
      </c>
      <c r="Y703" s="16" t="n"/>
      <c r="Z703" s="12" t="n"/>
      <c r="AA703" s="17">
        <f>IF(COUNT(J703)=0,"",IF(H703=0,"n.a.",J703/H703))</f>
        <v/>
      </c>
      <c r="AB703" s="12" t="n"/>
      <c r="AC703" s="12" t="n"/>
      <c r="AD703" s="12" t="n"/>
      <c r="AE703" s="13">
        <f>IF(OR(COUNT(J703)=0,COUNT(AB703:AD703)&lt;3),"",ROUND(J703-SUM(AB703:AD703),2))</f>
        <v/>
      </c>
      <c r="AF703" s="15">
        <f>IF(COUNT(AE703)=0,"",IF(Z703=0,"n.a.",AE703/Z703))</f>
        <v/>
      </c>
      <c r="AG703" s="12" t="n"/>
      <c r="AH703" s="14">
        <f>IF(OR(A703="",COUNT(Z703)=0,COUNT(AG703)=0),"",ROUND(Z703-AG703,2))</f>
        <v/>
      </c>
      <c r="AI703" s="21" t="n"/>
      <c r="AJ703" s="11">
        <f>IF(A703="","",IF(COUNT(I703)=0,"Enter approved NTE",IF(COUNT(Z703)&gt;0,IF(Z703&gt;I703,"Invoice exceeds NTE","Invoice within NTE"),IF(COUNT(L703)=0,"Enter quote inputs",IF(L703&gt;I703,"Quote exceeds NTE","Quote within NTE")))))</f>
        <v/>
      </c>
      <c r="AK703" s="11">
        <f>IF(A703="","",IF(COUNT(H703)=0,"Enter direct cost",IF(COUNT(Z703)=0,"Enter invoice revenue",IF(COUNT(AB703:AD703)&lt;3,"Enter expenses (0 if none)","Complete"))))</f>
        <v/>
      </c>
      <c r="AL703" s="11">
        <f>IF(A703="","",IF(NOT(AND(COUNT(AH703)=1,N(AH703)&gt;0.004,V703&lt;&gt;"Void",V703&lt;&gt;"Not invoiced",V703&lt;&gt;"Draft")),"",IF(COUNT(X703)=0,"No due date",IF(TODAY()-X703&lt;=0,"Not yet due",IF(TODAY()-X703&lt;=30,"1-30 days",IF(TODAY()-X703&lt;=60,"31-60 days",IF(TODAY()-X703&lt;=90,"61-90 days","Over 90 days")))))))</f>
        <v/>
      </c>
      <c r="AM703" s="49">
        <f>IF(OR(AL703="",AL703="No due date"),"",MAX(TODAY()-X703,0))</f>
        <v/>
      </c>
      <c r="AN703" s="49">
        <f>IF(AL703="","",IF(COUNT(X703)=0,-100000,TODAY()-X703))</f>
        <v/>
      </c>
      <c r="AO703" s="49">
        <f>IF(AN703="","",COUNTIF(AN$11:AN$1010,"&gt;"&amp;AN703)+COUNTIF(AN$11:AN703,AN703))</f>
        <v/>
      </c>
      <c r="AP703" s="49">
        <f>IF(OR(A703="",B703=""),"",IF(COUNTIF(B$11:B703,B703)=1,MAX(AP$10:AP702)+1,""))</f>
        <v/>
      </c>
    </row>
    <row r="704">
      <c r="A704" s="20" t="n"/>
      <c r="B704" s="10" t="n"/>
      <c r="C704" s="10" t="n"/>
      <c r="D704" s="10" t="n"/>
      <c r="E704" s="10" t="n"/>
      <c r="F704" s="18" t="n"/>
      <c r="G704" s="10" t="n"/>
      <c r="H704" s="12" t="n"/>
      <c r="I704" s="12" t="n"/>
      <c r="J704" s="13">
        <f>IF(OR(A704="",COUNT(H704)=0,COUNT(Z704)=0),"",ROUND(Z704-H704,2))</f>
        <v/>
      </c>
      <c r="K704" s="15">
        <f>IF(COUNT(J704)=0,"",IF(Z704=0,"n.a.",J704/Z704))</f>
        <v/>
      </c>
      <c r="L704" s="14">
        <f>IF(OR(A704="",COUNT(H704)=0,COUNT(Y704)=0),"",ROUND(H704*(1+Y704),2))</f>
        <v/>
      </c>
      <c r="M704" s="10" t="n"/>
      <c r="N704" s="10" t="n"/>
      <c r="O704" s="10" t="n"/>
      <c r="P704" s="10" t="n"/>
      <c r="Q704" s="20" t="n"/>
      <c r="R704" s="10" t="n"/>
      <c r="S704" s="10" t="n"/>
      <c r="T704" s="18" t="n"/>
      <c r="U704" s="18" t="n"/>
      <c r="V704" s="10" t="n"/>
      <c r="W704" s="10" t="n"/>
      <c r="X704" s="19">
        <f>IF(OR(A704="",COUNT(U704)=0,COUNT(AI704)=0),"",U704+AI704)</f>
        <v/>
      </c>
      <c r="Y704" s="16" t="n"/>
      <c r="Z704" s="12" t="n"/>
      <c r="AA704" s="17">
        <f>IF(COUNT(J704)=0,"",IF(H704=0,"n.a.",J704/H704))</f>
        <v/>
      </c>
      <c r="AB704" s="12" t="n"/>
      <c r="AC704" s="12" t="n"/>
      <c r="AD704" s="12" t="n"/>
      <c r="AE704" s="13">
        <f>IF(OR(COUNT(J704)=0,COUNT(AB704:AD704)&lt;3),"",ROUND(J704-SUM(AB704:AD704),2))</f>
        <v/>
      </c>
      <c r="AF704" s="15">
        <f>IF(COUNT(AE704)=0,"",IF(Z704=0,"n.a.",AE704/Z704))</f>
        <v/>
      </c>
      <c r="AG704" s="12" t="n"/>
      <c r="AH704" s="14">
        <f>IF(OR(A704="",COUNT(Z704)=0,COUNT(AG704)=0),"",ROUND(Z704-AG704,2))</f>
        <v/>
      </c>
      <c r="AI704" s="21" t="n"/>
      <c r="AJ704" s="11">
        <f>IF(A704="","",IF(COUNT(I704)=0,"Enter approved NTE",IF(COUNT(Z704)&gt;0,IF(Z704&gt;I704,"Invoice exceeds NTE","Invoice within NTE"),IF(COUNT(L704)=0,"Enter quote inputs",IF(L704&gt;I704,"Quote exceeds NTE","Quote within NTE")))))</f>
        <v/>
      </c>
      <c r="AK704" s="11">
        <f>IF(A704="","",IF(COUNT(H704)=0,"Enter direct cost",IF(COUNT(Z704)=0,"Enter invoice revenue",IF(COUNT(AB704:AD704)&lt;3,"Enter expenses (0 if none)","Complete"))))</f>
        <v/>
      </c>
      <c r="AL704" s="11">
        <f>IF(A704="","",IF(NOT(AND(COUNT(AH704)=1,N(AH704)&gt;0.004,V704&lt;&gt;"Void",V704&lt;&gt;"Not invoiced",V704&lt;&gt;"Draft")),"",IF(COUNT(X704)=0,"No due date",IF(TODAY()-X704&lt;=0,"Not yet due",IF(TODAY()-X704&lt;=30,"1-30 days",IF(TODAY()-X704&lt;=60,"31-60 days",IF(TODAY()-X704&lt;=90,"61-90 days","Over 90 days")))))))</f>
        <v/>
      </c>
      <c r="AM704" s="49">
        <f>IF(OR(AL704="",AL704="No due date"),"",MAX(TODAY()-X704,0))</f>
        <v/>
      </c>
      <c r="AN704" s="49">
        <f>IF(AL704="","",IF(COUNT(X704)=0,-100000,TODAY()-X704))</f>
        <v/>
      </c>
      <c r="AO704" s="49">
        <f>IF(AN704="","",COUNTIF(AN$11:AN$1010,"&gt;"&amp;AN704)+COUNTIF(AN$11:AN704,AN704))</f>
        <v/>
      </c>
      <c r="AP704" s="49">
        <f>IF(OR(A704="",B704=""),"",IF(COUNTIF(B$11:B704,B704)=1,MAX(AP$10:AP703)+1,""))</f>
        <v/>
      </c>
    </row>
    <row r="705">
      <c r="A705" s="20" t="n"/>
      <c r="B705" s="10" t="n"/>
      <c r="C705" s="10" t="n"/>
      <c r="D705" s="10" t="n"/>
      <c r="E705" s="10" t="n"/>
      <c r="F705" s="18" t="n"/>
      <c r="G705" s="10" t="n"/>
      <c r="H705" s="12" t="n"/>
      <c r="I705" s="12" t="n"/>
      <c r="J705" s="13">
        <f>IF(OR(A705="",COUNT(H705)=0,COUNT(Z705)=0),"",ROUND(Z705-H705,2))</f>
        <v/>
      </c>
      <c r="K705" s="15">
        <f>IF(COUNT(J705)=0,"",IF(Z705=0,"n.a.",J705/Z705))</f>
        <v/>
      </c>
      <c r="L705" s="14">
        <f>IF(OR(A705="",COUNT(H705)=0,COUNT(Y705)=0),"",ROUND(H705*(1+Y705),2))</f>
        <v/>
      </c>
      <c r="M705" s="10" t="n"/>
      <c r="N705" s="10" t="n"/>
      <c r="O705" s="10" t="n"/>
      <c r="P705" s="10" t="n"/>
      <c r="Q705" s="20" t="n"/>
      <c r="R705" s="10" t="n"/>
      <c r="S705" s="10" t="n"/>
      <c r="T705" s="18" t="n"/>
      <c r="U705" s="18" t="n"/>
      <c r="V705" s="10" t="n"/>
      <c r="W705" s="10" t="n"/>
      <c r="X705" s="19">
        <f>IF(OR(A705="",COUNT(U705)=0,COUNT(AI705)=0),"",U705+AI705)</f>
        <v/>
      </c>
      <c r="Y705" s="16" t="n"/>
      <c r="Z705" s="12" t="n"/>
      <c r="AA705" s="17">
        <f>IF(COUNT(J705)=0,"",IF(H705=0,"n.a.",J705/H705))</f>
        <v/>
      </c>
      <c r="AB705" s="12" t="n"/>
      <c r="AC705" s="12" t="n"/>
      <c r="AD705" s="12" t="n"/>
      <c r="AE705" s="13">
        <f>IF(OR(COUNT(J705)=0,COUNT(AB705:AD705)&lt;3),"",ROUND(J705-SUM(AB705:AD705),2))</f>
        <v/>
      </c>
      <c r="AF705" s="15">
        <f>IF(COUNT(AE705)=0,"",IF(Z705=0,"n.a.",AE705/Z705))</f>
        <v/>
      </c>
      <c r="AG705" s="12" t="n"/>
      <c r="AH705" s="14">
        <f>IF(OR(A705="",COUNT(Z705)=0,COUNT(AG705)=0),"",ROUND(Z705-AG705,2))</f>
        <v/>
      </c>
      <c r="AI705" s="21" t="n"/>
      <c r="AJ705" s="11">
        <f>IF(A705="","",IF(COUNT(I705)=0,"Enter approved NTE",IF(COUNT(Z705)&gt;0,IF(Z705&gt;I705,"Invoice exceeds NTE","Invoice within NTE"),IF(COUNT(L705)=0,"Enter quote inputs",IF(L705&gt;I705,"Quote exceeds NTE","Quote within NTE")))))</f>
        <v/>
      </c>
      <c r="AK705" s="11">
        <f>IF(A705="","",IF(COUNT(H705)=0,"Enter direct cost",IF(COUNT(Z705)=0,"Enter invoice revenue",IF(COUNT(AB705:AD705)&lt;3,"Enter expenses (0 if none)","Complete"))))</f>
        <v/>
      </c>
      <c r="AL705" s="11">
        <f>IF(A705="","",IF(NOT(AND(COUNT(AH705)=1,N(AH705)&gt;0.004,V705&lt;&gt;"Void",V705&lt;&gt;"Not invoiced",V705&lt;&gt;"Draft")),"",IF(COUNT(X705)=0,"No due date",IF(TODAY()-X705&lt;=0,"Not yet due",IF(TODAY()-X705&lt;=30,"1-30 days",IF(TODAY()-X705&lt;=60,"31-60 days",IF(TODAY()-X705&lt;=90,"61-90 days","Over 90 days")))))))</f>
        <v/>
      </c>
      <c r="AM705" s="49">
        <f>IF(OR(AL705="",AL705="No due date"),"",MAX(TODAY()-X705,0))</f>
        <v/>
      </c>
      <c r="AN705" s="49">
        <f>IF(AL705="","",IF(COUNT(X705)=0,-100000,TODAY()-X705))</f>
        <v/>
      </c>
      <c r="AO705" s="49">
        <f>IF(AN705="","",COUNTIF(AN$11:AN$1010,"&gt;"&amp;AN705)+COUNTIF(AN$11:AN705,AN705))</f>
        <v/>
      </c>
      <c r="AP705" s="49">
        <f>IF(OR(A705="",B705=""),"",IF(COUNTIF(B$11:B705,B705)=1,MAX(AP$10:AP704)+1,""))</f>
        <v/>
      </c>
    </row>
    <row r="706">
      <c r="A706" s="20" t="n"/>
      <c r="B706" s="10" t="n"/>
      <c r="C706" s="10" t="n"/>
      <c r="D706" s="10" t="n"/>
      <c r="E706" s="10" t="n"/>
      <c r="F706" s="18" t="n"/>
      <c r="G706" s="10" t="n"/>
      <c r="H706" s="12" t="n"/>
      <c r="I706" s="12" t="n"/>
      <c r="J706" s="13">
        <f>IF(OR(A706="",COUNT(H706)=0,COUNT(Z706)=0),"",ROUND(Z706-H706,2))</f>
        <v/>
      </c>
      <c r="K706" s="15">
        <f>IF(COUNT(J706)=0,"",IF(Z706=0,"n.a.",J706/Z706))</f>
        <v/>
      </c>
      <c r="L706" s="14">
        <f>IF(OR(A706="",COUNT(H706)=0,COUNT(Y706)=0),"",ROUND(H706*(1+Y706),2))</f>
        <v/>
      </c>
      <c r="M706" s="10" t="n"/>
      <c r="N706" s="10" t="n"/>
      <c r="O706" s="10" t="n"/>
      <c r="P706" s="10" t="n"/>
      <c r="Q706" s="20" t="n"/>
      <c r="R706" s="10" t="n"/>
      <c r="S706" s="10" t="n"/>
      <c r="T706" s="18" t="n"/>
      <c r="U706" s="18" t="n"/>
      <c r="V706" s="10" t="n"/>
      <c r="W706" s="10" t="n"/>
      <c r="X706" s="19">
        <f>IF(OR(A706="",COUNT(U706)=0,COUNT(AI706)=0),"",U706+AI706)</f>
        <v/>
      </c>
      <c r="Y706" s="16" t="n"/>
      <c r="Z706" s="12" t="n"/>
      <c r="AA706" s="17">
        <f>IF(COUNT(J706)=0,"",IF(H706=0,"n.a.",J706/H706))</f>
        <v/>
      </c>
      <c r="AB706" s="12" t="n"/>
      <c r="AC706" s="12" t="n"/>
      <c r="AD706" s="12" t="n"/>
      <c r="AE706" s="13">
        <f>IF(OR(COUNT(J706)=0,COUNT(AB706:AD706)&lt;3),"",ROUND(J706-SUM(AB706:AD706),2))</f>
        <v/>
      </c>
      <c r="AF706" s="15">
        <f>IF(COUNT(AE706)=0,"",IF(Z706=0,"n.a.",AE706/Z706))</f>
        <v/>
      </c>
      <c r="AG706" s="12" t="n"/>
      <c r="AH706" s="14">
        <f>IF(OR(A706="",COUNT(Z706)=0,COUNT(AG706)=0),"",ROUND(Z706-AG706,2))</f>
        <v/>
      </c>
      <c r="AI706" s="21" t="n"/>
      <c r="AJ706" s="11">
        <f>IF(A706="","",IF(COUNT(I706)=0,"Enter approved NTE",IF(COUNT(Z706)&gt;0,IF(Z706&gt;I706,"Invoice exceeds NTE","Invoice within NTE"),IF(COUNT(L706)=0,"Enter quote inputs",IF(L706&gt;I706,"Quote exceeds NTE","Quote within NTE")))))</f>
        <v/>
      </c>
      <c r="AK706" s="11">
        <f>IF(A706="","",IF(COUNT(H706)=0,"Enter direct cost",IF(COUNT(Z706)=0,"Enter invoice revenue",IF(COUNT(AB706:AD706)&lt;3,"Enter expenses (0 if none)","Complete"))))</f>
        <v/>
      </c>
      <c r="AL706" s="11">
        <f>IF(A706="","",IF(NOT(AND(COUNT(AH706)=1,N(AH706)&gt;0.004,V706&lt;&gt;"Void",V706&lt;&gt;"Not invoiced",V706&lt;&gt;"Draft")),"",IF(COUNT(X706)=0,"No due date",IF(TODAY()-X706&lt;=0,"Not yet due",IF(TODAY()-X706&lt;=30,"1-30 days",IF(TODAY()-X706&lt;=60,"31-60 days",IF(TODAY()-X706&lt;=90,"61-90 days","Over 90 days")))))))</f>
        <v/>
      </c>
      <c r="AM706" s="49">
        <f>IF(OR(AL706="",AL706="No due date"),"",MAX(TODAY()-X706,0))</f>
        <v/>
      </c>
      <c r="AN706" s="49">
        <f>IF(AL706="","",IF(COUNT(X706)=0,-100000,TODAY()-X706))</f>
        <v/>
      </c>
      <c r="AO706" s="49">
        <f>IF(AN706="","",COUNTIF(AN$11:AN$1010,"&gt;"&amp;AN706)+COUNTIF(AN$11:AN706,AN706))</f>
        <v/>
      </c>
      <c r="AP706" s="49">
        <f>IF(OR(A706="",B706=""),"",IF(COUNTIF(B$11:B706,B706)=1,MAX(AP$10:AP705)+1,""))</f>
        <v/>
      </c>
    </row>
    <row r="707">
      <c r="A707" s="20" t="n"/>
      <c r="B707" s="10" t="n"/>
      <c r="C707" s="10" t="n"/>
      <c r="D707" s="10" t="n"/>
      <c r="E707" s="10" t="n"/>
      <c r="F707" s="18" t="n"/>
      <c r="G707" s="10" t="n"/>
      <c r="H707" s="12" t="n"/>
      <c r="I707" s="12" t="n"/>
      <c r="J707" s="13">
        <f>IF(OR(A707="",COUNT(H707)=0,COUNT(Z707)=0),"",ROUND(Z707-H707,2))</f>
        <v/>
      </c>
      <c r="K707" s="15">
        <f>IF(COUNT(J707)=0,"",IF(Z707=0,"n.a.",J707/Z707))</f>
        <v/>
      </c>
      <c r="L707" s="14">
        <f>IF(OR(A707="",COUNT(H707)=0,COUNT(Y707)=0),"",ROUND(H707*(1+Y707),2))</f>
        <v/>
      </c>
      <c r="M707" s="10" t="n"/>
      <c r="N707" s="10" t="n"/>
      <c r="O707" s="10" t="n"/>
      <c r="P707" s="10" t="n"/>
      <c r="Q707" s="20" t="n"/>
      <c r="R707" s="10" t="n"/>
      <c r="S707" s="10" t="n"/>
      <c r="T707" s="18" t="n"/>
      <c r="U707" s="18" t="n"/>
      <c r="V707" s="10" t="n"/>
      <c r="W707" s="10" t="n"/>
      <c r="X707" s="19">
        <f>IF(OR(A707="",COUNT(U707)=0,COUNT(AI707)=0),"",U707+AI707)</f>
        <v/>
      </c>
      <c r="Y707" s="16" t="n"/>
      <c r="Z707" s="12" t="n"/>
      <c r="AA707" s="17">
        <f>IF(COUNT(J707)=0,"",IF(H707=0,"n.a.",J707/H707))</f>
        <v/>
      </c>
      <c r="AB707" s="12" t="n"/>
      <c r="AC707" s="12" t="n"/>
      <c r="AD707" s="12" t="n"/>
      <c r="AE707" s="13">
        <f>IF(OR(COUNT(J707)=0,COUNT(AB707:AD707)&lt;3),"",ROUND(J707-SUM(AB707:AD707),2))</f>
        <v/>
      </c>
      <c r="AF707" s="15">
        <f>IF(COUNT(AE707)=0,"",IF(Z707=0,"n.a.",AE707/Z707))</f>
        <v/>
      </c>
      <c r="AG707" s="12" t="n"/>
      <c r="AH707" s="14">
        <f>IF(OR(A707="",COUNT(Z707)=0,COUNT(AG707)=0),"",ROUND(Z707-AG707,2))</f>
        <v/>
      </c>
      <c r="AI707" s="21" t="n"/>
      <c r="AJ707" s="11">
        <f>IF(A707="","",IF(COUNT(I707)=0,"Enter approved NTE",IF(COUNT(Z707)&gt;0,IF(Z707&gt;I707,"Invoice exceeds NTE","Invoice within NTE"),IF(COUNT(L707)=0,"Enter quote inputs",IF(L707&gt;I707,"Quote exceeds NTE","Quote within NTE")))))</f>
        <v/>
      </c>
      <c r="AK707" s="11">
        <f>IF(A707="","",IF(COUNT(H707)=0,"Enter direct cost",IF(COUNT(Z707)=0,"Enter invoice revenue",IF(COUNT(AB707:AD707)&lt;3,"Enter expenses (0 if none)","Complete"))))</f>
        <v/>
      </c>
      <c r="AL707" s="11">
        <f>IF(A707="","",IF(NOT(AND(COUNT(AH707)=1,N(AH707)&gt;0.004,V707&lt;&gt;"Void",V707&lt;&gt;"Not invoiced",V707&lt;&gt;"Draft")),"",IF(COUNT(X707)=0,"No due date",IF(TODAY()-X707&lt;=0,"Not yet due",IF(TODAY()-X707&lt;=30,"1-30 days",IF(TODAY()-X707&lt;=60,"31-60 days",IF(TODAY()-X707&lt;=90,"61-90 days","Over 90 days")))))))</f>
        <v/>
      </c>
      <c r="AM707" s="49">
        <f>IF(OR(AL707="",AL707="No due date"),"",MAX(TODAY()-X707,0))</f>
        <v/>
      </c>
      <c r="AN707" s="49">
        <f>IF(AL707="","",IF(COUNT(X707)=0,-100000,TODAY()-X707))</f>
        <v/>
      </c>
      <c r="AO707" s="49">
        <f>IF(AN707="","",COUNTIF(AN$11:AN$1010,"&gt;"&amp;AN707)+COUNTIF(AN$11:AN707,AN707))</f>
        <v/>
      </c>
      <c r="AP707" s="49">
        <f>IF(OR(A707="",B707=""),"",IF(COUNTIF(B$11:B707,B707)=1,MAX(AP$10:AP706)+1,""))</f>
        <v/>
      </c>
    </row>
    <row r="708">
      <c r="A708" s="20" t="n"/>
      <c r="B708" s="10" t="n"/>
      <c r="C708" s="10" t="n"/>
      <c r="D708" s="10" t="n"/>
      <c r="E708" s="10" t="n"/>
      <c r="F708" s="18" t="n"/>
      <c r="G708" s="10" t="n"/>
      <c r="H708" s="12" t="n"/>
      <c r="I708" s="12" t="n"/>
      <c r="J708" s="13">
        <f>IF(OR(A708="",COUNT(H708)=0,COUNT(Z708)=0),"",ROUND(Z708-H708,2))</f>
        <v/>
      </c>
      <c r="K708" s="15">
        <f>IF(COUNT(J708)=0,"",IF(Z708=0,"n.a.",J708/Z708))</f>
        <v/>
      </c>
      <c r="L708" s="14">
        <f>IF(OR(A708="",COUNT(H708)=0,COUNT(Y708)=0),"",ROUND(H708*(1+Y708),2))</f>
        <v/>
      </c>
      <c r="M708" s="10" t="n"/>
      <c r="N708" s="10" t="n"/>
      <c r="O708" s="10" t="n"/>
      <c r="P708" s="10" t="n"/>
      <c r="Q708" s="20" t="n"/>
      <c r="R708" s="10" t="n"/>
      <c r="S708" s="10" t="n"/>
      <c r="T708" s="18" t="n"/>
      <c r="U708" s="18" t="n"/>
      <c r="V708" s="10" t="n"/>
      <c r="W708" s="10" t="n"/>
      <c r="X708" s="19">
        <f>IF(OR(A708="",COUNT(U708)=0,COUNT(AI708)=0),"",U708+AI708)</f>
        <v/>
      </c>
      <c r="Y708" s="16" t="n"/>
      <c r="Z708" s="12" t="n"/>
      <c r="AA708" s="17">
        <f>IF(COUNT(J708)=0,"",IF(H708=0,"n.a.",J708/H708))</f>
        <v/>
      </c>
      <c r="AB708" s="12" t="n"/>
      <c r="AC708" s="12" t="n"/>
      <c r="AD708" s="12" t="n"/>
      <c r="AE708" s="13">
        <f>IF(OR(COUNT(J708)=0,COUNT(AB708:AD708)&lt;3),"",ROUND(J708-SUM(AB708:AD708),2))</f>
        <v/>
      </c>
      <c r="AF708" s="15">
        <f>IF(COUNT(AE708)=0,"",IF(Z708=0,"n.a.",AE708/Z708))</f>
        <v/>
      </c>
      <c r="AG708" s="12" t="n"/>
      <c r="AH708" s="14">
        <f>IF(OR(A708="",COUNT(Z708)=0,COUNT(AG708)=0),"",ROUND(Z708-AG708,2))</f>
        <v/>
      </c>
      <c r="AI708" s="21" t="n"/>
      <c r="AJ708" s="11">
        <f>IF(A708="","",IF(COUNT(I708)=0,"Enter approved NTE",IF(COUNT(Z708)&gt;0,IF(Z708&gt;I708,"Invoice exceeds NTE","Invoice within NTE"),IF(COUNT(L708)=0,"Enter quote inputs",IF(L708&gt;I708,"Quote exceeds NTE","Quote within NTE")))))</f>
        <v/>
      </c>
      <c r="AK708" s="11">
        <f>IF(A708="","",IF(COUNT(H708)=0,"Enter direct cost",IF(COUNT(Z708)=0,"Enter invoice revenue",IF(COUNT(AB708:AD708)&lt;3,"Enter expenses (0 if none)","Complete"))))</f>
        <v/>
      </c>
      <c r="AL708" s="11">
        <f>IF(A708="","",IF(NOT(AND(COUNT(AH708)=1,N(AH708)&gt;0.004,V708&lt;&gt;"Void",V708&lt;&gt;"Not invoiced",V708&lt;&gt;"Draft")),"",IF(COUNT(X708)=0,"No due date",IF(TODAY()-X708&lt;=0,"Not yet due",IF(TODAY()-X708&lt;=30,"1-30 days",IF(TODAY()-X708&lt;=60,"31-60 days",IF(TODAY()-X708&lt;=90,"61-90 days","Over 90 days")))))))</f>
        <v/>
      </c>
      <c r="AM708" s="49">
        <f>IF(OR(AL708="",AL708="No due date"),"",MAX(TODAY()-X708,0))</f>
        <v/>
      </c>
      <c r="AN708" s="49">
        <f>IF(AL708="","",IF(COUNT(X708)=0,-100000,TODAY()-X708))</f>
        <v/>
      </c>
      <c r="AO708" s="49">
        <f>IF(AN708="","",COUNTIF(AN$11:AN$1010,"&gt;"&amp;AN708)+COUNTIF(AN$11:AN708,AN708))</f>
        <v/>
      </c>
      <c r="AP708" s="49">
        <f>IF(OR(A708="",B708=""),"",IF(COUNTIF(B$11:B708,B708)=1,MAX(AP$10:AP707)+1,""))</f>
        <v/>
      </c>
    </row>
    <row r="709">
      <c r="A709" s="20" t="n"/>
      <c r="B709" s="10" t="n"/>
      <c r="C709" s="10" t="n"/>
      <c r="D709" s="10" t="n"/>
      <c r="E709" s="10" t="n"/>
      <c r="F709" s="18" t="n"/>
      <c r="G709" s="10" t="n"/>
      <c r="H709" s="12" t="n"/>
      <c r="I709" s="12" t="n"/>
      <c r="J709" s="13">
        <f>IF(OR(A709="",COUNT(H709)=0,COUNT(Z709)=0),"",ROUND(Z709-H709,2))</f>
        <v/>
      </c>
      <c r="K709" s="15">
        <f>IF(COUNT(J709)=0,"",IF(Z709=0,"n.a.",J709/Z709))</f>
        <v/>
      </c>
      <c r="L709" s="14">
        <f>IF(OR(A709="",COUNT(H709)=0,COUNT(Y709)=0),"",ROUND(H709*(1+Y709),2))</f>
        <v/>
      </c>
      <c r="M709" s="10" t="n"/>
      <c r="N709" s="10" t="n"/>
      <c r="O709" s="10" t="n"/>
      <c r="P709" s="10" t="n"/>
      <c r="Q709" s="20" t="n"/>
      <c r="R709" s="10" t="n"/>
      <c r="S709" s="10" t="n"/>
      <c r="T709" s="18" t="n"/>
      <c r="U709" s="18" t="n"/>
      <c r="V709" s="10" t="n"/>
      <c r="W709" s="10" t="n"/>
      <c r="X709" s="19">
        <f>IF(OR(A709="",COUNT(U709)=0,COUNT(AI709)=0),"",U709+AI709)</f>
        <v/>
      </c>
      <c r="Y709" s="16" t="n"/>
      <c r="Z709" s="12" t="n"/>
      <c r="AA709" s="17">
        <f>IF(COUNT(J709)=0,"",IF(H709=0,"n.a.",J709/H709))</f>
        <v/>
      </c>
      <c r="AB709" s="12" t="n"/>
      <c r="AC709" s="12" t="n"/>
      <c r="AD709" s="12" t="n"/>
      <c r="AE709" s="13">
        <f>IF(OR(COUNT(J709)=0,COUNT(AB709:AD709)&lt;3),"",ROUND(J709-SUM(AB709:AD709),2))</f>
        <v/>
      </c>
      <c r="AF709" s="15">
        <f>IF(COUNT(AE709)=0,"",IF(Z709=0,"n.a.",AE709/Z709))</f>
        <v/>
      </c>
      <c r="AG709" s="12" t="n"/>
      <c r="AH709" s="14">
        <f>IF(OR(A709="",COUNT(Z709)=0,COUNT(AG709)=0),"",ROUND(Z709-AG709,2))</f>
        <v/>
      </c>
      <c r="AI709" s="21" t="n"/>
      <c r="AJ709" s="11">
        <f>IF(A709="","",IF(COUNT(I709)=0,"Enter approved NTE",IF(COUNT(Z709)&gt;0,IF(Z709&gt;I709,"Invoice exceeds NTE","Invoice within NTE"),IF(COUNT(L709)=0,"Enter quote inputs",IF(L709&gt;I709,"Quote exceeds NTE","Quote within NTE")))))</f>
        <v/>
      </c>
      <c r="AK709" s="11">
        <f>IF(A709="","",IF(COUNT(H709)=0,"Enter direct cost",IF(COUNT(Z709)=0,"Enter invoice revenue",IF(COUNT(AB709:AD709)&lt;3,"Enter expenses (0 if none)","Complete"))))</f>
        <v/>
      </c>
      <c r="AL709" s="11">
        <f>IF(A709="","",IF(NOT(AND(COUNT(AH709)=1,N(AH709)&gt;0.004,V709&lt;&gt;"Void",V709&lt;&gt;"Not invoiced",V709&lt;&gt;"Draft")),"",IF(COUNT(X709)=0,"No due date",IF(TODAY()-X709&lt;=0,"Not yet due",IF(TODAY()-X709&lt;=30,"1-30 days",IF(TODAY()-X709&lt;=60,"31-60 days",IF(TODAY()-X709&lt;=90,"61-90 days","Over 90 days")))))))</f>
        <v/>
      </c>
      <c r="AM709" s="49">
        <f>IF(OR(AL709="",AL709="No due date"),"",MAX(TODAY()-X709,0))</f>
        <v/>
      </c>
      <c r="AN709" s="49">
        <f>IF(AL709="","",IF(COUNT(X709)=0,-100000,TODAY()-X709))</f>
        <v/>
      </c>
      <c r="AO709" s="49">
        <f>IF(AN709="","",COUNTIF(AN$11:AN$1010,"&gt;"&amp;AN709)+COUNTIF(AN$11:AN709,AN709))</f>
        <v/>
      </c>
      <c r="AP709" s="49">
        <f>IF(OR(A709="",B709=""),"",IF(COUNTIF(B$11:B709,B709)=1,MAX(AP$10:AP708)+1,""))</f>
        <v/>
      </c>
    </row>
    <row r="710">
      <c r="A710" s="20" t="n"/>
      <c r="B710" s="10" t="n"/>
      <c r="C710" s="10" t="n"/>
      <c r="D710" s="10" t="n"/>
      <c r="E710" s="10" t="n"/>
      <c r="F710" s="18" t="n"/>
      <c r="G710" s="10" t="n"/>
      <c r="H710" s="12" t="n"/>
      <c r="I710" s="12" t="n"/>
      <c r="J710" s="13">
        <f>IF(OR(A710="",COUNT(H710)=0,COUNT(Z710)=0),"",ROUND(Z710-H710,2))</f>
        <v/>
      </c>
      <c r="K710" s="15">
        <f>IF(COUNT(J710)=0,"",IF(Z710=0,"n.a.",J710/Z710))</f>
        <v/>
      </c>
      <c r="L710" s="14">
        <f>IF(OR(A710="",COUNT(H710)=0,COUNT(Y710)=0),"",ROUND(H710*(1+Y710),2))</f>
        <v/>
      </c>
      <c r="M710" s="10" t="n"/>
      <c r="N710" s="10" t="n"/>
      <c r="O710" s="10" t="n"/>
      <c r="P710" s="10" t="n"/>
      <c r="Q710" s="20" t="n"/>
      <c r="R710" s="10" t="n"/>
      <c r="S710" s="10" t="n"/>
      <c r="T710" s="18" t="n"/>
      <c r="U710" s="18" t="n"/>
      <c r="V710" s="10" t="n"/>
      <c r="W710" s="10" t="n"/>
      <c r="X710" s="19">
        <f>IF(OR(A710="",COUNT(U710)=0,COUNT(AI710)=0),"",U710+AI710)</f>
        <v/>
      </c>
      <c r="Y710" s="16" t="n"/>
      <c r="Z710" s="12" t="n"/>
      <c r="AA710" s="17">
        <f>IF(COUNT(J710)=0,"",IF(H710=0,"n.a.",J710/H710))</f>
        <v/>
      </c>
      <c r="AB710" s="12" t="n"/>
      <c r="AC710" s="12" t="n"/>
      <c r="AD710" s="12" t="n"/>
      <c r="AE710" s="13">
        <f>IF(OR(COUNT(J710)=0,COUNT(AB710:AD710)&lt;3),"",ROUND(J710-SUM(AB710:AD710),2))</f>
        <v/>
      </c>
      <c r="AF710" s="15">
        <f>IF(COUNT(AE710)=0,"",IF(Z710=0,"n.a.",AE710/Z710))</f>
        <v/>
      </c>
      <c r="AG710" s="12" t="n"/>
      <c r="AH710" s="14">
        <f>IF(OR(A710="",COUNT(Z710)=0,COUNT(AG710)=0),"",ROUND(Z710-AG710,2))</f>
        <v/>
      </c>
      <c r="AI710" s="21" t="n"/>
      <c r="AJ710" s="11">
        <f>IF(A710="","",IF(COUNT(I710)=0,"Enter approved NTE",IF(COUNT(Z710)&gt;0,IF(Z710&gt;I710,"Invoice exceeds NTE","Invoice within NTE"),IF(COUNT(L710)=0,"Enter quote inputs",IF(L710&gt;I710,"Quote exceeds NTE","Quote within NTE")))))</f>
        <v/>
      </c>
      <c r="AK710" s="11">
        <f>IF(A710="","",IF(COUNT(H710)=0,"Enter direct cost",IF(COUNT(Z710)=0,"Enter invoice revenue",IF(COUNT(AB710:AD710)&lt;3,"Enter expenses (0 if none)","Complete"))))</f>
        <v/>
      </c>
      <c r="AL710" s="11">
        <f>IF(A710="","",IF(NOT(AND(COUNT(AH710)=1,N(AH710)&gt;0.004,V710&lt;&gt;"Void",V710&lt;&gt;"Not invoiced",V710&lt;&gt;"Draft")),"",IF(COUNT(X710)=0,"No due date",IF(TODAY()-X710&lt;=0,"Not yet due",IF(TODAY()-X710&lt;=30,"1-30 days",IF(TODAY()-X710&lt;=60,"31-60 days",IF(TODAY()-X710&lt;=90,"61-90 days","Over 90 days")))))))</f>
        <v/>
      </c>
      <c r="AM710" s="49">
        <f>IF(OR(AL710="",AL710="No due date"),"",MAX(TODAY()-X710,0))</f>
        <v/>
      </c>
      <c r="AN710" s="49">
        <f>IF(AL710="","",IF(COUNT(X710)=0,-100000,TODAY()-X710))</f>
        <v/>
      </c>
      <c r="AO710" s="49">
        <f>IF(AN710="","",COUNTIF(AN$11:AN$1010,"&gt;"&amp;AN710)+COUNTIF(AN$11:AN710,AN710))</f>
        <v/>
      </c>
      <c r="AP710" s="49">
        <f>IF(OR(A710="",B710=""),"",IF(COUNTIF(B$11:B710,B710)=1,MAX(AP$10:AP709)+1,""))</f>
        <v/>
      </c>
    </row>
    <row r="711">
      <c r="A711" s="20" t="n"/>
      <c r="B711" s="10" t="n"/>
      <c r="C711" s="10" t="n"/>
      <c r="D711" s="10" t="n"/>
      <c r="E711" s="10" t="n"/>
      <c r="F711" s="18" t="n"/>
      <c r="G711" s="10" t="n"/>
      <c r="H711" s="12" t="n"/>
      <c r="I711" s="12" t="n"/>
      <c r="J711" s="13">
        <f>IF(OR(A711="",COUNT(H711)=0,COUNT(Z711)=0),"",ROUND(Z711-H711,2))</f>
        <v/>
      </c>
      <c r="K711" s="15">
        <f>IF(COUNT(J711)=0,"",IF(Z711=0,"n.a.",J711/Z711))</f>
        <v/>
      </c>
      <c r="L711" s="14">
        <f>IF(OR(A711="",COUNT(H711)=0,COUNT(Y711)=0),"",ROUND(H711*(1+Y711),2))</f>
        <v/>
      </c>
      <c r="M711" s="10" t="n"/>
      <c r="N711" s="10" t="n"/>
      <c r="O711" s="10" t="n"/>
      <c r="P711" s="10" t="n"/>
      <c r="Q711" s="20" t="n"/>
      <c r="R711" s="10" t="n"/>
      <c r="S711" s="10" t="n"/>
      <c r="T711" s="18" t="n"/>
      <c r="U711" s="18" t="n"/>
      <c r="V711" s="10" t="n"/>
      <c r="W711" s="10" t="n"/>
      <c r="X711" s="19">
        <f>IF(OR(A711="",COUNT(U711)=0,COUNT(AI711)=0),"",U711+AI711)</f>
        <v/>
      </c>
      <c r="Y711" s="16" t="n"/>
      <c r="Z711" s="12" t="n"/>
      <c r="AA711" s="17">
        <f>IF(COUNT(J711)=0,"",IF(H711=0,"n.a.",J711/H711))</f>
        <v/>
      </c>
      <c r="AB711" s="12" t="n"/>
      <c r="AC711" s="12" t="n"/>
      <c r="AD711" s="12" t="n"/>
      <c r="AE711" s="13">
        <f>IF(OR(COUNT(J711)=0,COUNT(AB711:AD711)&lt;3),"",ROUND(J711-SUM(AB711:AD711),2))</f>
        <v/>
      </c>
      <c r="AF711" s="15">
        <f>IF(COUNT(AE711)=0,"",IF(Z711=0,"n.a.",AE711/Z711))</f>
        <v/>
      </c>
      <c r="AG711" s="12" t="n"/>
      <c r="AH711" s="14">
        <f>IF(OR(A711="",COUNT(Z711)=0,COUNT(AG711)=0),"",ROUND(Z711-AG711,2))</f>
        <v/>
      </c>
      <c r="AI711" s="21" t="n"/>
      <c r="AJ711" s="11">
        <f>IF(A711="","",IF(COUNT(I711)=0,"Enter approved NTE",IF(COUNT(Z711)&gt;0,IF(Z711&gt;I711,"Invoice exceeds NTE","Invoice within NTE"),IF(COUNT(L711)=0,"Enter quote inputs",IF(L711&gt;I711,"Quote exceeds NTE","Quote within NTE")))))</f>
        <v/>
      </c>
      <c r="AK711" s="11">
        <f>IF(A711="","",IF(COUNT(H711)=0,"Enter direct cost",IF(COUNT(Z711)=0,"Enter invoice revenue",IF(COUNT(AB711:AD711)&lt;3,"Enter expenses (0 if none)","Complete"))))</f>
        <v/>
      </c>
      <c r="AL711" s="11">
        <f>IF(A711="","",IF(NOT(AND(COUNT(AH711)=1,N(AH711)&gt;0.004,V711&lt;&gt;"Void",V711&lt;&gt;"Not invoiced",V711&lt;&gt;"Draft")),"",IF(COUNT(X711)=0,"No due date",IF(TODAY()-X711&lt;=0,"Not yet due",IF(TODAY()-X711&lt;=30,"1-30 days",IF(TODAY()-X711&lt;=60,"31-60 days",IF(TODAY()-X711&lt;=90,"61-90 days","Over 90 days")))))))</f>
        <v/>
      </c>
      <c r="AM711" s="49">
        <f>IF(OR(AL711="",AL711="No due date"),"",MAX(TODAY()-X711,0))</f>
        <v/>
      </c>
      <c r="AN711" s="49">
        <f>IF(AL711="","",IF(COUNT(X711)=0,-100000,TODAY()-X711))</f>
        <v/>
      </c>
      <c r="AO711" s="49">
        <f>IF(AN711="","",COUNTIF(AN$11:AN$1010,"&gt;"&amp;AN711)+COUNTIF(AN$11:AN711,AN711))</f>
        <v/>
      </c>
      <c r="AP711" s="49">
        <f>IF(OR(A711="",B711=""),"",IF(COUNTIF(B$11:B711,B711)=1,MAX(AP$10:AP710)+1,""))</f>
        <v/>
      </c>
    </row>
    <row r="712">
      <c r="A712" s="20" t="n"/>
      <c r="B712" s="10" t="n"/>
      <c r="C712" s="10" t="n"/>
      <c r="D712" s="10" t="n"/>
      <c r="E712" s="10" t="n"/>
      <c r="F712" s="18" t="n"/>
      <c r="G712" s="10" t="n"/>
      <c r="H712" s="12" t="n"/>
      <c r="I712" s="12" t="n"/>
      <c r="J712" s="13">
        <f>IF(OR(A712="",COUNT(H712)=0,COUNT(Z712)=0),"",ROUND(Z712-H712,2))</f>
        <v/>
      </c>
      <c r="K712" s="15">
        <f>IF(COUNT(J712)=0,"",IF(Z712=0,"n.a.",J712/Z712))</f>
        <v/>
      </c>
      <c r="L712" s="14">
        <f>IF(OR(A712="",COUNT(H712)=0,COUNT(Y712)=0),"",ROUND(H712*(1+Y712),2))</f>
        <v/>
      </c>
      <c r="M712" s="10" t="n"/>
      <c r="N712" s="10" t="n"/>
      <c r="O712" s="10" t="n"/>
      <c r="P712" s="10" t="n"/>
      <c r="Q712" s="20" t="n"/>
      <c r="R712" s="10" t="n"/>
      <c r="S712" s="10" t="n"/>
      <c r="T712" s="18" t="n"/>
      <c r="U712" s="18" t="n"/>
      <c r="V712" s="10" t="n"/>
      <c r="W712" s="10" t="n"/>
      <c r="X712" s="19">
        <f>IF(OR(A712="",COUNT(U712)=0,COUNT(AI712)=0),"",U712+AI712)</f>
        <v/>
      </c>
      <c r="Y712" s="16" t="n"/>
      <c r="Z712" s="12" t="n"/>
      <c r="AA712" s="17">
        <f>IF(COUNT(J712)=0,"",IF(H712=0,"n.a.",J712/H712))</f>
        <v/>
      </c>
      <c r="AB712" s="12" t="n"/>
      <c r="AC712" s="12" t="n"/>
      <c r="AD712" s="12" t="n"/>
      <c r="AE712" s="13">
        <f>IF(OR(COUNT(J712)=0,COUNT(AB712:AD712)&lt;3),"",ROUND(J712-SUM(AB712:AD712),2))</f>
        <v/>
      </c>
      <c r="AF712" s="15">
        <f>IF(COUNT(AE712)=0,"",IF(Z712=0,"n.a.",AE712/Z712))</f>
        <v/>
      </c>
      <c r="AG712" s="12" t="n"/>
      <c r="AH712" s="14">
        <f>IF(OR(A712="",COUNT(Z712)=0,COUNT(AG712)=0),"",ROUND(Z712-AG712,2))</f>
        <v/>
      </c>
      <c r="AI712" s="21" t="n"/>
      <c r="AJ712" s="11">
        <f>IF(A712="","",IF(COUNT(I712)=0,"Enter approved NTE",IF(COUNT(Z712)&gt;0,IF(Z712&gt;I712,"Invoice exceeds NTE","Invoice within NTE"),IF(COUNT(L712)=0,"Enter quote inputs",IF(L712&gt;I712,"Quote exceeds NTE","Quote within NTE")))))</f>
        <v/>
      </c>
      <c r="AK712" s="11">
        <f>IF(A712="","",IF(COUNT(H712)=0,"Enter direct cost",IF(COUNT(Z712)=0,"Enter invoice revenue",IF(COUNT(AB712:AD712)&lt;3,"Enter expenses (0 if none)","Complete"))))</f>
        <v/>
      </c>
      <c r="AL712" s="11">
        <f>IF(A712="","",IF(NOT(AND(COUNT(AH712)=1,N(AH712)&gt;0.004,V712&lt;&gt;"Void",V712&lt;&gt;"Not invoiced",V712&lt;&gt;"Draft")),"",IF(COUNT(X712)=0,"No due date",IF(TODAY()-X712&lt;=0,"Not yet due",IF(TODAY()-X712&lt;=30,"1-30 days",IF(TODAY()-X712&lt;=60,"31-60 days",IF(TODAY()-X712&lt;=90,"61-90 days","Over 90 days")))))))</f>
        <v/>
      </c>
      <c r="AM712" s="49">
        <f>IF(OR(AL712="",AL712="No due date"),"",MAX(TODAY()-X712,0))</f>
        <v/>
      </c>
      <c r="AN712" s="49">
        <f>IF(AL712="","",IF(COUNT(X712)=0,-100000,TODAY()-X712))</f>
        <v/>
      </c>
      <c r="AO712" s="49">
        <f>IF(AN712="","",COUNTIF(AN$11:AN$1010,"&gt;"&amp;AN712)+COUNTIF(AN$11:AN712,AN712))</f>
        <v/>
      </c>
      <c r="AP712" s="49">
        <f>IF(OR(A712="",B712=""),"",IF(COUNTIF(B$11:B712,B712)=1,MAX(AP$10:AP711)+1,""))</f>
        <v/>
      </c>
    </row>
    <row r="713">
      <c r="A713" s="20" t="n"/>
      <c r="B713" s="10" t="n"/>
      <c r="C713" s="10" t="n"/>
      <c r="D713" s="10" t="n"/>
      <c r="E713" s="10" t="n"/>
      <c r="F713" s="18" t="n"/>
      <c r="G713" s="10" t="n"/>
      <c r="H713" s="12" t="n"/>
      <c r="I713" s="12" t="n"/>
      <c r="J713" s="13">
        <f>IF(OR(A713="",COUNT(H713)=0,COUNT(Z713)=0),"",ROUND(Z713-H713,2))</f>
        <v/>
      </c>
      <c r="K713" s="15">
        <f>IF(COUNT(J713)=0,"",IF(Z713=0,"n.a.",J713/Z713))</f>
        <v/>
      </c>
      <c r="L713" s="14">
        <f>IF(OR(A713="",COUNT(H713)=0,COUNT(Y713)=0),"",ROUND(H713*(1+Y713),2))</f>
        <v/>
      </c>
      <c r="M713" s="10" t="n"/>
      <c r="N713" s="10" t="n"/>
      <c r="O713" s="10" t="n"/>
      <c r="P713" s="10" t="n"/>
      <c r="Q713" s="20" t="n"/>
      <c r="R713" s="10" t="n"/>
      <c r="S713" s="10" t="n"/>
      <c r="T713" s="18" t="n"/>
      <c r="U713" s="18" t="n"/>
      <c r="V713" s="10" t="n"/>
      <c r="W713" s="10" t="n"/>
      <c r="X713" s="19">
        <f>IF(OR(A713="",COUNT(U713)=0,COUNT(AI713)=0),"",U713+AI713)</f>
        <v/>
      </c>
      <c r="Y713" s="16" t="n"/>
      <c r="Z713" s="12" t="n"/>
      <c r="AA713" s="17">
        <f>IF(COUNT(J713)=0,"",IF(H713=0,"n.a.",J713/H713))</f>
        <v/>
      </c>
      <c r="AB713" s="12" t="n"/>
      <c r="AC713" s="12" t="n"/>
      <c r="AD713" s="12" t="n"/>
      <c r="AE713" s="13">
        <f>IF(OR(COUNT(J713)=0,COUNT(AB713:AD713)&lt;3),"",ROUND(J713-SUM(AB713:AD713),2))</f>
        <v/>
      </c>
      <c r="AF713" s="15">
        <f>IF(COUNT(AE713)=0,"",IF(Z713=0,"n.a.",AE713/Z713))</f>
        <v/>
      </c>
      <c r="AG713" s="12" t="n"/>
      <c r="AH713" s="14">
        <f>IF(OR(A713="",COUNT(Z713)=0,COUNT(AG713)=0),"",ROUND(Z713-AG713,2))</f>
        <v/>
      </c>
      <c r="AI713" s="21" t="n"/>
      <c r="AJ713" s="11">
        <f>IF(A713="","",IF(COUNT(I713)=0,"Enter approved NTE",IF(COUNT(Z713)&gt;0,IF(Z713&gt;I713,"Invoice exceeds NTE","Invoice within NTE"),IF(COUNT(L713)=0,"Enter quote inputs",IF(L713&gt;I713,"Quote exceeds NTE","Quote within NTE")))))</f>
        <v/>
      </c>
      <c r="AK713" s="11">
        <f>IF(A713="","",IF(COUNT(H713)=0,"Enter direct cost",IF(COUNT(Z713)=0,"Enter invoice revenue",IF(COUNT(AB713:AD713)&lt;3,"Enter expenses (0 if none)","Complete"))))</f>
        <v/>
      </c>
      <c r="AL713" s="11">
        <f>IF(A713="","",IF(NOT(AND(COUNT(AH713)=1,N(AH713)&gt;0.004,V713&lt;&gt;"Void",V713&lt;&gt;"Not invoiced",V713&lt;&gt;"Draft")),"",IF(COUNT(X713)=0,"No due date",IF(TODAY()-X713&lt;=0,"Not yet due",IF(TODAY()-X713&lt;=30,"1-30 days",IF(TODAY()-X713&lt;=60,"31-60 days",IF(TODAY()-X713&lt;=90,"61-90 days","Over 90 days")))))))</f>
        <v/>
      </c>
      <c r="AM713" s="49">
        <f>IF(OR(AL713="",AL713="No due date"),"",MAX(TODAY()-X713,0))</f>
        <v/>
      </c>
      <c r="AN713" s="49">
        <f>IF(AL713="","",IF(COUNT(X713)=0,-100000,TODAY()-X713))</f>
        <v/>
      </c>
      <c r="AO713" s="49">
        <f>IF(AN713="","",COUNTIF(AN$11:AN$1010,"&gt;"&amp;AN713)+COUNTIF(AN$11:AN713,AN713))</f>
        <v/>
      </c>
      <c r="AP713" s="49">
        <f>IF(OR(A713="",B713=""),"",IF(COUNTIF(B$11:B713,B713)=1,MAX(AP$10:AP712)+1,""))</f>
        <v/>
      </c>
    </row>
    <row r="714">
      <c r="A714" s="20" t="n"/>
      <c r="B714" s="10" t="n"/>
      <c r="C714" s="10" t="n"/>
      <c r="D714" s="10" t="n"/>
      <c r="E714" s="10" t="n"/>
      <c r="F714" s="18" t="n"/>
      <c r="G714" s="10" t="n"/>
      <c r="H714" s="12" t="n"/>
      <c r="I714" s="12" t="n"/>
      <c r="J714" s="13">
        <f>IF(OR(A714="",COUNT(H714)=0,COUNT(Z714)=0),"",ROUND(Z714-H714,2))</f>
        <v/>
      </c>
      <c r="K714" s="15">
        <f>IF(COUNT(J714)=0,"",IF(Z714=0,"n.a.",J714/Z714))</f>
        <v/>
      </c>
      <c r="L714" s="14">
        <f>IF(OR(A714="",COUNT(H714)=0,COUNT(Y714)=0),"",ROUND(H714*(1+Y714),2))</f>
        <v/>
      </c>
      <c r="M714" s="10" t="n"/>
      <c r="N714" s="10" t="n"/>
      <c r="O714" s="10" t="n"/>
      <c r="P714" s="10" t="n"/>
      <c r="Q714" s="20" t="n"/>
      <c r="R714" s="10" t="n"/>
      <c r="S714" s="10" t="n"/>
      <c r="T714" s="18" t="n"/>
      <c r="U714" s="18" t="n"/>
      <c r="V714" s="10" t="n"/>
      <c r="W714" s="10" t="n"/>
      <c r="X714" s="19">
        <f>IF(OR(A714="",COUNT(U714)=0,COUNT(AI714)=0),"",U714+AI714)</f>
        <v/>
      </c>
      <c r="Y714" s="16" t="n"/>
      <c r="Z714" s="12" t="n"/>
      <c r="AA714" s="17">
        <f>IF(COUNT(J714)=0,"",IF(H714=0,"n.a.",J714/H714))</f>
        <v/>
      </c>
      <c r="AB714" s="12" t="n"/>
      <c r="AC714" s="12" t="n"/>
      <c r="AD714" s="12" t="n"/>
      <c r="AE714" s="13">
        <f>IF(OR(COUNT(J714)=0,COUNT(AB714:AD714)&lt;3),"",ROUND(J714-SUM(AB714:AD714),2))</f>
        <v/>
      </c>
      <c r="AF714" s="15">
        <f>IF(COUNT(AE714)=0,"",IF(Z714=0,"n.a.",AE714/Z714))</f>
        <v/>
      </c>
      <c r="AG714" s="12" t="n"/>
      <c r="AH714" s="14">
        <f>IF(OR(A714="",COUNT(Z714)=0,COUNT(AG714)=0),"",ROUND(Z714-AG714,2))</f>
        <v/>
      </c>
      <c r="AI714" s="21" t="n"/>
      <c r="AJ714" s="11">
        <f>IF(A714="","",IF(COUNT(I714)=0,"Enter approved NTE",IF(COUNT(Z714)&gt;0,IF(Z714&gt;I714,"Invoice exceeds NTE","Invoice within NTE"),IF(COUNT(L714)=0,"Enter quote inputs",IF(L714&gt;I714,"Quote exceeds NTE","Quote within NTE")))))</f>
        <v/>
      </c>
      <c r="AK714" s="11">
        <f>IF(A714="","",IF(COUNT(H714)=0,"Enter direct cost",IF(COUNT(Z714)=0,"Enter invoice revenue",IF(COUNT(AB714:AD714)&lt;3,"Enter expenses (0 if none)","Complete"))))</f>
        <v/>
      </c>
      <c r="AL714" s="11">
        <f>IF(A714="","",IF(NOT(AND(COUNT(AH714)=1,N(AH714)&gt;0.004,V714&lt;&gt;"Void",V714&lt;&gt;"Not invoiced",V714&lt;&gt;"Draft")),"",IF(COUNT(X714)=0,"No due date",IF(TODAY()-X714&lt;=0,"Not yet due",IF(TODAY()-X714&lt;=30,"1-30 days",IF(TODAY()-X714&lt;=60,"31-60 days",IF(TODAY()-X714&lt;=90,"61-90 days","Over 90 days")))))))</f>
        <v/>
      </c>
      <c r="AM714" s="49">
        <f>IF(OR(AL714="",AL714="No due date"),"",MAX(TODAY()-X714,0))</f>
        <v/>
      </c>
      <c r="AN714" s="49">
        <f>IF(AL714="","",IF(COUNT(X714)=0,-100000,TODAY()-X714))</f>
        <v/>
      </c>
      <c r="AO714" s="49">
        <f>IF(AN714="","",COUNTIF(AN$11:AN$1010,"&gt;"&amp;AN714)+COUNTIF(AN$11:AN714,AN714))</f>
        <v/>
      </c>
      <c r="AP714" s="49">
        <f>IF(OR(A714="",B714=""),"",IF(COUNTIF(B$11:B714,B714)=1,MAX(AP$10:AP713)+1,""))</f>
        <v/>
      </c>
    </row>
    <row r="715">
      <c r="A715" s="20" t="n"/>
      <c r="B715" s="10" t="n"/>
      <c r="C715" s="10" t="n"/>
      <c r="D715" s="10" t="n"/>
      <c r="E715" s="10" t="n"/>
      <c r="F715" s="18" t="n"/>
      <c r="G715" s="10" t="n"/>
      <c r="H715" s="12" t="n"/>
      <c r="I715" s="12" t="n"/>
      <c r="J715" s="13">
        <f>IF(OR(A715="",COUNT(H715)=0,COUNT(Z715)=0),"",ROUND(Z715-H715,2))</f>
        <v/>
      </c>
      <c r="K715" s="15">
        <f>IF(COUNT(J715)=0,"",IF(Z715=0,"n.a.",J715/Z715))</f>
        <v/>
      </c>
      <c r="L715" s="14">
        <f>IF(OR(A715="",COUNT(H715)=0,COUNT(Y715)=0),"",ROUND(H715*(1+Y715),2))</f>
        <v/>
      </c>
      <c r="M715" s="10" t="n"/>
      <c r="N715" s="10" t="n"/>
      <c r="O715" s="10" t="n"/>
      <c r="P715" s="10" t="n"/>
      <c r="Q715" s="20" t="n"/>
      <c r="R715" s="10" t="n"/>
      <c r="S715" s="10" t="n"/>
      <c r="T715" s="18" t="n"/>
      <c r="U715" s="18" t="n"/>
      <c r="V715" s="10" t="n"/>
      <c r="W715" s="10" t="n"/>
      <c r="X715" s="19">
        <f>IF(OR(A715="",COUNT(U715)=0,COUNT(AI715)=0),"",U715+AI715)</f>
        <v/>
      </c>
      <c r="Y715" s="16" t="n"/>
      <c r="Z715" s="12" t="n"/>
      <c r="AA715" s="17">
        <f>IF(COUNT(J715)=0,"",IF(H715=0,"n.a.",J715/H715))</f>
        <v/>
      </c>
      <c r="AB715" s="12" t="n"/>
      <c r="AC715" s="12" t="n"/>
      <c r="AD715" s="12" t="n"/>
      <c r="AE715" s="13">
        <f>IF(OR(COUNT(J715)=0,COUNT(AB715:AD715)&lt;3),"",ROUND(J715-SUM(AB715:AD715),2))</f>
        <v/>
      </c>
      <c r="AF715" s="15">
        <f>IF(COUNT(AE715)=0,"",IF(Z715=0,"n.a.",AE715/Z715))</f>
        <v/>
      </c>
      <c r="AG715" s="12" t="n"/>
      <c r="AH715" s="14">
        <f>IF(OR(A715="",COUNT(Z715)=0,COUNT(AG715)=0),"",ROUND(Z715-AG715,2))</f>
        <v/>
      </c>
      <c r="AI715" s="21" t="n"/>
      <c r="AJ715" s="11">
        <f>IF(A715="","",IF(COUNT(I715)=0,"Enter approved NTE",IF(COUNT(Z715)&gt;0,IF(Z715&gt;I715,"Invoice exceeds NTE","Invoice within NTE"),IF(COUNT(L715)=0,"Enter quote inputs",IF(L715&gt;I715,"Quote exceeds NTE","Quote within NTE")))))</f>
        <v/>
      </c>
      <c r="AK715" s="11">
        <f>IF(A715="","",IF(COUNT(H715)=0,"Enter direct cost",IF(COUNT(Z715)=0,"Enter invoice revenue",IF(COUNT(AB715:AD715)&lt;3,"Enter expenses (0 if none)","Complete"))))</f>
        <v/>
      </c>
      <c r="AL715" s="11">
        <f>IF(A715="","",IF(NOT(AND(COUNT(AH715)=1,N(AH715)&gt;0.004,V715&lt;&gt;"Void",V715&lt;&gt;"Not invoiced",V715&lt;&gt;"Draft")),"",IF(COUNT(X715)=0,"No due date",IF(TODAY()-X715&lt;=0,"Not yet due",IF(TODAY()-X715&lt;=30,"1-30 days",IF(TODAY()-X715&lt;=60,"31-60 days",IF(TODAY()-X715&lt;=90,"61-90 days","Over 90 days")))))))</f>
        <v/>
      </c>
      <c r="AM715" s="49">
        <f>IF(OR(AL715="",AL715="No due date"),"",MAX(TODAY()-X715,0))</f>
        <v/>
      </c>
      <c r="AN715" s="49">
        <f>IF(AL715="","",IF(COUNT(X715)=0,-100000,TODAY()-X715))</f>
        <v/>
      </c>
      <c r="AO715" s="49">
        <f>IF(AN715="","",COUNTIF(AN$11:AN$1010,"&gt;"&amp;AN715)+COUNTIF(AN$11:AN715,AN715))</f>
        <v/>
      </c>
      <c r="AP715" s="49">
        <f>IF(OR(A715="",B715=""),"",IF(COUNTIF(B$11:B715,B715)=1,MAX(AP$10:AP714)+1,""))</f>
        <v/>
      </c>
    </row>
    <row r="716">
      <c r="A716" s="20" t="n"/>
      <c r="B716" s="10" t="n"/>
      <c r="C716" s="10" t="n"/>
      <c r="D716" s="10" t="n"/>
      <c r="E716" s="10" t="n"/>
      <c r="F716" s="18" t="n"/>
      <c r="G716" s="10" t="n"/>
      <c r="H716" s="12" t="n"/>
      <c r="I716" s="12" t="n"/>
      <c r="J716" s="13">
        <f>IF(OR(A716="",COUNT(H716)=0,COUNT(Z716)=0),"",ROUND(Z716-H716,2))</f>
        <v/>
      </c>
      <c r="K716" s="15">
        <f>IF(COUNT(J716)=0,"",IF(Z716=0,"n.a.",J716/Z716))</f>
        <v/>
      </c>
      <c r="L716" s="14">
        <f>IF(OR(A716="",COUNT(H716)=0,COUNT(Y716)=0),"",ROUND(H716*(1+Y716),2))</f>
        <v/>
      </c>
      <c r="M716" s="10" t="n"/>
      <c r="N716" s="10" t="n"/>
      <c r="O716" s="10" t="n"/>
      <c r="P716" s="10" t="n"/>
      <c r="Q716" s="20" t="n"/>
      <c r="R716" s="10" t="n"/>
      <c r="S716" s="10" t="n"/>
      <c r="T716" s="18" t="n"/>
      <c r="U716" s="18" t="n"/>
      <c r="V716" s="10" t="n"/>
      <c r="W716" s="10" t="n"/>
      <c r="X716" s="19">
        <f>IF(OR(A716="",COUNT(U716)=0,COUNT(AI716)=0),"",U716+AI716)</f>
        <v/>
      </c>
      <c r="Y716" s="16" t="n"/>
      <c r="Z716" s="12" t="n"/>
      <c r="AA716" s="17">
        <f>IF(COUNT(J716)=0,"",IF(H716=0,"n.a.",J716/H716))</f>
        <v/>
      </c>
      <c r="AB716" s="12" t="n"/>
      <c r="AC716" s="12" t="n"/>
      <c r="AD716" s="12" t="n"/>
      <c r="AE716" s="13">
        <f>IF(OR(COUNT(J716)=0,COUNT(AB716:AD716)&lt;3),"",ROUND(J716-SUM(AB716:AD716),2))</f>
        <v/>
      </c>
      <c r="AF716" s="15">
        <f>IF(COUNT(AE716)=0,"",IF(Z716=0,"n.a.",AE716/Z716))</f>
        <v/>
      </c>
      <c r="AG716" s="12" t="n"/>
      <c r="AH716" s="14">
        <f>IF(OR(A716="",COUNT(Z716)=0,COUNT(AG716)=0),"",ROUND(Z716-AG716,2))</f>
        <v/>
      </c>
      <c r="AI716" s="21" t="n"/>
      <c r="AJ716" s="11">
        <f>IF(A716="","",IF(COUNT(I716)=0,"Enter approved NTE",IF(COUNT(Z716)&gt;0,IF(Z716&gt;I716,"Invoice exceeds NTE","Invoice within NTE"),IF(COUNT(L716)=0,"Enter quote inputs",IF(L716&gt;I716,"Quote exceeds NTE","Quote within NTE")))))</f>
        <v/>
      </c>
      <c r="AK716" s="11">
        <f>IF(A716="","",IF(COUNT(H716)=0,"Enter direct cost",IF(COUNT(Z716)=0,"Enter invoice revenue",IF(COUNT(AB716:AD716)&lt;3,"Enter expenses (0 if none)","Complete"))))</f>
        <v/>
      </c>
      <c r="AL716" s="11">
        <f>IF(A716="","",IF(NOT(AND(COUNT(AH716)=1,N(AH716)&gt;0.004,V716&lt;&gt;"Void",V716&lt;&gt;"Not invoiced",V716&lt;&gt;"Draft")),"",IF(COUNT(X716)=0,"No due date",IF(TODAY()-X716&lt;=0,"Not yet due",IF(TODAY()-X716&lt;=30,"1-30 days",IF(TODAY()-X716&lt;=60,"31-60 days",IF(TODAY()-X716&lt;=90,"61-90 days","Over 90 days")))))))</f>
        <v/>
      </c>
      <c r="AM716" s="49">
        <f>IF(OR(AL716="",AL716="No due date"),"",MAX(TODAY()-X716,0))</f>
        <v/>
      </c>
      <c r="AN716" s="49">
        <f>IF(AL716="","",IF(COUNT(X716)=0,-100000,TODAY()-X716))</f>
        <v/>
      </c>
      <c r="AO716" s="49">
        <f>IF(AN716="","",COUNTIF(AN$11:AN$1010,"&gt;"&amp;AN716)+COUNTIF(AN$11:AN716,AN716))</f>
        <v/>
      </c>
      <c r="AP716" s="49">
        <f>IF(OR(A716="",B716=""),"",IF(COUNTIF(B$11:B716,B716)=1,MAX(AP$10:AP715)+1,""))</f>
        <v/>
      </c>
    </row>
    <row r="717">
      <c r="A717" s="20" t="n"/>
      <c r="B717" s="10" t="n"/>
      <c r="C717" s="10" t="n"/>
      <c r="D717" s="10" t="n"/>
      <c r="E717" s="10" t="n"/>
      <c r="F717" s="18" t="n"/>
      <c r="G717" s="10" t="n"/>
      <c r="H717" s="12" t="n"/>
      <c r="I717" s="12" t="n"/>
      <c r="J717" s="13">
        <f>IF(OR(A717="",COUNT(H717)=0,COUNT(Z717)=0),"",ROUND(Z717-H717,2))</f>
        <v/>
      </c>
      <c r="K717" s="15">
        <f>IF(COUNT(J717)=0,"",IF(Z717=0,"n.a.",J717/Z717))</f>
        <v/>
      </c>
      <c r="L717" s="14">
        <f>IF(OR(A717="",COUNT(H717)=0,COUNT(Y717)=0),"",ROUND(H717*(1+Y717),2))</f>
        <v/>
      </c>
      <c r="M717" s="10" t="n"/>
      <c r="N717" s="10" t="n"/>
      <c r="O717" s="10" t="n"/>
      <c r="P717" s="10" t="n"/>
      <c r="Q717" s="20" t="n"/>
      <c r="R717" s="10" t="n"/>
      <c r="S717" s="10" t="n"/>
      <c r="T717" s="18" t="n"/>
      <c r="U717" s="18" t="n"/>
      <c r="V717" s="10" t="n"/>
      <c r="W717" s="10" t="n"/>
      <c r="X717" s="19">
        <f>IF(OR(A717="",COUNT(U717)=0,COUNT(AI717)=0),"",U717+AI717)</f>
        <v/>
      </c>
      <c r="Y717" s="16" t="n"/>
      <c r="Z717" s="12" t="n"/>
      <c r="AA717" s="17">
        <f>IF(COUNT(J717)=0,"",IF(H717=0,"n.a.",J717/H717))</f>
        <v/>
      </c>
      <c r="AB717" s="12" t="n"/>
      <c r="AC717" s="12" t="n"/>
      <c r="AD717" s="12" t="n"/>
      <c r="AE717" s="13">
        <f>IF(OR(COUNT(J717)=0,COUNT(AB717:AD717)&lt;3),"",ROUND(J717-SUM(AB717:AD717),2))</f>
        <v/>
      </c>
      <c r="AF717" s="15">
        <f>IF(COUNT(AE717)=0,"",IF(Z717=0,"n.a.",AE717/Z717))</f>
        <v/>
      </c>
      <c r="AG717" s="12" t="n"/>
      <c r="AH717" s="14">
        <f>IF(OR(A717="",COUNT(Z717)=0,COUNT(AG717)=0),"",ROUND(Z717-AG717,2))</f>
        <v/>
      </c>
      <c r="AI717" s="21" t="n"/>
      <c r="AJ717" s="11">
        <f>IF(A717="","",IF(COUNT(I717)=0,"Enter approved NTE",IF(COUNT(Z717)&gt;0,IF(Z717&gt;I717,"Invoice exceeds NTE","Invoice within NTE"),IF(COUNT(L717)=0,"Enter quote inputs",IF(L717&gt;I717,"Quote exceeds NTE","Quote within NTE")))))</f>
        <v/>
      </c>
      <c r="AK717" s="11">
        <f>IF(A717="","",IF(COUNT(H717)=0,"Enter direct cost",IF(COUNT(Z717)=0,"Enter invoice revenue",IF(COUNT(AB717:AD717)&lt;3,"Enter expenses (0 if none)","Complete"))))</f>
        <v/>
      </c>
      <c r="AL717" s="11">
        <f>IF(A717="","",IF(NOT(AND(COUNT(AH717)=1,N(AH717)&gt;0.004,V717&lt;&gt;"Void",V717&lt;&gt;"Not invoiced",V717&lt;&gt;"Draft")),"",IF(COUNT(X717)=0,"No due date",IF(TODAY()-X717&lt;=0,"Not yet due",IF(TODAY()-X717&lt;=30,"1-30 days",IF(TODAY()-X717&lt;=60,"31-60 days",IF(TODAY()-X717&lt;=90,"61-90 days","Over 90 days")))))))</f>
        <v/>
      </c>
      <c r="AM717" s="49">
        <f>IF(OR(AL717="",AL717="No due date"),"",MAX(TODAY()-X717,0))</f>
        <v/>
      </c>
      <c r="AN717" s="49">
        <f>IF(AL717="","",IF(COUNT(X717)=0,-100000,TODAY()-X717))</f>
        <v/>
      </c>
      <c r="AO717" s="49">
        <f>IF(AN717="","",COUNTIF(AN$11:AN$1010,"&gt;"&amp;AN717)+COUNTIF(AN$11:AN717,AN717))</f>
        <v/>
      </c>
      <c r="AP717" s="49">
        <f>IF(OR(A717="",B717=""),"",IF(COUNTIF(B$11:B717,B717)=1,MAX(AP$10:AP716)+1,""))</f>
        <v/>
      </c>
    </row>
    <row r="718">
      <c r="A718" s="20" t="n"/>
      <c r="B718" s="10" t="n"/>
      <c r="C718" s="10" t="n"/>
      <c r="D718" s="10" t="n"/>
      <c r="E718" s="10" t="n"/>
      <c r="F718" s="18" t="n"/>
      <c r="G718" s="10" t="n"/>
      <c r="H718" s="12" t="n"/>
      <c r="I718" s="12" t="n"/>
      <c r="J718" s="13">
        <f>IF(OR(A718="",COUNT(H718)=0,COUNT(Z718)=0),"",ROUND(Z718-H718,2))</f>
        <v/>
      </c>
      <c r="K718" s="15">
        <f>IF(COUNT(J718)=0,"",IF(Z718=0,"n.a.",J718/Z718))</f>
        <v/>
      </c>
      <c r="L718" s="14">
        <f>IF(OR(A718="",COUNT(H718)=0,COUNT(Y718)=0),"",ROUND(H718*(1+Y718),2))</f>
        <v/>
      </c>
      <c r="M718" s="10" t="n"/>
      <c r="N718" s="10" t="n"/>
      <c r="O718" s="10" t="n"/>
      <c r="P718" s="10" t="n"/>
      <c r="Q718" s="20" t="n"/>
      <c r="R718" s="10" t="n"/>
      <c r="S718" s="10" t="n"/>
      <c r="T718" s="18" t="n"/>
      <c r="U718" s="18" t="n"/>
      <c r="V718" s="10" t="n"/>
      <c r="W718" s="10" t="n"/>
      <c r="X718" s="19">
        <f>IF(OR(A718="",COUNT(U718)=0,COUNT(AI718)=0),"",U718+AI718)</f>
        <v/>
      </c>
      <c r="Y718" s="16" t="n"/>
      <c r="Z718" s="12" t="n"/>
      <c r="AA718" s="17">
        <f>IF(COUNT(J718)=0,"",IF(H718=0,"n.a.",J718/H718))</f>
        <v/>
      </c>
      <c r="AB718" s="12" t="n"/>
      <c r="AC718" s="12" t="n"/>
      <c r="AD718" s="12" t="n"/>
      <c r="AE718" s="13">
        <f>IF(OR(COUNT(J718)=0,COUNT(AB718:AD718)&lt;3),"",ROUND(J718-SUM(AB718:AD718),2))</f>
        <v/>
      </c>
      <c r="AF718" s="15">
        <f>IF(COUNT(AE718)=0,"",IF(Z718=0,"n.a.",AE718/Z718))</f>
        <v/>
      </c>
      <c r="AG718" s="12" t="n"/>
      <c r="AH718" s="14">
        <f>IF(OR(A718="",COUNT(Z718)=0,COUNT(AG718)=0),"",ROUND(Z718-AG718,2))</f>
        <v/>
      </c>
      <c r="AI718" s="21" t="n"/>
      <c r="AJ718" s="11">
        <f>IF(A718="","",IF(COUNT(I718)=0,"Enter approved NTE",IF(COUNT(Z718)&gt;0,IF(Z718&gt;I718,"Invoice exceeds NTE","Invoice within NTE"),IF(COUNT(L718)=0,"Enter quote inputs",IF(L718&gt;I718,"Quote exceeds NTE","Quote within NTE")))))</f>
        <v/>
      </c>
      <c r="AK718" s="11">
        <f>IF(A718="","",IF(COUNT(H718)=0,"Enter direct cost",IF(COUNT(Z718)=0,"Enter invoice revenue",IF(COUNT(AB718:AD718)&lt;3,"Enter expenses (0 if none)","Complete"))))</f>
        <v/>
      </c>
      <c r="AL718" s="11">
        <f>IF(A718="","",IF(NOT(AND(COUNT(AH718)=1,N(AH718)&gt;0.004,V718&lt;&gt;"Void",V718&lt;&gt;"Not invoiced",V718&lt;&gt;"Draft")),"",IF(COUNT(X718)=0,"No due date",IF(TODAY()-X718&lt;=0,"Not yet due",IF(TODAY()-X718&lt;=30,"1-30 days",IF(TODAY()-X718&lt;=60,"31-60 days",IF(TODAY()-X718&lt;=90,"61-90 days","Over 90 days")))))))</f>
        <v/>
      </c>
      <c r="AM718" s="49">
        <f>IF(OR(AL718="",AL718="No due date"),"",MAX(TODAY()-X718,0))</f>
        <v/>
      </c>
      <c r="AN718" s="49">
        <f>IF(AL718="","",IF(COUNT(X718)=0,-100000,TODAY()-X718))</f>
        <v/>
      </c>
      <c r="AO718" s="49">
        <f>IF(AN718="","",COUNTIF(AN$11:AN$1010,"&gt;"&amp;AN718)+COUNTIF(AN$11:AN718,AN718))</f>
        <v/>
      </c>
      <c r="AP718" s="49">
        <f>IF(OR(A718="",B718=""),"",IF(COUNTIF(B$11:B718,B718)=1,MAX(AP$10:AP717)+1,""))</f>
        <v/>
      </c>
    </row>
    <row r="719">
      <c r="A719" s="20" t="n"/>
      <c r="B719" s="10" t="n"/>
      <c r="C719" s="10" t="n"/>
      <c r="D719" s="10" t="n"/>
      <c r="E719" s="10" t="n"/>
      <c r="F719" s="18" t="n"/>
      <c r="G719" s="10" t="n"/>
      <c r="H719" s="12" t="n"/>
      <c r="I719" s="12" t="n"/>
      <c r="J719" s="13">
        <f>IF(OR(A719="",COUNT(H719)=0,COUNT(Z719)=0),"",ROUND(Z719-H719,2))</f>
        <v/>
      </c>
      <c r="K719" s="15">
        <f>IF(COUNT(J719)=0,"",IF(Z719=0,"n.a.",J719/Z719))</f>
        <v/>
      </c>
      <c r="L719" s="14">
        <f>IF(OR(A719="",COUNT(H719)=0,COUNT(Y719)=0),"",ROUND(H719*(1+Y719),2))</f>
        <v/>
      </c>
      <c r="M719" s="10" t="n"/>
      <c r="N719" s="10" t="n"/>
      <c r="O719" s="10" t="n"/>
      <c r="P719" s="10" t="n"/>
      <c r="Q719" s="20" t="n"/>
      <c r="R719" s="10" t="n"/>
      <c r="S719" s="10" t="n"/>
      <c r="T719" s="18" t="n"/>
      <c r="U719" s="18" t="n"/>
      <c r="V719" s="10" t="n"/>
      <c r="W719" s="10" t="n"/>
      <c r="X719" s="19">
        <f>IF(OR(A719="",COUNT(U719)=0,COUNT(AI719)=0),"",U719+AI719)</f>
        <v/>
      </c>
      <c r="Y719" s="16" t="n"/>
      <c r="Z719" s="12" t="n"/>
      <c r="AA719" s="17">
        <f>IF(COUNT(J719)=0,"",IF(H719=0,"n.a.",J719/H719))</f>
        <v/>
      </c>
      <c r="AB719" s="12" t="n"/>
      <c r="AC719" s="12" t="n"/>
      <c r="AD719" s="12" t="n"/>
      <c r="AE719" s="13">
        <f>IF(OR(COUNT(J719)=0,COUNT(AB719:AD719)&lt;3),"",ROUND(J719-SUM(AB719:AD719),2))</f>
        <v/>
      </c>
      <c r="AF719" s="15">
        <f>IF(COUNT(AE719)=0,"",IF(Z719=0,"n.a.",AE719/Z719))</f>
        <v/>
      </c>
      <c r="AG719" s="12" t="n"/>
      <c r="AH719" s="14">
        <f>IF(OR(A719="",COUNT(Z719)=0,COUNT(AG719)=0),"",ROUND(Z719-AG719,2))</f>
        <v/>
      </c>
      <c r="AI719" s="21" t="n"/>
      <c r="AJ719" s="11">
        <f>IF(A719="","",IF(COUNT(I719)=0,"Enter approved NTE",IF(COUNT(Z719)&gt;0,IF(Z719&gt;I719,"Invoice exceeds NTE","Invoice within NTE"),IF(COUNT(L719)=0,"Enter quote inputs",IF(L719&gt;I719,"Quote exceeds NTE","Quote within NTE")))))</f>
        <v/>
      </c>
      <c r="AK719" s="11">
        <f>IF(A719="","",IF(COUNT(H719)=0,"Enter direct cost",IF(COUNT(Z719)=0,"Enter invoice revenue",IF(COUNT(AB719:AD719)&lt;3,"Enter expenses (0 if none)","Complete"))))</f>
        <v/>
      </c>
      <c r="AL719" s="11">
        <f>IF(A719="","",IF(NOT(AND(COUNT(AH719)=1,N(AH719)&gt;0.004,V719&lt;&gt;"Void",V719&lt;&gt;"Not invoiced",V719&lt;&gt;"Draft")),"",IF(COUNT(X719)=0,"No due date",IF(TODAY()-X719&lt;=0,"Not yet due",IF(TODAY()-X719&lt;=30,"1-30 days",IF(TODAY()-X719&lt;=60,"31-60 days",IF(TODAY()-X719&lt;=90,"61-90 days","Over 90 days")))))))</f>
        <v/>
      </c>
      <c r="AM719" s="49">
        <f>IF(OR(AL719="",AL719="No due date"),"",MAX(TODAY()-X719,0))</f>
        <v/>
      </c>
      <c r="AN719" s="49">
        <f>IF(AL719="","",IF(COUNT(X719)=0,-100000,TODAY()-X719))</f>
        <v/>
      </c>
      <c r="AO719" s="49">
        <f>IF(AN719="","",COUNTIF(AN$11:AN$1010,"&gt;"&amp;AN719)+COUNTIF(AN$11:AN719,AN719))</f>
        <v/>
      </c>
      <c r="AP719" s="49">
        <f>IF(OR(A719="",B719=""),"",IF(COUNTIF(B$11:B719,B719)=1,MAX(AP$10:AP718)+1,""))</f>
        <v/>
      </c>
    </row>
    <row r="720">
      <c r="A720" s="20" t="n"/>
      <c r="B720" s="10" t="n"/>
      <c r="C720" s="10" t="n"/>
      <c r="D720" s="10" t="n"/>
      <c r="E720" s="10" t="n"/>
      <c r="F720" s="18" t="n"/>
      <c r="G720" s="10" t="n"/>
      <c r="H720" s="12" t="n"/>
      <c r="I720" s="12" t="n"/>
      <c r="J720" s="13">
        <f>IF(OR(A720="",COUNT(H720)=0,COUNT(Z720)=0),"",ROUND(Z720-H720,2))</f>
        <v/>
      </c>
      <c r="K720" s="15">
        <f>IF(COUNT(J720)=0,"",IF(Z720=0,"n.a.",J720/Z720))</f>
        <v/>
      </c>
      <c r="L720" s="14">
        <f>IF(OR(A720="",COUNT(H720)=0,COUNT(Y720)=0),"",ROUND(H720*(1+Y720),2))</f>
        <v/>
      </c>
      <c r="M720" s="10" t="n"/>
      <c r="N720" s="10" t="n"/>
      <c r="O720" s="10" t="n"/>
      <c r="P720" s="10" t="n"/>
      <c r="Q720" s="20" t="n"/>
      <c r="R720" s="10" t="n"/>
      <c r="S720" s="10" t="n"/>
      <c r="T720" s="18" t="n"/>
      <c r="U720" s="18" t="n"/>
      <c r="V720" s="10" t="n"/>
      <c r="W720" s="10" t="n"/>
      <c r="X720" s="19">
        <f>IF(OR(A720="",COUNT(U720)=0,COUNT(AI720)=0),"",U720+AI720)</f>
        <v/>
      </c>
      <c r="Y720" s="16" t="n"/>
      <c r="Z720" s="12" t="n"/>
      <c r="AA720" s="17">
        <f>IF(COUNT(J720)=0,"",IF(H720=0,"n.a.",J720/H720))</f>
        <v/>
      </c>
      <c r="AB720" s="12" t="n"/>
      <c r="AC720" s="12" t="n"/>
      <c r="AD720" s="12" t="n"/>
      <c r="AE720" s="13">
        <f>IF(OR(COUNT(J720)=0,COUNT(AB720:AD720)&lt;3),"",ROUND(J720-SUM(AB720:AD720),2))</f>
        <v/>
      </c>
      <c r="AF720" s="15">
        <f>IF(COUNT(AE720)=0,"",IF(Z720=0,"n.a.",AE720/Z720))</f>
        <v/>
      </c>
      <c r="AG720" s="12" t="n"/>
      <c r="AH720" s="14">
        <f>IF(OR(A720="",COUNT(Z720)=0,COUNT(AG720)=0),"",ROUND(Z720-AG720,2))</f>
        <v/>
      </c>
      <c r="AI720" s="21" t="n"/>
      <c r="AJ720" s="11">
        <f>IF(A720="","",IF(COUNT(I720)=0,"Enter approved NTE",IF(COUNT(Z720)&gt;0,IF(Z720&gt;I720,"Invoice exceeds NTE","Invoice within NTE"),IF(COUNT(L720)=0,"Enter quote inputs",IF(L720&gt;I720,"Quote exceeds NTE","Quote within NTE")))))</f>
        <v/>
      </c>
      <c r="AK720" s="11">
        <f>IF(A720="","",IF(COUNT(H720)=0,"Enter direct cost",IF(COUNT(Z720)=0,"Enter invoice revenue",IF(COUNT(AB720:AD720)&lt;3,"Enter expenses (0 if none)","Complete"))))</f>
        <v/>
      </c>
      <c r="AL720" s="11">
        <f>IF(A720="","",IF(NOT(AND(COUNT(AH720)=1,N(AH720)&gt;0.004,V720&lt;&gt;"Void",V720&lt;&gt;"Not invoiced",V720&lt;&gt;"Draft")),"",IF(COUNT(X720)=0,"No due date",IF(TODAY()-X720&lt;=0,"Not yet due",IF(TODAY()-X720&lt;=30,"1-30 days",IF(TODAY()-X720&lt;=60,"31-60 days",IF(TODAY()-X720&lt;=90,"61-90 days","Over 90 days")))))))</f>
        <v/>
      </c>
      <c r="AM720" s="49">
        <f>IF(OR(AL720="",AL720="No due date"),"",MAX(TODAY()-X720,0))</f>
        <v/>
      </c>
      <c r="AN720" s="49">
        <f>IF(AL720="","",IF(COUNT(X720)=0,-100000,TODAY()-X720))</f>
        <v/>
      </c>
      <c r="AO720" s="49">
        <f>IF(AN720="","",COUNTIF(AN$11:AN$1010,"&gt;"&amp;AN720)+COUNTIF(AN$11:AN720,AN720))</f>
        <v/>
      </c>
      <c r="AP720" s="49">
        <f>IF(OR(A720="",B720=""),"",IF(COUNTIF(B$11:B720,B720)=1,MAX(AP$10:AP719)+1,""))</f>
        <v/>
      </c>
    </row>
    <row r="721">
      <c r="A721" s="20" t="n"/>
      <c r="B721" s="10" t="n"/>
      <c r="C721" s="10" t="n"/>
      <c r="D721" s="10" t="n"/>
      <c r="E721" s="10" t="n"/>
      <c r="F721" s="18" t="n"/>
      <c r="G721" s="10" t="n"/>
      <c r="H721" s="12" t="n"/>
      <c r="I721" s="12" t="n"/>
      <c r="J721" s="13">
        <f>IF(OR(A721="",COUNT(H721)=0,COUNT(Z721)=0),"",ROUND(Z721-H721,2))</f>
        <v/>
      </c>
      <c r="K721" s="15">
        <f>IF(COUNT(J721)=0,"",IF(Z721=0,"n.a.",J721/Z721))</f>
        <v/>
      </c>
      <c r="L721" s="14">
        <f>IF(OR(A721="",COUNT(H721)=0,COUNT(Y721)=0),"",ROUND(H721*(1+Y721),2))</f>
        <v/>
      </c>
      <c r="M721" s="10" t="n"/>
      <c r="N721" s="10" t="n"/>
      <c r="O721" s="10" t="n"/>
      <c r="P721" s="10" t="n"/>
      <c r="Q721" s="20" t="n"/>
      <c r="R721" s="10" t="n"/>
      <c r="S721" s="10" t="n"/>
      <c r="T721" s="18" t="n"/>
      <c r="U721" s="18" t="n"/>
      <c r="V721" s="10" t="n"/>
      <c r="W721" s="10" t="n"/>
      <c r="X721" s="19">
        <f>IF(OR(A721="",COUNT(U721)=0,COUNT(AI721)=0),"",U721+AI721)</f>
        <v/>
      </c>
      <c r="Y721" s="16" t="n"/>
      <c r="Z721" s="12" t="n"/>
      <c r="AA721" s="17">
        <f>IF(COUNT(J721)=0,"",IF(H721=0,"n.a.",J721/H721))</f>
        <v/>
      </c>
      <c r="AB721" s="12" t="n"/>
      <c r="AC721" s="12" t="n"/>
      <c r="AD721" s="12" t="n"/>
      <c r="AE721" s="13">
        <f>IF(OR(COUNT(J721)=0,COUNT(AB721:AD721)&lt;3),"",ROUND(J721-SUM(AB721:AD721),2))</f>
        <v/>
      </c>
      <c r="AF721" s="15">
        <f>IF(COUNT(AE721)=0,"",IF(Z721=0,"n.a.",AE721/Z721))</f>
        <v/>
      </c>
      <c r="AG721" s="12" t="n"/>
      <c r="AH721" s="14">
        <f>IF(OR(A721="",COUNT(Z721)=0,COUNT(AG721)=0),"",ROUND(Z721-AG721,2))</f>
        <v/>
      </c>
      <c r="AI721" s="21" t="n"/>
      <c r="AJ721" s="11">
        <f>IF(A721="","",IF(COUNT(I721)=0,"Enter approved NTE",IF(COUNT(Z721)&gt;0,IF(Z721&gt;I721,"Invoice exceeds NTE","Invoice within NTE"),IF(COUNT(L721)=0,"Enter quote inputs",IF(L721&gt;I721,"Quote exceeds NTE","Quote within NTE")))))</f>
        <v/>
      </c>
      <c r="AK721" s="11">
        <f>IF(A721="","",IF(COUNT(H721)=0,"Enter direct cost",IF(COUNT(Z721)=0,"Enter invoice revenue",IF(COUNT(AB721:AD721)&lt;3,"Enter expenses (0 if none)","Complete"))))</f>
        <v/>
      </c>
      <c r="AL721" s="11">
        <f>IF(A721="","",IF(NOT(AND(COUNT(AH721)=1,N(AH721)&gt;0.004,V721&lt;&gt;"Void",V721&lt;&gt;"Not invoiced",V721&lt;&gt;"Draft")),"",IF(COUNT(X721)=0,"No due date",IF(TODAY()-X721&lt;=0,"Not yet due",IF(TODAY()-X721&lt;=30,"1-30 days",IF(TODAY()-X721&lt;=60,"31-60 days",IF(TODAY()-X721&lt;=90,"61-90 days","Over 90 days")))))))</f>
        <v/>
      </c>
      <c r="AM721" s="49">
        <f>IF(OR(AL721="",AL721="No due date"),"",MAX(TODAY()-X721,0))</f>
        <v/>
      </c>
      <c r="AN721" s="49">
        <f>IF(AL721="","",IF(COUNT(X721)=0,-100000,TODAY()-X721))</f>
        <v/>
      </c>
      <c r="AO721" s="49">
        <f>IF(AN721="","",COUNTIF(AN$11:AN$1010,"&gt;"&amp;AN721)+COUNTIF(AN$11:AN721,AN721))</f>
        <v/>
      </c>
      <c r="AP721" s="49">
        <f>IF(OR(A721="",B721=""),"",IF(COUNTIF(B$11:B721,B721)=1,MAX(AP$10:AP720)+1,""))</f>
        <v/>
      </c>
    </row>
    <row r="722">
      <c r="A722" s="20" t="n"/>
      <c r="B722" s="10" t="n"/>
      <c r="C722" s="10" t="n"/>
      <c r="D722" s="10" t="n"/>
      <c r="E722" s="10" t="n"/>
      <c r="F722" s="18" t="n"/>
      <c r="G722" s="10" t="n"/>
      <c r="H722" s="12" t="n"/>
      <c r="I722" s="12" t="n"/>
      <c r="J722" s="13">
        <f>IF(OR(A722="",COUNT(H722)=0,COUNT(Z722)=0),"",ROUND(Z722-H722,2))</f>
        <v/>
      </c>
      <c r="K722" s="15">
        <f>IF(COUNT(J722)=0,"",IF(Z722=0,"n.a.",J722/Z722))</f>
        <v/>
      </c>
      <c r="L722" s="14">
        <f>IF(OR(A722="",COUNT(H722)=0,COUNT(Y722)=0),"",ROUND(H722*(1+Y722),2))</f>
        <v/>
      </c>
      <c r="M722" s="10" t="n"/>
      <c r="N722" s="10" t="n"/>
      <c r="O722" s="10" t="n"/>
      <c r="P722" s="10" t="n"/>
      <c r="Q722" s="20" t="n"/>
      <c r="R722" s="10" t="n"/>
      <c r="S722" s="10" t="n"/>
      <c r="T722" s="18" t="n"/>
      <c r="U722" s="18" t="n"/>
      <c r="V722" s="10" t="n"/>
      <c r="W722" s="10" t="n"/>
      <c r="X722" s="19">
        <f>IF(OR(A722="",COUNT(U722)=0,COUNT(AI722)=0),"",U722+AI722)</f>
        <v/>
      </c>
      <c r="Y722" s="16" t="n"/>
      <c r="Z722" s="12" t="n"/>
      <c r="AA722" s="17">
        <f>IF(COUNT(J722)=0,"",IF(H722=0,"n.a.",J722/H722))</f>
        <v/>
      </c>
      <c r="AB722" s="12" t="n"/>
      <c r="AC722" s="12" t="n"/>
      <c r="AD722" s="12" t="n"/>
      <c r="AE722" s="13">
        <f>IF(OR(COUNT(J722)=0,COUNT(AB722:AD722)&lt;3),"",ROUND(J722-SUM(AB722:AD722),2))</f>
        <v/>
      </c>
      <c r="AF722" s="15">
        <f>IF(COUNT(AE722)=0,"",IF(Z722=0,"n.a.",AE722/Z722))</f>
        <v/>
      </c>
      <c r="AG722" s="12" t="n"/>
      <c r="AH722" s="14">
        <f>IF(OR(A722="",COUNT(Z722)=0,COUNT(AG722)=0),"",ROUND(Z722-AG722,2))</f>
        <v/>
      </c>
      <c r="AI722" s="21" t="n"/>
      <c r="AJ722" s="11">
        <f>IF(A722="","",IF(COUNT(I722)=0,"Enter approved NTE",IF(COUNT(Z722)&gt;0,IF(Z722&gt;I722,"Invoice exceeds NTE","Invoice within NTE"),IF(COUNT(L722)=0,"Enter quote inputs",IF(L722&gt;I722,"Quote exceeds NTE","Quote within NTE")))))</f>
        <v/>
      </c>
      <c r="AK722" s="11">
        <f>IF(A722="","",IF(COUNT(H722)=0,"Enter direct cost",IF(COUNT(Z722)=0,"Enter invoice revenue",IF(COUNT(AB722:AD722)&lt;3,"Enter expenses (0 if none)","Complete"))))</f>
        <v/>
      </c>
      <c r="AL722" s="11">
        <f>IF(A722="","",IF(NOT(AND(COUNT(AH722)=1,N(AH722)&gt;0.004,V722&lt;&gt;"Void",V722&lt;&gt;"Not invoiced",V722&lt;&gt;"Draft")),"",IF(COUNT(X722)=0,"No due date",IF(TODAY()-X722&lt;=0,"Not yet due",IF(TODAY()-X722&lt;=30,"1-30 days",IF(TODAY()-X722&lt;=60,"31-60 days",IF(TODAY()-X722&lt;=90,"61-90 days","Over 90 days")))))))</f>
        <v/>
      </c>
      <c r="AM722" s="49">
        <f>IF(OR(AL722="",AL722="No due date"),"",MAX(TODAY()-X722,0))</f>
        <v/>
      </c>
      <c r="AN722" s="49">
        <f>IF(AL722="","",IF(COUNT(X722)=0,-100000,TODAY()-X722))</f>
        <v/>
      </c>
      <c r="AO722" s="49">
        <f>IF(AN722="","",COUNTIF(AN$11:AN$1010,"&gt;"&amp;AN722)+COUNTIF(AN$11:AN722,AN722))</f>
        <v/>
      </c>
      <c r="AP722" s="49">
        <f>IF(OR(A722="",B722=""),"",IF(COUNTIF(B$11:B722,B722)=1,MAX(AP$10:AP721)+1,""))</f>
        <v/>
      </c>
    </row>
    <row r="723">
      <c r="A723" s="20" t="n"/>
      <c r="B723" s="10" t="n"/>
      <c r="C723" s="10" t="n"/>
      <c r="D723" s="10" t="n"/>
      <c r="E723" s="10" t="n"/>
      <c r="F723" s="18" t="n"/>
      <c r="G723" s="10" t="n"/>
      <c r="H723" s="12" t="n"/>
      <c r="I723" s="12" t="n"/>
      <c r="J723" s="13">
        <f>IF(OR(A723="",COUNT(H723)=0,COUNT(Z723)=0),"",ROUND(Z723-H723,2))</f>
        <v/>
      </c>
      <c r="K723" s="15">
        <f>IF(COUNT(J723)=0,"",IF(Z723=0,"n.a.",J723/Z723))</f>
        <v/>
      </c>
      <c r="L723" s="14">
        <f>IF(OR(A723="",COUNT(H723)=0,COUNT(Y723)=0),"",ROUND(H723*(1+Y723),2))</f>
        <v/>
      </c>
      <c r="M723" s="10" t="n"/>
      <c r="N723" s="10" t="n"/>
      <c r="O723" s="10" t="n"/>
      <c r="P723" s="10" t="n"/>
      <c r="Q723" s="20" t="n"/>
      <c r="R723" s="10" t="n"/>
      <c r="S723" s="10" t="n"/>
      <c r="T723" s="18" t="n"/>
      <c r="U723" s="18" t="n"/>
      <c r="V723" s="10" t="n"/>
      <c r="W723" s="10" t="n"/>
      <c r="X723" s="19">
        <f>IF(OR(A723="",COUNT(U723)=0,COUNT(AI723)=0),"",U723+AI723)</f>
        <v/>
      </c>
      <c r="Y723" s="16" t="n"/>
      <c r="Z723" s="12" t="n"/>
      <c r="AA723" s="17">
        <f>IF(COUNT(J723)=0,"",IF(H723=0,"n.a.",J723/H723))</f>
        <v/>
      </c>
      <c r="AB723" s="12" t="n"/>
      <c r="AC723" s="12" t="n"/>
      <c r="AD723" s="12" t="n"/>
      <c r="AE723" s="13">
        <f>IF(OR(COUNT(J723)=0,COUNT(AB723:AD723)&lt;3),"",ROUND(J723-SUM(AB723:AD723),2))</f>
        <v/>
      </c>
      <c r="AF723" s="15">
        <f>IF(COUNT(AE723)=0,"",IF(Z723=0,"n.a.",AE723/Z723))</f>
        <v/>
      </c>
      <c r="AG723" s="12" t="n"/>
      <c r="AH723" s="14">
        <f>IF(OR(A723="",COUNT(Z723)=0,COUNT(AG723)=0),"",ROUND(Z723-AG723,2))</f>
        <v/>
      </c>
      <c r="AI723" s="21" t="n"/>
      <c r="AJ723" s="11">
        <f>IF(A723="","",IF(COUNT(I723)=0,"Enter approved NTE",IF(COUNT(Z723)&gt;0,IF(Z723&gt;I723,"Invoice exceeds NTE","Invoice within NTE"),IF(COUNT(L723)=0,"Enter quote inputs",IF(L723&gt;I723,"Quote exceeds NTE","Quote within NTE")))))</f>
        <v/>
      </c>
      <c r="AK723" s="11">
        <f>IF(A723="","",IF(COUNT(H723)=0,"Enter direct cost",IF(COUNT(Z723)=0,"Enter invoice revenue",IF(COUNT(AB723:AD723)&lt;3,"Enter expenses (0 if none)","Complete"))))</f>
        <v/>
      </c>
      <c r="AL723" s="11">
        <f>IF(A723="","",IF(NOT(AND(COUNT(AH723)=1,N(AH723)&gt;0.004,V723&lt;&gt;"Void",V723&lt;&gt;"Not invoiced",V723&lt;&gt;"Draft")),"",IF(COUNT(X723)=0,"No due date",IF(TODAY()-X723&lt;=0,"Not yet due",IF(TODAY()-X723&lt;=30,"1-30 days",IF(TODAY()-X723&lt;=60,"31-60 days",IF(TODAY()-X723&lt;=90,"61-90 days","Over 90 days")))))))</f>
        <v/>
      </c>
      <c r="AM723" s="49">
        <f>IF(OR(AL723="",AL723="No due date"),"",MAX(TODAY()-X723,0))</f>
        <v/>
      </c>
      <c r="AN723" s="49">
        <f>IF(AL723="","",IF(COUNT(X723)=0,-100000,TODAY()-X723))</f>
        <v/>
      </c>
      <c r="AO723" s="49">
        <f>IF(AN723="","",COUNTIF(AN$11:AN$1010,"&gt;"&amp;AN723)+COUNTIF(AN$11:AN723,AN723))</f>
        <v/>
      </c>
      <c r="AP723" s="49">
        <f>IF(OR(A723="",B723=""),"",IF(COUNTIF(B$11:B723,B723)=1,MAX(AP$10:AP722)+1,""))</f>
        <v/>
      </c>
    </row>
    <row r="724">
      <c r="A724" s="20" t="n"/>
      <c r="B724" s="10" t="n"/>
      <c r="C724" s="10" t="n"/>
      <c r="D724" s="10" t="n"/>
      <c r="E724" s="10" t="n"/>
      <c r="F724" s="18" t="n"/>
      <c r="G724" s="10" t="n"/>
      <c r="H724" s="12" t="n"/>
      <c r="I724" s="12" t="n"/>
      <c r="J724" s="13">
        <f>IF(OR(A724="",COUNT(H724)=0,COUNT(Z724)=0),"",ROUND(Z724-H724,2))</f>
        <v/>
      </c>
      <c r="K724" s="15">
        <f>IF(COUNT(J724)=0,"",IF(Z724=0,"n.a.",J724/Z724))</f>
        <v/>
      </c>
      <c r="L724" s="14">
        <f>IF(OR(A724="",COUNT(H724)=0,COUNT(Y724)=0),"",ROUND(H724*(1+Y724),2))</f>
        <v/>
      </c>
      <c r="M724" s="10" t="n"/>
      <c r="N724" s="10" t="n"/>
      <c r="O724" s="10" t="n"/>
      <c r="P724" s="10" t="n"/>
      <c r="Q724" s="20" t="n"/>
      <c r="R724" s="10" t="n"/>
      <c r="S724" s="10" t="n"/>
      <c r="T724" s="18" t="n"/>
      <c r="U724" s="18" t="n"/>
      <c r="V724" s="10" t="n"/>
      <c r="W724" s="10" t="n"/>
      <c r="X724" s="19">
        <f>IF(OR(A724="",COUNT(U724)=0,COUNT(AI724)=0),"",U724+AI724)</f>
        <v/>
      </c>
      <c r="Y724" s="16" t="n"/>
      <c r="Z724" s="12" t="n"/>
      <c r="AA724" s="17">
        <f>IF(COUNT(J724)=0,"",IF(H724=0,"n.a.",J724/H724))</f>
        <v/>
      </c>
      <c r="AB724" s="12" t="n"/>
      <c r="AC724" s="12" t="n"/>
      <c r="AD724" s="12" t="n"/>
      <c r="AE724" s="13">
        <f>IF(OR(COUNT(J724)=0,COUNT(AB724:AD724)&lt;3),"",ROUND(J724-SUM(AB724:AD724),2))</f>
        <v/>
      </c>
      <c r="AF724" s="15">
        <f>IF(COUNT(AE724)=0,"",IF(Z724=0,"n.a.",AE724/Z724))</f>
        <v/>
      </c>
      <c r="AG724" s="12" t="n"/>
      <c r="AH724" s="14">
        <f>IF(OR(A724="",COUNT(Z724)=0,COUNT(AG724)=0),"",ROUND(Z724-AG724,2))</f>
        <v/>
      </c>
      <c r="AI724" s="21" t="n"/>
      <c r="AJ724" s="11">
        <f>IF(A724="","",IF(COUNT(I724)=0,"Enter approved NTE",IF(COUNT(Z724)&gt;0,IF(Z724&gt;I724,"Invoice exceeds NTE","Invoice within NTE"),IF(COUNT(L724)=0,"Enter quote inputs",IF(L724&gt;I724,"Quote exceeds NTE","Quote within NTE")))))</f>
        <v/>
      </c>
      <c r="AK724" s="11">
        <f>IF(A724="","",IF(COUNT(H724)=0,"Enter direct cost",IF(COUNT(Z724)=0,"Enter invoice revenue",IF(COUNT(AB724:AD724)&lt;3,"Enter expenses (0 if none)","Complete"))))</f>
        <v/>
      </c>
      <c r="AL724" s="11">
        <f>IF(A724="","",IF(NOT(AND(COUNT(AH724)=1,N(AH724)&gt;0.004,V724&lt;&gt;"Void",V724&lt;&gt;"Not invoiced",V724&lt;&gt;"Draft")),"",IF(COUNT(X724)=0,"No due date",IF(TODAY()-X724&lt;=0,"Not yet due",IF(TODAY()-X724&lt;=30,"1-30 days",IF(TODAY()-X724&lt;=60,"31-60 days",IF(TODAY()-X724&lt;=90,"61-90 days","Over 90 days")))))))</f>
        <v/>
      </c>
      <c r="AM724" s="49">
        <f>IF(OR(AL724="",AL724="No due date"),"",MAX(TODAY()-X724,0))</f>
        <v/>
      </c>
      <c r="AN724" s="49">
        <f>IF(AL724="","",IF(COUNT(X724)=0,-100000,TODAY()-X724))</f>
        <v/>
      </c>
      <c r="AO724" s="49">
        <f>IF(AN724="","",COUNTIF(AN$11:AN$1010,"&gt;"&amp;AN724)+COUNTIF(AN$11:AN724,AN724))</f>
        <v/>
      </c>
      <c r="AP724" s="49">
        <f>IF(OR(A724="",B724=""),"",IF(COUNTIF(B$11:B724,B724)=1,MAX(AP$10:AP723)+1,""))</f>
        <v/>
      </c>
    </row>
    <row r="725">
      <c r="A725" s="20" t="n"/>
      <c r="B725" s="10" t="n"/>
      <c r="C725" s="10" t="n"/>
      <c r="D725" s="10" t="n"/>
      <c r="E725" s="10" t="n"/>
      <c r="F725" s="18" t="n"/>
      <c r="G725" s="10" t="n"/>
      <c r="H725" s="12" t="n"/>
      <c r="I725" s="12" t="n"/>
      <c r="J725" s="13">
        <f>IF(OR(A725="",COUNT(H725)=0,COUNT(Z725)=0),"",ROUND(Z725-H725,2))</f>
        <v/>
      </c>
      <c r="K725" s="15">
        <f>IF(COUNT(J725)=0,"",IF(Z725=0,"n.a.",J725/Z725))</f>
        <v/>
      </c>
      <c r="L725" s="14">
        <f>IF(OR(A725="",COUNT(H725)=0,COUNT(Y725)=0),"",ROUND(H725*(1+Y725),2))</f>
        <v/>
      </c>
      <c r="M725" s="10" t="n"/>
      <c r="N725" s="10" t="n"/>
      <c r="O725" s="10" t="n"/>
      <c r="P725" s="10" t="n"/>
      <c r="Q725" s="20" t="n"/>
      <c r="R725" s="10" t="n"/>
      <c r="S725" s="10" t="n"/>
      <c r="T725" s="18" t="n"/>
      <c r="U725" s="18" t="n"/>
      <c r="V725" s="10" t="n"/>
      <c r="W725" s="10" t="n"/>
      <c r="X725" s="19">
        <f>IF(OR(A725="",COUNT(U725)=0,COUNT(AI725)=0),"",U725+AI725)</f>
        <v/>
      </c>
      <c r="Y725" s="16" t="n"/>
      <c r="Z725" s="12" t="n"/>
      <c r="AA725" s="17">
        <f>IF(COUNT(J725)=0,"",IF(H725=0,"n.a.",J725/H725))</f>
        <v/>
      </c>
      <c r="AB725" s="12" t="n"/>
      <c r="AC725" s="12" t="n"/>
      <c r="AD725" s="12" t="n"/>
      <c r="AE725" s="13">
        <f>IF(OR(COUNT(J725)=0,COUNT(AB725:AD725)&lt;3),"",ROUND(J725-SUM(AB725:AD725),2))</f>
        <v/>
      </c>
      <c r="AF725" s="15">
        <f>IF(COUNT(AE725)=0,"",IF(Z725=0,"n.a.",AE725/Z725))</f>
        <v/>
      </c>
      <c r="AG725" s="12" t="n"/>
      <c r="AH725" s="14">
        <f>IF(OR(A725="",COUNT(Z725)=0,COUNT(AG725)=0),"",ROUND(Z725-AG725,2))</f>
        <v/>
      </c>
      <c r="AI725" s="21" t="n"/>
      <c r="AJ725" s="11">
        <f>IF(A725="","",IF(COUNT(I725)=0,"Enter approved NTE",IF(COUNT(Z725)&gt;0,IF(Z725&gt;I725,"Invoice exceeds NTE","Invoice within NTE"),IF(COUNT(L725)=0,"Enter quote inputs",IF(L725&gt;I725,"Quote exceeds NTE","Quote within NTE")))))</f>
        <v/>
      </c>
      <c r="AK725" s="11">
        <f>IF(A725="","",IF(COUNT(H725)=0,"Enter direct cost",IF(COUNT(Z725)=0,"Enter invoice revenue",IF(COUNT(AB725:AD725)&lt;3,"Enter expenses (0 if none)","Complete"))))</f>
        <v/>
      </c>
      <c r="AL725" s="11">
        <f>IF(A725="","",IF(NOT(AND(COUNT(AH725)=1,N(AH725)&gt;0.004,V725&lt;&gt;"Void",V725&lt;&gt;"Not invoiced",V725&lt;&gt;"Draft")),"",IF(COUNT(X725)=0,"No due date",IF(TODAY()-X725&lt;=0,"Not yet due",IF(TODAY()-X725&lt;=30,"1-30 days",IF(TODAY()-X725&lt;=60,"31-60 days",IF(TODAY()-X725&lt;=90,"61-90 days","Over 90 days")))))))</f>
        <v/>
      </c>
      <c r="AM725" s="49">
        <f>IF(OR(AL725="",AL725="No due date"),"",MAX(TODAY()-X725,0))</f>
        <v/>
      </c>
      <c r="AN725" s="49">
        <f>IF(AL725="","",IF(COUNT(X725)=0,-100000,TODAY()-X725))</f>
        <v/>
      </c>
      <c r="AO725" s="49">
        <f>IF(AN725="","",COUNTIF(AN$11:AN$1010,"&gt;"&amp;AN725)+COUNTIF(AN$11:AN725,AN725))</f>
        <v/>
      </c>
      <c r="AP725" s="49">
        <f>IF(OR(A725="",B725=""),"",IF(COUNTIF(B$11:B725,B725)=1,MAX(AP$10:AP724)+1,""))</f>
        <v/>
      </c>
    </row>
    <row r="726">
      <c r="A726" s="20" t="n"/>
      <c r="B726" s="10" t="n"/>
      <c r="C726" s="10" t="n"/>
      <c r="D726" s="10" t="n"/>
      <c r="E726" s="10" t="n"/>
      <c r="F726" s="18" t="n"/>
      <c r="G726" s="10" t="n"/>
      <c r="H726" s="12" t="n"/>
      <c r="I726" s="12" t="n"/>
      <c r="J726" s="13">
        <f>IF(OR(A726="",COUNT(H726)=0,COUNT(Z726)=0),"",ROUND(Z726-H726,2))</f>
        <v/>
      </c>
      <c r="K726" s="15">
        <f>IF(COUNT(J726)=0,"",IF(Z726=0,"n.a.",J726/Z726))</f>
        <v/>
      </c>
      <c r="L726" s="14">
        <f>IF(OR(A726="",COUNT(H726)=0,COUNT(Y726)=0),"",ROUND(H726*(1+Y726),2))</f>
        <v/>
      </c>
      <c r="M726" s="10" t="n"/>
      <c r="N726" s="10" t="n"/>
      <c r="O726" s="10" t="n"/>
      <c r="P726" s="10" t="n"/>
      <c r="Q726" s="20" t="n"/>
      <c r="R726" s="10" t="n"/>
      <c r="S726" s="10" t="n"/>
      <c r="T726" s="18" t="n"/>
      <c r="U726" s="18" t="n"/>
      <c r="V726" s="10" t="n"/>
      <c r="W726" s="10" t="n"/>
      <c r="X726" s="19">
        <f>IF(OR(A726="",COUNT(U726)=0,COUNT(AI726)=0),"",U726+AI726)</f>
        <v/>
      </c>
      <c r="Y726" s="16" t="n"/>
      <c r="Z726" s="12" t="n"/>
      <c r="AA726" s="17">
        <f>IF(COUNT(J726)=0,"",IF(H726=0,"n.a.",J726/H726))</f>
        <v/>
      </c>
      <c r="AB726" s="12" t="n"/>
      <c r="AC726" s="12" t="n"/>
      <c r="AD726" s="12" t="n"/>
      <c r="AE726" s="13">
        <f>IF(OR(COUNT(J726)=0,COUNT(AB726:AD726)&lt;3),"",ROUND(J726-SUM(AB726:AD726),2))</f>
        <v/>
      </c>
      <c r="AF726" s="15">
        <f>IF(COUNT(AE726)=0,"",IF(Z726=0,"n.a.",AE726/Z726))</f>
        <v/>
      </c>
      <c r="AG726" s="12" t="n"/>
      <c r="AH726" s="14">
        <f>IF(OR(A726="",COUNT(Z726)=0,COUNT(AG726)=0),"",ROUND(Z726-AG726,2))</f>
        <v/>
      </c>
      <c r="AI726" s="21" t="n"/>
      <c r="AJ726" s="11">
        <f>IF(A726="","",IF(COUNT(I726)=0,"Enter approved NTE",IF(COUNT(Z726)&gt;0,IF(Z726&gt;I726,"Invoice exceeds NTE","Invoice within NTE"),IF(COUNT(L726)=0,"Enter quote inputs",IF(L726&gt;I726,"Quote exceeds NTE","Quote within NTE")))))</f>
        <v/>
      </c>
      <c r="AK726" s="11">
        <f>IF(A726="","",IF(COUNT(H726)=0,"Enter direct cost",IF(COUNT(Z726)=0,"Enter invoice revenue",IF(COUNT(AB726:AD726)&lt;3,"Enter expenses (0 if none)","Complete"))))</f>
        <v/>
      </c>
      <c r="AL726" s="11">
        <f>IF(A726="","",IF(NOT(AND(COUNT(AH726)=1,N(AH726)&gt;0.004,V726&lt;&gt;"Void",V726&lt;&gt;"Not invoiced",V726&lt;&gt;"Draft")),"",IF(COUNT(X726)=0,"No due date",IF(TODAY()-X726&lt;=0,"Not yet due",IF(TODAY()-X726&lt;=30,"1-30 days",IF(TODAY()-X726&lt;=60,"31-60 days",IF(TODAY()-X726&lt;=90,"61-90 days","Over 90 days")))))))</f>
        <v/>
      </c>
      <c r="AM726" s="49">
        <f>IF(OR(AL726="",AL726="No due date"),"",MAX(TODAY()-X726,0))</f>
        <v/>
      </c>
      <c r="AN726" s="49">
        <f>IF(AL726="","",IF(COUNT(X726)=0,-100000,TODAY()-X726))</f>
        <v/>
      </c>
      <c r="AO726" s="49">
        <f>IF(AN726="","",COUNTIF(AN$11:AN$1010,"&gt;"&amp;AN726)+COUNTIF(AN$11:AN726,AN726))</f>
        <v/>
      </c>
      <c r="AP726" s="49">
        <f>IF(OR(A726="",B726=""),"",IF(COUNTIF(B$11:B726,B726)=1,MAX(AP$10:AP725)+1,""))</f>
        <v/>
      </c>
    </row>
    <row r="727">
      <c r="A727" s="20" t="n"/>
      <c r="B727" s="10" t="n"/>
      <c r="C727" s="10" t="n"/>
      <c r="D727" s="10" t="n"/>
      <c r="E727" s="10" t="n"/>
      <c r="F727" s="18" t="n"/>
      <c r="G727" s="10" t="n"/>
      <c r="H727" s="12" t="n"/>
      <c r="I727" s="12" t="n"/>
      <c r="J727" s="13">
        <f>IF(OR(A727="",COUNT(H727)=0,COUNT(Z727)=0),"",ROUND(Z727-H727,2))</f>
        <v/>
      </c>
      <c r="K727" s="15">
        <f>IF(COUNT(J727)=0,"",IF(Z727=0,"n.a.",J727/Z727))</f>
        <v/>
      </c>
      <c r="L727" s="14">
        <f>IF(OR(A727="",COUNT(H727)=0,COUNT(Y727)=0),"",ROUND(H727*(1+Y727),2))</f>
        <v/>
      </c>
      <c r="M727" s="10" t="n"/>
      <c r="N727" s="10" t="n"/>
      <c r="O727" s="10" t="n"/>
      <c r="P727" s="10" t="n"/>
      <c r="Q727" s="20" t="n"/>
      <c r="R727" s="10" t="n"/>
      <c r="S727" s="10" t="n"/>
      <c r="T727" s="18" t="n"/>
      <c r="U727" s="18" t="n"/>
      <c r="V727" s="10" t="n"/>
      <c r="W727" s="10" t="n"/>
      <c r="X727" s="19">
        <f>IF(OR(A727="",COUNT(U727)=0,COUNT(AI727)=0),"",U727+AI727)</f>
        <v/>
      </c>
      <c r="Y727" s="16" t="n"/>
      <c r="Z727" s="12" t="n"/>
      <c r="AA727" s="17">
        <f>IF(COUNT(J727)=0,"",IF(H727=0,"n.a.",J727/H727))</f>
        <v/>
      </c>
      <c r="AB727" s="12" t="n"/>
      <c r="AC727" s="12" t="n"/>
      <c r="AD727" s="12" t="n"/>
      <c r="AE727" s="13">
        <f>IF(OR(COUNT(J727)=0,COUNT(AB727:AD727)&lt;3),"",ROUND(J727-SUM(AB727:AD727),2))</f>
        <v/>
      </c>
      <c r="AF727" s="15">
        <f>IF(COUNT(AE727)=0,"",IF(Z727=0,"n.a.",AE727/Z727))</f>
        <v/>
      </c>
      <c r="AG727" s="12" t="n"/>
      <c r="AH727" s="14">
        <f>IF(OR(A727="",COUNT(Z727)=0,COUNT(AG727)=0),"",ROUND(Z727-AG727,2))</f>
        <v/>
      </c>
      <c r="AI727" s="21" t="n"/>
      <c r="AJ727" s="11">
        <f>IF(A727="","",IF(COUNT(I727)=0,"Enter approved NTE",IF(COUNT(Z727)&gt;0,IF(Z727&gt;I727,"Invoice exceeds NTE","Invoice within NTE"),IF(COUNT(L727)=0,"Enter quote inputs",IF(L727&gt;I727,"Quote exceeds NTE","Quote within NTE")))))</f>
        <v/>
      </c>
      <c r="AK727" s="11">
        <f>IF(A727="","",IF(COUNT(H727)=0,"Enter direct cost",IF(COUNT(Z727)=0,"Enter invoice revenue",IF(COUNT(AB727:AD727)&lt;3,"Enter expenses (0 if none)","Complete"))))</f>
        <v/>
      </c>
      <c r="AL727" s="11">
        <f>IF(A727="","",IF(NOT(AND(COUNT(AH727)=1,N(AH727)&gt;0.004,V727&lt;&gt;"Void",V727&lt;&gt;"Not invoiced",V727&lt;&gt;"Draft")),"",IF(COUNT(X727)=0,"No due date",IF(TODAY()-X727&lt;=0,"Not yet due",IF(TODAY()-X727&lt;=30,"1-30 days",IF(TODAY()-X727&lt;=60,"31-60 days",IF(TODAY()-X727&lt;=90,"61-90 days","Over 90 days")))))))</f>
        <v/>
      </c>
      <c r="AM727" s="49">
        <f>IF(OR(AL727="",AL727="No due date"),"",MAX(TODAY()-X727,0))</f>
        <v/>
      </c>
      <c r="AN727" s="49">
        <f>IF(AL727="","",IF(COUNT(X727)=0,-100000,TODAY()-X727))</f>
        <v/>
      </c>
      <c r="AO727" s="49">
        <f>IF(AN727="","",COUNTIF(AN$11:AN$1010,"&gt;"&amp;AN727)+COUNTIF(AN$11:AN727,AN727))</f>
        <v/>
      </c>
      <c r="AP727" s="49">
        <f>IF(OR(A727="",B727=""),"",IF(COUNTIF(B$11:B727,B727)=1,MAX(AP$10:AP726)+1,""))</f>
        <v/>
      </c>
    </row>
    <row r="728">
      <c r="A728" s="20" t="n"/>
      <c r="B728" s="10" t="n"/>
      <c r="C728" s="10" t="n"/>
      <c r="D728" s="10" t="n"/>
      <c r="E728" s="10" t="n"/>
      <c r="F728" s="18" t="n"/>
      <c r="G728" s="10" t="n"/>
      <c r="H728" s="12" t="n"/>
      <c r="I728" s="12" t="n"/>
      <c r="J728" s="13">
        <f>IF(OR(A728="",COUNT(H728)=0,COUNT(Z728)=0),"",ROUND(Z728-H728,2))</f>
        <v/>
      </c>
      <c r="K728" s="15">
        <f>IF(COUNT(J728)=0,"",IF(Z728=0,"n.a.",J728/Z728))</f>
        <v/>
      </c>
      <c r="L728" s="14">
        <f>IF(OR(A728="",COUNT(H728)=0,COUNT(Y728)=0),"",ROUND(H728*(1+Y728),2))</f>
        <v/>
      </c>
      <c r="M728" s="10" t="n"/>
      <c r="N728" s="10" t="n"/>
      <c r="O728" s="10" t="n"/>
      <c r="P728" s="10" t="n"/>
      <c r="Q728" s="20" t="n"/>
      <c r="R728" s="10" t="n"/>
      <c r="S728" s="10" t="n"/>
      <c r="T728" s="18" t="n"/>
      <c r="U728" s="18" t="n"/>
      <c r="V728" s="10" t="n"/>
      <c r="W728" s="10" t="n"/>
      <c r="X728" s="19">
        <f>IF(OR(A728="",COUNT(U728)=0,COUNT(AI728)=0),"",U728+AI728)</f>
        <v/>
      </c>
      <c r="Y728" s="16" t="n"/>
      <c r="Z728" s="12" t="n"/>
      <c r="AA728" s="17">
        <f>IF(COUNT(J728)=0,"",IF(H728=0,"n.a.",J728/H728))</f>
        <v/>
      </c>
      <c r="AB728" s="12" t="n"/>
      <c r="AC728" s="12" t="n"/>
      <c r="AD728" s="12" t="n"/>
      <c r="AE728" s="13">
        <f>IF(OR(COUNT(J728)=0,COUNT(AB728:AD728)&lt;3),"",ROUND(J728-SUM(AB728:AD728),2))</f>
        <v/>
      </c>
      <c r="AF728" s="15">
        <f>IF(COUNT(AE728)=0,"",IF(Z728=0,"n.a.",AE728/Z728))</f>
        <v/>
      </c>
      <c r="AG728" s="12" t="n"/>
      <c r="AH728" s="14">
        <f>IF(OR(A728="",COUNT(Z728)=0,COUNT(AG728)=0),"",ROUND(Z728-AG728,2))</f>
        <v/>
      </c>
      <c r="AI728" s="21" t="n"/>
      <c r="AJ728" s="11">
        <f>IF(A728="","",IF(COUNT(I728)=0,"Enter approved NTE",IF(COUNT(Z728)&gt;0,IF(Z728&gt;I728,"Invoice exceeds NTE","Invoice within NTE"),IF(COUNT(L728)=0,"Enter quote inputs",IF(L728&gt;I728,"Quote exceeds NTE","Quote within NTE")))))</f>
        <v/>
      </c>
      <c r="AK728" s="11">
        <f>IF(A728="","",IF(COUNT(H728)=0,"Enter direct cost",IF(COUNT(Z728)=0,"Enter invoice revenue",IF(COUNT(AB728:AD728)&lt;3,"Enter expenses (0 if none)","Complete"))))</f>
        <v/>
      </c>
      <c r="AL728" s="11">
        <f>IF(A728="","",IF(NOT(AND(COUNT(AH728)=1,N(AH728)&gt;0.004,V728&lt;&gt;"Void",V728&lt;&gt;"Not invoiced",V728&lt;&gt;"Draft")),"",IF(COUNT(X728)=0,"No due date",IF(TODAY()-X728&lt;=0,"Not yet due",IF(TODAY()-X728&lt;=30,"1-30 days",IF(TODAY()-X728&lt;=60,"31-60 days",IF(TODAY()-X728&lt;=90,"61-90 days","Over 90 days")))))))</f>
        <v/>
      </c>
      <c r="AM728" s="49">
        <f>IF(OR(AL728="",AL728="No due date"),"",MAX(TODAY()-X728,0))</f>
        <v/>
      </c>
      <c r="AN728" s="49">
        <f>IF(AL728="","",IF(COUNT(X728)=0,-100000,TODAY()-X728))</f>
        <v/>
      </c>
      <c r="AO728" s="49">
        <f>IF(AN728="","",COUNTIF(AN$11:AN$1010,"&gt;"&amp;AN728)+COUNTIF(AN$11:AN728,AN728))</f>
        <v/>
      </c>
      <c r="AP728" s="49">
        <f>IF(OR(A728="",B728=""),"",IF(COUNTIF(B$11:B728,B728)=1,MAX(AP$10:AP727)+1,""))</f>
        <v/>
      </c>
    </row>
    <row r="729">
      <c r="A729" s="20" t="n"/>
      <c r="B729" s="10" t="n"/>
      <c r="C729" s="10" t="n"/>
      <c r="D729" s="10" t="n"/>
      <c r="E729" s="10" t="n"/>
      <c r="F729" s="18" t="n"/>
      <c r="G729" s="10" t="n"/>
      <c r="H729" s="12" t="n"/>
      <c r="I729" s="12" t="n"/>
      <c r="J729" s="13">
        <f>IF(OR(A729="",COUNT(H729)=0,COUNT(Z729)=0),"",ROUND(Z729-H729,2))</f>
        <v/>
      </c>
      <c r="K729" s="15">
        <f>IF(COUNT(J729)=0,"",IF(Z729=0,"n.a.",J729/Z729))</f>
        <v/>
      </c>
      <c r="L729" s="14">
        <f>IF(OR(A729="",COUNT(H729)=0,COUNT(Y729)=0),"",ROUND(H729*(1+Y729),2))</f>
        <v/>
      </c>
      <c r="M729" s="10" t="n"/>
      <c r="N729" s="10" t="n"/>
      <c r="O729" s="10" t="n"/>
      <c r="P729" s="10" t="n"/>
      <c r="Q729" s="20" t="n"/>
      <c r="R729" s="10" t="n"/>
      <c r="S729" s="10" t="n"/>
      <c r="T729" s="18" t="n"/>
      <c r="U729" s="18" t="n"/>
      <c r="V729" s="10" t="n"/>
      <c r="W729" s="10" t="n"/>
      <c r="X729" s="19">
        <f>IF(OR(A729="",COUNT(U729)=0,COUNT(AI729)=0),"",U729+AI729)</f>
        <v/>
      </c>
      <c r="Y729" s="16" t="n"/>
      <c r="Z729" s="12" t="n"/>
      <c r="AA729" s="17">
        <f>IF(COUNT(J729)=0,"",IF(H729=0,"n.a.",J729/H729))</f>
        <v/>
      </c>
      <c r="AB729" s="12" t="n"/>
      <c r="AC729" s="12" t="n"/>
      <c r="AD729" s="12" t="n"/>
      <c r="AE729" s="13">
        <f>IF(OR(COUNT(J729)=0,COUNT(AB729:AD729)&lt;3),"",ROUND(J729-SUM(AB729:AD729),2))</f>
        <v/>
      </c>
      <c r="AF729" s="15">
        <f>IF(COUNT(AE729)=0,"",IF(Z729=0,"n.a.",AE729/Z729))</f>
        <v/>
      </c>
      <c r="AG729" s="12" t="n"/>
      <c r="AH729" s="14">
        <f>IF(OR(A729="",COUNT(Z729)=0,COUNT(AG729)=0),"",ROUND(Z729-AG729,2))</f>
        <v/>
      </c>
      <c r="AI729" s="21" t="n"/>
      <c r="AJ729" s="11">
        <f>IF(A729="","",IF(COUNT(I729)=0,"Enter approved NTE",IF(COUNT(Z729)&gt;0,IF(Z729&gt;I729,"Invoice exceeds NTE","Invoice within NTE"),IF(COUNT(L729)=0,"Enter quote inputs",IF(L729&gt;I729,"Quote exceeds NTE","Quote within NTE")))))</f>
        <v/>
      </c>
      <c r="AK729" s="11">
        <f>IF(A729="","",IF(COUNT(H729)=0,"Enter direct cost",IF(COUNT(Z729)=0,"Enter invoice revenue",IF(COUNT(AB729:AD729)&lt;3,"Enter expenses (0 if none)","Complete"))))</f>
        <v/>
      </c>
      <c r="AL729" s="11">
        <f>IF(A729="","",IF(NOT(AND(COUNT(AH729)=1,N(AH729)&gt;0.004,V729&lt;&gt;"Void",V729&lt;&gt;"Not invoiced",V729&lt;&gt;"Draft")),"",IF(COUNT(X729)=0,"No due date",IF(TODAY()-X729&lt;=0,"Not yet due",IF(TODAY()-X729&lt;=30,"1-30 days",IF(TODAY()-X729&lt;=60,"31-60 days",IF(TODAY()-X729&lt;=90,"61-90 days","Over 90 days")))))))</f>
        <v/>
      </c>
      <c r="AM729" s="49">
        <f>IF(OR(AL729="",AL729="No due date"),"",MAX(TODAY()-X729,0))</f>
        <v/>
      </c>
      <c r="AN729" s="49">
        <f>IF(AL729="","",IF(COUNT(X729)=0,-100000,TODAY()-X729))</f>
        <v/>
      </c>
      <c r="AO729" s="49">
        <f>IF(AN729="","",COUNTIF(AN$11:AN$1010,"&gt;"&amp;AN729)+COUNTIF(AN$11:AN729,AN729))</f>
        <v/>
      </c>
      <c r="AP729" s="49">
        <f>IF(OR(A729="",B729=""),"",IF(COUNTIF(B$11:B729,B729)=1,MAX(AP$10:AP728)+1,""))</f>
        <v/>
      </c>
    </row>
    <row r="730">
      <c r="A730" s="20" t="n"/>
      <c r="B730" s="10" t="n"/>
      <c r="C730" s="10" t="n"/>
      <c r="D730" s="10" t="n"/>
      <c r="E730" s="10" t="n"/>
      <c r="F730" s="18" t="n"/>
      <c r="G730" s="10" t="n"/>
      <c r="H730" s="12" t="n"/>
      <c r="I730" s="12" t="n"/>
      <c r="J730" s="13">
        <f>IF(OR(A730="",COUNT(H730)=0,COUNT(Z730)=0),"",ROUND(Z730-H730,2))</f>
        <v/>
      </c>
      <c r="K730" s="15">
        <f>IF(COUNT(J730)=0,"",IF(Z730=0,"n.a.",J730/Z730))</f>
        <v/>
      </c>
      <c r="L730" s="14">
        <f>IF(OR(A730="",COUNT(H730)=0,COUNT(Y730)=0),"",ROUND(H730*(1+Y730),2))</f>
        <v/>
      </c>
      <c r="M730" s="10" t="n"/>
      <c r="N730" s="10" t="n"/>
      <c r="O730" s="10" t="n"/>
      <c r="P730" s="10" t="n"/>
      <c r="Q730" s="20" t="n"/>
      <c r="R730" s="10" t="n"/>
      <c r="S730" s="10" t="n"/>
      <c r="T730" s="18" t="n"/>
      <c r="U730" s="18" t="n"/>
      <c r="V730" s="10" t="n"/>
      <c r="W730" s="10" t="n"/>
      <c r="X730" s="19">
        <f>IF(OR(A730="",COUNT(U730)=0,COUNT(AI730)=0),"",U730+AI730)</f>
        <v/>
      </c>
      <c r="Y730" s="16" t="n"/>
      <c r="Z730" s="12" t="n"/>
      <c r="AA730" s="17">
        <f>IF(COUNT(J730)=0,"",IF(H730=0,"n.a.",J730/H730))</f>
        <v/>
      </c>
      <c r="AB730" s="12" t="n"/>
      <c r="AC730" s="12" t="n"/>
      <c r="AD730" s="12" t="n"/>
      <c r="AE730" s="13">
        <f>IF(OR(COUNT(J730)=0,COUNT(AB730:AD730)&lt;3),"",ROUND(J730-SUM(AB730:AD730),2))</f>
        <v/>
      </c>
      <c r="AF730" s="15">
        <f>IF(COUNT(AE730)=0,"",IF(Z730=0,"n.a.",AE730/Z730))</f>
        <v/>
      </c>
      <c r="AG730" s="12" t="n"/>
      <c r="AH730" s="14">
        <f>IF(OR(A730="",COUNT(Z730)=0,COUNT(AG730)=0),"",ROUND(Z730-AG730,2))</f>
        <v/>
      </c>
      <c r="AI730" s="21" t="n"/>
      <c r="AJ730" s="11">
        <f>IF(A730="","",IF(COUNT(I730)=0,"Enter approved NTE",IF(COUNT(Z730)&gt;0,IF(Z730&gt;I730,"Invoice exceeds NTE","Invoice within NTE"),IF(COUNT(L730)=0,"Enter quote inputs",IF(L730&gt;I730,"Quote exceeds NTE","Quote within NTE")))))</f>
        <v/>
      </c>
      <c r="AK730" s="11">
        <f>IF(A730="","",IF(COUNT(H730)=0,"Enter direct cost",IF(COUNT(Z730)=0,"Enter invoice revenue",IF(COUNT(AB730:AD730)&lt;3,"Enter expenses (0 if none)","Complete"))))</f>
        <v/>
      </c>
      <c r="AL730" s="11">
        <f>IF(A730="","",IF(NOT(AND(COUNT(AH730)=1,N(AH730)&gt;0.004,V730&lt;&gt;"Void",V730&lt;&gt;"Not invoiced",V730&lt;&gt;"Draft")),"",IF(COUNT(X730)=0,"No due date",IF(TODAY()-X730&lt;=0,"Not yet due",IF(TODAY()-X730&lt;=30,"1-30 days",IF(TODAY()-X730&lt;=60,"31-60 days",IF(TODAY()-X730&lt;=90,"61-90 days","Over 90 days")))))))</f>
        <v/>
      </c>
      <c r="AM730" s="49">
        <f>IF(OR(AL730="",AL730="No due date"),"",MAX(TODAY()-X730,0))</f>
        <v/>
      </c>
      <c r="AN730" s="49">
        <f>IF(AL730="","",IF(COUNT(X730)=0,-100000,TODAY()-X730))</f>
        <v/>
      </c>
      <c r="AO730" s="49">
        <f>IF(AN730="","",COUNTIF(AN$11:AN$1010,"&gt;"&amp;AN730)+COUNTIF(AN$11:AN730,AN730))</f>
        <v/>
      </c>
      <c r="AP730" s="49">
        <f>IF(OR(A730="",B730=""),"",IF(COUNTIF(B$11:B730,B730)=1,MAX(AP$10:AP729)+1,""))</f>
        <v/>
      </c>
    </row>
    <row r="731">
      <c r="A731" s="20" t="n"/>
      <c r="B731" s="10" t="n"/>
      <c r="C731" s="10" t="n"/>
      <c r="D731" s="10" t="n"/>
      <c r="E731" s="10" t="n"/>
      <c r="F731" s="18" t="n"/>
      <c r="G731" s="10" t="n"/>
      <c r="H731" s="12" t="n"/>
      <c r="I731" s="12" t="n"/>
      <c r="J731" s="13">
        <f>IF(OR(A731="",COUNT(H731)=0,COUNT(Z731)=0),"",ROUND(Z731-H731,2))</f>
        <v/>
      </c>
      <c r="K731" s="15">
        <f>IF(COUNT(J731)=0,"",IF(Z731=0,"n.a.",J731/Z731))</f>
        <v/>
      </c>
      <c r="L731" s="14">
        <f>IF(OR(A731="",COUNT(H731)=0,COUNT(Y731)=0),"",ROUND(H731*(1+Y731),2))</f>
        <v/>
      </c>
      <c r="M731" s="10" t="n"/>
      <c r="N731" s="10" t="n"/>
      <c r="O731" s="10" t="n"/>
      <c r="P731" s="10" t="n"/>
      <c r="Q731" s="20" t="n"/>
      <c r="R731" s="10" t="n"/>
      <c r="S731" s="10" t="n"/>
      <c r="T731" s="18" t="n"/>
      <c r="U731" s="18" t="n"/>
      <c r="V731" s="10" t="n"/>
      <c r="W731" s="10" t="n"/>
      <c r="X731" s="19">
        <f>IF(OR(A731="",COUNT(U731)=0,COUNT(AI731)=0),"",U731+AI731)</f>
        <v/>
      </c>
      <c r="Y731" s="16" t="n"/>
      <c r="Z731" s="12" t="n"/>
      <c r="AA731" s="17">
        <f>IF(COUNT(J731)=0,"",IF(H731=0,"n.a.",J731/H731))</f>
        <v/>
      </c>
      <c r="AB731" s="12" t="n"/>
      <c r="AC731" s="12" t="n"/>
      <c r="AD731" s="12" t="n"/>
      <c r="AE731" s="13">
        <f>IF(OR(COUNT(J731)=0,COUNT(AB731:AD731)&lt;3),"",ROUND(J731-SUM(AB731:AD731),2))</f>
        <v/>
      </c>
      <c r="AF731" s="15">
        <f>IF(COUNT(AE731)=0,"",IF(Z731=0,"n.a.",AE731/Z731))</f>
        <v/>
      </c>
      <c r="AG731" s="12" t="n"/>
      <c r="AH731" s="14">
        <f>IF(OR(A731="",COUNT(Z731)=0,COUNT(AG731)=0),"",ROUND(Z731-AG731,2))</f>
        <v/>
      </c>
      <c r="AI731" s="21" t="n"/>
      <c r="AJ731" s="11">
        <f>IF(A731="","",IF(COUNT(I731)=0,"Enter approved NTE",IF(COUNT(Z731)&gt;0,IF(Z731&gt;I731,"Invoice exceeds NTE","Invoice within NTE"),IF(COUNT(L731)=0,"Enter quote inputs",IF(L731&gt;I731,"Quote exceeds NTE","Quote within NTE")))))</f>
        <v/>
      </c>
      <c r="AK731" s="11">
        <f>IF(A731="","",IF(COUNT(H731)=0,"Enter direct cost",IF(COUNT(Z731)=0,"Enter invoice revenue",IF(COUNT(AB731:AD731)&lt;3,"Enter expenses (0 if none)","Complete"))))</f>
        <v/>
      </c>
      <c r="AL731" s="11">
        <f>IF(A731="","",IF(NOT(AND(COUNT(AH731)=1,N(AH731)&gt;0.004,V731&lt;&gt;"Void",V731&lt;&gt;"Not invoiced",V731&lt;&gt;"Draft")),"",IF(COUNT(X731)=0,"No due date",IF(TODAY()-X731&lt;=0,"Not yet due",IF(TODAY()-X731&lt;=30,"1-30 days",IF(TODAY()-X731&lt;=60,"31-60 days",IF(TODAY()-X731&lt;=90,"61-90 days","Over 90 days")))))))</f>
        <v/>
      </c>
      <c r="AM731" s="49">
        <f>IF(OR(AL731="",AL731="No due date"),"",MAX(TODAY()-X731,0))</f>
        <v/>
      </c>
      <c r="AN731" s="49">
        <f>IF(AL731="","",IF(COUNT(X731)=0,-100000,TODAY()-X731))</f>
        <v/>
      </c>
      <c r="AO731" s="49">
        <f>IF(AN731="","",COUNTIF(AN$11:AN$1010,"&gt;"&amp;AN731)+COUNTIF(AN$11:AN731,AN731))</f>
        <v/>
      </c>
      <c r="AP731" s="49">
        <f>IF(OR(A731="",B731=""),"",IF(COUNTIF(B$11:B731,B731)=1,MAX(AP$10:AP730)+1,""))</f>
        <v/>
      </c>
    </row>
    <row r="732">
      <c r="A732" s="20" t="n"/>
      <c r="B732" s="10" t="n"/>
      <c r="C732" s="10" t="n"/>
      <c r="D732" s="10" t="n"/>
      <c r="E732" s="10" t="n"/>
      <c r="F732" s="18" t="n"/>
      <c r="G732" s="10" t="n"/>
      <c r="H732" s="12" t="n"/>
      <c r="I732" s="12" t="n"/>
      <c r="J732" s="13">
        <f>IF(OR(A732="",COUNT(H732)=0,COUNT(Z732)=0),"",ROUND(Z732-H732,2))</f>
        <v/>
      </c>
      <c r="K732" s="15">
        <f>IF(COUNT(J732)=0,"",IF(Z732=0,"n.a.",J732/Z732))</f>
        <v/>
      </c>
      <c r="L732" s="14">
        <f>IF(OR(A732="",COUNT(H732)=0,COUNT(Y732)=0),"",ROUND(H732*(1+Y732),2))</f>
        <v/>
      </c>
      <c r="M732" s="10" t="n"/>
      <c r="N732" s="10" t="n"/>
      <c r="O732" s="10" t="n"/>
      <c r="P732" s="10" t="n"/>
      <c r="Q732" s="20" t="n"/>
      <c r="R732" s="10" t="n"/>
      <c r="S732" s="10" t="n"/>
      <c r="T732" s="18" t="n"/>
      <c r="U732" s="18" t="n"/>
      <c r="V732" s="10" t="n"/>
      <c r="W732" s="10" t="n"/>
      <c r="X732" s="19">
        <f>IF(OR(A732="",COUNT(U732)=0,COUNT(AI732)=0),"",U732+AI732)</f>
        <v/>
      </c>
      <c r="Y732" s="16" t="n"/>
      <c r="Z732" s="12" t="n"/>
      <c r="AA732" s="17">
        <f>IF(COUNT(J732)=0,"",IF(H732=0,"n.a.",J732/H732))</f>
        <v/>
      </c>
      <c r="AB732" s="12" t="n"/>
      <c r="AC732" s="12" t="n"/>
      <c r="AD732" s="12" t="n"/>
      <c r="AE732" s="13">
        <f>IF(OR(COUNT(J732)=0,COUNT(AB732:AD732)&lt;3),"",ROUND(J732-SUM(AB732:AD732),2))</f>
        <v/>
      </c>
      <c r="AF732" s="15">
        <f>IF(COUNT(AE732)=0,"",IF(Z732=0,"n.a.",AE732/Z732))</f>
        <v/>
      </c>
      <c r="AG732" s="12" t="n"/>
      <c r="AH732" s="14">
        <f>IF(OR(A732="",COUNT(Z732)=0,COUNT(AG732)=0),"",ROUND(Z732-AG732,2))</f>
        <v/>
      </c>
      <c r="AI732" s="21" t="n"/>
      <c r="AJ732" s="11">
        <f>IF(A732="","",IF(COUNT(I732)=0,"Enter approved NTE",IF(COUNT(Z732)&gt;0,IF(Z732&gt;I732,"Invoice exceeds NTE","Invoice within NTE"),IF(COUNT(L732)=0,"Enter quote inputs",IF(L732&gt;I732,"Quote exceeds NTE","Quote within NTE")))))</f>
        <v/>
      </c>
      <c r="AK732" s="11">
        <f>IF(A732="","",IF(COUNT(H732)=0,"Enter direct cost",IF(COUNT(Z732)=0,"Enter invoice revenue",IF(COUNT(AB732:AD732)&lt;3,"Enter expenses (0 if none)","Complete"))))</f>
        <v/>
      </c>
      <c r="AL732" s="11">
        <f>IF(A732="","",IF(NOT(AND(COUNT(AH732)=1,N(AH732)&gt;0.004,V732&lt;&gt;"Void",V732&lt;&gt;"Not invoiced",V732&lt;&gt;"Draft")),"",IF(COUNT(X732)=0,"No due date",IF(TODAY()-X732&lt;=0,"Not yet due",IF(TODAY()-X732&lt;=30,"1-30 days",IF(TODAY()-X732&lt;=60,"31-60 days",IF(TODAY()-X732&lt;=90,"61-90 days","Over 90 days")))))))</f>
        <v/>
      </c>
      <c r="AM732" s="49">
        <f>IF(OR(AL732="",AL732="No due date"),"",MAX(TODAY()-X732,0))</f>
        <v/>
      </c>
      <c r="AN732" s="49">
        <f>IF(AL732="","",IF(COUNT(X732)=0,-100000,TODAY()-X732))</f>
        <v/>
      </c>
      <c r="AO732" s="49">
        <f>IF(AN732="","",COUNTIF(AN$11:AN$1010,"&gt;"&amp;AN732)+COUNTIF(AN$11:AN732,AN732))</f>
        <v/>
      </c>
      <c r="AP732" s="49">
        <f>IF(OR(A732="",B732=""),"",IF(COUNTIF(B$11:B732,B732)=1,MAX(AP$10:AP731)+1,""))</f>
        <v/>
      </c>
    </row>
    <row r="733">
      <c r="A733" s="20" t="n"/>
      <c r="B733" s="10" t="n"/>
      <c r="C733" s="10" t="n"/>
      <c r="D733" s="10" t="n"/>
      <c r="E733" s="10" t="n"/>
      <c r="F733" s="18" t="n"/>
      <c r="G733" s="10" t="n"/>
      <c r="H733" s="12" t="n"/>
      <c r="I733" s="12" t="n"/>
      <c r="J733" s="13">
        <f>IF(OR(A733="",COUNT(H733)=0,COUNT(Z733)=0),"",ROUND(Z733-H733,2))</f>
        <v/>
      </c>
      <c r="K733" s="15">
        <f>IF(COUNT(J733)=0,"",IF(Z733=0,"n.a.",J733/Z733))</f>
        <v/>
      </c>
      <c r="L733" s="14">
        <f>IF(OR(A733="",COUNT(H733)=0,COUNT(Y733)=0),"",ROUND(H733*(1+Y733),2))</f>
        <v/>
      </c>
      <c r="M733" s="10" t="n"/>
      <c r="N733" s="10" t="n"/>
      <c r="O733" s="10" t="n"/>
      <c r="P733" s="10" t="n"/>
      <c r="Q733" s="20" t="n"/>
      <c r="R733" s="10" t="n"/>
      <c r="S733" s="10" t="n"/>
      <c r="T733" s="18" t="n"/>
      <c r="U733" s="18" t="n"/>
      <c r="V733" s="10" t="n"/>
      <c r="W733" s="10" t="n"/>
      <c r="X733" s="19">
        <f>IF(OR(A733="",COUNT(U733)=0,COUNT(AI733)=0),"",U733+AI733)</f>
        <v/>
      </c>
      <c r="Y733" s="16" t="n"/>
      <c r="Z733" s="12" t="n"/>
      <c r="AA733" s="17">
        <f>IF(COUNT(J733)=0,"",IF(H733=0,"n.a.",J733/H733))</f>
        <v/>
      </c>
      <c r="AB733" s="12" t="n"/>
      <c r="AC733" s="12" t="n"/>
      <c r="AD733" s="12" t="n"/>
      <c r="AE733" s="13">
        <f>IF(OR(COUNT(J733)=0,COUNT(AB733:AD733)&lt;3),"",ROUND(J733-SUM(AB733:AD733),2))</f>
        <v/>
      </c>
      <c r="AF733" s="15">
        <f>IF(COUNT(AE733)=0,"",IF(Z733=0,"n.a.",AE733/Z733))</f>
        <v/>
      </c>
      <c r="AG733" s="12" t="n"/>
      <c r="AH733" s="14">
        <f>IF(OR(A733="",COUNT(Z733)=0,COUNT(AG733)=0),"",ROUND(Z733-AG733,2))</f>
        <v/>
      </c>
      <c r="AI733" s="21" t="n"/>
      <c r="AJ733" s="11">
        <f>IF(A733="","",IF(COUNT(I733)=0,"Enter approved NTE",IF(COUNT(Z733)&gt;0,IF(Z733&gt;I733,"Invoice exceeds NTE","Invoice within NTE"),IF(COUNT(L733)=0,"Enter quote inputs",IF(L733&gt;I733,"Quote exceeds NTE","Quote within NTE")))))</f>
        <v/>
      </c>
      <c r="AK733" s="11">
        <f>IF(A733="","",IF(COUNT(H733)=0,"Enter direct cost",IF(COUNT(Z733)=0,"Enter invoice revenue",IF(COUNT(AB733:AD733)&lt;3,"Enter expenses (0 if none)","Complete"))))</f>
        <v/>
      </c>
      <c r="AL733" s="11">
        <f>IF(A733="","",IF(NOT(AND(COUNT(AH733)=1,N(AH733)&gt;0.004,V733&lt;&gt;"Void",V733&lt;&gt;"Not invoiced",V733&lt;&gt;"Draft")),"",IF(COUNT(X733)=0,"No due date",IF(TODAY()-X733&lt;=0,"Not yet due",IF(TODAY()-X733&lt;=30,"1-30 days",IF(TODAY()-X733&lt;=60,"31-60 days",IF(TODAY()-X733&lt;=90,"61-90 days","Over 90 days")))))))</f>
        <v/>
      </c>
      <c r="AM733" s="49">
        <f>IF(OR(AL733="",AL733="No due date"),"",MAX(TODAY()-X733,0))</f>
        <v/>
      </c>
      <c r="AN733" s="49">
        <f>IF(AL733="","",IF(COUNT(X733)=0,-100000,TODAY()-X733))</f>
        <v/>
      </c>
      <c r="AO733" s="49">
        <f>IF(AN733="","",COUNTIF(AN$11:AN$1010,"&gt;"&amp;AN733)+COUNTIF(AN$11:AN733,AN733))</f>
        <v/>
      </c>
      <c r="AP733" s="49">
        <f>IF(OR(A733="",B733=""),"",IF(COUNTIF(B$11:B733,B733)=1,MAX(AP$10:AP732)+1,""))</f>
        <v/>
      </c>
    </row>
    <row r="734">
      <c r="A734" s="20" t="n"/>
      <c r="B734" s="10" t="n"/>
      <c r="C734" s="10" t="n"/>
      <c r="D734" s="10" t="n"/>
      <c r="E734" s="10" t="n"/>
      <c r="F734" s="18" t="n"/>
      <c r="G734" s="10" t="n"/>
      <c r="H734" s="12" t="n"/>
      <c r="I734" s="12" t="n"/>
      <c r="J734" s="13">
        <f>IF(OR(A734="",COUNT(H734)=0,COUNT(Z734)=0),"",ROUND(Z734-H734,2))</f>
        <v/>
      </c>
      <c r="K734" s="15">
        <f>IF(COUNT(J734)=0,"",IF(Z734=0,"n.a.",J734/Z734))</f>
        <v/>
      </c>
      <c r="L734" s="14">
        <f>IF(OR(A734="",COUNT(H734)=0,COUNT(Y734)=0),"",ROUND(H734*(1+Y734),2))</f>
        <v/>
      </c>
      <c r="M734" s="10" t="n"/>
      <c r="N734" s="10" t="n"/>
      <c r="O734" s="10" t="n"/>
      <c r="P734" s="10" t="n"/>
      <c r="Q734" s="20" t="n"/>
      <c r="R734" s="10" t="n"/>
      <c r="S734" s="10" t="n"/>
      <c r="T734" s="18" t="n"/>
      <c r="U734" s="18" t="n"/>
      <c r="V734" s="10" t="n"/>
      <c r="W734" s="10" t="n"/>
      <c r="X734" s="19">
        <f>IF(OR(A734="",COUNT(U734)=0,COUNT(AI734)=0),"",U734+AI734)</f>
        <v/>
      </c>
      <c r="Y734" s="16" t="n"/>
      <c r="Z734" s="12" t="n"/>
      <c r="AA734" s="17">
        <f>IF(COUNT(J734)=0,"",IF(H734=0,"n.a.",J734/H734))</f>
        <v/>
      </c>
      <c r="AB734" s="12" t="n"/>
      <c r="AC734" s="12" t="n"/>
      <c r="AD734" s="12" t="n"/>
      <c r="AE734" s="13">
        <f>IF(OR(COUNT(J734)=0,COUNT(AB734:AD734)&lt;3),"",ROUND(J734-SUM(AB734:AD734),2))</f>
        <v/>
      </c>
      <c r="AF734" s="15">
        <f>IF(COUNT(AE734)=0,"",IF(Z734=0,"n.a.",AE734/Z734))</f>
        <v/>
      </c>
      <c r="AG734" s="12" t="n"/>
      <c r="AH734" s="14">
        <f>IF(OR(A734="",COUNT(Z734)=0,COUNT(AG734)=0),"",ROUND(Z734-AG734,2))</f>
        <v/>
      </c>
      <c r="AI734" s="21" t="n"/>
      <c r="AJ734" s="11">
        <f>IF(A734="","",IF(COUNT(I734)=0,"Enter approved NTE",IF(COUNT(Z734)&gt;0,IF(Z734&gt;I734,"Invoice exceeds NTE","Invoice within NTE"),IF(COUNT(L734)=0,"Enter quote inputs",IF(L734&gt;I734,"Quote exceeds NTE","Quote within NTE")))))</f>
        <v/>
      </c>
      <c r="AK734" s="11">
        <f>IF(A734="","",IF(COUNT(H734)=0,"Enter direct cost",IF(COUNT(Z734)=0,"Enter invoice revenue",IF(COUNT(AB734:AD734)&lt;3,"Enter expenses (0 if none)","Complete"))))</f>
        <v/>
      </c>
      <c r="AL734" s="11">
        <f>IF(A734="","",IF(NOT(AND(COUNT(AH734)=1,N(AH734)&gt;0.004,V734&lt;&gt;"Void",V734&lt;&gt;"Not invoiced",V734&lt;&gt;"Draft")),"",IF(COUNT(X734)=0,"No due date",IF(TODAY()-X734&lt;=0,"Not yet due",IF(TODAY()-X734&lt;=30,"1-30 days",IF(TODAY()-X734&lt;=60,"31-60 days",IF(TODAY()-X734&lt;=90,"61-90 days","Over 90 days")))))))</f>
        <v/>
      </c>
      <c r="AM734" s="49">
        <f>IF(OR(AL734="",AL734="No due date"),"",MAX(TODAY()-X734,0))</f>
        <v/>
      </c>
      <c r="AN734" s="49">
        <f>IF(AL734="","",IF(COUNT(X734)=0,-100000,TODAY()-X734))</f>
        <v/>
      </c>
      <c r="AO734" s="49">
        <f>IF(AN734="","",COUNTIF(AN$11:AN$1010,"&gt;"&amp;AN734)+COUNTIF(AN$11:AN734,AN734))</f>
        <v/>
      </c>
      <c r="AP734" s="49">
        <f>IF(OR(A734="",B734=""),"",IF(COUNTIF(B$11:B734,B734)=1,MAX(AP$10:AP733)+1,""))</f>
        <v/>
      </c>
    </row>
    <row r="735">
      <c r="A735" s="20" t="n"/>
      <c r="B735" s="10" t="n"/>
      <c r="C735" s="10" t="n"/>
      <c r="D735" s="10" t="n"/>
      <c r="E735" s="10" t="n"/>
      <c r="F735" s="18" t="n"/>
      <c r="G735" s="10" t="n"/>
      <c r="H735" s="12" t="n"/>
      <c r="I735" s="12" t="n"/>
      <c r="J735" s="13">
        <f>IF(OR(A735="",COUNT(H735)=0,COUNT(Z735)=0),"",ROUND(Z735-H735,2))</f>
        <v/>
      </c>
      <c r="K735" s="15">
        <f>IF(COUNT(J735)=0,"",IF(Z735=0,"n.a.",J735/Z735))</f>
        <v/>
      </c>
      <c r="L735" s="14">
        <f>IF(OR(A735="",COUNT(H735)=0,COUNT(Y735)=0),"",ROUND(H735*(1+Y735),2))</f>
        <v/>
      </c>
      <c r="M735" s="10" t="n"/>
      <c r="N735" s="10" t="n"/>
      <c r="O735" s="10" t="n"/>
      <c r="P735" s="10" t="n"/>
      <c r="Q735" s="20" t="n"/>
      <c r="R735" s="10" t="n"/>
      <c r="S735" s="10" t="n"/>
      <c r="T735" s="18" t="n"/>
      <c r="U735" s="18" t="n"/>
      <c r="V735" s="10" t="n"/>
      <c r="W735" s="10" t="n"/>
      <c r="X735" s="19">
        <f>IF(OR(A735="",COUNT(U735)=0,COUNT(AI735)=0),"",U735+AI735)</f>
        <v/>
      </c>
      <c r="Y735" s="16" t="n"/>
      <c r="Z735" s="12" t="n"/>
      <c r="AA735" s="17">
        <f>IF(COUNT(J735)=0,"",IF(H735=0,"n.a.",J735/H735))</f>
        <v/>
      </c>
      <c r="AB735" s="12" t="n"/>
      <c r="AC735" s="12" t="n"/>
      <c r="AD735" s="12" t="n"/>
      <c r="AE735" s="13">
        <f>IF(OR(COUNT(J735)=0,COUNT(AB735:AD735)&lt;3),"",ROUND(J735-SUM(AB735:AD735),2))</f>
        <v/>
      </c>
      <c r="AF735" s="15">
        <f>IF(COUNT(AE735)=0,"",IF(Z735=0,"n.a.",AE735/Z735))</f>
        <v/>
      </c>
      <c r="AG735" s="12" t="n"/>
      <c r="AH735" s="14">
        <f>IF(OR(A735="",COUNT(Z735)=0,COUNT(AG735)=0),"",ROUND(Z735-AG735,2))</f>
        <v/>
      </c>
      <c r="AI735" s="21" t="n"/>
      <c r="AJ735" s="11">
        <f>IF(A735="","",IF(COUNT(I735)=0,"Enter approved NTE",IF(COUNT(Z735)&gt;0,IF(Z735&gt;I735,"Invoice exceeds NTE","Invoice within NTE"),IF(COUNT(L735)=0,"Enter quote inputs",IF(L735&gt;I735,"Quote exceeds NTE","Quote within NTE")))))</f>
        <v/>
      </c>
      <c r="AK735" s="11">
        <f>IF(A735="","",IF(COUNT(H735)=0,"Enter direct cost",IF(COUNT(Z735)=0,"Enter invoice revenue",IF(COUNT(AB735:AD735)&lt;3,"Enter expenses (0 if none)","Complete"))))</f>
        <v/>
      </c>
      <c r="AL735" s="11">
        <f>IF(A735="","",IF(NOT(AND(COUNT(AH735)=1,N(AH735)&gt;0.004,V735&lt;&gt;"Void",V735&lt;&gt;"Not invoiced",V735&lt;&gt;"Draft")),"",IF(COUNT(X735)=0,"No due date",IF(TODAY()-X735&lt;=0,"Not yet due",IF(TODAY()-X735&lt;=30,"1-30 days",IF(TODAY()-X735&lt;=60,"31-60 days",IF(TODAY()-X735&lt;=90,"61-90 days","Over 90 days")))))))</f>
        <v/>
      </c>
      <c r="AM735" s="49">
        <f>IF(OR(AL735="",AL735="No due date"),"",MAX(TODAY()-X735,0))</f>
        <v/>
      </c>
      <c r="AN735" s="49">
        <f>IF(AL735="","",IF(COUNT(X735)=0,-100000,TODAY()-X735))</f>
        <v/>
      </c>
      <c r="AO735" s="49">
        <f>IF(AN735="","",COUNTIF(AN$11:AN$1010,"&gt;"&amp;AN735)+COUNTIF(AN$11:AN735,AN735))</f>
        <v/>
      </c>
      <c r="AP735" s="49">
        <f>IF(OR(A735="",B735=""),"",IF(COUNTIF(B$11:B735,B735)=1,MAX(AP$10:AP734)+1,""))</f>
        <v/>
      </c>
    </row>
    <row r="736">
      <c r="A736" s="20" t="n"/>
      <c r="B736" s="10" t="n"/>
      <c r="C736" s="10" t="n"/>
      <c r="D736" s="10" t="n"/>
      <c r="E736" s="10" t="n"/>
      <c r="F736" s="18" t="n"/>
      <c r="G736" s="10" t="n"/>
      <c r="H736" s="12" t="n"/>
      <c r="I736" s="12" t="n"/>
      <c r="J736" s="13">
        <f>IF(OR(A736="",COUNT(H736)=0,COUNT(Z736)=0),"",ROUND(Z736-H736,2))</f>
        <v/>
      </c>
      <c r="K736" s="15">
        <f>IF(COUNT(J736)=0,"",IF(Z736=0,"n.a.",J736/Z736))</f>
        <v/>
      </c>
      <c r="L736" s="14">
        <f>IF(OR(A736="",COUNT(H736)=0,COUNT(Y736)=0),"",ROUND(H736*(1+Y736),2))</f>
        <v/>
      </c>
      <c r="M736" s="10" t="n"/>
      <c r="N736" s="10" t="n"/>
      <c r="O736" s="10" t="n"/>
      <c r="P736" s="10" t="n"/>
      <c r="Q736" s="20" t="n"/>
      <c r="R736" s="10" t="n"/>
      <c r="S736" s="10" t="n"/>
      <c r="T736" s="18" t="n"/>
      <c r="U736" s="18" t="n"/>
      <c r="V736" s="10" t="n"/>
      <c r="W736" s="10" t="n"/>
      <c r="X736" s="19">
        <f>IF(OR(A736="",COUNT(U736)=0,COUNT(AI736)=0),"",U736+AI736)</f>
        <v/>
      </c>
      <c r="Y736" s="16" t="n"/>
      <c r="Z736" s="12" t="n"/>
      <c r="AA736" s="17">
        <f>IF(COUNT(J736)=0,"",IF(H736=0,"n.a.",J736/H736))</f>
        <v/>
      </c>
      <c r="AB736" s="12" t="n"/>
      <c r="AC736" s="12" t="n"/>
      <c r="AD736" s="12" t="n"/>
      <c r="AE736" s="13">
        <f>IF(OR(COUNT(J736)=0,COUNT(AB736:AD736)&lt;3),"",ROUND(J736-SUM(AB736:AD736),2))</f>
        <v/>
      </c>
      <c r="AF736" s="15">
        <f>IF(COUNT(AE736)=0,"",IF(Z736=0,"n.a.",AE736/Z736))</f>
        <v/>
      </c>
      <c r="AG736" s="12" t="n"/>
      <c r="AH736" s="14">
        <f>IF(OR(A736="",COUNT(Z736)=0,COUNT(AG736)=0),"",ROUND(Z736-AG736,2))</f>
        <v/>
      </c>
      <c r="AI736" s="21" t="n"/>
      <c r="AJ736" s="11">
        <f>IF(A736="","",IF(COUNT(I736)=0,"Enter approved NTE",IF(COUNT(Z736)&gt;0,IF(Z736&gt;I736,"Invoice exceeds NTE","Invoice within NTE"),IF(COUNT(L736)=0,"Enter quote inputs",IF(L736&gt;I736,"Quote exceeds NTE","Quote within NTE")))))</f>
        <v/>
      </c>
      <c r="AK736" s="11">
        <f>IF(A736="","",IF(COUNT(H736)=0,"Enter direct cost",IF(COUNT(Z736)=0,"Enter invoice revenue",IF(COUNT(AB736:AD736)&lt;3,"Enter expenses (0 if none)","Complete"))))</f>
        <v/>
      </c>
      <c r="AL736" s="11">
        <f>IF(A736="","",IF(NOT(AND(COUNT(AH736)=1,N(AH736)&gt;0.004,V736&lt;&gt;"Void",V736&lt;&gt;"Not invoiced",V736&lt;&gt;"Draft")),"",IF(COUNT(X736)=0,"No due date",IF(TODAY()-X736&lt;=0,"Not yet due",IF(TODAY()-X736&lt;=30,"1-30 days",IF(TODAY()-X736&lt;=60,"31-60 days",IF(TODAY()-X736&lt;=90,"61-90 days","Over 90 days")))))))</f>
        <v/>
      </c>
      <c r="AM736" s="49">
        <f>IF(OR(AL736="",AL736="No due date"),"",MAX(TODAY()-X736,0))</f>
        <v/>
      </c>
      <c r="AN736" s="49">
        <f>IF(AL736="","",IF(COUNT(X736)=0,-100000,TODAY()-X736))</f>
        <v/>
      </c>
      <c r="AO736" s="49">
        <f>IF(AN736="","",COUNTIF(AN$11:AN$1010,"&gt;"&amp;AN736)+COUNTIF(AN$11:AN736,AN736))</f>
        <v/>
      </c>
      <c r="AP736" s="49">
        <f>IF(OR(A736="",B736=""),"",IF(COUNTIF(B$11:B736,B736)=1,MAX(AP$10:AP735)+1,""))</f>
        <v/>
      </c>
    </row>
    <row r="737">
      <c r="A737" s="20" t="n"/>
      <c r="B737" s="10" t="n"/>
      <c r="C737" s="10" t="n"/>
      <c r="D737" s="10" t="n"/>
      <c r="E737" s="10" t="n"/>
      <c r="F737" s="18" t="n"/>
      <c r="G737" s="10" t="n"/>
      <c r="H737" s="12" t="n"/>
      <c r="I737" s="12" t="n"/>
      <c r="J737" s="13">
        <f>IF(OR(A737="",COUNT(H737)=0,COUNT(Z737)=0),"",ROUND(Z737-H737,2))</f>
        <v/>
      </c>
      <c r="K737" s="15">
        <f>IF(COUNT(J737)=0,"",IF(Z737=0,"n.a.",J737/Z737))</f>
        <v/>
      </c>
      <c r="L737" s="14">
        <f>IF(OR(A737="",COUNT(H737)=0,COUNT(Y737)=0),"",ROUND(H737*(1+Y737),2))</f>
        <v/>
      </c>
      <c r="M737" s="10" t="n"/>
      <c r="N737" s="10" t="n"/>
      <c r="O737" s="10" t="n"/>
      <c r="P737" s="10" t="n"/>
      <c r="Q737" s="20" t="n"/>
      <c r="R737" s="10" t="n"/>
      <c r="S737" s="10" t="n"/>
      <c r="T737" s="18" t="n"/>
      <c r="U737" s="18" t="n"/>
      <c r="V737" s="10" t="n"/>
      <c r="W737" s="10" t="n"/>
      <c r="X737" s="19">
        <f>IF(OR(A737="",COUNT(U737)=0,COUNT(AI737)=0),"",U737+AI737)</f>
        <v/>
      </c>
      <c r="Y737" s="16" t="n"/>
      <c r="Z737" s="12" t="n"/>
      <c r="AA737" s="17">
        <f>IF(COUNT(J737)=0,"",IF(H737=0,"n.a.",J737/H737))</f>
        <v/>
      </c>
      <c r="AB737" s="12" t="n"/>
      <c r="AC737" s="12" t="n"/>
      <c r="AD737" s="12" t="n"/>
      <c r="AE737" s="13">
        <f>IF(OR(COUNT(J737)=0,COUNT(AB737:AD737)&lt;3),"",ROUND(J737-SUM(AB737:AD737),2))</f>
        <v/>
      </c>
      <c r="AF737" s="15">
        <f>IF(COUNT(AE737)=0,"",IF(Z737=0,"n.a.",AE737/Z737))</f>
        <v/>
      </c>
      <c r="AG737" s="12" t="n"/>
      <c r="AH737" s="14">
        <f>IF(OR(A737="",COUNT(Z737)=0,COUNT(AG737)=0),"",ROUND(Z737-AG737,2))</f>
        <v/>
      </c>
      <c r="AI737" s="21" t="n"/>
      <c r="AJ737" s="11">
        <f>IF(A737="","",IF(COUNT(I737)=0,"Enter approved NTE",IF(COUNT(Z737)&gt;0,IF(Z737&gt;I737,"Invoice exceeds NTE","Invoice within NTE"),IF(COUNT(L737)=0,"Enter quote inputs",IF(L737&gt;I737,"Quote exceeds NTE","Quote within NTE")))))</f>
        <v/>
      </c>
      <c r="AK737" s="11">
        <f>IF(A737="","",IF(COUNT(H737)=0,"Enter direct cost",IF(COUNT(Z737)=0,"Enter invoice revenue",IF(COUNT(AB737:AD737)&lt;3,"Enter expenses (0 if none)","Complete"))))</f>
        <v/>
      </c>
      <c r="AL737" s="11">
        <f>IF(A737="","",IF(NOT(AND(COUNT(AH737)=1,N(AH737)&gt;0.004,V737&lt;&gt;"Void",V737&lt;&gt;"Not invoiced",V737&lt;&gt;"Draft")),"",IF(COUNT(X737)=0,"No due date",IF(TODAY()-X737&lt;=0,"Not yet due",IF(TODAY()-X737&lt;=30,"1-30 days",IF(TODAY()-X737&lt;=60,"31-60 days",IF(TODAY()-X737&lt;=90,"61-90 days","Over 90 days")))))))</f>
        <v/>
      </c>
      <c r="AM737" s="49">
        <f>IF(OR(AL737="",AL737="No due date"),"",MAX(TODAY()-X737,0))</f>
        <v/>
      </c>
      <c r="AN737" s="49">
        <f>IF(AL737="","",IF(COUNT(X737)=0,-100000,TODAY()-X737))</f>
        <v/>
      </c>
      <c r="AO737" s="49">
        <f>IF(AN737="","",COUNTIF(AN$11:AN$1010,"&gt;"&amp;AN737)+COUNTIF(AN$11:AN737,AN737))</f>
        <v/>
      </c>
      <c r="AP737" s="49">
        <f>IF(OR(A737="",B737=""),"",IF(COUNTIF(B$11:B737,B737)=1,MAX(AP$10:AP736)+1,""))</f>
        <v/>
      </c>
    </row>
    <row r="738">
      <c r="A738" s="20" t="n"/>
      <c r="B738" s="10" t="n"/>
      <c r="C738" s="10" t="n"/>
      <c r="D738" s="10" t="n"/>
      <c r="E738" s="10" t="n"/>
      <c r="F738" s="18" t="n"/>
      <c r="G738" s="10" t="n"/>
      <c r="H738" s="12" t="n"/>
      <c r="I738" s="12" t="n"/>
      <c r="J738" s="13">
        <f>IF(OR(A738="",COUNT(H738)=0,COUNT(Z738)=0),"",ROUND(Z738-H738,2))</f>
        <v/>
      </c>
      <c r="K738" s="15">
        <f>IF(COUNT(J738)=0,"",IF(Z738=0,"n.a.",J738/Z738))</f>
        <v/>
      </c>
      <c r="L738" s="14">
        <f>IF(OR(A738="",COUNT(H738)=0,COUNT(Y738)=0),"",ROUND(H738*(1+Y738),2))</f>
        <v/>
      </c>
      <c r="M738" s="10" t="n"/>
      <c r="N738" s="10" t="n"/>
      <c r="O738" s="10" t="n"/>
      <c r="P738" s="10" t="n"/>
      <c r="Q738" s="20" t="n"/>
      <c r="R738" s="10" t="n"/>
      <c r="S738" s="10" t="n"/>
      <c r="T738" s="18" t="n"/>
      <c r="U738" s="18" t="n"/>
      <c r="V738" s="10" t="n"/>
      <c r="W738" s="10" t="n"/>
      <c r="X738" s="19">
        <f>IF(OR(A738="",COUNT(U738)=0,COUNT(AI738)=0),"",U738+AI738)</f>
        <v/>
      </c>
      <c r="Y738" s="16" t="n"/>
      <c r="Z738" s="12" t="n"/>
      <c r="AA738" s="17">
        <f>IF(COUNT(J738)=0,"",IF(H738=0,"n.a.",J738/H738))</f>
        <v/>
      </c>
      <c r="AB738" s="12" t="n"/>
      <c r="AC738" s="12" t="n"/>
      <c r="AD738" s="12" t="n"/>
      <c r="AE738" s="13">
        <f>IF(OR(COUNT(J738)=0,COUNT(AB738:AD738)&lt;3),"",ROUND(J738-SUM(AB738:AD738),2))</f>
        <v/>
      </c>
      <c r="AF738" s="15">
        <f>IF(COUNT(AE738)=0,"",IF(Z738=0,"n.a.",AE738/Z738))</f>
        <v/>
      </c>
      <c r="AG738" s="12" t="n"/>
      <c r="AH738" s="14">
        <f>IF(OR(A738="",COUNT(Z738)=0,COUNT(AG738)=0),"",ROUND(Z738-AG738,2))</f>
        <v/>
      </c>
      <c r="AI738" s="21" t="n"/>
      <c r="AJ738" s="11">
        <f>IF(A738="","",IF(COUNT(I738)=0,"Enter approved NTE",IF(COUNT(Z738)&gt;0,IF(Z738&gt;I738,"Invoice exceeds NTE","Invoice within NTE"),IF(COUNT(L738)=0,"Enter quote inputs",IF(L738&gt;I738,"Quote exceeds NTE","Quote within NTE")))))</f>
        <v/>
      </c>
      <c r="AK738" s="11">
        <f>IF(A738="","",IF(COUNT(H738)=0,"Enter direct cost",IF(COUNT(Z738)=0,"Enter invoice revenue",IF(COUNT(AB738:AD738)&lt;3,"Enter expenses (0 if none)","Complete"))))</f>
        <v/>
      </c>
      <c r="AL738" s="11">
        <f>IF(A738="","",IF(NOT(AND(COUNT(AH738)=1,N(AH738)&gt;0.004,V738&lt;&gt;"Void",V738&lt;&gt;"Not invoiced",V738&lt;&gt;"Draft")),"",IF(COUNT(X738)=0,"No due date",IF(TODAY()-X738&lt;=0,"Not yet due",IF(TODAY()-X738&lt;=30,"1-30 days",IF(TODAY()-X738&lt;=60,"31-60 days",IF(TODAY()-X738&lt;=90,"61-90 days","Over 90 days")))))))</f>
        <v/>
      </c>
      <c r="AM738" s="49">
        <f>IF(OR(AL738="",AL738="No due date"),"",MAX(TODAY()-X738,0))</f>
        <v/>
      </c>
      <c r="AN738" s="49">
        <f>IF(AL738="","",IF(COUNT(X738)=0,-100000,TODAY()-X738))</f>
        <v/>
      </c>
      <c r="AO738" s="49">
        <f>IF(AN738="","",COUNTIF(AN$11:AN$1010,"&gt;"&amp;AN738)+COUNTIF(AN$11:AN738,AN738))</f>
        <v/>
      </c>
      <c r="AP738" s="49">
        <f>IF(OR(A738="",B738=""),"",IF(COUNTIF(B$11:B738,B738)=1,MAX(AP$10:AP737)+1,""))</f>
        <v/>
      </c>
    </row>
    <row r="739">
      <c r="A739" s="20" t="n"/>
      <c r="B739" s="10" t="n"/>
      <c r="C739" s="10" t="n"/>
      <c r="D739" s="10" t="n"/>
      <c r="E739" s="10" t="n"/>
      <c r="F739" s="18" t="n"/>
      <c r="G739" s="10" t="n"/>
      <c r="H739" s="12" t="n"/>
      <c r="I739" s="12" t="n"/>
      <c r="J739" s="13">
        <f>IF(OR(A739="",COUNT(H739)=0,COUNT(Z739)=0),"",ROUND(Z739-H739,2))</f>
        <v/>
      </c>
      <c r="K739" s="15">
        <f>IF(COUNT(J739)=0,"",IF(Z739=0,"n.a.",J739/Z739))</f>
        <v/>
      </c>
      <c r="L739" s="14">
        <f>IF(OR(A739="",COUNT(H739)=0,COUNT(Y739)=0),"",ROUND(H739*(1+Y739),2))</f>
        <v/>
      </c>
      <c r="M739" s="10" t="n"/>
      <c r="N739" s="10" t="n"/>
      <c r="O739" s="10" t="n"/>
      <c r="P739" s="10" t="n"/>
      <c r="Q739" s="20" t="n"/>
      <c r="R739" s="10" t="n"/>
      <c r="S739" s="10" t="n"/>
      <c r="T739" s="18" t="n"/>
      <c r="U739" s="18" t="n"/>
      <c r="V739" s="10" t="n"/>
      <c r="W739" s="10" t="n"/>
      <c r="X739" s="19">
        <f>IF(OR(A739="",COUNT(U739)=0,COUNT(AI739)=0),"",U739+AI739)</f>
        <v/>
      </c>
      <c r="Y739" s="16" t="n"/>
      <c r="Z739" s="12" t="n"/>
      <c r="AA739" s="17">
        <f>IF(COUNT(J739)=0,"",IF(H739=0,"n.a.",J739/H739))</f>
        <v/>
      </c>
      <c r="AB739" s="12" t="n"/>
      <c r="AC739" s="12" t="n"/>
      <c r="AD739" s="12" t="n"/>
      <c r="AE739" s="13">
        <f>IF(OR(COUNT(J739)=0,COUNT(AB739:AD739)&lt;3),"",ROUND(J739-SUM(AB739:AD739),2))</f>
        <v/>
      </c>
      <c r="AF739" s="15">
        <f>IF(COUNT(AE739)=0,"",IF(Z739=0,"n.a.",AE739/Z739))</f>
        <v/>
      </c>
      <c r="AG739" s="12" t="n"/>
      <c r="AH739" s="14">
        <f>IF(OR(A739="",COUNT(Z739)=0,COUNT(AG739)=0),"",ROUND(Z739-AG739,2))</f>
        <v/>
      </c>
      <c r="AI739" s="21" t="n"/>
      <c r="AJ739" s="11">
        <f>IF(A739="","",IF(COUNT(I739)=0,"Enter approved NTE",IF(COUNT(Z739)&gt;0,IF(Z739&gt;I739,"Invoice exceeds NTE","Invoice within NTE"),IF(COUNT(L739)=0,"Enter quote inputs",IF(L739&gt;I739,"Quote exceeds NTE","Quote within NTE")))))</f>
        <v/>
      </c>
      <c r="AK739" s="11">
        <f>IF(A739="","",IF(COUNT(H739)=0,"Enter direct cost",IF(COUNT(Z739)=0,"Enter invoice revenue",IF(COUNT(AB739:AD739)&lt;3,"Enter expenses (0 if none)","Complete"))))</f>
        <v/>
      </c>
      <c r="AL739" s="11">
        <f>IF(A739="","",IF(NOT(AND(COUNT(AH739)=1,N(AH739)&gt;0.004,V739&lt;&gt;"Void",V739&lt;&gt;"Not invoiced",V739&lt;&gt;"Draft")),"",IF(COUNT(X739)=0,"No due date",IF(TODAY()-X739&lt;=0,"Not yet due",IF(TODAY()-X739&lt;=30,"1-30 days",IF(TODAY()-X739&lt;=60,"31-60 days",IF(TODAY()-X739&lt;=90,"61-90 days","Over 90 days")))))))</f>
        <v/>
      </c>
      <c r="AM739" s="49">
        <f>IF(OR(AL739="",AL739="No due date"),"",MAX(TODAY()-X739,0))</f>
        <v/>
      </c>
      <c r="AN739" s="49">
        <f>IF(AL739="","",IF(COUNT(X739)=0,-100000,TODAY()-X739))</f>
        <v/>
      </c>
      <c r="AO739" s="49">
        <f>IF(AN739="","",COUNTIF(AN$11:AN$1010,"&gt;"&amp;AN739)+COUNTIF(AN$11:AN739,AN739))</f>
        <v/>
      </c>
      <c r="AP739" s="49">
        <f>IF(OR(A739="",B739=""),"",IF(COUNTIF(B$11:B739,B739)=1,MAX(AP$10:AP738)+1,""))</f>
        <v/>
      </c>
    </row>
    <row r="740">
      <c r="A740" s="20" t="n"/>
      <c r="B740" s="10" t="n"/>
      <c r="C740" s="10" t="n"/>
      <c r="D740" s="10" t="n"/>
      <c r="E740" s="10" t="n"/>
      <c r="F740" s="18" t="n"/>
      <c r="G740" s="10" t="n"/>
      <c r="H740" s="12" t="n"/>
      <c r="I740" s="12" t="n"/>
      <c r="J740" s="13">
        <f>IF(OR(A740="",COUNT(H740)=0,COUNT(Z740)=0),"",ROUND(Z740-H740,2))</f>
        <v/>
      </c>
      <c r="K740" s="15">
        <f>IF(COUNT(J740)=0,"",IF(Z740=0,"n.a.",J740/Z740))</f>
        <v/>
      </c>
      <c r="L740" s="14">
        <f>IF(OR(A740="",COUNT(H740)=0,COUNT(Y740)=0),"",ROUND(H740*(1+Y740),2))</f>
        <v/>
      </c>
      <c r="M740" s="10" t="n"/>
      <c r="N740" s="10" t="n"/>
      <c r="O740" s="10" t="n"/>
      <c r="P740" s="10" t="n"/>
      <c r="Q740" s="20" t="n"/>
      <c r="R740" s="10" t="n"/>
      <c r="S740" s="10" t="n"/>
      <c r="T740" s="18" t="n"/>
      <c r="U740" s="18" t="n"/>
      <c r="V740" s="10" t="n"/>
      <c r="W740" s="10" t="n"/>
      <c r="X740" s="19">
        <f>IF(OR(A740="",COUNT(U740)=0,COUNT(AI740)=0),"",U740+AI740)</f>
        <v/>
      </c>
      <c r="Y740" s="16" t="n"/>
      <c r="Z740" s="12" t="n"/>
      <c r="AA740" s="17">
        <f>IF(COUNT(J740)=0,"",IF(H740=0,"n.a.",J740/H740))</f>
        <v/>
      </c>
      <c r="AB740" s="12" t="n"/>
      <c r="AC740" s="12" t="n"/>
      <c r="AD740" s="12" t="n"/>
      <c r="AE740" s="13">
        <f>IF(OR(COUNT(J740)=0,COUNT(AB740:AD740)&lt;3),"",ROUND(J740-SUM(AB740:AD740),2))</f>
        <v/>
      </c>
      <c r="AF740" s="15">
        <f>IF(COUNT(AE740)=0,"",IF(Z740=0,"n.a.",AE740/Z740))</f>
        <v/>
      </c>
      <c r="AG740" s="12" t="n"/>
      <c r="AH740" s="14">
        <f>IF(OR(A740="",COUNT(Z740)=0,COUNT(AG740)=0),"",ROUND(Z740-AG740,2))</f>
        <v/>
      </c>
      <c r="AI740" s="21" t="n"/>
      <c r="AJ740" s="11">
        <f>IF(A740="","",IF(COUNT(I740)=0,"Enter approved NTE",IF(COUNT(Z740)&gt;0,IF(Z740&gt;I740,"Invoice exceeds NTE","Invoice within NTE"),IF(COUNT(L740)=0,"Enter quote inputs",IF(L740&gt;I740,"Quote exceeds NTE","Quote within NTE")))))</f>
        <v/>
      </c>
      <c r="AK740" s="11">
        <f>IF(A740="","",IF(COUNT(H740)=0,"Enter direct cost",IF(COUNT(Z740)=0,"Enter invoice revenue",IF(COUNT(AB740:AD740)&lt;3,"Enter expenses (0 if none)","Complete"))))</f>
        <v/>
      </c>
      <c r="AL740" s="11">
        <f>IF(A740="","",IF(NOT(AND(COUNT(AH740)=1,N(AH740)&gt;0.004,V740&lt;&gt;"Void",V740&lt;&gt;"Not invoiced",V740&lt;&gt;"Draft")),"",IF(COUNT(X740)=0,"No due date",IF(TODAY()-X740&lt;=0,"Not yet due",IF(TODAY()-X740&lt;=30,"1-30 days",IF(TODAY()-X740&lt;=60,"31-60 days",IF(TODAY()-X740&lt;=90,"61-90 days","Over 90 days")))))))</f>
        <v/>
      </c>
      <c r="AM740" s="49">
        <f>IF(OR(AL740="",AL740="No due date"),"",MAX(TODAY()-X740,0))</f>
        <v/>
      </c>
      <c r="AN740" s="49">
        <f>IF(AL740="","",IF(COUNT(X740)=0,-100000,TODAY()-X740))</f>
        <v/>
      </c>
      <c r="AO740" s="49">
        <f>IF(AN740="","",COUNTIF(AN$11:AN$1010,"&gt;"&amp;AN740)+COUNTIF(AN$11:AN740,AN740))</f>
        <v/>
      </c>
      <c r="AP740" s="49">
        <f>IF(OR(A740="",B740=""),"",IF(COUNTIF(B$11:B740,B740)=1,MAX(AP$10:AP739)+1,""))</f>
        <v/>
      </c>
    </row>
    <row r="741">
      <c r="A741" s="20" t="n"/>
      <c r="B741" s="10" t="n"/>
      <c r="C741" s="10" t="n"/>
      <c r="D741" s="10" t="n"/>
      <c r="E741" s="10" t="n"/>
      <c r="F741" s="18" t="n"/>
      <c r="G741" s="10" t="n"/>
      <c r="H741" s="12" t="n"/>
      <c r="I741" s="12" t="n"/>
      <c r="J741" s="13">
        <f>IF(OR(A741="",COUNT(H741)=0,COUNT(Z741)=0),"",ROUND(Z741-H741,2))</f>
        <v/>
      </c>
      <c r="K741" s="15">
        <f>IF(COUNT(J741)=0,"",IF(Z741=0,"n.a.",J741/Z741))</f>
        <v/>
      </c>
      <c r="L741" s="14">
        <f>IF(OR(A741="",COUNT(H741)=0,COUNT(Y741)=0),"",ROUND(H741*(1+Y741),2))</f>
        <v/>
      </c>
      <c r="M741" s="10" t="n"/>
      <c r="N741" s="10" t="n"/>
      <c r="O741" s="10" t="n"/>
      <c r="P741" s="10" t="n"/>
      <c r="Q741" s="20" t="n"/>
      <c r="R741" s="10" t="n"/>
      <c r="S741" s="10" t="n"/>
      <c r="T741" s="18" t="n"/>
      <c r="U741" s="18" t="n"/>
      <c r="V741" s="10" t="n"/>
      <c r="W741" s="10" t="n"/>
      <c r="X741" s="19">
        <f>IF(OR(A741="",COUNT(U741)=0,COUNT(AI741)=0),"",U741+AI741)</f>
        <v/>
      </c>
      <c r="Y741" s="16" t="n"/>
      <c r="Z741" s="12" t="n"/>
      <c r="AA741" s="17">
        <f>IF(COUNT(J741)=0,"",IF(H741=0,"n.a.",J741/H741))</f>
        <v/>
      </c>
      <c r="AB741" s="12" t="n"/>
      <c r="AC741" s="12" t="n"/>
      <c r="AD741" s="12" t="n"/>
      <c r="AE741" s="13">
        <f>IF(OR(COUNT(J741)=0,COUNT(AB741:AD741)&lt;3),"",ROUND(J741-SUM(AB741:AD741),2))</f>
        <v/>
      </c>
      <c r="AF741" s="15">
        <f>IF(COUNT(AE741)=0,"",IF(Z741=0,"n.a.",AE741/Z741))</f>
        <v/>
      </c>
      <c r="AG741" s="12" t="n"/>
      <c r="AH741" s="14">
        <f>IF(OR(A741="",COUNT(Z741)=0,COUNT(AG741)=0),"",ROUND(Z741-AG741,2))</f>
        <v/>
      </c>
      <c r="AI741" s="21" t="n"/>
      <c r="AJ741" s="11">
        <f>IF(A741="","",IF(COUNT(I741)=0,"Enter approved NTE",IF(COUNT(Z741)&gt;0,IF(Z741&gt;I741,"Invoice exceeds NTE","Invoice within NTE"),IF(COUNT(L741)=0,"Enter quote inputs",IF(L741&gt;I741,"Quote exceeds NTE","Quote within NTE")))))</f>
        <v/>
      </c>
      <c r="AK741" s="11">
        <f>IF(A741="","",IF(COUNT(H741)=0,"Enter direct cost",IF(COUNT(Z741)=0,"Enter invoice revenue",IF(COUNT(AB741:AD741)&lt;3,"Enter expenses (0 if none)","Complete"))))</f>
        <v/>
      </c>
      <c r="AL741" s="11">
        <f>IF(A741="","",IF(NOT(AND(COUNT(AH741)=1,N(AH741)&gt;0.004,V741&lt;&gt;"Void",V741&lt;&gt;"Not invoiced",V741&lt;&gt;"Draft")),"",IF(COUNT(X741)=0,"No due date",IF(TODAY()-X741&lt;=0,"Not yet due",IF(TODAY()-X741&lt;=30,"1-30 days",IF(TODAY()-X741&lt;=60,"31-60 days",IF(TODAY()-X741&lt;=90,"61-90 days","Over 90 days")))))))</f>
        <v/>
      </c>
      <c r="AM741" s="49">
        <f>IF(OR(AL741="",AL741="No due date"),"",MAX(TODAY()-X741,0))</f>
        <v/>
      </c>
      <c r="AN741" s="49">
        <f>IF(AL741="","",IF(COUNT(X741)=0,-100000,TODAY()-X741))</f>
        <v/>
      </c>
      <c r="AO741" s="49">
        <f>IF(AN741="","",COUNTIF(AN$11:AN$1010,"&gt;"&amp;AN741)+COUNTIF(AN$11:AN741,AN741))</f>
        <v/>
      </c>
      <c r="AP741" s="49">
        <f>IF(OR(A741="",B741=""),"",IF(COUNTIF(B$11:B741,B741)=1,MAX(AP$10:AP740)+1,""))</f>
        <v/>
      </c>
    </row>
    <row r="742">
      <c r="A742" s="20" t="n"/>
      <c r="B742" s="10" t="n"/>
      <c r="C742" s="10" t="n"/>
      <c r="D742" s="10" t="n"/>
      <c r="E742" s="10" t="n"/>
      <c r="F742" s="18" t="n"/>
      <c r="G742" s="10" t="n"/>
      <c r="H742" s="12" t="n"/>
      <c r="I742" s="12" t="n"/>
      <c r="J742" s="13">
        <f>IF(OR(A742="",COUNT(H742)=0,COUNT(Z742)=0),"",ROUND(Z742-H742,2))</f>
        <v/>
      </c>
      <c r="K742" s="15">
        <f>IF(COUNT(J742)=0,"",IF(Z742=0,"n.a.",J742/Z742))</f>
        <v/>
      </c>
      <c r="L742" s="14">
        <f>IF(OR(A742="",COUNT(H742)=0,COUNT(Y742)=0),"",ROUND(H742*(1+Y742),2))</f>
        <v/>
      </c>
      <c r="M742" s="10" t="n"/>
      <c r="N742" s="10" t="n"/>
      <c r="O742" s="10" t="n"/>
      <c r="P742" s="10" t="n"/>
      <c r="Q742" s="20" t="n"/>
      <c r="R742" s="10" t="n"/>
      <c r="S742" s="10" t="n"/>
      <c r="T742" s="18" t="n"/>
      <c r="U742" s="18" t="n"/>
      <c r="V742" s="10" t="n"/>
      <c r="W742" s="10" t="n"/>
      <c r="X742" s="19">
        <f>IF(OR(A742="",COUNT(U742)=0,COUNT(AI742)=0),"",U742+AI742)</f>
        <v/>
      </c>
      <c r="Y742" s="16" t="n"/>
      <c r="Z742" s="12" t="n"/>
      <c r="AA742" s="17">
        <f>IF(COUNT(J742)=0,"",IF(H742=0,"n.a.",J742/H742))</f>
        <v/>
      </c>
      <c r="AB742" s="12" t="n"/>
      <c r="AC742" s="12" t="n"/>
      <c r="AD742" s="12" t="n"/>
      <c r="AE742" s="13">
        <f>IF(OR(COUNT(J742)=0,COUNT(AB742:AD742)&lt;3),"",ROUND(J742-SUM(AB742:AD742),2))</f>
        <v/>
      </c>
      <c r="AF742" s="15">
        <f>IF(COUNT(AE742)=0,"",IF(Z742=0,"n.a.",AE742/Z742))</f>
        <v/>
      </c>
      <c r="AG742" s="12" t="n"/>
      <c r="AH742" s="14">
        <f>IF(OR(A742="",COUNT(Z742)=0,COUNT(AG742)=0),"",ROUND(Z742-AG742,2))</f>
        <v/>
      </c>
      <c r="AI742" s="21" t="n"/>
      <c r="AJ742" s="11">
        <f>IF(A742="","",IF(COUNT(I742)=0,"Enter approved NTE",IF(COUNT(Z742)&gt;0,IF(Z742&gt;I742,"Invoice exceeds NTE","Invoice within NTE"),IF(COUNT(L742)=0,"Enter quote inputs",IF(L742&gt;I742,"Quote exceeds NTE","Quote within NTE")))))</f>
        <v/>
      </c>
      <c r="AK742" s="11">
        <f>IF(A742="","",IF(COUNT(H742)=0,"Enter direct cost",IF(COUNT(Z742)=0,"Enter invoice revenue",IF(COUNT(AB742:AD742)&lt;3,"Enter expenses (0 if none)","Complete"))))</f>
        <v/>
      </c>
      <c r="AL742" s="11">
        <f>IF(A742="","",IF(NOT(AND(COUNT(AH742)=1,N(AH742)&gt;0.004,V742&lt;&gt;"Void",V742&lt;&gt;"Not invoiced",V742&lt;&gt;"Draft")),"",IF(COUNT(X742)=0,"No due date",IF(TODAY()-X742&lt;=0,"Not yet due",IF(TODAY()-X742&lt;=30,"1-30 days",IF(TODAY()-X742&lt;=60,"31-60 days",IF(TODAY()-X742&lt;=90,"61-90 days","Over 90 days")))))))</f>
        <v/>
      </c>
      <c r="AM742" s="49">
        <f>IF(OR(AL742="",AL742="No due date"),"",MAX(TODAY()-X742,0))</f>
        <v/>
      </c>
      <c r="AN742" s="49">
        <f>IF(AL742="","",IF(COUNT(X742)=0,-100000,TODAY()-X742))</f>
        <v/>
      </c>
      <c r="AO742" s="49">
        <f>IF(AN742="","",COUNTIF(AN$11:AN$1010,"&gt;"&amp;AN742)+COUNTIF(AN$11:AN742,AN742))</f>
        <v/>
      </c>
      <c r="AP742" s="49">
        <f>IF(OR(A742="",B742=""),"",IF(COUNTIF(B$11:B742,B742)=1,MAX(AP$10:AP741)+1,""))</f>
        <v/>
      </c>
    </row>
    <row r="743">
      <c r="A743" s="20" t="n"/>
      <c r="B743" s="10" t="n"/>
      <c r="C743" s="10" t="n"/>
      <c r="D743" s="10" t="n"/>
      <c r="E743" s="10" t="n"/>
      <c r="F743" s="18" t="n"/>
      <c r="G743" s="10" t="n"/>
      <c r="H743" s="12" t="n"/>
      <c r="I743" s="12" t="n"/>
      <c r="J743" s="13">
        <f>IF(OR(A743="",COUNT(H743)=0,COUNT(Z743)=0),"",ROUND(Z743-H743,2))</f>
        <v/>
      </c>
      <c r="K743" s="15">
        <f>IF(COUNT(J743)=0,"",IF(Z743=0,"n.a.",J743/Z743))</f>
        <v/>
      </c>
      <c r="L743" s="14">
        <f>IF(OR(A743="",COUNT(H743)=0,COUNT(Y743)=0),"",ROUND(H743*(1+Y743),2))</f>
        <v/>
      </c>
      <c r="M743" s="10" t="n"/>
      <c r="N743" s="10" t="n"/>
      <c r="O743" s="10" t="n"/>
      <c r="P743" s="10" t="n"/>
      <c r="Q743" s="20" t="n"/>
      <c r="R743" s="10" t="n"/>
      <c r="S743" s="10" t="n"/>
      <c r="T743" s="18" t="n"/>
      <c r="U743" s="18" t="n"/>
      <c r="V743" s="10" t="n"/>
      <c r="W743" s="10" t="n"/>
      <c r="X743" s="19">
        <f>IF(OR(A743="",COUNT(U743)=0,COUNT(AI743)=0),"",U743+AI743)</f>
        <v/>
      </c>
      <c r="Y743" s="16" t="n"/>
      <c r="Z743" s="12" t="n"/>
      <c r="AA743" s="17">
        <f>IF(COUNT(J743)=0,"",IF(H743=0,"n.a.",J743/H743))</f>
        <v/>
      </c>
      <c r="AB743" s="12" t="n"/>
      <c r="AC743" s="12" t="n"/>
      <c r="AD743" s="12" t="n"/>
      <c r="AE743" s="13">
        <f>IF(OR(COUNT(J743)=0,COUNT(AB743:AD743)&lt;3),"",ROUND(J743-SUM(AB743:AD743),2))</f>
        <v/>
      </c>
      <c r="AF743" s="15">
        <f>IF(COUNT(AE743)=0,"",IF(Z743=0,"n.a.",AE743/Z743))</f>
        <v/>
      </c>
      <c r="AG743" s="12" t="n"/>
      <c r="AH743" s="14">
        <f>IF(OR(A743="",COUNT(Z743)=0,COUNT(AG743)=0),"",ROUND(Z743-AG743,2))</f>
        <v/>
      </c>
      <c r="AI743" s="21" t="n"/>
      <c r="AJ743" s="11">
        <f>IF(A743="","",IF(COUNT(I743)=0,"Enter approved NTE",IF(COUNT(Z743)&gt;0,IF(Z743&gt;I743,"Invoice exceeds NTE","Invoice within NTE"),IF(COUNT(L743)=0,"Enter quote inputs",IF(L743&gt;I743,"Quote exceeds NTE","Quote within NTE")))))</f>
        <v/>
      </c>
      <c r="AK743" s="11">
        <f>IF(A743="","",IF(COUNT(H743)=0,"Enter direct cost",IF(COUNT(Z743)=0,"Enter invoice revenue",IF(COUNT(AB743:AD743)&lt;3,"Enter expenses (0 if none)","Complete"))))</f>
        <v/>
      </c>
      <c r="AL743" s="11">
        <f>IF(A743="","",IF(NOT(AND(COUNT(AH743)=1,N(AH743)&gt;0.004,V743&lt;&gt;"Void",V743&lt;&gt;"Not invoiced",V743&lt;&gt;"Draft")),"",IF(COUNT(X743)=0,"No due date",IF(TODAY()-X743&lt;=0,"Not yet due",IF(TODAY()-X743&lt;=30,"1-30 days",IF(TODAY()-X743&lt;=60,"31-60 days",IF(TODAY()-X743&lt;=90,"61-90 days","Over 90 days")))))))</f>
        <v/>
      </c>
      <c r="AM743" s="49">
        <f>IF(OR(AL743="",AL743="No due date"),"",MAX(TODAY()-X743,0))</f>
        <v/>
      </c>
      <c r="AN743" s="49">
        <f>IF(AL743="","",IF(COUNT(X743)=0,-100000,TODAY()-X743))</f>
        <v/>
      </c>
      <c r="AO743" s="49">
        <f>IF(AN743="","",COUNTIF(AN$11:AN$1010,"&gt;"&amp;AN743)+COUNTIF(AN$11:AN743,AN743))</f>
        <v/>
      </c>
      <c r="AP743" s="49">
        <f>IF(OR(A743="",B743=""),"",IF(COUNTIF(B$11:B743,B743)=1,MAX(AP$10:AP742)+1,""))</f>
        <v/>
      </c>
    </row>
    <row r="744">
      <c r="A744" s="20" t="n"/>
      <c r="B744" s="10" t="n"/>
      <c r="C744" s="10" t="n"/>
      <c r="D744" s="10" t="n"/>
      <c r="E744" s="10" t="n"/>
      <c r="F744" s="18" t="n"/>
      <c r="G744" s="10" t="n"/>
      <c r="H744" s="12" t="n"/>
      <c r="I744" s="12" t="n"/>
      <c r="J744" s="13">
        <f>IF(OR(A744="",COUNT(H744)=0,COUNT(Z744)=0),"",ROUND(Z744-H744,2))</f>
        <v/>
      </c>
      <c r="K744" s="15">
        <f>IF(COUNT(J744)=0,"",IF(Z744=0,"n.a.",J744/Z744))</f>
        <v/>
      </c>
      <c r="L744" s="14">
        <f>IF(OR(A744="",COUNT(H744)=0,COUNT(Y744)=0),"",ROUND(H744*(1+Y744),2))</f>
        <v/>
      </c>
      <c r="M744" s="10" t="n"/>
      <c r="N744" s="10" t="n"/>
      <c r="O744" s="10" t="n"/>
      <c r="P744" s="10" t="n"/>
      <c r="Q744" s="20" t="n"/>
      <c r="R744" s="10" t="n"/>
      <c r="S744" s="10" t="n"/>
      <c r="T744" s="18" t="n"/>
      <c r="U744" s="18" t="n"/>
      <c r="V744" s="10" t="n"/>
      <c r="W744" s="10" t="n"/>
      <c r="X744" s="19">
        <f>IF(OR(A744="",COUNT(U744)=0,COUNT(AI744)=0),"",U744+AI744)</f>
        <v/>
      </c>
      <c r="Y744" s="16" t="n"/>
      <c r="Z744" s="12" t="n"/>
      <c r="AA744" s="17">
        <f>IF(COUNT(J744)=0,"",IF(H744=0,"n.a.",J744/H744))</f>
        <v/>
      </c>
      <c r="AB744" s="12" t="n"/>
      <c r="AC744" s="12" t="n"/>
      <c r="AD744" s="12" t="n"/>
      <c r="AE744" s="13">
        <f>IF(OR(COUNT(J744)=0,COUNT(AB744:AD744)&lt;3),"",ROUND(J744-SUM(AB744:AD744),2))</f>
        <v/>
      </c>
      <c r="AF744" s="15">
        <f>IF(COUNT(AE744)=0,"",IF(Z744=0,"n.a.",AE744/Z744))</f>
        <v/>
      </c>
      <c r="AG744" s="12" t="n"/>
      <c r="AH744" s="14">
        <f>IF(OR(A744="",COUNT(Z744)=0,COUNT(AG744)=0),"",ROUND(Z744-AG744,2))</f>
        <v/>
      </c>
      <c r="AI744" s="21" t="n"/>
      <c r="AJ744" s="11">
        <f>IF(A744="","",IF(COUNT(I744)=0,"Enter approved NTE",IF(COUNT(Z744)&gt;0,IF(Z744&gt;I744,"Invoice exceeds NTE","Invoice within NTE"),IF(COUNT(L744)=0,"Enter quote inputs",IF(L744&gt;I744,"Quote exceeds NTE","Quote within NTE")))))</f>
        <v/>
      </c>
      <c r="AK744" s="11">
        <f>IF(A744="","",IF(COUNT(H744)=0,"Enter direct cost",IF(COUNT(Z744)=0,"Enter invoice revenue",IF(COUNT(AB744:AD744)&lt;3,"Enter expenses (0 if none)","Complete"))))</f>
        <v/>
      </c>
      <c r="AL744" s="11">
        <f>IF(A744="","",IF(NOT(AND(COUNT(AH744)=1,N(AH744)&gt;0.004,V744&lt;&gt;"Void",V744&lt;&gt;"Not invoiced",V744&lt;&gt;"Draft")),"",IF(COUNT(X744)=0,"No due date",IF(TODAY()-X744&lt;=0,"Not yet due",IF(TODAY()-X744&lt;=30,"1-30 days",IF(TODAY()-X744&lt;=60,"31-60 days",IF(TODAY()-X744&lt;=90,"61-90 days","Over 90 days")))))))</f>
        <v/>
      </c>
      <c r="AM744" s="49">
        <f>IF(OR(AL744="",AL744="No due date"),"",MAX(TODAY()-X744,0))</f>
        <v/>
      </c>
      <c r="AN744" s="49">
        <f>IF(AL744="","",IF(COUNT(X744)=0,-100000,TODAY()-X744))</f>
        <v/>
      </c>
      <c r="AO744" s="49">
        <f>IF(AN744="","",COUNTIF(AN$11:AN$1010,"&gt;"&amp;AN744)+COUNTIF(AN$11:AN744,AN744))</f>
        <v/>
      </c>
      <c r="AP744" s="49">
        <f>IF(OR(A744="",B744=""),"",IF(COUNTIF(B$11:B744,B744)=1,MAX(AP$10:AP743)+1,""))</f>
        <v/>
      </c>
    </row>
    <row r="745">
      <c r="A745" s="20" t="n"/>
      <c r="B745" s="10" t="n"/>
      <c r="C745" s="10" t="n"/>
      <c r="D745" s="10" t="n"/>
      <c r="E745" s="10" t="n"/>
      <c r="F745" s="18" t="n"/>
      <c r="G745" s="10" t="n"/>
      <c r="H745" s="12" t="n"/>
      <c r="I745" s="12" t="n"/>
      <c r="J745" s="13">
        <f>IF(OR(A745="",COUNT(H745)=0,COUNT(Z745)=0),"",ROUND(Z745-H745,2))</f>
        <v/>
      </c>
      <c r="K745" s="15">
        <f>IF(COUNT(J745)=0,"",IF(Z745=0,"n.a.",J745/Z745))</f>
        <v/>
      </c>
      <c r="L745" s="14">
        <f>IF(OR(A745="",COUNT(H745)=0,COUNT(Y745)=0),"",ROUND(H745*(1+Y745),2))</f>
        <v/>
      </c>
      <c r="M745" s="10" t="n"/>
      <c r="N745" s="10" t="n"/>
      <c r="O745" s="10" t="n"/>
      <c r="P745" s="10" t="n"/>
      <c r="Q745" s="20" t="n"/>
      <c r="R745" s="10" t="n"/>
      <c r="S745" s="10" t="n"/>
      <c r="T745" s="18" t="n"/>
      <c r="U745" s="18" t="n"/>
      <c r="V745" s="10" t="n"/>
      <c r="W745" s="10" t="n"/>
      <c r="X745" s="19">
        <f>IF(OR(A745="",COUNT(U745)=0,COUNT(AI745)=0),"",U745+AI745)</f>
        <v/>
      </c>
      <c r="Y745" s="16" t="n"/>
      <c r="Z745" s="12" t="n"/>
      <c r="AA745" s="17">
        <f>IF(COUNT(J745)=0,"",IF(H745=0,"n.a.",J745/H745))</f>
        <v/>
      </c>
      <c r="AB745" s="12" t="n"/>
      <c r="AC745" s="12" t="n"/>
      <c r="AD745" s="12" t="n"/>
      <c r="AE745" s="13">
        <f>IF(OR(COUNT(J745)=0,COUNT(AB745:AD745)&lt;3),"",ROUND(J745-SUM(AB745:AD745),2))</f>
        <v/>
      </c>
      <c r="AF745" s="15">
        <f>IF(COUNT(AE745)=0,"",IF(Z745=0,"n.a.",AE745/Z745))</f>
        <v/>
      </c>
      <c r="AG745" s="12" t="n"/>
      <c r="AH745" s="14">
        <f>IF(OR(A745="",COUNT(Z745)=0,COUNT(AG745)=0),"",ROUND(Z745-AG745,2))</f>
        <v/>
      </c>
      <c r="AI745" s="21" t="n"/>
      <c r="AJ745" s="11">
        <f>IF(A745="","",IF(COUNT(I745)=0,"Enter approved NTE",IF(COUNT(Z745)&gt;0,IF(Z745&gt;I745,"Invoice exceeds NTE","Invoice within NTE"),IF(COUNT(L745)=0,"Enter quote inputs",IF(L745&gt;I745,"Quote exceeds NTE","Quote within NTE")))))</f>
        <v/>
      </c>
      <c r="AK745" s="11">
        <f>IF(A745="","",IF(COUNT(H745)=0,"Enter direct cost",IF(COUNT(Z745)=0,"Enter invoice revenue",IF(COUNT(AB745:AD745)&lt;3,"Enter expenses (0 if none)","Complete"))))</f>
        <v/>
      </c>
      <c r="AL745" s="11">
        <f>IF(A745="","",IF(NOT(AND(COUNT(AH745)=1,N(AH745)&gt;0.004,V745&lt;&gt;"Void",V745&lt;&gt;"Not invoiced",V745&lt;&gt;"Draft")),"",IF(COUNT(X745)=0,"No due date",IF(TODAY()-X745&lt;=0,"Not yet due",IF(TODAY()-X745&lt;=30,"1-30 days",IF(TODAY()-X745&lt;=60,"31-60 days",IF(TODAY()-X745&lt;=90,"61-90 days","Over 90 days")))))))</f>
        <v/>
      </c>
      <c r="AM745" s="49">
        <f>IF(OR(AL745="",AL745="No due date"),"",MAX(TODAY()-X745,0))</f>
        <v/>
      </c>
      <c r="AN745" s="49">
        <f>IF(AL745="","",IF(COUNT(X745)=0,-100000,TODAY()-X745))</f>
        <v/>
      </c>
      <c r="AO745" s="49">
        <f>IF(AN745="","",COUNTIF(AN$11:AN$1010,"&gt;"&amp;AN745)+COUNTIF(AN$11:AN745,AN745))</f>
        <v/>
      </c>
      <c r="AP745" s="49">
        <f>IF(OR(A745="",B745=""),"",IF(COUNTIF(B$11:B745,B745)=1,MAX(AP$10:AP744)+1,""))</f>
        <v/>
      </c>
    </row>
    <row r="746">
      <c r="A746" s="20" t="n"/>
      <c r="B746" s="10" t="n"/>
      <c r="C746" s="10" t="n"/>
      <c r="D746" s="10" t="n"/>
      <c r="E746" s="10" t="n"/>
      <c r="F746" s="18" t="n"/>
      <c r="G746" s="10" t="n"/>
      <c r="H746" s="12" t="n"/>
      <c r="I746" s="12" t="n"/>
      <c r="J746" s="13">
        <f>IF(OR(A746="",COUNT(H746)=0,COUNT(Z746)=0),"",ROUND(Z746-H746,2))</f>
        <v/>
      </c>
      <c r="K746" s="15">
        <f>IF(COUNT(J746)=0,"",IF(Z746=0,"n.a.",J746/Z746))</f>
        <v/>
      </c>
      <c r="L746" s="14">
        <f>IF(OR(A746="",COUNT(H746)=0,COUNT(Y746)=0),"",ROUND(H746*(1+Y746),2))</f>
        <v/>
      </c>
      <c r="M746" s="10" t="n"/>
      <c r="N746" s="10" t="n"/>
      <c r="O746" s="10" t="n"/>
      <c r="P746" s="10" t="n"/>
      <c r="Q746" s="20" t="n"/>
      <c r="R746" s="10" t="n"/>
      <c r="S746" s="10" t="n"/>
      <c r="T746" s="18" t="n"/>
      <c r="U746" s="18" t="n"/>
      <c r="V746" s="10" t="n"/>
      <c r="W746" s="10" t="n"/>
      <c r="X746" s="19">
        <f>IF(OR(A746="",COUNT(U746)=0,COUNT(AI746)=0),"",U746+AI746)</f>
        <v/>
      </c>
      <c r="Y746" s="16" t="n"/>
      <c r="Z746" s="12" t="n"/>
      <c r="AA746" s="17">
        <f>IF(COUNT(J746)=0,"",IF(H746=0,"n.a.",J746/H746))</f>
        <v/>
      </c>
      <c r="AB746" s="12" t="n"/>
      <c r="AC746" s="12" t="n"/>
      <c r="AD746" s="12" t="n"/>
      <c r="AE746" s="13">
        <f>IF(OR(COUNT(J746)=0,COUNT(AB746:AD746)&lt;3),"",ROUND(J746-SUM(AB746:AD746),2))</f>
        <v/>
      </c>
      <c r="AF746" s="15">
        <f>IF(COUNT(AE746)=0,"",IF(Z746=0,"n.a.",AE746/Z746))</f>
        <v/>
      </c>
      <c r="AG746" s="12" t="n"/>
      <c r="AH746" s="14">
        <f>IF(OR(A746="",COUNT(Z746)=0,COUNT(AG746)=0),"",ROUND(Z746-AG746,2))</f>
        <v/>
      </c>
      <c r="AI746" s="21" t="n"/>
      <c r="AJ746" s="11">
        <f>IF(A746="","",IF(COUNT(I746)=0,"Enter approved NTE",IF(COUNT(Z746)&gt;0,IF(Z746&gt;I746,"Invoice exceeds NTE","Invoice within NTE"),IF(COUNT(L746)=0,"Enter quote inputs",IF(L746&gt;I746,"Quote exceeds NTE","Quote within NTE")))))</f>
        <v/>
      </c>
      <c r="AK746" s="11">
        <f>IF(A746="","",IF(COUNT(H746)=0,"Enter direct cost",IF(COUNT(Z746)=0,"Enter invoice revenue",IF(COUNT(AB746:AD746)&lt;3,"Enter expenses (0 if none)","Complete"))))</f>
        <v/>
      </c>
      <c r="AL746" s="11">
        <f>IF(A746="","",IF(NOT(AND(COUNT(AH746)=1,N(AH746)&gt;0.004,V746&lt;&gt;"Void",V746&lt;&gt;"Not invoiced",V746&lt;&gt;"Draft")),"",IF(COUNT(X746)=0,"No due date",IF(TODAY()-X746&lt;=0,"Not yet due",IF(TODAY()-X746&lt;=30,"1-30 days",IF(TODAY()-X746&lt;=60,"31-60 days",IF(TODAY()-X746&lt;=90,"61-90 days","Over 90 days")))))))</f>
        <v/>
      </c>
      <c r="AM746" s="49">
        <f>IF(OR(AL746="",AL746="No due date"),"",MAX(TODAY()-X746,0))</f>
        <v/>
      </c>
      <c r="AN746" s="49">
        <f>IF(AL746="","",IF(COUNT(X746)=0,-100000,TODAY()-X746))</f>
        <v/>
      </c>
      <c r="AO746" s="49">
        <f>IF(AN746="","",COUNTIF(AN$11:AN$1010,"&gt;"&amp;AN746)+COUNTIF(AN$11:AN746,AN746))</f>
        <v/>
      </c>
      <c r="AP746" s="49">
        <f>IF(OR(A746="",B746=""),"",IF(COUNTIF(B$11:B746,B746)=1,MAX(AP$10:AP745)+1,""))</f>
        <v/>
      </c>
    </row>
    <row r="747">
      <c r="A747" s="20" t="n"/>
      <c r="B747" s="10" t="n"/>
      <c r="C747" s="10" t="n"/>
      <c r="D747" s="10" t="n"/>
      <c r="E747" s="10" t="n"/>
      <c r="F747" s="18" t="n"/>
      <c r="G747" s="10" t="n"/>
      <c r="H747" s="12" t="n"/>
      <c r="I747" s="12" t="n"/>
      <c r="J747" s="13">
        <f>IF(OR(A747="",COUNT(H747)=0,COUNT(Z747)=0),"",ROUND(Z747-H747,2))</f>
        <v/>
      </c>
      <c r="K747" s="15">
        <f>IF(COUNT(J747)=0,"",IF(Z747=0,"n.a.",J747/Z747))</f>
        <v/>
      </c>
      <c r="L747" s="14">
        <f>IF(OR(A747="",COUNT(H747)=0,COUNT(Y747)=0),"",ROUND(H747*(1+Y747),2))</f>
        <v/>
      </c>
      <c r="M747" s="10" t="n"/>
      <c r="N747" s="10" t="n"/>
      <c r="O747" s="10" t="n"/>
      <c r="P747" s="10" t="n"/>
      <c r="Q747" s="20" t="n"/>
      <c r="R747" s="10" t="n"/>
      <c r="S747" s="10" t="n"/>
      <c r="T747" s="18" t="n"/>
      <c r="U747" s="18" t="n"/>
      <c r="V747" s="10" t="n"/>
      <c r="W747" s="10" t="n"/>
      <c r="X747" s="19">
        <f>IF(OR(A747="",COUNT(U747)=0,COUNT(AI747)=0),"",U747+AI747)</f>
        <v/>
      </c>
      <c r="Y747" s="16" t="n"/>
      <c r="Z747" s="12" t="n"/>
      <c r="AA747" s="17">
        <f>IF(COUNT(J747)=0,"",IF(H747=0,"n.a.",J747/H747))</f>
        <v/>
      </c>
      <c r="AB747" s="12" t="n"/>
      <c r="AC747" s="12" t="n"/>
      <c r="AD747" s="12" t="n"/>
      <c r="AE747" s="13">
        <f>IF(OR(COUNT(J747)=0,COUNT(AB747:AD747)&lt;3),"",ROUND(J747-SUM(AB747:AD747),2))</f>
        <v/>
      </c>
      <c r="AF747" s="15">
        <f>IF(COUNT(AE747)=0,"",IF(Z747=0,"n.a.",AE747/Z747))</f>
        <v/>
      </c>
      <c r="AG747" s="12" t="n"/>
      <c r="AH747" s="14">
        <f>IF(OR(A747="",COUNT(Z747)=0,COUNT(AG747)=0),"",ROUND(Z747-AG747,2))</f>
        <v/>
      </c>
      <c r="AI747" s="21" t="n"/>
      <c r="AJ747" s="11">
        <f>IF(A747="","",IF(COUNT(I747)=0,"Enter approved NTE",IF(COUNT(Z747)&gt;0,IF(Z747&gt;I747,"Invoice exceeds NTE","Invoice within NTE"),IF(COUNT(L747)=0,"Enter quote inputs",IF(L747&gt;I747,"Quote exceeds NTE","Quote within NTE")))))</f>
        <v/>
      </c>
      <c r="AK747" s="11">
        <f>IF(A747="","",IF(COUNT(H747)=0,"Enter direct cost",IF(COUNT(Z747)=0,"Enter invoice revenue",IF(COUNT(AB747:AD747)&lt;3,"Enter expenses (0 if none)","Complete"))))</f>
        <v/>
      </c>
      <c r="AL747" s="11">
        <f>IF(A747="","",IF(NOT(AND(COUNT(AH747)=1,N(AH747)&gt;0.004,V747&lt;&gt;"Void",V747&lt;&gt;"Not invoiced",V747&lt;&gt;"Draft")),"",IF(COUNT(X747)=0,"No due date",IF(TODAY()-X747&lt;=0,"Not yet due",IF(TODAY()-X747&lt;=30,"1-30 days",IF(TODAY()-X747&lt;=60,"31-60 days",IF(TODAY()-X747&lt;=90,"61-90 days","Over 90 days")))))))</f>
        <v/>
      </c>
      <c r="AM747" s="49">
        <f>IF(OR(AL747="",AL747="No due date"),"",MAX(TODAY()-X747,0))</f>
        <v/>
      </c>
      <c r="AN747" s="49">
        <f>IF(AL747="","",IF(COUNT(X747)=0,-100000,TODAY()-X747))</f>
        <v/>
      </c>
      <c r="AO747" s="49">
        <f>IF(AN747="","",COUNTIF(AN$11:AN$1010,"&gt;"&amp;AN747)+COUNTIF(AN$11:AN747,AN747))</f>
        <v/>
      </c>
      <c r="AP747" s="49">
        <f>IF(OR(A747="",B747=""),"",IF(COUNTIF(B$11:B747,B747)=1,MAX(AP$10:AP746)+1,""))</f>
        <v/>
      </c>
    </row>
    <row r="748">
      <c r="A748" s="20" t="n"/>
      <c r="B748" s="10" t="n"/>
      <c r="C748" s="10" t="n"/>
      <c r="D748" s="10" t="n"/>
      <c r="E748" s="10" t="n"/>
      <c r="F748" s="18" t="n"/>
      <c r="G748" s="10" t="n"/>
      <c r="H748" s="12" t="n"/>
      <c r="I748" s="12" t="n"/>
      <c r="J748" s="13">
        <f>IF(OR(A748="",COUNT(H748)=0,COUNT(Z748)=0),"",ROUND(Z748-H748,2))</f>
        <v/>
      </c>
      <c r="K748" s="15">
        <f>IF(COUNT(J748)=0,"",IF(Z748=0,"n.a.",J748/Z748))</f>
        <v/>
      </c>
      <c r="L748" s="14">
        <f>IF(OR(A748="",COUNT(H748)=0,COUNT(Y748)=0),"",ROUND(H748*(1+Y748),2))</f>
        <v/>
      </c>
      <c r="M748" s="10" t="n"/>
      <c r="N748" s="10" t="n"/>
      <c r="O748" s="10" t="n"/>
      <c r="P748" s="10" t="n"/>
      <c r="Q748" s="20" t="n"/>
      <c r="R748" s="10" t="n"/>
      <c r="S748" s="10" t="n"/>
      <c r="T748" s="18" t="n"/>
      <c r="U748" s="18" t="n"/>
      <c r="V748" s="10" t="n"/>
      <c r="W748" s="10" t="n"/>
      <c r="X748" s="19">
        <f>IF(OR(A748="",COUNT(U748)=0,COUNT(AI748)=0),"",U748+AI748)</f>
        <v/>
      </c>
      <c r="Y748" s="16" t="n"/>
      <c r="Z748" s="12" t="n"/>
      <c r="AA748" s="17">
        <f>IF(COUNT(J748)=0,"",IF(H748=0,"n.a.",J748/H748))</f>
        <v/>
      </c>
      <c r="AB748" s="12" t="n"/>
      <c r="AC748" s="12" t="n"/>
      <c r="AD748" s="12" t="n"/>
      <c r="AE748" s="13">
        <f>IF(OR(COUNT(J748)=0,COUNT(AB748:AD748)&lt;3),"",ROUND(J748-SUM(AB748:AD748),2))</f>
        <v/>
      </c>
      <c r="AF748" s="15">
        <f>IF(COUNT(AE748)=0,"",IF(Z748=0,"n.a.",AE748/Z748))</f>
        <v/>
      </c>
      <c r="AG748" s="12" t="n"/>
      <c r="AH748" s="14">
        <f>IF(OR(A748="",COUNT(Z748)=0,COUNT(AG748)=0),"",ROUND(Z748-AG748,2))</f>
        <v/>
      </c>
      <c r="AI748" s="21" t="n"/>
      <c r="AJ748" s="11">
        <f>IF(A748="","",IF(COUNT(I748)=0,"Enter approved NTE",IF(COUNT(Z748)&gt;0,IF(Z748&gt;I748,"Invoice exceeds NTE","Invoice within NTE"),IF(COUNT(L748)=0,"Enter quote inputs",IF(L748&gt;I748,"Quote exceeds NTE","Quote within NTE")))))</f>
        <v/>
      </c>
      <c r="AK748" s="11">
        <f>IF(A748="","",IF(COUNT(H748)=0,"Enter direct cost",IF(COUNT(Z748)=0,"Enter invoice revenue",IF(COUNT(AB748:AD748)&lt;3,"Enter expenses (0 if none)","Complete"))))</f>
        <v/>
      </c>
      <c r="AL748" s="11">
        <f>IF(A748="","",IF(NOT(AND(COUNT(AH748)=1,N(AH748)&gt;0.004,V748&lt;&gt;"Void",V748&lt;&gt;"Not invoiced",V748&lt;&gt;"Draft")),"",IF(COUNT(X748)=0,"No due date",IF(TODAY()-X748&lt;=0,"Not yet due",IF(TODAY()-X748&lt;=30,"1-30 days",IF(TODAY()-X748&lt;=60,"31-60 days",IF(TODAY()-X748&lt;=90,"61-90 days","Over 90 days")))))))</f>
        <v/>
      </c>
      <c r="AM748" s="49">
        <f>IF(OR(AL748="",AL748="No due date"),"",MAX(TODAY()-X748,0))</f>
        <v/>
      </c>
      <c r="AN748" s="49">
        <f>IF(AL748="","",IF(COUNT(X748)=0,-100000,TODAY()-X748))</f>
        <v/>
      </c>
      <c r="AO748" s="49">
        <f>IF(AN748="","",COUNTIF(AN$11:AN$1010,"&gt;"&amp;AN748)+COUNTIF(AN$11:AN748,AN748))</f>
        <v/>
      </c>
      <c r="AP748" s="49">
        <f>IF(OR(A748="",B748=""),"",IF(COUNTIF(B$11:B748,B748)=1,MAX(AP$10:AP747)+1,""))</f>
        <v/>
      </c>
    </row>
    <row r="749">
      <c r="A749" s="20" t="n"/>
      <c r="B749" s="10" t="n"/>
      <c r="C749" s="10" t="n"/>
      <c r="D749" s="10" t="n"/>
      <c r="E749" s="10" t="n"/>
      <c r="F749" s="18" t="n"/>
      <c r="G749" s="10" t="n"/>
      <c r="H749" s="12" t="n"/>
      <c r="I749" s="12" t="n"/>
      <c r="J749" s="13">
        <f>IF(OR(A749="",COUNT(H749)=0,COUNT(Z749)=0),"",ROUND(Z749-H749,2))</f>
        <v/>
      </c>
      <c r="K749" s="15">
        <f>IF(COUNT(J749)=0,"",IF(Z749=0,"n.a.",J749/Z749))</f>
        <v/>
      </c>
      <c r="L749" s="14">
        <f>IF(OR(A749="",COUNT(H749)=0,COUNT(Y749)=0),"",ROUND(H749*(1+Y749),2))</f>
        <v/>
      </c>
      <c r="M749" s="10" t="n"/>
      <c r="N749" s="10" t="n"/>
      <c r="O749" s="10" t="n"/>
      <c r="P749" s="10" t="n"/>
      <c r="Q749" s="20" t="n"/>
      <c r="R749" s="10" t="n"/>
      <c r="S749" s="10" t="n"/>
      <c r="T749" s="18" t="n"/>
      <c r="U749" s="18" t="n"/>
      <c r="V749" s="10" t="n"/>
      <c r="W749" s="10" t="n"/>
      <c r="X749" s="19">
        <f>IF(OR(A749="",COUNT(U749)=0,COUNT(AI749)=0),"",U749+AI749)</f>
        <v/>
      </c>
      <c r="Y749" s="16" t="n"/>
      <c r="Z749" s="12" t="n"/>
      <c r="AA749" s="17">
        <f>IF(COUNT(J749)=0,"",IF(H749=0,"n.a.",J749/H749))</f>
        <v/>
      </c>
      <c r="AB749" s="12" t="n"/>
      <c r="AC749" s="12" t="n"/>
      <c r="AD749" s="12" t="n"/>
      <c r="AE749" s="13">
        <f>IF(OR(COUNT(J749)=0,COUNT(AB749:AD749)&lt;3),"",ROUND(J749-SUM(AB749:AD749),2))</f>
        <v/>
      </c>
      <c r="AF749" s="15">
        <f>IF(COUNT(AE749)=0,"",IF(Z749=0,"n.a.",AE749/Z749))</f>
        <v/>
      </c>
      <c r="AG749" s="12" t="n"/>
      <c r="AH749" s="14">
        <f>IF(OR(A749="",COUNT(Z749)=0,COUNT(AG749)=0),"",ROUND(Z749-AG749,2))</f>
        <v/>
      </c>
      <c r="AI749" s="21" t="n"/>
      <c r="AJ749" s="11">
        <f>IF(A749="","",IF(COUNT(I749)=0,"Enter approved NTE",IF(COUNT(Z749)&gt;0,IF(Z749&gt;I749,"Invoice exceeds NTE","Invoice within NTE"),IF(COUNT(L749)=0,"Enter quote inputs",IF(L749&gt;I749,"Quote exceeds NTE","Quote within NTE")))))</f>
        <v/>
      </c>
      <c r="AK749" s="11">
        <f>IF(A749="","",IF(COUNT(H749)=0,"Enter direct cost",IF(COUNT(Z749)=0,"Enter invoice revenue",IF(COUNT(AB749:AD749)&lt;3,"Enter expenses (0 if none)","Complete"))))</f>
        <v/>
      </c>
      <c r="AL749" s="11">
        <f>IF(A749="","",IF(NOT(AND(COUNT(AH749)=1,N(AH749)&gt;0.004,V749&lt;&gt;"Void",V749&lt;&gt;"Not invoiced",V749&lt;&gt;"Draft")),"",IF(COUNT(X749)=0,"No due date",IF(TODAY()-X749&lt;=0,"Not yet due",IF(TODAY()-X749&lt;=30,"1-30 days",IF(TODAY()-X749&lt;=60,"31-60 days",IF(TODAY()-X749&lt;=90,"61-90 days","Over 90 days")))))))</f>
        <v/>
      </c>
      <c r="AM749" s="49">
        <f>IF(OR(AL749="",AL749="No due date"),"",MAX(TODAY()-X749,0))</f>
        <v/>
      </c>
      <c r="AN749" s="49">
        <f>IF(AL749="","",IF(COUNT(X749)=0,-100000,TODAY()-X749))</f>
        <v/>
      </c>
      <c r="AO749" s="49">
        <f>IF(AN749="","",COUNTIF(AN$11:AN$1010,"&gt;"&amp;AN749)+COUNTIF(AN$11:AN749,AN749))</f>
        <v/>
      </c>
      <c r="AP749" s="49">
        <f>IF(OR(A749="",B749=""),"",IF(COUNTIF(B$11:B749,B749)=1,MAX(AP$10:AP748)+1,""))</f>
        <v/>
      </c>
    </row>
    <row r="750">
      <c r="A750" s="20" t="n"/>
      <c r="B750" s="10" t="n"/>
      <c r="C750" s="10" t="n"/>
      <c r="D750" s="10" t="n"/>
      <c r="E750" s="10" t="n"/>
      <c r="F750" s="18" t="n"/>
      <c r="G750" s="10" t="n"/>
      <c r="H750" s="12" t="n"/>
      <c r="I750" s="12" t="n"/>
      <c r="J750" s="13">
        <f>IF(OR(A750="",COUNT(H750)=0,COUNT(Z750)=0),"",ROUND(Z750-H750,2))</f>
        <v/>
      </c>
      <c r="K750" s="15">
        <f>IF(COUNT(J750)=0,"",IF(Z750=0,"n.a.",J750/Z750))</f>
        <v/>
      </c>
      <c r="L750" s="14">
        <f>IF(OR(A750="",COUNT(H750)=0,COUNT(Y750)=0),"",ROUND(H750*(1+Y750),2))</f>
        <v/>
      </c>
      <c r="M750" s="10" t="n"/>
      <c r="N750" s="10" t="n"/>
      <c r="O750" s="10" t="n"/>
      <c r="P750" s="10" t="n"/>
      <c r="Q750" s="20" t="n"/>
      <c r="R750" s="10" t="n"/>
      <c r="S750" s="10" t="n"/>
      <c r="T750" s="18" t="n"/>
      <c r="U750" s="18" t="n"/>
      <c r="V750" s="10" t="n"/>
      <c r="W750" s="10" t="n"/>
      <c r="X750" s="19">
        <f>IF(OR(A750="",COUNT(U750)=0,COUNT(AI750)=0),"",U750+AI750)</f>
        <v/>
      </c>
      <c r="Y750" s="16" t="n"/>
      <c r="Z750" s="12" t="n"/>
      <c r="AA750" s="17">
        <f>IF(COUNT(J750)=0,"",IF(H750=0,"n.a.",J750/H750))</f>
        <v/>
      </c>
      <c r="AB750" s="12" t="n"/>
      <c r="AC750" s="12" t="n"/>
      <c r="AD750" s="12" t="n"/>
      <c r="AE750" s="13">
        <f>IF(OR(COUNT(J750)=0,COUNT(AB750:AD750)&lt;3),"",ROUND(J750-SUM(AB750:AD750),2))</f>
        <v/>
      </c>
      <c r="AF750" s="15">
        <f>IF(COUNT(AE750)=0,"",IF(Z750=0,"n.a.",AE750/Z750))</f>
        <v/>
      </c>
      <c r="AG750" s="12" t="n"/>
      <c r="AH750" s="14">
        <f>IF(OR(A750="",COUNT(Z750)=0,COUNT(AG750)=0),"",ROUND(Z750-AG750,2))</f>
        <v/>
      </c>
      <c r="AI750" s="21" t="n"/>
      <c r="AJ750" s="11">
        <f>IF(A750="","",IF(COUNT(I750)=0,"Enter approved NTE",IF(COUNT(Z750)&gt;0,IF(Z750&gt;I750,"Invoice exceeds NTE","Invoice within NTE"),IF(COUNT(L750)=0,"Enter quote inputs",IF(L750&gt;I750,"Quote exceeds NTE","Quote within NTE")))))</f>
        <v/>
      </c>
      <c r="AK750" s="11">
        <f>IF(A750="","",IF(COUNT(H750)=0,"Enter direct cost",IF(COUNT(Z750)=0,"Enter invoice revenue",IF(COUNT(AB750:AD750)&lt;3,"Enter expenses (0 if none)","Complete"))))</f>
        <v/>
      </c>
      <c r="AL750" s="11">
        <f>IF(A750="","",IF(NOT(AND(COUNT(AH750)=1,N(AH750)&gt;0.004,V750&lt;&gt;"Void",V750&lt;&gt;"Not invoiced",V750&lt;&gt;"Draft")),"",IF(COUNT(X750)=0,"No due date",IF(TODAY()-X750&lt;=0,"Not yet due",IF(TODAY()-X750&lt;=30,"1-30 days",IF(TODAY()-X750&lt;=60,"31-60 days",IF(TODAY()-X750&lt;=90,"61-90 days","Over 90 days")))))))</f>
        <v/>
      </c>
      <c r="AM750" s="49">
        <f>IF(OR(AL750="",AL750="No due date"),"",MAX(TODAY()-X750,0))</f>
        <v/>
      </c>
      <c r="AN750" s="49">
        <f>IF(AL750="","",IF(COUNT(X750)=0,-100000,TODAY()-X750))</f>
        <v/>
      </c>
      <c r="AO750" s="49">
        <f>IF(AN750="","",COUNTIF(AN$11:AN$1010,"&gt;"&amp;AN750)+COUNTIF(AN$11:AN750,AN750))</f>
        <v/>
      </c>
      <c r="AP750" s="49">
        <f>IF(OR(A750="",B750=""),"",IF(COUNTIF(B$11:B750,B750)=1,MAX(AP$10:AP749)+1,""))</f>
        <v/>
      </c>
    </row>
    <row r="751">
      <c r="A751" s="20" t="n"/>
      <c r="B751" s="10" t="n"/>
      <c r="C751" s="10" t="n"/>
      <c r="D751" s="10" t="n"/>
      <c r="E751" s="10" t="n"/>
      <c r="F751" s="18" t="n"/>
      <c r="G751" s="10" t="n"/>
      <c r="H751" s="12" t="n"/>
      <c r="I751" s="12" t="n"/>
      <c r="J751" s="13">
        <f>IF(OR(A751="",COUNT(H751)=0,COUNT(Z751)=0),"",ROUND(Z751-H751,2))</f>
        <v/>
      </c>
      <c r="K751" s="15">
        <f>IF(COUNT(J751)=0,"",IF(Z751=0,"n.a.",J751/Z751))</f>
        <v/>
      </c>
      <c r="L751" s="14">
        <f>IF(OR(A751="",COUNT(H751)=0,COUNT(Y751)=0),"",ROUND(H751*(1+Y751),2))</f>
        <v/>
      </c>
      <c r="M751" s="10" t="n"/>
      <c r="N751" s="10" t="n"/>
      <c r="O751" s="10" t="n"/>
      <c r="P751" s="10" t="n"/>
      <c r="Q751" s="20" t="n"/>
      <c r="R751" s="10" t="n"/>
      <c r="S751" s="10" t="n"/>
      <c r="T751" s="18" t="n"/>
      <c r="U751" s="18" t="n"/>
      <c r="V751" s="10" t="n"/>
      <c r="W751" s="10" t="n"/>
      <c r="X751" s="19">
        <f>IF(OR(A751="",COUNT(U751)=0,COUNT(AI751)=0),"",U751+AI751)</f>
        <v/>
      </c>
      <c r="Y751" s="16" t="n"/>
      <c r="Z751" s="12" t="n"/>
      <c r="AA751" s="17">
        <f>IF(COUNT(J751)=0,"",IF(H751=0,"n.a.",J751/H751))</f>
        <v/>
      </c>
      <c r="AB751" s="12" t="n"/>
      <c r="AC751" s="12" t="n"/>
      <c r="AD751" s="12" t="n"/>
      <c r="AE751" s="13">
        <f>IF(OR(COUNT(J751)=0,COUNT(AB751:AD751)&lt;3),"",ROUND(J751-SUM(AB751:AD751),2))</f>
        <v/>
      </c>
      <c r="AF751" s="15">
        <f>IF(COUNT(AE751)=0,"",IF(Z751=0,"n.a.",AE751/Z751))</f>
        <v/>
      </c>
      <c r="AG751" s="12" t="n"/>
      <c r="AH751" s="14">
        <f>IF(OR(A751="",COUNT(Z751)=0,COUNT(AG751)=0),"",ROUND(Z751-AG751,2))</f>
        <v/>
      </c>
      <c r="AI751" s="21" t="n"/>
      <c r="AJ751" s="11">
        <f>IF(A751="","",IF(COUNT(I751)=0,"Enter approved NTE",IF(COUNT(Z751)&gt;0,IF(Z751&gt;I751,"Invoice exceeds NTE","Invoice within NTE"),IF(COUNT(L751)=0,"Enter quote inputs",IF(L751&gt;I751,"Quote exceeds NTE","Quote within NTE")))))</f>
        <v/>
      </c>
      <c r="AK751" s="11">
        <f>IF(A751="","",IF(COUNT(H751)=0,"Enter direct cost",IF(COUNT(Z751)=0,"Enter invoice revenue",IF(COUNT(AB751:AD751)&lt;3,"Enter expenses (0 if none)","Complete"))))</f>
        <v/>
      </c>
      <c r="AL751" s="11">
        <f>IF(A751="","",IF(NOT(AND(COUNT(AH751)=1,N(AH751)&gt;0.004,V751&lt;&gt;"Void",V751&lt;&gt;"Not invoiced",V751&lt;&gt;"Draft")),"",IF(COUNT(X751)=0,"No due date",IF(TODAY()-X751&lt;=0,"Not yet due",IF(TODAY()-X751&lt;=30,"1-30 days",IF(TODAY()-X751&lt;=60,"31-60 days",IF(TODAY()-X751&lt;=90,"61-90 days","Over 90 days")))))))</f>
        <v/>
      </c>
      <c r="AM751" s="49">
        <f>IF(OR(AL751="",AL751="No due date"),"",MAX(TODAY()-X751,0))</f>
        <v/>
      </c>
      <c r="AN751" s="49">
        <f>IF(AL751="","",IF(COUNT(X751)=0,-100000,TODAY()-X751))</f>
        <v/>
      </c>
      <c r="AO751" s="49">
        <f>IF(AN751="","",COUNTIF(AN$11:AN$1010,"&gt;"&amp;AN751)+COUNTIF(AN$11:AN751,AN751))</f>
        <v/>
      </c>
      <c r="AP751" s="49">
        <f>IF(OR(A751="",B751=""),"",IF(COUNTIF(B$11:B751,B751)=1,MAX(AP$10:AP750)+1,""))</f>
        <v/>
      </c>
    </row>
    <row r="752">
      <c r="A752" s="20" t="n"/>
      <c r="B752" s="10" t="n"/>
      <c r="C752" s="10" t="n"/>
      <c r="D752" s="10" t="n"/>
      <c r="E752" s="10" t="n"/>
      <c r="F752" s="18" t="n"/>
      <c r="G752" s="10" t="n"/>
      <c r="H752" s="12" t="n"/>
      <c r="I752" s="12" t="n"/>
      <c r="J752" s="13">
        <f>IF(OR(A752="",COUNT(H752)=0,COUNT(Z752)=0),"",ROUND(Z752-H752,2))</f>
        <v/>
      </c>
      <c r="K752" s="15">
        <f>IF(COUNT(J752)=0,"",IF(Z752=0,"n.a.",J752/Z752))</f>
        <v/>
      </c>
      <c r="L752" s="14">
        <f>IF(OR(A752="",COUNT(H752)=0,COUNT(Y752)=0),"",ROUND(H752*(1+Y752),2))</f>
        <v/>
      </c>
      <c r="M752" s="10" t="n"/>
      <c r="N752" s="10" t="n"/>
      <c r="O752" s="10" t="n"/>
      <c r="P752" s="10" t="n"/>
      <c r="Q752" s="20" t="n"/>
      <c r="R752" s="10" t="n"/>
      <c r="S752" s="10" t="n"/>
      <c r="T752" s="18" t="n"/>
      <c r="U752" s="18" t="n"/>
      <c r="V752" s="10" t="n"/>
      <c r="W752" s="10" t="n"/>
      <c r="X752" s="19">
        <f>IF(OR(A752="",COUNT(U752)=0,COUNT(AI752)=0),"",U752+AI752)</f>
        <v/>
      </c>
      <c r="Y752" s="16" t="n"/>
      <c r="Z752" s="12" t="n"/>
      <c r="AA752" s="17">
        <f>IF(COUNT(J752)=0,"",IF(H752=0,"n.a.",J752/H752))</f>
        <v/>
      </c>
      <c r="AB752" s="12" t="n"/>
      <c r="AC752" s="12" t="n"/>
      <c r="AD752" s="12" t="n"/>
      <c r="AE752" s="13">
        <f>IF(OR(COUNT(J752)=0,COUNT(AB752:AD752)&lt;3),"",ROUND(J752-SUM(AB752:AD752),2))</f>
        <v/>
      </c>
      <c r="AF752" s="15">
        <f>IF(COUNT(AE752)=0,"",IF(Z752=0,"n.a.",AE752/Z752))</f>
        <v/>
      </c>
      <c r="AG752" s="12" t="n"/>
      <c r="AH752" s="14">
        <f>IF(OR(A752="",COUNT(Z752)=0,COUNT(AG752)=0),"",ROUND(Z752-AG752,2))</f>
        <v/>
      </c>
      <c r="AI752" s="21" t="n"/>
      <c r="AJ752" s="11">
        <f>IF(A752="","",IF(COUNT(I752)=0,"Enter approved NTE",IF(COUNT(Z752)&gt;0,IF(Z752&gt;I752,"Invoice exceeds NTE","Invoice within NTE"),IF(COUNT(L752)=0,"Enter quote inputs",IF(L752&gt;I752,"Quote exceeds NTE","Quote within NTE")))))</f>
        <v/>
      </c>
      <c r="AK752" s="11">
        <f>IF(A752="","",IF(COUNT(H752)=0,"Enter direct cost",IF(COUNT(Z752)=0,"Enter invoice revenue",IF(COUNT(AB752:AD752)&lt;3,"Enter expenses (0 if none)","Complete"))))</f>
        <v/>
      </c>
      <c r="AL752" s="11">
        <f>IF(A752="","",IF(NOT(AND(COUNT(AH752)=1,N(AH752)&gt;0.004,V752&lt;&gt;"Void",V752&lt;&gt;"Not invoiced",V752&lt;&gt;"Draft")),"",IF(COUNT(X752)=0,"No due date",IF(TODAY()-X752&lt;=0,"Not yet due",IF(TODAY()-X752&lt;=30,"1-30 days",IF(TODAY()-X752&lt;=60,"31-60 days",IF(TODAY()-X752&lt;=90,"61-90 days","Over 90 days")))))))</f>
        <v/>
      </c>
      <c r="AM752" s="49">
        <f>IF(OR(AL752="",AL752="No due date"),"",MAX(TODAY()-X752,0))</f>
        <v/>
      </c>
      <c r="AN752" s="49">
        <f>IF(AL752="","",IF(COUNT(X752)=0,-100000,TODAY()-X752))</f>
        <v/>
      </c>
      <c r="AO752" s="49">
        <f>IF(AN752="","",COUNTIF(AN$11:AN$1010,"&gt;"&amp;AN752)+COUNTIF(AN$11:AN752,AN752))</f>
        <v/>
      </c>
      <c r="AP752" s="49">
        <f>IF(OR(A752="",B752=""),"",IF(COUNTIF(B$11:B752,B752)=1,MAX(AP$10:AP751)+1,""))</f>
        <v/>
      </c>
    </row>
    <row r="753">
      <c r="A753" s="20" t="n"/>
      <c r="B753" s="10" t="n"/>
      <c r="C753" s="10" t="n"/>
      <c r="D753" s="10" t="n"/>
      <c r="E753" s="10" t="n"/>
      <c r="F753" s="18" t="n"/>
      <c r="G753" s="10" t="n"/>
      <c r="H753" s="12" t="n"/>
      <c r="I753" s="12" t="n"/>
      <c r="J753" s="13">
        <f>IF(OR(A753="",COUNT(H753)=0,COUNT(Z753)=0),"",ROUND(Z753-H753,2))</f>
        <v/>
      </c>
      <c r="K753" s="15">
        <f>IF(COUNT(J753)=0,"",IF(Z753=0,"n.a.",J753/Z753))</f>
        <v/>
      </c>
      <c r="L753" s="14">
        <f>IF(OR(A753="",COUNT(H753)=0,COUNT(Y753)=0),"",ROUND(H753*(1+Y753),2))</f>
        <v/>
      </c>
      <c r="M753" s="10" t="n"/>
      <c r="N753" s="10" t="n"/>
      <c r="O753" s="10" t="n"/>
      <c r="P753" s="10" t="n"/>
      <c r="Q753" s="20" t="n"/>
      <c r="R753" s="10" t="n"/>
      <c r="S753" s="10" t="n"/>
      <c r="T753" s="18" t="n"/>
      <c r="U753" s="18" t="n"/>
      <c r="V753" s="10" t="n"/>
      <c r="W753" s="10" t="n"/>
      <c r="X753" s="19">
        <f>IF(OR(A753="",COUNT(U753)=0,COUNT(AI753)=0),"",U753+AI753)</f>
        <v/>
      </c>
      <c r="Y753" s="16" t="n"/>
      <c r="Z753" s="12" t="n"/>
      <c r="AA753" s="17">
        <f>IF(COUNT(J753)=0,"",IF(H753=0,"n.a.",J753/H753))</f>
        <v/>
      </c>
      <c r="AB753" s="12" t="n"/>
      <c r="AC753" s="12" t="n"/>
      <c r="AD753" s="12" t="n"/>
      <c r="AE753" s="13">
        <f>IF(OR(COUNT(J753)=0,COUNT(AB753:AD753)&lt;3),"",ROUND(J753-SUM(AB753:AD753),2))</f>
        <v/>
      </c>
      <c r="AF753" s="15">
        <f>IF(COUNT(AE753)=0,"",IF(Z753=0,"n.a.",AE753/Z753))</f>
        <v/>
      </c>
      <c r="AG753" s="12" t="n"/>
      <c r="AH753" s="14">
        <f>IF(OR(A753="",COUNT(Z753)=0,COUNT(AG753)=0),"",ROUND(Z753-AG753,2))</f>
        <v/>
      </c>
      <c r="AI753" s="21" t="n"/>
      <c r="AJ753" s="11">
        <f>IF(A753="","",IF(COUNT(I753)=0,"Enter approved NTE",IF(COUNT(Z753)&gt;0,IF(Z753&gt;I753,"Invoice exceeds NTE","Invoice within NTE"),IF(COUNT(L753)=0,"Enter quote inputs",IF(L753&gt;I753,"Quote exceeds NTE","Quote within NTE")))))</f>
        <v/>
      </c>
      <c r="AK753" s="11">
        <f>IF(A753="","",IF(COUNT(H753)=0,"Enter direct cost",IF(COUNT(Z753)=0,"Enter invoice revenue",IF(COUNT(AB753:AD753)&lt;3,"Enter expenses (0 if none)","Complete"))))</f>
        <v/>
      </c>
      <c r="AL753" s="11">
        <f>IF(A753="","",IF(NOT(AND(COUNT(AH753)=1,N(AH753)&gt;0.004,V753&lt;&gt;"Void",V753&lt;&gt;"Not invoiced",V753&lt;&gt;"Draft")),"",IF(COUNT(X753)=0,"No due date",IF(TODAY()-X753&lt;=0,"Not yet due",IF(TODAY()-X753&lt;=30,"1-30 days",IF(TODAY()-X753&lt;=60,"31-60 days",IF(TODAY()-X753&lt;=90,"61-90 days","Over 90 days")))))))</f>
        <v/>
      </c>
      <c r="AM753" s="49">
        <f>IF(OR(AL753="",AL753="No due date"),"",MAX(TODAY()-X753,0))</f>
        <v/>
      </c>
      <c r="AN753" s="49">
        <f>IF(AL753="","",IF(COUNT(X753)=0,-100000,TODAY()-X753))</f>
        <v/>
      </c>
      <c r="AO753" s="49">
        <f>IF(AN753="","",COUNTIF(AN$11:AN$1010,"&gt;"&amp;AN753)+COUNTIF(AN$11:AN753,AN753))</f>
        <v/>
      </c>
      <c r="AP753" s="49">
        <f>IF(OR(A753="",B753=""),"",IF(COUNTIF(B$11:B753,B753)=1,MAX(AP$10:AP752)+1,""))</f>
        <v/>
      </c>
    </row>
    <row r="754">
      <c r="A754" s="20" t="n"/>
      <c r="B754" s="10" t="n"/>
      <c r="C754" s="10" t="n"/>
      <c r="D754" s="10" t="n"/>
      <c r="E754" s="10" t="n"/>
      <c r="F754" s="18" t="n"/>
      <c r="G754" s="10" t="n"/>
      <c r="H754" s="12" t="n"/>
      <c r="I754" s="12" t="n"/>
      <c r="J754" s="13">
        <f>IF(OR(A754="",COUNT(H754)=0,COUNT(Z754)=0),"",ROUND(Z754-H754,2))</f>
        <v/>
      </c>
      <c r="K754" s="15">
        <f>IF(COUNT(J754)=0,"",IF(Z754=0,"n.a.",J754/Z754))</f>
        <v/>
      </c>
      <c r="L754" s="14">
        <f>IF(OR(A754="",COUNT(H754)=0,COUNT(Y754)=0),"",ROUND(H754*(1+Y754),2))</f>
        <v/>
      </c>
      <c r="M754" s="10" t="n"/>
      <c r="N754" s="10" t="n"/>
      <c r="O754" s="10" t="n"/>
      <c r="P754" s="10" t="n"/>
      <c r="Q754" s="20" t="n"/>
      <c r="R754" s="10" t="n"/>
      <c r="S754" s="10" t="n"/>
      <c r="T754" s="18" t="n"/>
      <c r="U754" s="18" t="n"/>
      <c r="V754" s="10" t="n"/>
      <c r="W754" s="10" t="n"/>
      <c r="X754" s="19">
        <f>IF(OR(A754="",COUNT(U754)=0,COUNT(AI754)=0),"",U754+AI754)</f>
        <v/>
      </c>
      <c r="Y754" s="16" t="n"/>
      <c r="Z754" s="12" t="n"/>
      <c r="AA754" s="17">
        <f>IF(COUNT(J754)=0,"",IF(H754=0,"n.a.",J754/H754))</f>
        <v/>
      </c>
      <c r="AB754" s="12" t="n"/>
      <c r="AC754" s="12" t="n"/>
      <c r="AD754" s="12" t="n"/>
      <c r="AE754" s="13">
        <f>IF(OR(COUNT(J754)=0,COUNT(AB754:AD754)&lt;3),"",ROUND(J754-SUM(AB754:AD754),2))</f>
        <v/>
      </c>
      <c r="AF754" s="15">
        <f>IF(COUNT(AE754)=0,"",IF(Z754=0,"n.a.",AE754/Z754))</f>
        <v/>
      </c>
      <c r="AG754" s="12" t="n"/>
      <c r="AH754" s="14">
        <f>IF(OR(A754="",COUNT(Z754)=0,COUNT(AG754)=0),"",ROUND(Z754-AG754,2))</f>
        <v/>
      </c>
      <c r="AI754" s="21" t="n"/>
      <c r="AJ754" s="11">
        <f>IF(A754="","",IF(COUNT(I754)=0,"Enter approved NTE",IF(COUNT(Z754)&gt;0,IF(Z754&gt;I754,"Invoice exceeds NTE","Invoice within NTE"),IF(COUNT(L754)=0,"Enter quote inputs",IF(L754&gt;I754,"Quote exceeds NTE","Quote within NTE")))))</f>
        <v/>
      </c>
      <c r="AK754" s="11">
        <f>IF(A754="","",IF(COUNT(H754)=0,"Enter direct cost",IF(COUNT(Z754)=0,"Enter invoice revenue",IF(COUNT(AB754:AD754)&lt;3,"Enter expenses (0 if none)","Complete"))))</f>
        <v/>
      </c>
      <c r="AL754" s="11">
        <f>IF(A754="","",IF(NOT(AND(COUNT(AH754)=1,N(AH754)&gt;0.004,V754&lt;&gt;"Void",V754&lt;&gt;"Not invoiced",V754&lt;&gt;"Draft")),"",IF(COUNT(X754)=0,"No due date",IF(TODAY()-X754&lt;=0,"Not yet due",IF(TODAY()-X754&lt;=30,"1-30 days",IF(TODAY()-X754&lt;=60,"31-60 days",IF(TODAY()-X754&lt;=90,"61-90 days","Over 90 days")))))))</f>
        <v/>
      </c>
      <c r="AM754" s="49">
        <f>IF(OR(AL754="",AL754="No due date"),"",MAX(TODAY()-X754,0))</f>
        <v/>
      </c>
      <c r="AN754" s="49">
        <f>IF(AL754="","",IF(COUNT(X754)=0,-100000,TODAY()-X754))</f>
        <v/>
      </c>
      <c r="AO754" s="49">
        <f>IF(AN754="","",COUNTIF(AN$11:AN$1010,"&gt;"&amp;AN754)+COUNTIF(AN$11:AN754,AN754))</f>
        <v/>
      </c>
      <c r="AP754" s="49">
        <f>IF(OR(A754="",B754=""),"",IF(COUNTIF(B$11:B754,B754)=1,MAX(AP$10:AP753)+1,""))</f>
        <v/>
      </c>
    </row>
    <row r="755">
      <c r="A755" s="20" t="n"/>
      <c r="B755" s="10" t="n"/>
      <c r="C755" s="10" t="n"/>
      <c r="D755" s="10" t="n"/>
      <c r="E755" s="10" t="n"/>
      <c r="F755" s="18" t="n"/>
      <c r="G755" s="10" t="n"/>
      <c r="H755" s="12" t="n"/>
      <c r="I755" s="12" t="n"/>
      <c r="J755" s="13">
        <f>IF(OR(A755="",COUNT(H755)=0,COUNT(Z755)=0),"",ROUND(Z755-H755,2))</f>
        <v/>
      </c>
      <c r="K755" s="15">
        <f>IF(COUNT(J755)=0,"",IF(Z755=0,"n.a.",J755/Z755))</f>
        <v/>
      </c>
      <c r="L755" s="14">
        <f>IF(OR(A755="",COUNT(H755)=0,COUNT(Y755)=0),"",ROUND(H755*(1+Y755),2))</f>
        <v/>
      </c>
      <c r="M755" s="10" t="n"/>
      <c r="N755" s="10" t="n"/>
      <c r="O755" s="10" t="n"/>
      <c r="P755" s="10" t="n"/>
      <c r="Q755" s="20" t="n"/>
      <c r="R755" s="10" t="n"/>
      <c r="S755" s="10" t="n"/>
      <c r="T755" s="18" t="n"/>
      <c r="U755" s="18" t="n"/>
      <c r="V755" s="10" t="n"/>
      <c r="W755" s="10" t="n"/>
      <c r="X755" s="19">
        <f>IF(OR(A755="",COUNT(U755)=0,COUNT(AI755)=0),"",U755+AI755)</f>
        <v/>
      </c>
      <c r="Y755" s="16" t="n"/>
      <c r="Z755" s="12" t="n"/>
      <c r="AA755" s="17">
        <f>IF(COUNT(J755)=0,"",IF(H755=0,"n.a.",J755/H755))</f>
        <v/>
      </c>
      <c r="AB755" s="12" t="n"/>
      <c r="AC755" s="12" t="n"/>
      <c r="AD755" s="12" t="n"/>
      <c r="AE755" s="13">
        <f>IF(OR(COUNT(J755)=0,COUNT(AB755:AD755)&lt;3),"",ROUND(J755-SUM(AB755:AD755),2))</f>
        <v/>
      </c>
      <c r="AF755" s="15">
        <f>IF(COUNT(AE755)=0,"",IF(Z755=0,"n.a.",AE755/Z755))</f>
        <v/>
      </c>
      <c r="AG755" s="12" t="n"/>
      <c r="AH755" s="14">
        <f>IF(OR(A755="",COUNT(Z755)=0,COUNT(AG755)=0),"",ROUND(Z755-AG755,2))</f>
        <v/>
      </c>
      <c r="AI755" s="21" t="n"/>
      <c r="AJ755" s="11">
        <f>IF(A755="","",IF(COUNT(I755)=0,"Enter approved NTE",IF(COUNT(Z755)&gt;0,IF(Z755&gt;I755,"Invoice exceeds NTE","Invoice within NTE"),IF(COUNT(L755)=0,"Enter quote inputs",IF(L755&gt;I755,"Quote exceeds NTE","Quote within NTE")))))</f>
        <v/>
      </c>
      <c r="AK755" s="11">
        <f>IF(A755="","",IF(COUNT(H755)=0,"Enter direct cost",IF(COUNT(Z755)=0,"Enter invoice revenue",IF(COUNT(AB755:AD755)&lt;3,"Enter expenses (0 if none)","Complete"))))</f>
        <v/>
      </c>
      <c r="AL755" s="11">
        <f>IF(A755="","",IF(NOT(AND(COUNT(AH755)=1,N(AH755)&gt;0.004,V755&lt;&gt;"Void",V755&lt;&gt;"Not invoiced",V755&lt;&gt;"Draft")),"",IF(COUNT(X755)=0,"No due date",IF(TODAY()-X755&lt;=0,"Not yet due",IF(TODAY()-X755&lt;=30,"1-30 days",IF(TODAY()-X755&lt;=60,"31-60 days",IF(TODAY()-X755&lt;=90,"61-90 days","Over 90 days")))))))</f>
        <v/>
      </c>
      <c r="AM755" s="49">
        <f>IF(OR(AL755="",AL755="No due date"),"",MAX(TODAY()-X755,0))</f>
        <v/>
      </c>
      <c r="AN755" s="49">
        <f>IF(AL755="","",IF(COUNT(X755)=0,-100000,TODAY()-X755))</f>
        <v/>
      </c>
      <c r="AO755" s="49">
        <f>IF(AN755="","",COUNTIF(AN$11:AN$1010,"&gt;"&amp;AN755)+COUNTIF(AN$11:AN755,AN755))</f>
        <v/>
      </c>
      <c r="AP755" s="49">
        <f>IF(OR(A755="",B755=""),"",IF(COUNTIF(B$11:B755,B755)=1,MAX(AP$10:AP754)+1,""))</f>
        <v/>
      </c>
    </row>
    <row r="756">
      <c r="A756" s="20" t="n"/>
      <c r="B756" s="10" t="n"/>
      <c r="C756" s="10" t="n"/>
      <c r="D756" s="10" t="n"/>
      <c r="E756" s="10" t="n"/>
      <c r="F756" s="18" t="n"/>
      <c r="G756" s="10" t="n"/>
      <c r="H756" s="12" t="n"/>
      <c r="I756" s="12" t="n"/>
      <c r="J756" s="13">
        <f>IF(OR(A756="",COUNT(H756)=0,COUNT(Z756)=0),"",ROUND(Z756-H756,2))</f>
        <v/>
      </c>
      <c r="K756" s="15">
        <f>IF(COUNT(J756)=0,"",IF(Z756=0,"n.a.",J756/Z756))</f>
        <v/>
      </c>
      <c r="L756" s="14">
        <f>IF(OR(A756="",COUNT(H756)=0,COUNT(Y756)=0),"",ROUND(H756*(1+Y756),2))</f>
        <v/>
      </c>
      <c r="M756" s="10" t="n"/>
      <c r="N756" s="10" t="n"/>
      <c r="O756" s="10" t="n"/>
      <c r="P756" s="10" t="n"/>
      <c r="Q756" s="20" t="n"/>
      <c r="R756" s="10" t="n"/>
      <c r="S756" s="10" t="n"/>
      <c r="T756" s="18" t="n"/>
      <c r="U756" s="18" t="n"/>
      <c r="V756" s="10" t="n"/>
      <c r="W756" s="10" t="n"/>
      <c r="X756" s="19">
        <f>IF(OR(A756="",COUNT(U756)=0,COUNT(AI756)=0),"",U756+AI756)</f>
        <v/>
      </c>
      <c r="Y756" s="16" t="n"/>
      <c r="Z756" s="12" t="n"/>
      <c r="AA756" s="17">
        <f>IF(COUNT(J756)=0,"",IF(H756=0,"n.a.",J756/H756))</f>
        <v/>
      </c>
      <c r="AB756" s="12" t="n"/>
      <c r="AC756" s="12" t="n"/>
      <c r="AD756" s="12" t="n"/>
      <c r="AE756" s="13">
        <f>IF(OR(COUNT(J756)=0,COUNT(AB756:AD756)&lt;3),"",ROUND(J756-SUM(AB756:AD756),2))</f>
        <v/>
      </c>
      <c r="AF756" s="15">
        <f>IF(COUNT(AE756)=0,"",IF(Z756=0,"n.a.",AE756/Z756))</f>
        <v/>
      </c>
      <c r="AG756" s="12" t="n"/>
      <c r="AH756" s="14">
        <f>IF(OR(A756="",COUNT(Z756)=0,COUNT(AG756)=0),"",ROUND(Z756-AG756,2))</f>
        <v/>
      </c>
      <c r="AI756" s="21" t="n"/>
      <c r="AJ756" s="11">
        <f>IF(A756="","",IF(COUNT(I756)=0,"Enter approved NTE",IF(COUNT(Z756)&gt;0,IF(Z756&gt;I756,"Invoice exceeds NTE","Invoice within NTE"),IF(COUNT(L756)=0,"Enter quote inputs",IF(L756&gt;I756,"Quote exceeds NTE","Quote within NTE")))))</f>
        <v/>
      </c>
      <c r="AK756" s="11">
        <f>IF(A756="","",IF(COUNT(H756)=0,"Enter direct cost",IF(COUNT(Z756)=0,"Enter invoice revenue",IF(COUNT(AB756:AD756)&lt;3,"Enter expenses (0 if none)","Complete"))))</f>
        <v/>
      </c>
      <c r="AL756" s="11">
        <f>IF(A756="","",IF(NOT(AND(COUNT(AH756)=1,N(AH756)&gt;0.004,V756&lt;&gt;"Void",V756&lt;&gt;"Not invoiced",V756&lt;&gt;"Draft")),"",IF(COUNT(X756)=0,"No due date",IF(TODAY()-X756&lt;=0,"Not yet due",IF(TODAY()-X756&lt;=30,"1-30 days",IF(TODAY()-X756&lt;=60,"31-60 days",IF(TODAY()-X756&lt;=90,"61-90 days","Over 90 days")))))))</f>
        <v/>
      </c>
      <c r="AM756" s="49">
        <f>IF(OR(AL756="",AL756="No due date"),"",MAX(TODAY()-X756,0))</f>
        <v/>
      </c>
      <c r="AN756" s="49">
        <f>IF(AL756="","",IF(COUNT(X756)=0,-100000,TODAY()-X756))</f>
        <v/>
      </c>
      <c r="AO756" s="49">
        <f>IF(AN756="","",COUNTIF(AN$11:AN$1010,"&gt;"&amp;AN756)+COUNTIF(AN$11:AN756,AN756))</f>
        <v/>
      </c>
      <c r="AP756" s="49">
        <f>IF(OR(A756="",B756=""),"",IF(COUNTIF(B$11:B756,B756)=1,MAX(AP$10:AP755)+1,""))</f>
        <v/>
      </c>
    </row>
    <row r="757">
      <c r="A757" s="20" t="n"/>
      <c r="B757" s="10" t="n"/>
      <c r="C757" s="10" t="n"/>
      <c r="D757" s="10" t="n"/>
      <c r="E757" s="10" t="n"/>
      <c r="F757" s="18" t="n"/>
      <c r="G757" s="10" t="n"/>
      <c r="H757" s="12" t="n"/>
      <c r="I757" s="12" t="n"/>
      <c r="J757" s="13">
        <f>IF(OR(A757="",COUNT(H757)=0,COUNT(Z757)=0),"",ROUND(Z757-H757,2))</f>
        <v/>
      </c>
      <c r="K757" s="15">
        <f>IF(COUNT(J757)=0,"",IF(Z757=0,"n.a.",J757/Z757))</f>
        <v/>
      </c>
      <c r="L757" s="14">
        <f>IF(OR(A757="",COUNT(H757)=0,COUNT(Y757)=0),"",ROUND(H757*(1+Y757),2))</f>
        <v/>
      </c>
      <c r="M757" s="10" t="n"/>
      <c r="N757" s="10" t="n"/>
      <c r="O757" s="10" t="n"/>
      <c r="P757" s="10" t="n"/>
      <c r="Q757" s="20" t="n"/>
      <c r="R757" s="10" t="n"/>
      <c r="S757" s="10" t="n"/>
      <c r="T757" s="18" t="n"/>
      <c r="U757" s="18" t="n"/>
      <c r="V757" s="10" t="n"/>
      <c r="W757" s="10" t="n"/>
      <c r="X757" s="19">
        <f>IF(OR(A757="",COUNT(U757)=0,COUNT(AI757)=0),"",U757+AI757)</f>
        <v/>
      </c>
      <c r="Y757" s="16" t="n"/>
      <c r="Z757" s="12" t="n"/>
      <c r="AA757" s="17">
        <f>IF(COUNT(J757)=0,"",IF(H757=0,"n.a.",J757/H757))</f>
        <v/>
      </c>
      <c r="AB757" s="12" t="n"/>
      <c r="AC757" s="12" t="n"/>
      <c r="AD757" s="12" t="n"/>
      <c r="AE757" s="13">
        <f>IF(OR(COUNT(J757)=0,COUNT(AB757:AD757)&lt;3),"",ROUND(J757-SUM(AB757:AD757),2))</f>
        <v/>
      </c>
      <c r="AF757" s="15">
        <f>IF(COUNT(AE757)=0,"",IF(Z757=0,"n.a.",AE757/Z757))</f>
        <v/>
      </c>
      <c r="AG757" s="12" t="n"/>
      <c r="AH757" s="14">
        <f>IF(OR(A757="",COUNT(Z757)=0,COUNT(AG757)=0),"",ROUND(Z757-AG757,2))</f>
        <v/>
      </c>
      <c r="AI757" s="21" t="n"/>
      <c r="AJ757" s="11">
        <f>IF(A757="","",IF(COUNT(I757)=0,"Enter approved NTE",IF(COUNT(Z757)&gt;0,IF(Z757&gt;I757,"Invoice exceeds NTE","Invoice within NTE"),IF(COUNT(L757)=0,"Enter quote inputs",IF(L757&gt;I757,"Quote exceeds NTE","Quote within NTE")))))</f>
        <v/>
      </c>
      <c r="AK757" s="11">
        <f>IF(A757="","",IF(COUNT(H757)=0,"Enter direct cost",IF(COUNT(Z757)=0,"Enter invoice revenue",IF(COUNT(AB757:AD757)&lt;3,"Enter expenses (0 if none)","Complete"))))</f>
        <v/>
      </c>
      <c r="AL757" s="11">
        <f>IF(A757="","",IF(NOT(AND(COUNT(AH757)=1,N(AH757)&gt;0.004,V757&lt;&gt;"Void",V757&lt;&gt;"Not invoiced",V757&lt;&gt;"Draft")),"",IF(COUNT(X757)=0,"No due date",IF(TODAY()-X757&lt;=0,"Not yet due",IF(TODAY()-X757&lt;=30,"1-30 days",IF(TODAY()-X757&lt;=60,"31-60 days",IF(TODAY()-X757&lt;=90,"61-90 days","Over 90 days")))))))</f>
        <v/>
      </c>
      <c r="AM757" s="49">
        <f>IF(OR(AL757="",AL757="No due date"),"",MAX(TODAY()-X757,0))</f>
        <v/>
      </c>
      <c r="AN757" s="49">
        <f>IF(AL757="","",IF(COUNT(X757)=0,-100000,TODAY()-X757))</f>
        <v/>
      </c>
      <c r="AO757" s="49">
        <f>IF(AN757="","",COUNTIF(AN$11:AN$1010,"&gt;"&amp;AN757)+COUNTIF(AN$11:AN757,AN757))</f>
        <v/>
      </c>
      <c r="AP757" s="49">
        <f>IF(OR(A757="",B757=""),"",IF(COUNTIF(B$11:B757,B757)=1,MAX(AP$10:AP756)+1,""))</f>
        <v/>
      </c>
    </row>
    <row r="758">
      <c r="A758" s="20" t="n"/>
      <c r="B758" s="10" t="n"/>
      <c r="C758" s="10" t="n"/>
      <c r="D758" s="10" t="n"/>
      <c r="E758" s="10" t="n"/>
      <c r="F758" s="18" t="n"/>
      <c r="G758" s="10" t="n"/>
      <c r="H758" s="12" t="n"/>
      <c r="I758" s="12" t="n"/>
      <c r="J758" s="13">
        <f>IF(OR(A758="",COUNT(H758)=0,COUNT(Z758)=0),"",ROUND(Z758-H758,2))</f>
        <v/>
      </c>
      <c r="K758" s="15">
        <f>IF(COUNT(J758)=0,"",IF(Z758=0,"n.a.",J758/Z758))</f>
        <v/>
      </c>
      <c r="L758" s="14">
        <f>IF(OR(A758="",COUNT(H758)=0,COUNT(Y758)=0),"",ROUND(H758*(1+Y758),2))</f>
        <v/>
      </c>
      <c r="M758" s="10" t="n"/>
      <c r="N758" s="10" t="n"/>
      <c r="O758" s="10" t="n"/>
      <c r="P758" s="10" t="n"/>
      <c r="Q758" s="20" t="n"/>
      <c r="R758" s="10" t="n"/>
      <c r="S758" s="10" t="n"/>
      <c r="T758" s="18" t="n"/>
      <c r="U758" s="18" t="n"/>
      <c r="V758" s="10" t="n"/>
      <c r="W758" s="10" t="n"/>
      <c r="X758" s="19">
        <f>IF(OR(A758="",COUNT(U758)=0,COUNT(AI758)=0),"",U758+AI758)</f>
        <v/>
      </c>
      <c r="Y758" s="16" t="n"/>
      <c r="Z758" s="12" t="n"/>
      <c r="AA758" s="17">
        <f>IF(COUNT(J758)=0,"",IF(H758=0,"n.a.",J758/H758))</f>
        <v/>
      </c>
      <c r="AB758" s="12" t="n"/>
      <c r="AC758" s="12" t="n"/>
      <c r="AD758" s="12" t="n"/>
      <c r="AE758" s="13">
        <f>IF(OR(COUNT(J758)=0,COUNT(AB758:AD758)&lt;3),"",ROUND(J758-SUM(AB758:AD758),2))</f>
        <v/>
      </c>
      <c r="AF758" s="15">
        <f>IF(COUNT(AE758)=0,"",IF(Z758=0,"n.a.",AE758/Z758))</f>
        <v/>
      </c>
      <c r="AG758" s="12" t="n"/>
      <c r="AH758" s="14">
        <f>IF(OR(A758="",COUNT(Z758)=0,COUNT(AG758)=0),"",ROUND(Z758-AG758,2))</f>
        <v/>
      </c>
      <c r="AI758" s="21" t="n"/>
      <c r="AJ758" s="11">
        <f>IF(A758="","",IF(COUNT(I758)=0,"Enter approved NTE",IF(COUNT(Z758)&gt;0,IF(Z758&gt;I758,"Invoice exceeds NTE","Invoice within NTE"),IF(COUNT(L758)=0,"Enter quote inputs",IF(L758&gt;I758,"Quote exceeds NTE","Quote within NTE")))))</f>
        <v/>
      </c>
      <c r="AK758" s="11">
        <f>IF(A758="","",IF(COUNT(H758)=0,"Enter direct cost",IF(COUNT(Z758)=0,"Enter invoice revenue",IF(COUNT(AB758:AD758)&lt;3,"Enter expenses (0 if none)","Complete"))))</f>
        <v/>
      </c>
      <c r="AL758" s="11">
        <f>IF(A758="","",IF(NOT(AND(COUNT(AH758)=1,N(AH758)&gt;0.004,V758&lt;&gt;"Void",V758&lt;&gt;"Not invoiced",V758&lt;&gt;"Draft")),"",IF(COUNT(X758)=0,"No due date",IF(TODAY()-X758&lt;=0,"Not yet due",IF(TODAY()-X758&lt;=30,"1-30 days",IF(TODAY()-X758&lt;=60,"31-60 days",IF(TODAY()-X758&lt;=90,"61-90 days","Over 90 days")))))))</f>
        <v/>
      </c>
      <c r="AM758" s="49">
        <f>IF(OR(AL758="",AL758="No due date"),"",MAX(TODAY()-X758,0))</f>
        <v/>
      </c>
      <c r="AN758" s="49">
        <f>IF(AL758="","",IF(COUNT(X758)=0,-100000,TODAY()-X758))</f>
        <v/>
      </c>
      <c r="AO758" s="49">
        <f>IF(AN758="","",COUNTIF(AN$11:AN$1010,"&gt;"&amp;AN758)+COUNTIF(AN$11:AN758,AN758))</f>
        <v/>
      </c>
      <c r="AP758" s="49">
        <f>IF(OR(A758="",B758=""),"",IF(COUNTIF(B$11:B758,B758)=1,MAX(AP$10:AP757)+1,""))</f>
        <v/>
      </c>
    </row>
    <row r="759">
      <c r="A759" s="20" t="n"/>
      <c r="B759" s="10" t="n"/>
      <c r="C759" s="10" t="n"/>
      <c r="D759" s="10" t="n"/>
      <c r="E759" s="10" t="n"/>
      <c r="F759" s="18" t="n"/>
      <c r="G759" s="10" t="n"/>
      <c r="H759" s="12" t="n"/>
      <c r="I759" s="12" t="n"/>
      <c r="J759" s="13">
        <f>IF(OR(A759="",COUNT(H759)=0,COUNT(Z759)=0),"",ROUND(Z759-H759,2))</f>
        <v/>
      </c>
      <c r="K759" s="15">
        <f>IF(COUNT(J759)=0,"",IF(Z759=0,"n.a.",J759/Z759))</f>
        <v/>
      </c>
      <c r="L759" s="14">
        <f>IF(OR(A759="",COUNT(H759)=0,COUNT(Y759)=0),"",ROUND(H759*(1+Y759),2))</f>
        <v/>
      </c>
      <c r="M759" s="10" t="n"/>
      <c r="N759" s="10" t="n"/>
      <c r="O759" s="10" t="n"/>
      <c r="P759" s="10" t="n"/>
      <c r="Q759" s="20" t="n"/>
      <c r="R759" s="10" t="n"/>
      <c r="S759" s="10" t="n"/>
      <c r="T759" s="18" t="n"/>
      <c r="U759" s="18" t="n"/>
      <c r="V759" s="10" t="n"/>
      <c r="W759" s="10" t="n"/>
      <c r="X759" s="19">
        <f>IF(OR(A759="",COUNT(U759)=0,COUNT(AI759)=0),"",U759+AI759)</f>
        <v/>
      </c>
      <c r="Y759" s="16" t="n"/>
      <c r="Z759" s="12" t="n"/>
      <c r="AA759" s="17">
        <f>IF(COUNT(J759)=0,"",IF(H759=0,"n.a.",J759/H759))</f>
        <v/>
      </c>
      <c r="AB759" s="12" t="n"/>
      <c r="AC759" s="12" t="n"/>
      <c r="AD759" s="12" t="n"/>
      <c r="AE759" s="13">
        <f>IF(OR(COUNT(J759)=0,COUNT(AB759:AD759)&lt;3),"",ROUND(J759-SUM(AB759:AD759),2))</f>
        <v/>
      </c>
      <c r="AF759" s="15">
        <f>IF(COUNT(AE759)=0,"",IF(Z759=0,"n.a.",AE759/Z759))</f>
        <v/>
      </c>
      <c r="AG759" s="12" t="n"/>
      <c r="AH759" s="14">
        <f>IF(OR(A759="",COUNT(Z759)=0,COUNT(AG759)=0),"",ROUND(Z759-AG759,2))</f>
        <v/>
      </c>
      <c r="AI759" s="21" t="n"/>
      <c r="AJ759" s="11">
        <f>IF(A759="","",IF(COUNT(I759)=0,"Enter approved NTE",IF(COUNT(Z759)&gt;0,IF(Z759&gt;I759,"Invoice exceeds NTE","Invoice within NTE"),IF(COUNT(L759)=0,"Enter quote inputs",IF(L759&gt;I759,"Quote exceeds NTE","Quote within NTE")))))</f>
        <v/>
      </c>
      <c r="AK759" s="11">
        <f>IF(A759="","",IF(COUNT(H759)=0,"Enter direct cost",IF(COUNT(Z759)=0,"Enter invoice revenue",IF(COUNT(AB759:AD759)&lt;3,"Enter expenses (0 if none)","Complete"))))</f>
        <v/>
      </c>
      <c r="AL759" s="11">
        <f>IF(A759="","",IF(NOT(AND(COUNT(AH759)=1,N(AH759)&gt;0.004,V759&lt;&gt;"Void",V759&lt;&gt;"Not invoiced",V759&lt;&gt;"Draft")),"",IF(COUNT(X759)=0,"No due date",IF(TODAY()-X759&lt;=0,"Not yet due",IF(TODAY()-X759&lt;=30,"1-30 days",IF(TODAY()-X759&lt;=60,"31-60 days",IF(TODAY()-X759&lt;=90,"61-90 days","Over 90 days")))))))</f>
        <v/>
      </c>
      <c r="AM759" s="49">
        <f>IF(OR(AL759="",AL759="No due date"),"",MAX(TODAY()-X759,0))</f>
        <v/>
      </c>
      <c r="AN759" s="49">
        <f>IF(AL759="","",IF(COUNT(X759)=0,-100000,TODAY()-X759))</f>
        <v/>
      </c>
      <c r="AO759" s="49">
        <f>IF(AN759="","",COUNTIF(AN$11:AN$1010,"&gt;"&amp;AN759)+COUNTIF(AN$11:AN759,AN759))</f>
        <v/>
      </c>
      <c r="AP759" s="49">
        <f>IF(OR(A759="",B759=""),"",IF(COUNTIF(B$11:B759,B759)=1,MAX(AP$10:AP758)+1,""))</f>
        <v/>
      </c>
    </row>
    <row r="760">
      <c r="A760" s="20" t="n"/>
      <c r="B760" s="10" t="n"/>
      <c r="C760" s="10" t="n"/>
      <c r="D760" s="10" t="n"/>
      <c r="E760" s="10" t="n"/>
      <c r="F760" s="18" t="n"/>
      <c r="G760" s="10" t="n"/>
      <c r="H760" s="12" t="n"/>
      <c r="I760" s="12" t="n"/>
      <c r="J760" s="13">
        <f>IF(OR(A760="",COUNT(H760)=0,COUNT(Z760)=0),"",ROUND(Z760-H760,2))</f>
        <v/>
      </c>
      <c r="K760" s="15">
        <f>IF(COUNT(J760)=0,"",IF(Z760=0,"n.a.",J760/Z760))</f>
        <v/>
      </c>
      <c r="L760" s="14">
        <f>IF(OR(A760="",COUNT(H760)=0,COUNT(Y760)=0),"",ROUND(H760*(1+Y760),2))</f>
        <v/>
      </c>
      <c r="M760" s="10" t="n"/>
      <c r="N760" s="10" t="n"/>
      <c r="O760" s="10" t="n"/>
      <c r="P760" s="10" t="n"/>
      <c r="Q760" s="20" t="n"/>
      <c r="R760" s="10" t="n"/>
      <c r="S760" s="10" t="n"/>
      <c r="T760" s="18" t="n"/>
      <c r="U760" s="18" t="n"/>
      <c r="V760" s="10" t="n"/>
      <c r="W760" s="10" t="n"/>
      <c r="X760" s="19">
        <f>IF(OR(A760="",COUNT(U760)=0,COUNT(AI760)=0),"",U760+AI760)</f>
        <v/>
      </c>
      <c r="Y760" s="16" t="n"/>
      <c r="Z760" s="12" t="n"/>
      <c r="AA760" s="17">
        <f>IF(COUNT(J760)=0,"",IF(H760=0,"n.a.",J760/H760))</f>
        <v/>
      </c>
      <c r="AB760" s="12" t="n"/>
      <c r="AC760" s="12" t="n"/>
      <c r="AD760" s="12" t="n"/>
      <c r="AE760" s="13">
        <f>IF(OR(COUNT(J760)=0,COUNT(AB760:AD760)&lt;3),"",ROUND(J760-SUM(AB760:AD760),2))</f>
        <v/>
      </c>
      <c r="AF760" s="15">
        <f>IF(COUNT(AE760)=0,"",IF(Z760=0,"n.a.",AE760/Z760))</f>
        <v/>
      </c>
      <c r="AG760" s="12" t="n"/>
      <c r="AH760" s="14">
        <f>IF(OR(A760="",COUNT(Z760)=0,COUNT(AG760)=0),"",ROUND(Z760-AG760,2))</f>
        <v/>
      </c>
      <c r="AI760" s="21" t="n"/>
      <c r="AJ760" s="11">
        <f>IF(A760="","",IF(COUNT(I760)=0,"Enter approved NTE",IF(COUNT(Z760)&gt;0,IF(Z760&gt;I760,"Invoice exceeds NTE","Invoice within NTE"),IF(COUNT(L760)=0,"Enter quote inputs",IF(L760&gt;I760,"Quote exceeds NTE","Quote within NTE")))))</f>
        <v/>
      </c>
      <c r="AK760" s="11">
        <f>IF(A760="","",IF(COUNT(H760)=0,"Enter direct cost",IF(COUNT(Z760)=0,"Enter invoice revenue",IF(COUNT(AB760:AD760)&lt;3,"Enter expenses (0 if none)","Complete"))))</f>
        <v/>
      </c>
      <c r="AL760" s="11">
        <f>IF(A760="","",IF(NOT(AND(COUNT(AH760)=1,N(AH760)&gt;0.004,V760&lt;&gt;"Void",V760&lt;&gt;"Not invoiced",V760&lt;&gt;"Draft")),"",IF(COUNT(X760)=0,"No due date",IF(TODAY()-X760&lt;=0,"Not yet due",IF(TODAY()-X760&lt;=30,"1-30 days",IF(TODAY()-X760&lt;=60,"31-60 days",IF(TODAY()-X760&lt;=90,"61-90 days","Over 90 days")))))))</f>
        <v/>
      </c>
      <c r="AM760" s="49">
        <f>IF(OR(AL760="",AL760="No due date"),"",MAX(TODAY()-X760,0))</f>
        <v/>
      </c>
      <c r="AN760" s="49">
        <f>IF(AL760="","",IF(COUNT(X760)=0,-100000,TODAY()-X760))</f>
        <v/>
      </c>
      <c r="AO760" s="49">
        <f>IF(AN760="","",COUNTIF(AN$11:AN$1010,"&gt;"&amp;AN760)+COUNTIF(AN$11:AN760,AN760))</f>
        <v/>
      </c>
      <c r="AP760" s="49">
        <f>IF(OR(A760="",B760=""),"",IF(COUNTIF(B$11:B760,B760)=1,MAX(AP$10:AP759)+1,""))</f>
        <v/>
      </c>
    </row>
    <row r="761">
      <c r="A761" s="20" t="n"/>
      <c r="B761" s="10" t="n"/>
      <c r="C761" s="10" t="n"/>
      <c r="D761" s="10" t="n"/>
      <c r="E761" s="10" t="n"/>
      <c r="F761" s="18" t="n"/>
      <c r="G761" s="10" t="n"/>
      <c r="H761" s="12" t="n"/>
      <c r="I761" s="12" t="n"/>
      <c r="J761" s="13">
        <f>IF(OR(A761="",COUNT(H761)=0,COUNT(Z761)=0),"",ROUND(Z761-H761,2))</f>
        <v/>
      </c>
      <c r="K761" s="15">
        <f>IF(COUNT(J761)=0,"",IF(Z761=0,"n.a.",J761/Z761))</f>
        <v/>
      </c>
      <c r="L761" s="14">
        <f>IF(OR(A761="",COUNT(H761)=0,COUNT(Y761)=0),"",ROUND(H761*(1+Y761),2))</f>
        <v/>
      </c>
      <c r="M761" s="10" t="n"/>
      <c r="N761" s="10" t="n"/>
      <c r="O761" s="10" t="n"/>
      <c r="P761" s="10" t="n"/>
      <c r="Q761" s="20" t="n"/>
      <c r="R761" s="10" t="n"/>
      <c r="S761" s="10" t="n"/>
      <c r="T761" s="18" t="n"/>
      <c r="U761" s="18" t="n"/>
      <c r="V761" s="10" t="n"/>
      <c r="W761" s="10" t="n"/>
      <c r="X761" s="19">
        <f>IF(OR(A761="",COUNT(U761)=0,COUNT(AI761)=0),"",U761+AI761)</f>
        <v/>
      </c>
      <c r="Y761" s="16" t="n"/>
      <c r="Z761" s="12" t="n"/>
      <c r="AA761" s="17">
        <f>IF(COUNT(J761)=0,"",IF(H761=0,"n.a.",J761/H761))</f>
        <v/>
      </c>
      <c r="AB761" s="12" t="n"/>
      <c r="AC761" s="12" t="n"/>
      <c r="AD761" s="12" t="n"/>
      <c r="AE761" s="13">
        <f>IF(OR(COUNT(J761)=0,COUNT(AB761:AD761)&lt;3),"",ROUND(J761-SUM(AB761:AD761),2))</f>
        <v/>
      </c>
      <c r="AF761" s="15">
        <f>IF(COUNT(AE761)=0,"",IF(Z761=0,"n.a.",AE761/Z761))</f>
        <v/>
      </c>
      <c r="AG761" s="12" t="n"/>
      <c r="AH761" s="14">
        <f>IF(OR(A761="",COUNT(Z761)=0,COUNT(AG761)=0),"",ROUND(Z761-AG761,2))</f>
        <v/>
      </c>
      <c r="AI761" s="21" t="n"/>
      <c r="AJ761" s="11">
        <f>IF(A761="","",IF(COUNT(I761)=0,"Enter approved NTE",IF(COUNT(Z761)&gt;0,IF(Z761&gt;I761,"Invoice exceeds NTE","Invoice within NTE"),IF(COUNT(L761)=0,"Enter quote inputs",IF(L761&gt;I761,"Quote exceeds NTE","Quote within NTE")))))</f>
        <v/>
      </c>
      <c r="AK761" s="11">
        <f>IF(A761="","",IF(COUNT(H761)=0,"Enter direct cost",IF(COUNT(Z761)=0,"Enter invoice revenue",IF(COUNT(AB761:AD761)&lt;3,"Enter expenses (0 if none)","Complete"))))</f>
        <v/>
      </c>
      <c r="AL761" s="11">
        <f>IF(A761="","",IF(NOT(AND(COUNT(AH761)=1,N(AH761)&gt;0.004,V761&lt;&gt;"Void",V761&lt;&gt;"Not invoiced",V761&lt;&gt;"Draft")),"",IF(COUNT(X761)=0,"No due date",IF(TODAY()-X761&lt;=0,"Not yet due",IF(TODAY()-X761&lt;=30,"1-30 days",IF(TODAY()-X761&lt;=60,"31-60 days",IF(TODAY()-X761&lt;=90,"61-90 days","Over 90 days")))))))</f>
        <v/>
      </c>
      <c r="AM761" s="49">
        <f>IF(OR(AL761="",AL761="No due date"),"",MAX(TODAY()-X761,0))</f>
        <v/>
      </c>
      <c r="AN761" s="49">
        <f>IF(AL761="","",IF(COUNT(X761)=0,-100000,TODAY()-X761))</f>
        <v/>
      </c>
      <c r="AO761" s="49">
        <f>IF(AN761="","",COUNTIF(AN$11:AN$1010,"&gt;"&amp;AN761)+COUNTIF(AN$11:AN761,AN761))</f>
        <v/>
      </c>
      <c r="AP761" s="49">
        <f>IF(OR(A761="",B761=""),"",IF(COUNTIF(B$11:B761,B761)=1,MAX(AP$10:AP760)+1,""))</f>
        <v/>
      </c>
    </row>
    <row r="762">
      <c r="A762" s="20" t="n"/>
      <c r="B762" s="10" t="n"/>
      <c r="C762" s="10" t="n"/>
      <c r="D762" s="10" t="n"/>
      <c r="E762" s="10" t="n"/>
      <c r="F762" s="18" t="n"/>
      <c r="G762" s="10" t="n"/>
      <c r="H762" s="12" t="n"/>
      <c r="I762" s="12" t="n"/>
      <c r="J762" s="13">
        <f>IF(OR(A762="",COUNT(H762)=0,COUNT(Z762)=0),"",ROUND(Z762-H762,2))</f>
        <v/>
      </c>
      <c r="K762" s="15">
        <f>IF(COUNT(J762)=0,"",IF(Z762=0,"n.a.",J762/Z762))</f>
        <v/>
      </c>
      <c r="L762" s="14">
        <f>IF(OR(A762="",COUNT(H762)=0,COUNT(Y762)=0),"",ROUND(H762*(1+Y762),2))</f>
        <v/>
      </c>
      <c r="M762" s="10" t="n"/>
      <c r="N762" s="10" t="n"/>
      <c r="O762" s="10" t="n"/>
      <c r="P762" s="10" t="n"/>
      <c r="Q762" s="20" t="n"/>
      <c r="R762" s="10" t="n"/>
      <c r="S762" s="10" t="n"/>
      <c r="T762" s="18" t="n"/>
      <c r="U762" s="18" t="n"/>
      <c r="V762" s="10" t="n"/>
      <c r="W762" s="10" t="n"/>
      <c r="X762" s="19">
        <f>IF(OR(A762="",COUNT(U762)=0,COUNT(AI762)=0),"",U762+AI762)</f>
        <v/>
      </c>
      <c r="Y762" s="16" t="n"/>
      <c r="Z762" s="12" t="n"/>
      <c r="AA762" s="17">
        <f>IF(COUNT(J762)=0,"",IF(H762=0,"n.a.",J762/H762))</f>
        <v/>
      </c>
      <c r="AB762" s="12" t="n"/>
      <c r="AC762" s="12" t="n"/>
      <c r="AD762" s="12" t="n"/>
      <c r="AE762" s="13">
        <f>IF(OR(COUNT(J762)=0,COUNT(AB762:AD762)&lt;3),"",ROUND(J762-SUM(AB762:AD762),2))</f>
        <v/>
      </c>
      <c r="AF762" s="15">
        <f>IF(COUNT(AE762)=0,"",IF(Z762=0,"n.a.",AE762/Z762))</f>
        <v/>
      </c>
      <c r="AG762" s="12" t="n"/>
      <c r="AH762" s="14">
        <f>IF(OR(A762="",COUNT(Z762)=0,COUNT(AG762)=0),"",ROUND(Z762-AG762,2))</f>
        <v/>
      </c>
      <c r="AI762" s="21" t="n"/>
      <c r="AJ762" s="11">
        <f>IF(A762="","",IF(COUNT(I762)=0,"Enter approved NTE",IF(COUNT(Z762)&gt;0,IF(Z762&gt;I762,"Invoice exceeds NTE","Invoice within NTE"),IF(COUNT(L762)=0,"Enter quote inputs",IF(L762&gt;I762,"Quote exceeds NTE","Quote within NTE")))))</f>
        <v/>
      </c>
      <c r="AK762" s="11">
        <f>IF(A762="","",IF(COUNT(H762)=0,"Enter direct cost",IF(COUNT(Z762)=0,"Enter invoice revenue",IF(COUNT(AB762:AD762)&lt;3,"Enter expenses (0 if none)","Complete"))))</f>
        <v/>
      </c>
      <c r="AL762" s="11">
        <f>IF(A762="","",IF(NOT(AND(COUNT(AH762)=1,N(AH762)&gt;0.004,V762&lt;&gt;"Void",V762&lt;&gt;"Not invoiced",V762&lt;&gt;"Draft")),"",IF(COUNT(X762)=0,"No due date",IF(TODAY()-X762&lt;=0,"Not yet due",IF(TODAY()-X762&lt;=30,"1-30 days",IF(TODAY()-X762&lt;=60,"31-60 days",IF(TODAY()-X762&lt;=90,"61-90 days","Over 90 days")))))))</f>
        <v/>
      </c>
      <c r="AM762" s="49">
        <f>IF(OR(AL762="",AL762="No due date"),"",MAX(TODAY()-X762,0))</f>
        <v/>
      </c>
      <c r="AN762" s="49">
        <f>IF(AL762="","",IF(COUNT(X762)=0,-100000,TODAY()-X762))</f>
        <v/>
      </c>
      <c r="AO762" s="49">
        <f>IF(AN762="","",COUNTIF(AN$11:AN$1010,"&gt;"&amp;AN762)+COUNTIF(AN$11:AN762,AN762))</f>
        <v/>
      </c>
      <c r="AP762" s="49">
        <f>IF(OR(A762="",B762=""),"",IF(COUNTIF(B$11:B762,B762)=1,MAX(AP$10:AP761)+1,""))</f>
        <v/>
      </c>
    </row>
    <row r="763">
      <c r="A763" s="20" t="n"/>
      <c r="B763" s="10" t="n"/>
      <c r="C763" s="10" t="n"/>
      <c r="D763" s="10" t="n"/>
      <c r="E763" s="10" t="n"/>
      <c r="F763" s="18" t="n"/>
      <c r="G763" s="10" t="n"/>
      <c r="H763" s="12" t="n"/>
      <c r="I763" s="12" t="n"/>
      <c r="J763" s="13">
        <f>IF(OR(A763="",COUNT(H763)=0,COUNT(Z763)=0),"",ROUND(Z763-H763,2))</f>
        <v/>
      </c>
      <c r="K763" s="15">
        <f>IF(COUNT(J763)=0,"",IF(Z763=0,"n.a.",J763/Z763))</f>
        <v/>
      </c>
      <c r="L763" s="14">
        <f>IF(OR(A763="",COUNT(H763)=0,COUNT(Y763)=0),"",ROUND(H763*(1+Y763),2))</f>
        <v/>
      </c>
      <c r="M763" s="10" t="n"/>
      <c r="N763" s="10" t="n"/>
      <c r="O763" s="10" t="n"/>
      <c r="P763" s="10" t="n"/>
      <c r="Q763" s="20" t="n"/>
      <c r="R763" s="10" t="n"/>
      <c r="S763" s="10" t="n"/>
      <c r="T763" s="18" t="n"/>
      <c r="U763" s="18" t="n"/>
      <c r="V763" s="10" t="n"/>
      <c r="W763" s="10" t="n"/>
      <c r="X763" s="19">
        <f>IF(OR(A763="",COUNT(U763)=0,COUNT(AI763)=0),"",U763+AI763)</f>
        <v/>
      </c>
      <c r="Y763" s="16" t="n"/>
      <c r="Z763" s="12" t="n"/>
      <c r="AA763" s="17">
        <f>IF(COUNT(J763)=0,"",IF(H763=0,"n.a.",J763/H763))</f>
        <v/>
      </c>
      <c r="AB763" s="12" t="n"/>
      <c r="AC763" s="12" t="n"/>
      <c r="AD763" s="12" t="n"/>
      <c r="AE763" s="13">
        <f>IF(OR(COUNT(J763)=0,COUNT(AB763:AD763)&lt;3),"",ROUND(J763-SUM(AB763:AD763),2))</f>
        <v/>
      </c>
      <c r="AF763" s="15">
        <f>IF(COUNT(AE763)=0,"",IF(Z763=0,"n.a.",AE763/Z763))</f>
        <v/>
      </c>
      <c r="AG763" s="12" t="n"/>
      <c r="AH763" s="14">
        <f>IF(OR(A763="",COUNT(Z763)=0,COUNT(AG763)=0),"",ROUND(Z763-AG763,2))</f>
        <v/>
      </c>
      <c r="AI763" s="21" t="n"/>
      <c r="AJ763" s="11">
        <f>IF(A763="","",IF(COUNT(I763)=0,"Enter approved NTE",IF(COUNT(Z763)&gt;0,IF(Z763&gt;I763,"Invoice exceeds NTE","Invoice within NTE"),IF(COUNT(L763)=0,"Enter quote inputs",IF(L763&gt;I763,"Quote exceeds NTE","Quote within NTE")))))</f>
        <v/>
      </c>
      <c r="AK763" s="11">
        <f>IF(A763="","",IF(COUNT(H763)=0,"Enter direct cost",IF(COUNT(Z763)=0,"Enter invoice revenue",IF(COUNT(AB763:AD763)&lt;3,"Enter expenses (0 if none)","Complete"))))</f>
        <v/>
      </c>
      <c r="AL763" s="11">
        <f>IF(A763="","",IF(NOT(AND(COUNT(AH763)=1,N(AH763)&gt;0.004,V763&lt;&gt;"Void",V763&lt;&gt;"Not invoiced",V763&lt;&gt;"Draft")),"",IF(COUNT(X763)=0,"No due date",IF(TODAY()-X763&lt;=0,"Not yet due",IF(TODAY()-X763&lt;=30,"1-30 days",IF(TODAY()-X763&lt;=60,"31-60 days",IF(TODAY()-X763&lt;=90,"61-90 days","Over 90 days")))))))</f>
        <v/>
      </c>
      <c r="AM763" s="49">
        <f>IF(OR(AL763="",AL763="No due date"),"",MAX(TODAY()-X763,0))</f>
        <v/>
      </c>
      <c r="AN763" s="49">
        <f>IF(AL763="","",IF(COUNT(X763)=0,-100000,TODAY()-X763))</f>
        <v/>
      </c>
      <c r="AO763" s="49">
        <f>IF(AN763="","",COUNTIF(AN$11:AN$1010,"&gt;"&amp;AN763)+COUNTIF(AN$11:AN763,AN763))</f>
        <v/>
      </c>
      <c r="AP763" s="49">
        <f>IF(OR(A763="",B763=""),"",IF(COUNTIF(B$11:B763,B763)=1,MAX(AP$10:AP762)+1,""))</f>
        <v/>
      </c>
    </row>
    <row r="764">
      <c r="A764" s="20" t="n"/>
      <c r="B764" s="10" t="n"/>
      <c r="C764" s="10" t="n"/>
      <c r="D764" s="10" t="n"/>
      <c r="E764" s="10" t="n"/>
      <c r="F764" s="18" t="n"/>
      <c r="G764" s="10" t="n"/>
      <c r="H764" s="12" t="n"/>
      <c r="I764" s="12" t="n"/>
      <c r="J764" s="13">
        <f>IF(OR(A764="",COUNT(H764)=0,COUNT(Z764)=0),"",ROUND(Z764-H764,2))</f>
        <v/>
      </c>
      <c r="K764" s="15">
        <f>IF(COUNT(J764)=0,"",IF(Z764=0,"n.a.",J764/Z764))</f>
        <v/>
      </c>
      <c r="L764" s="14">
        <f>IF(OR(A764="",COUNT(H764)=0,COUNT(Y764)=0),"",ROUND(H764*(1+Y764),2))</f>
        <v/>
      </c>
      <c r="M764" s="10" t="n"/>
      <c r="N764" s="10" t="n"/>
      <c r="O764" s="10" t="n"/>
      <c r="P764" s="10" t="n"/>
      <c r="Q764" s="20" t="n"/>
      <c r="R764" s="10" t="n"/>
      <c r="S764" s="10" t="n"/>
      <c r="T764" s="18" t="n"/>
      <c r="U764" s="18" t="n"/>
      <c r="V764" s="10" t="n"/>
      <c r="W764" s="10" t="n"/>
      <c r="X764" s="19">
        <f>IF(OR(A764="",COUNT(U764)=0,COUNT(AI764)=0),"",U764+AI764)</f>
        <v/>
      </c>
      <c r="Y764" s="16" t="n"/>
      <c r="Z764" s="12" t="n"/>
      <c r="AA764" s="17">
        <f>IF(COUNT(J764)=0,"",IF(H764=0,"n.a.",J764/H764))</f>
        <v/>
      </c>
      <c r="AB764" s="12" t="n"/>
      <c r="AC764" s="12" t="n"/>
      <c r="AD764" s="12" t="n"/>
      <c r="AE764" s="13">
        <f>IF(OR(COUNT(J764)=0,COUNT(AB764:AD764)&lt;3),"",ROUND(J764-SUM(AB764:AD764),2))</f>
        <v/>
      </c>
      <c r="AF764" s="15">
        <f>IF(COUNT(AE764)=0,"",IF(Z764=0,"n.a.",AE764/Z764))</f>
        <v/>
      </c>
      <c r="AG764" s="12" t="n"/>
      <c r="AH764" s="14">
        <f>IF(OR(A764="",COUNT(Z764)=0,COUNT(AG764)=0),"",ROUND(Z764-AG764,2))</f>
        <v/>
      </c>
      <c r="AI764" s="21" t="n"/>
      <c r="AJ764" s="11">
        <f>IF(A764="","",IF(COUNT(I764)=0,"Enter approved NTE",IF(COUNT(Z764)&gt;0,IF(Z764&gt;I764,"Invoice exceeds NTE","Invoice within NTE"),IF(COUNT(L764)=0,"Enter quote inputs",IF(L764&gt;I764,"Quote exceeds NTE","Quote within NTE")))))</f>
        <v/>
      </c>
      <c r="AK764" s="11">
        <f>IF(A764="","",IF(COUNT(H764)=0,"Enter direct cost",IF(COUNT(Z764)=0,"Enter invoice revenue",IF(COUNT(AB764:AD764)&lt;3,"Enter expenses (0 if none)","Complete"))))</f>
        <v/>
      </c>
      <c r="AL764" s="11">
        <f>IF(A764="","",IF(NOT(AND(COUNT(AH764)=1,N(AH764)&gt;0.004,V764&lt;&gt;"Void",V764&lt;&gt;"Not invoiced",V764&lt;&gt;"Draft")),"",IF(COUNT(X764)=0,"No due date",IF(TODAY()-X764&lt;=0,"Not yet due",IF(TODAY()-X764&lt;=30,"1-30 days",IF(TODAY()-X764&lt;=60,"31-60 days",IF(TODAY()-X764&lt;=90,"61-90 days","Over 90 days")))))))</f>
        <v/>
      </c>
      <c r="AM764" s="49">
        <f>IF(OR(AL764="",AL764="No due date"),"",MAX(TODAY()-X764,0))</f>
        <v/>
      </c>
      <c r="AN764" s="49">
        <f>IF(AL764="","",IF(COUNT(X764)=0,-100000,TODAY()-X764))</f>
        <v/>
      </c>
      <c r="AO764" s="49">
        <f>IF(AN764="","",COUNTIF(AN$11:AN$1010,"&gt;"&amp;AN764)+COUNTIF(AN$11:AN764,AN764))</f>
        <v/>
      </c>
      <c r="AP764" s="49">
        <f>IF(OR(A764="",B764=""),"",IF(COUNTIF(B$11:B764,B764)=1,MAX(AP$10:AP763)+1,""))</f>
        <v/>
      </c>
    </row>
    <row r="765">
      <c r="A765" s="20" t="n"/>
      <c r="B765" s="10" t="n"/>
      <c r="C765" s="10" t="n"/>
      <c r="D765" s="10" t="n"/>
      <c r="E765" s="10" t="n"/>
      <c r="F765" s="18" t="n"/>
      <c r="G765" s="10" t="n"/>
      <c r="H765" s="12" t="n"/>
      <c r="I765" s="12" t="n"/>
      <c r="J765" s="13">
        <f>IF(OR(A765="",COUNT(H765)=0,COUNT(Z765)=0),"",ROUND(Z765-H765,2))</f>
        <v/>
      </c>
      <c r="K765" s="15">
        <f>IF(COUNT(J765)=0,"",IF(Z765=0,"n.a.",J765/Z765))</f>
        <v/>
      </c>
      <c r="L765" s="14">
        <f>IF(OR(A765="",COUNT(H765)=0,COUNT(Y765)=0),"",ROUND(H765*(1+Y765),2))</f>
        <v/>
      </c>
      <c r="M765" s="10" t="n"/>
      <c r="N765" s="10" t="n"/>
      <c r="O765" s="10" t="n"/>
      <c r="P765" s="10" t="n"/>
      <c r="Q765" s="20" t="n"/>
      <c r="R765" s="10" t="n"/>
      <c r="S765" s="10" t="n"/>
      <c r="T765" s="18" t="n"/>
      <c r="U765" s="18" t="n"/>
      <c r="V765" s="10" t="n"/>
      <c r="W765" s="10" t="n"/>
      <c r="X765" s="19">
        <f>IF(OR(A765="",COUNT(U765)=0,COUNT(AI765)=0),"",U765+AI765)</f>
        <v/>
      </c>
      <c r="Y765" s="16" t="n"/>
      <c r="Z765" s="12" t="n"/>
      <c r="AA765" s="17">
        <f>IF(COUNT(J765)=0,"",IF(H765=0,"n.a.",J765/H765))</f>
        <v/>
      </c>
      <c r="AB765" s="12" t="n"/>
      <c r="AC765" s="12" t="n"/>
      <c r="AD765" s="12" t="n"/>
      <c r="AE765" s="13">
        <f>IF(OR(COUNT(J765)=0,COUNT(AB765:AD765)&lt;3),"",ROUND(J765-SUM(AB765:AD765),2))</f>
        <v/>
      </c>
      <c r="AF765" s="15">
        <f>IF(COUNT(AE765)=0,"",IF(Z765=0,"n.a.",AE765/Z765))</f>
        <v/>
      </c>
      <c r="AG765" s="12" t="n"/>
      <c r="AH765" s="14">
        <f>IF(OR(A765="",COUNT(Z765)=0,COUNT(AG765)=0),"",ROUND(Z765-AG765,2))</f>
        <v/>
      </c>
      <c r="AI765" s="21" t="n"/>
      <c r="AJ765" s="11">
        <f>IF(A765="","",IF(COUNT(I765)=0,"Enter approved NTE",IF(COUNT(Z765)&gt;0,IF(Z765&gt;I765,"Invoice exceeds NTE","Invoice within NTE"),IF(COUNT(L765)=0,"Enter quote inputs",IF(L765&gt;I765,"Quote exceeds NTE","Quote within NTE")))))</f>
        <v/>
      </c>
      <c r="AK765" s="11">
        <f>IF(A765="","",IF(COUNT(H765)=0,"Enter direct cost",IF(COUNT(Z765)=0,"Enter invoice revenue",IF(COUNT(AB765:AD765)&lt;3,"Enter expenses (0 if none)","Complete"))))</f>
        <v/>
      </c>
      <c r="AL765" s="11">
        <f>IF(A765="","",IF(NOT(AND(COUNT(AH765)=1,N(AH765)&gt;0.004,V765&lt;&gt;"Void",V765&lt;&gt;"Not invoiced",V765&lt;&gt;"Draft")),"",IF(COUNT(X765)=0,"No due date",IF(TODAY()-X765&lt;=0,"Not yet due",IF(TODAY()-X765&lt;=30,"1-30 days",IF(TODAY()-X765&lt;=60,"31-60 days",IF(TODAY()-X765&lt;=90,"61-90 days","Over 90 days")))))))</f>
        <v/>
      </c>
      <c r="AM765" s="49">
        <f>IF(OR(AL765="",AL765="No due date"),"",MAX(TODAY()-X765,0))</f>
        <v/>
      </c>
      <c r="AN765" s="49">
        <f>IF(AL765="","",IF(COUNT(X765)=0,-100000,TODAY()-X765))</f>
        <v/>
      </c>
      <c r="AO765" s="49">
        <f>IF(AN765="","",COUNTIF(AN$11:AN$1010,"&gt;"&amp;AN765)+COUNTIF(AN$11:AN765,AN765))</f>
        <v/>
      </c>
      <c r="AP765" s="49">
        <f>IF(OR(A765="",B765=""),"",IF(COUNTIF(B$11:B765,B765)=1,MAX(AP$10:AP764)+1,""))</f>
        <v/>
      </c>
    </row>
    <row r="766">
      <c r="A766" s="20" t="n"/>
      <c r="B766" s="10" t="n"/>
      <c r="C766" s="10" t="n"/>
      <c r="D766" s="10" t="n"/>
      <c r="E766" s="10" t="n"/>
      <c r="F766" s="18" t="n"/>
      <c r="G766" s="10" t="n"/>
      <c r="H766" s="12" t="n"/>
      <c r="I766" s="12" t="n"/>
      <c r="J766" s="13">
        <f>IF(OR(A766="",COUNT(H766)=0,COUNT(Z766)=0),"",ROUND(Z766-H766,2))</f>
        <v/>
      </c>
      <c r="K766" s="15">
        <f>IF(COUNT(J766)=0,"",IF(Z766=0,"n.a.",J766/Z766))</f>
        <v/>
      </c>
      <c r="L766" s="14">
        <f>IF(OR(A766="",COUNT(H766)=0,COUNT(Y766)=0),"",ROUND(H766*(1+Y766),2))</f>
        <v/>
      </c>
      <c r="M766" s="10" t="n"/>
      <c r="N766" s="10" t="n"/>
      <c r="O766" s="10" t="n"/>
      <c r="P766" s="10" t="n"/>
      <c r="Q766" s="20" t="n"/>
      <c r="R766" s="10" t="n"/>
      <c r="S766" s="10" t="n"/>
      <c r="T766" s="18" t="n"/>
      <c r="U766" s="18" t="n"/>
      <c r="V766" s="10" t="n"/>
      <c r="W766" s="10" t="n"/>
      <c r="X766" s="19">
        <f>IF(OR(A766="",COUNT(U766)=0,COUNT(AI766)=0),"",U766+AI766)</f>
        <v/>
      </c>
      <c r="Y766" s="16" t="n"/>
      <c r="Z766" s="12" t="n"/>
      <c r="AA766" s="17">
        <f>IF(COUNT(J766)=0,"",IF(H766=0,"n.a.",J766/H766))</f>
        <v/>
      </c>
      <c r="AB766" s="12" t="n"/>
      <c r="AC766" s="12" t="n"/>
      <c r="AD766" s="12" t="n"/>
      <c r="AE766" s="13">
        <f>IF(OR(COUNT(J766)=0,COUNT(AB766:AD766)&lt;3),"",ROUND(J766-SUM(AB766:AD766),2))</f>
        <v/>
      </c>
      <c r="AF766" s="15">
        <f>IF(COUNT(AE766)=0,"",IF(Z766=0,"n.a.",AE766/Z766))</f>
        <v/>
      </c>
      <c r="AG766" s="12" t="n"/>
      <c r="AH766" s="14">
        <f>IF(OR(A766="",COUNT(Z766)=0,COUNT(AG766)=0),"",ROUND(Z766-AG766,2))</f>
        <v/>
      </c>
      <c r="AI766" s="21" t="n"/>
      <c r="AJ766" s="11">
        <f>IF(A766="","",IF(COUNT(I766)=0,"Enter approved NTE",IF(COUNT(Z766)&gt;0,IF(Z766&gt;I766,"Invoice exceeds NTE","Invoice within NTE"),IF(COUNT(L766)=0,"Enter quote inputs",IF(L766&gt;I766,"Quote exceeds NTE","Quote within NTE")))))</f>
        <v/>
      </c>
      <c r="AK766" s="11">
        <f>IF(A766="","",IF(COUNT(H766)=0,"Enter direct cost",IF(COUNT(Z766)=0,"Enter invoice revenue",IF(COUNT(AB766:AD766)&lt;3,"Enter expenses (0 if none)","Complete"))))</f>
        <v/>
      </c>
      <c r="AL766" s="11">
        <f>IF(A766="","",IF(NOT(AND(COUNT(AH766)=1,N(AH766)&gt;0.004,V766&lt;&gt;"Void",V766&lt;&gt;"Not invoiced",V766&lt;&gt;"Draft")),"",IF(COUNT(X766)=0,"No due date",IF(TODAY()-X766&lt;=0,"Not yet due",IF(TODAY()-X766&lt;=30,"1-30 days",IF(TODAY()-X766&lt;=60,"31-60 days",IF(TODAY()-X766&lt;=90,"61-90 days","Over 90 days")))))))</f>
        <v/>
      </c>
      <c r="AM766" s="49">
        <f>IF(OR(AL766="",AL766="No due date"),"",MAX(TODAY()-X766,0))</f>
        <v/>
      </c>
      <c r="AN766" s="49">
        <f>IF(AL766="","",IF(COUNT(X766)=0,-100000,TODAY()-X766))</f>
        <v/>
      </c>
      <c r="AO766" s="49">
        <f>IF(AN766="","",COUNTIF(AN$11:AN$1010,"&gt;"&amp;AN766)+COUNTIF(AN$11:AN766,AN766))</f>
        <v/>
      </c>
      <c r="AP766" s="49">
        <f>IF(OR(A766="",B766=""),"",IF(COUNTIF(B$11:B766,B766)=1,MAX(AP$10:AP765)+1,""))</f>
        <v/>
      </c>
    </row>
    <row r="767">
      <c r="A767" s="20" t="n"/>
      <c r="B767" s="10" t="n"/>
      <c r="C767" s="10" t="n"/>
      <c r="D767" s="10" t="n"/>
      <c r="E767" s="10" t="n"/>
      <c r="F767" s="18" t="n"/>
      <c r="G767" s="10" t="n"/>
      <c r="H767" s="12" t="n"/>
      <c r="I767" s="12" t="n"/>
      <c r="J767" s="13">
        <f>IF(OR(A767="",COUNT(H767)=0,COUNT(Z767)=0),"",ROUND(Z767-H767,2))</f>
        <v/>
      </c>
      <c r="K767" s="15">
        <f>IF(COUNT(J767)=0,"",IF(Z767=0,"n.a.",J767/Z767))</f>
        <v/>
      </c>
      <c r="L767" s="14">
        <f>IF(OR(A767="",COUNT(H767)=0,COUNT(Y767)=0),"",ROUND(H767*(1+Y767),2))</f>
        <v/>
      </c>
      <c r="M767" s="10" t="n"/>
      <c r="N767" s="10" t="n"/>
      <c r="O767" s="10" t="n"/>
      <c r="P767" s="10" t="n"/>
      <c r="Q767" s="20" t="n"/>
      <c r="R767" s="10" t="n"/>
      <c r="S767" s="10" t="n"/>
      <c r="T767" s="18" t="n"/>
      <c r="U767" s="18" t="n"/>
      <c r="V767" s="10" t="n"/>
      <c r="W767" s="10" t="n"/>
      <c r="X767" s="19">
        <f>IF(OR(A767="",COUNT(U767)=0,COUNT(AI767)=0),"",U767+AI767)</f>
        <v/>
      </c>
      <c r="Y767" s="16" t="n"/>
      <c r="Z767" s="12" t="n"/>
      <c r="AA767" s="17">
        <f>IF(COUNT(J767)=0,"",IF(H767=0,"n.a.",J767/H767))</f>
        <v/>
      </c>
      <c r="AB767" s="12" t="n"/>
      <c r="AC767" s="12" t="n"/>
      <c r="AD767" s="12" t="n"/>
      <c r="AE767" s="13">
        <f>IF(OR(COUNT(J767)=0,COUNT(AB767:AD767)&lt;3),"",ROUND(J767-SUM(AB767:AD767),2))</f>
        <v/>
      </c>
      <c r="AF767" s="15">
        <f>IF(COUNT(AE767)=0,"",IF(Z767=0,"n.a.",AE767/Z767))</f>
        <v/>
      </c>
      <c r="AG767" s="12" t="n"/>
      <c r="AH767" s="14">
        <f>IF(OR(A767="",COUNT(Z767)=0,COUNT(AG767)=0),"",ROUND(Z767-AG767,2))</f>
        <v/>
      </c>
      <c r="AI767" s="21" t="n"/>
      <c r="AJ767" s="11">
        <f>IF(A767="","",IF(COUNT(I767)=0,"Enter approved NTE",IF(COUNT(Z767)&gt;0,IF(Z767&gt;I767,"Invoice exceeds NTE","Invoice within NTE"),IF(COUNT(L767)=0,"Enter quote inputs",IF(L767&gt;I767,"Quote exceeds NTE","Quote within NTE")))))</f>
        <v/>
      </c>
      <c r="AK767" s="11">
        <f>IF(A767="","",IF(COUNT(H767)=0,"Enter direct cost",IF(COUNT(Z767)=0,"Enter invoice revenue",IF(COUNT(AB767:AD767)&lt;3,"Enter expenses (0 if none)","Complete"))))</f>
        <v/>
      </c>
      <c r="AL767" s="11">
        <f>IF(A767="","",IF(NOT(AND(COUNT(AH767)=1,N(AH767)&gt;0.004,V767&lt;&gt;"Void",V767&lt;&gt;"Not invoiced",V767&lt;&gt;"Draft")),"",IF(COUNT(X767)=0,"No due date",IF(TODAY()-X767&lt;=0,"Not yet due",IF(TODAY()-X767&lt;=30,"1-30 days",IF(TODAY()-X767&lt;=60,"31-60 days",IF(TODAY()-X767&lt;=90,"61-90 days","Over 90 days")))))))</f>
        <v/>
      </c>
      <c r="AM767" s="49">
        <f>IF(OR(AL767="",AL767="No due date"),"",MAX(TODAY()-X767,0))</f>
        <v/>
      </c>
      <c r="AN767" s="49">
        <f>IF(AL767="","",IF(COUNT(X767)=0,-100000,TODAY()-X767))</f>
        <v/>
      </c>
      <c r="AO767" s="49">
        <f>IF(AN767="","",COUNTIF(AN$11:AN$1010,"&gt;"&amp;AN767)+COUNTIF(AN$11:AN767,AN767))</f>
        <v/>
      </c>
      <c r="AP767" s="49">
        <f>IF(OR(A767="",B767=""),"",IF(COUNTIF(B$11:B767,B767)=1,MAX(AP$10:AP766)+1,""))</f>
        <v/>
      </c>
    </row>
    <row r="768">
      <c r="A768" s="20" t="n"/>
      <c r="B768" s="10" t="n"/>
      <c r="C768" s="10" t="n"/>
      <c r="D768" s="10" t="n"/>
      <c r="E768" s="10" t="n"/>
      <c r="F768" s="18" t="n"/>
      <c r="G768" s="10" t="n"/>
      <c r="H768" s="12" t="n"/>
      <c r="I768" s="12" t="n"/>
      <c r="J768" s="13">
        <f>IF(OR(A768="",COUNT(H768)=0,COUNT(Z768)=0),"",ROUND(Z768-H768,2))</f>
        <v/>
      </c>
      <c r="K768" s="15">
        <f>IF(COUNT(J768)=0,"",IF(Z768=0,"n.a.",J768/Z768))</f>
        <v/>
      </c>
      <c r="L768" s="14">
        <f>IF(OR(A768="",COUNT(H768)=0,COUNT(Y768)=0),"",ROUND(H768*(1+Y768),2))</f>
        <v/>
      </c>
      <c r="M768" s="10" t="n"/>
      <c r="N768" s="10" t="n"/>
      <c r="O768" s="10" t="n"/>
      <c r="P768" s="10" t="n"/>
      <c r="Q768" s="20" t="n"/>
      <c r="R768" s="10" t="n"/>
      <c r="S768" s="10" t="n"/>
      <c r="T768" s="18" t="n"/>
      <c r="U768" s="18" t="n"/>
      <c r="V768" s="10" t="n"/>
      <c r="W768" s="10" t="n"/>
      <c r="X768" s="19">
        <f>IF(OR(A768="",COUNT(U768)=0,COUNT(AI768)=0),"",U768+AI768)</f>
        <v/>
      </c>
      <c r="Y768" s="16" t="n"/>
      <c r="Z768" s="12" t="n"/>
      <c r="AA768" s="17">
        <f>IF(COUNT(J768)=0,"",IF(H768=0,"n.a.",J768/H768))</f>
        <v/>
      </c>
      <c r="AB768" s="12" t="n"/>
      <c r="AC768" s="12" t="n"/>
      <c r="AD768" s="12" t="n"/>
      <c r="AE768" s="13">
        <f>IF(OR(COUNT(J768)=0,COUNT(AB768:AD768)&lt;3),"",ROUND(J768-SUM(AB768:AD768),2))</f>
        <v/>
      </c>
      <c r="AF768" s="15">
        <f>IF(COUNT(AE768)=0,"",IF(Z768=0,"n.a.",AE768/Z768))</f>
        <v/>
      </c>
      <c r="AG768" s="12" t="n"/>
      <c r="AH768" s="14">
        <f>IF(OR(A768="",COUNT(Z768)=0,COUNT(AG768)=0),"",ROUND(Z768-AG768,2))</f>
        <v/>
      </c>
      <c r="AI768" s="21" t="n"/>
      <c r="AJ768" s="11">
        <f>IF(A768="","",IF(COUNT(I768)=0,"Enter approved NTE",IF(COUNT(Z768)&gt;0,IF(Z768&gt;I768,"Invoice exceeds NTE","Invoice within NTE"),IF(COUNT(L768)=0,"Enter quote inputs",IF(L768&gt;I768,"Quote exceeds NTE","Quote within NTE")))))</f>
        <v/>
      </c>
      <c r="AK768" s="11">
        <f>IF(A768="","",IF(COUNT(H768)=0,"Enter direct cost",IF(COUNT(Z768)=0,"Enter invoice revenue",IF(COUNT(AB768:AD768)&lt;3,"Enter expenses (0 if none)","Complete"))))</f>
        <v/>
      </c>
      <c r="AL768" s="11">
        <f>IF(A768="","",IF(NOT(AND(COUNT(AH768)=1,N(AH768)&gt;0.004,V768&lt;&gt;"Void",V768&lt;&gt;"Not invoiced",V768&lt;&gt;"Draft")),"",IF(COUNT(X768)=0,"No due date",IF(TODAY()-X768&lt;=0,"Not yet due",IF(TODAY()-X768&lt;=30,"1-30 days",IF(TODAY()-X768&lt;=60,"31-60 days",IF(TODAY()-X768&lt;=90,"61-90 days","Over 90 days")))))))</f>
        <v/>
      </c>
      <c r="AM768" s="49">
        <f>IF(OR(AL768="",AL768="No due date"),"",MAX(TODAY()-X768,0))</f>
        <v/>
      </c>
      <c r="AN768" s="49">
        <f>IF(AL768="","",IF(COUNT(X768)=0,-100000,TODAY()-X768))</f>
        <v/>
      </c>
      <c r="AO768" s="49">
        <f>IF(AN768="","",COUNTIF(AN$11:AN$1010,"&gt;"&amp;AN768)+COUNTIF(AN$11:AN768,AN768))</f>
        <v/>
      </c>
      <c r="AP768" s="49">
        <f>IF(OR(A768="",B768=""),"",IF(COUNTIF(B$11:B768,B768)=1,MAX(AP$10:AP767)+1,""))</f>
        <v/>
      </c>
    </row>
    <row r="769">
      <c r="A769" s="20" t="n"/>
      <c r="B769" s="10" t="n"/>
      <c r="C769" s="10" t="n"/>
      <c r="D769" s="10" t="n"/>
      <c r="E769" s="10" t="n"/>
      <c r="F769" s="18" t="n"/>
      <c r="G769" s="10" t="n"/>
      <c r="H769" s="12" t="n"/>
      <c r="I769" s="12" t="n"/>
      <c r="J769" s="13">
        <f>IF(OR(A769="",COUNT(H769)=0,COUNT(Z769)=0),"",ROUND(Z769-H769,2))</f>
        <v/>
      </c>
      <c r="K769" s="15">
        <f>IF(COUNT(J769)=0,"",IF(Z769=0,"n.a.",J769/Z769))</f>
        <v/>
      </c>
      <c r="L769" s="14">
        <f>IF(OR(A769="",COUNT(H769)=0,COUNT(Y769)=0),"",ROUND(H769*(1+Y769),2))</f>
        <v/>
      </c>
      <c r="M769" s="10" t="n"/>
      <c r="N769" s="10" t="n"/>
      <c r="O769" s="10" t="n"/>
      <c r="P769" s="10" t="n"/>
      <c r="Q769" s="20" t="n"/>
      <c r="R769" s="10" t="n"/>
      <c r="S769" s="10" t="n"/>
      <c r="T769" s="18" t="n"/>
      <c r="U769" s="18" t="n"/>
      <c r="V769" s="10" t="n"/>
      <c r="W769" s="10" t="n"/>
      <c r="X769" s="19">
        <f>IF(OR(A769="",COUNT(U769)=0,COUNT(AI769)=0),"",U769+AI769)</f>
        <v/>
      </c>
      <c r="Y769" s="16" t="n"/>
      <c r="Z769" s="12" t="n"/>
      <c r="AA769" s="17">
        <f>IF(COUNT(J769)=0,"",IF(H769=0,"n.a.",J769/H769))</f>
        <v/>
      </c>
      <c r="AB769" s="12" t="n"/>
      <c r="AC769" s="12" t="n"/>
      <c r="AD769" s="12" t="n"/>
      <c r="AE769" s="13">
        <f>IF(OR(COUNT(J769)=0,COUNT(AB769:AD769)&lt;3),"",ROUND(J769-SUM(AB769:AD769),2))</f>
        <v/>
      </c>
      <c r="AF769" s="15">
        <f>IF(COUNT(AE769)=0,"",IF(Z769=0,"n.a.",AE769/Z769))</f>
        <v/>
      </c>
      <c r="AG769" s="12" t="n"/>
      <c r="AH769" s="14">
        <f>IF(OR(A769="",COUNT(Z769)=0,COUNT(AG769)=0),"",ROUND(Z769-AG769,2))</f>
        <v/>
      </c>
      <c r="AI769" s="21" t="n"/>
      <c r="AJ769" s="11">
        <f>IF(A769="","",IF(COUNT(I769)=0,"Enter approved NTE",IF(COUNT(Z769)&gt;0,IF(Z769&gt;I769,"Invoice exceeds NTE","Invoice within NTE"),IF(COUNT(L769)=0,"Enter quote inputs",IF(L769&gt;I769,"Quote exceeds NTE","Quote within NTE")))))</f>
        <v/>
      </c>
      <c r="AK769" s="11">
        <f>IF(A769="","",IF(COUNT(H769)=0,"Enter direct cost",IF(COUNT(Z769)=0,"Enter invoice revenue",IF(COUNT(AB769:AD769)&lt;3,"Enter expenses (0 if none)","Complete"))))</f>
        <v/>
      </c>
      <c r="AL769" s="11">
        <f>IF(A769="","",IF(NOT(AND(COUNT(AH769)=1,N(AH769)&gt;0.004,V769&lt;&gt;"Void",V769&lt;&gt;"Not invoiced",V769&lt;&gt;"Draft")),"",IF(COUNT(X769)=0,"No due date",IF(TODAY()-X769&lt;=0,"Not yet due",IF(TODAY()-X769&lt;=30,"1-30 days",IF(TODAY()-X769&lt;=60,"31-60 days",IF(TODAY()-X769&lt;=90,"61-90 days","Over 90 days")))))))</f>
        <v/>
      </c>
      <c r="AM769" s="49">
        <f>IF(OR(AL769="",AL769="No due date"),"",MAX(TODAY()-X769,0))</f>
        <v/>
      </c>
      <c r="AN769" s="49">
        <f>IF(AL769="","",IF(COUNT(X769)=0,-100000,TODAY()-X769))</f>
        <v/>
      </c>
      <c r="AO769" s="49">
        <f>IF(AN769="","",COUNTIF(AN$11:AN$1010,"&gt;"&amp;AN769)+COUNTIF(AN$11:AN769,AN769))</f>
        <v/>
      </c>
      <c r="AP769" s="49">
        <f>IF(OR(A769="",B769=""),"",IF(COUNTIF(B$11:B769,B769)=1,MAX(AP$10:AP768)+1,""))</f>
        <v/>
      </c>
    </row>
    <row r="770">
      <c r="A770" s="20" t="n"/>
      <c r="B770" s="10" t="n"/>
      <c r="C770" s="10" t="n"/>
      <c r="D770" s="10" t="n"/>
      <c r="E770" s="10" t="n"/>
      <c r="F770" s="18" t="n"/>
      <c r="G770" s="10" t="n"/>
      <c r="H770" s="12" t="n"/>
      <c r="I770" s="12" t="n"/>
      <c r="J770" s="13">
        <f>IF(OR(A770="",COUNT(H770)=0,COUNT(Z770)=0),"",ROUND(Z770-H770,2))</f>
        <v/>
      </c>
      <c r="K770" s="15">
        <f>IF(COUNT(J770)=0,"",IF(Z770=0,"n.a.",J770/Z770))</f>
        <v/>
      </c>
      <c r="L770" s="14">
        <f>IF(OR(A770="",COUNT(H770)=0,COUNT(Y770)=0),"",ROUND(H770*(1+Y770),2))</f>
        <v/>
      </c>
      <c r="M770" s="10" t="n"/>
      <c r="N770" s="10" t="n"/>
      <c r="O770" s="10" t="n"/>
      <c r="P770" s="10" t="n"/>
      <c r="Q770" s="20" t="n"/>
      <c r="R770" s="10" t="n"/>
      <c r="S770" s="10" t="n"/>
      <c r="T770" s="18" t="n"/>
      <c r="U770" s="18" t="n"/>
      <c r="V770" s="10" t="n"/>
      <c r="W770" s="10" t="n"/>
      <c r="X770" s="19">
        <f>IF(OR(A770="",COUNT(U770)=0,COUNT(AI770)=0),"",U770+AI770)</f>
        <v/>
      </c>
      <c r="Y770" s="16" t="n"/>
      <c r="Z770" s="12" t="n"/>
      <c r="AA770" s="17">
        <f>IF(COUNT(J770)=0,"",IF(H770=0,"n.a.",J770/H770))</f>
        <v/>
      </c>
      <c r="AB770" s="12" t="n"/>
      <c r="AC770" s="12" t="n"/>
      <c r="AD770" s="12" t="n"/>
      <c r="AE770" s="13">
        <f>IF(OR(COUNT(J770)=0,COUNT(AB770:AD770)&lt;3),"",ROUND(J770-SUM(AB770:AD770),2))</f>
        <v/>
      </c>
      <c r="AF770" s="15">
        <f>IF(COUNT(AE770)=0,"",IF(Z770=0,"n.a.",AE770/Z770))</f>
        <v/>
      </c>
      <c r="AG770" s="12" t="n"/>
      <c r="AH770" s="14">
        <f>IF(OR(A770="",COUNT(Z770)=0,COUNT(AG770)=0),"",ROUND(Z770-AG770,2))</f>
        <v/>
      </c>
      <c r="AI770" s="21" t="n"/>
      <c r="AJ770" s="11">
        <f>IF(A770="","",IF(COUNT(I770)=0,"Enter approved NTE",IF(COUNT(Z770)&gt;0,IF(Z770&gt;I770,"Invoice exceeds NTE","Invoice within NTE"),IF(COUNT(L770)=0,"Enter quote inputs",IF(L770&gt;I770,"Quote exceeds NTE","Quote within NTE")))))</f>
        <v/>
      </c>
      <c r="AK770" s="11">
        <f>IF(A770="","",IF(COUNT(H770)=0,"Enter direct cost",IF(COUNT(Z770)=0,"Enter invoice revenue",IF(COUNT(AB770:AD770)&lt;3,"Enter expenses (0 if none)","Complete"))))</f>
        <v/>
      </c>
      <c r="AL770" s="11">
        <f>IF(A770="","",IF(NOT(AND(COUNT(AH770)=1,N(AH770)&gt;0.004,V770&lt;&gt;"Void",V770&lt;&gt;"Not invoiced",V770&lt;&gt;"Draft")),"",IF(COUNT(X770)=0,"No due date",IF(TODAY()-X770&lt;=0,"Not yet due",IF(TODAY()-X770&lt;=30,"1-30 days",IF(TODAY()-X770&lt;=60,"31-60 days",IF(TODAY()-X770&lt;=90,"61-90 days","Over 90 days")))))))</f>
        <v/>
      </c>
      <c r="AM770" s="49">
        <f>IF(OR(AL770="",AL770="No due date"),"",MAX(TODAY()-X770,0))</f>
        <v/>
      </c>
      <c r="AN770" s="49">
        <f>IF(AL770="","",IF(COUNT(X770)=0,-100000,TODAY()-X770))</f>
        <v/>
      </c>
      <c r="AO770" s="49">
        <f>IF(AN770="","",COUNTIF(AN$11:AN$1010,"&gt;"&amp;AN770)+COUNTIF(AN$11:AN770,AN770))</f>
        <v/>
      </c>
      <c r="AP770" s="49">
        <f>IF(OR(A770="",B770=""),"",IF(COUNTIF(B$11:B770,B770)=1,MAX(AP$10:AP769)+1,""))</f>
        <v/>
      </c>
    </row>
    <row r="771">
      <c r="A771" s="20" t="n"/>
      <c r="B771" s="10" t="n"/>
      <c r="C771" s="10" t="n"/>
      <c r="D771" s="10" t="n"/>
      <c r="E771" s="10" t="n"/>
      <c r="F771" s="18" t="n"/>
      <c r="G771" s="10" t="n"/>
      <c r="H771" s="12" t="n"/>
      <c r="I771" s="12" t="n"/>
      <c r="J771" s="13">
        <f>IF(OR(A771="",COUNT(H771)=0,COUNT(Z771)=0),"",ROUND(Z771-H771,2))</f>
        <v/>
      </c>
      <c r="K771" s="15">
        <f>IF(COUNT(J771)=0,"",IF(Z771=0,"n.a.",J771/Z771))</f>
        <v/>
      </c>
      <c r="L771" s="14">
        <f>IF(OR(A771="",COUNT(H771)=0,COUNT(Y771)=0),"",ROUND(H771*(1+Y771),2))</f>
        <v/>
      </c>
      <c r="M771" s="10" t="n"/>
      <c r="N771" s="10" t="n"/>
      <c r="O771" s="10" t="n"/>
      <c r="P771" s="10" t="n"/>
      <c r="Q771" s="20" t="n"/>
      <c r="R771" s="10" t="n"/>
      <c r="S771" s="10" t="n"/>
      <c r="T771" s="18" t="n"/>
      <c r="U771" s="18" t="n"/>
      <c r="V771" s="10" t="n"/>
      <c r="W771" s="10" t="n"/>
      <c r="X771" s="19">
        <f>IF(OR(A771="",COUNT(U771)=0,COUNT(AI771)=0),"",U771+AI771)</f>
        <v/>
      </c>
      <c r="Y771" s="16" t="n"/>
      <c r="Z771" s="12" t="n"/>
      <c r="AA771" s="17">
        <f>IF(COUNT(J771)=0,"",IF(H771=0,"n.a.",J771/H771))</f>
        <v/>
      </c>
      <c r="AB771" s="12" t="n"/>
      <c r="AC771" s="12" t="n"/>
      <c r="AD771" s="12" t="n"/>
      <c r="AE771" s="13">
        <f>IF(OR(COUNT(J771)=0,COUNT(AB771:AD771)&lt;3),"",ROUND(J771-SUM(AB771:AD771),2))</f>
        <v/>
      </c>
      <c r="AF771" s="15">
        <f>IF(COUNT(AE771)=0,"",IF(Z771=0,"n.a.",AE771/Z771))</f>
        <v/>
      </c>
      <c r="AG771" s="12" t="n"/>
      <c r="AH771" s="14">
        <f>IF(OR(A771="",COUNT(Z771)=0,COUNT(AG771)=0),"",ROUND(Z771-AG771,2))</f>
        <v/>
      </c>
      <c r="AI771" s="21" t="n"/>
      <c r="AJ771" s="11">
        <f>IF(A771="","",IF(COUNT(I771)=0,"Enter approved NTE",IF(COUNT(Z771)&gt;0,IF(Z771&gt;I771,"Invoice exceeds NTE","Invoice within NTE"),IF(COUNT(L771)=0,"Enter quote inputs",IF(L771&gt;I771,"Quote exceeds NTE","Quote within NTE")))))</f>
        <v/>
      </c>
      <c r="AK771" s="11">
        <f>IF(A771="","",IF(COUNT(H771)=0,"Enter direct cost",IF(COUNT(Z771)=0,"Enter invoice revenue",IF(COUNT(AB771:AD771)&lt;3,"Enter expenses (0 if none)","Complete"))))</f>
        <v/>
      </c>
      <c r="AL771" s="11">
        <f>IF(A771="","",IF(NOT(AND(COUNT(AH771)=1,N(AH771)&gt;0.004,V771&lt;&gt;"Void",V771&lt;&gt;"Not invoiced",V771&lt;&gt;"Draft")),"",IF(COUNT(X771)=0,"No due date",IF(TODAY()-X771&lt;=0,"Not yet due",IF(TODAY()-X771&lt;=30,"1-30 days",IF(TODAY()-X771&lt;=60,"31-60 days",IF(TODAY()-X771&lt;=90,"61-90 days","Over 90 days")))))))</f>
        <v/>
      </c>
      <c r="AM771" s="49">
        <f>IF(OR(AL771="",AL771="No due date"),"",MAX(TODAY()-X771,0))</f>
        <v/>
      </c>
      <c r="AN771" s="49">
        <f>IF(AL771="","",IF(COUNT(X771)=0,-100000,TODAY()-X771))</f>
        <v/>
      </c>
      <c r="AO771" s="49">
        <f>IF(AN771="","",COUNTIF(AN$11:AN$1010,"&gt;"&amp;AN771)+COUNTIF(AN$11:AN771,AN771))</f>
        <v/>
      </c>
      <c r="AP771" s="49">
        <f>IF(OR(A771="",B771=""),"",IF(COUNTIF(B$11:B771,B771)=1,MAX(AP$10:AP770)+1,""))</f>
        <v/>
      </c>
    </row>
    <row r="772">
      <c r="A772" s="20" t="n"/>
      <c r="B772" s="10" t="n"/>
      <c r="C772" s="10" t="n"/>
      <c r="D772" s="10" t="n"/>
      <c r="E772" s="10" t="n"/>
      <c r="F772" s="18" t="n"/>
      <c r="G772" s="10" t="n"/>
      <c r="H772" s="12" t="n"/>
      <c r="I772" s="12" t="n"/>
      <c r="J772" s="13">
        <f>IF(OR(A772="",COUNT(H772)=0,COUNT(Z772)=0),"",ROUND(Z772-H772,2))</f>
        <v/>
      </c>
      <c r="K772" s="15">
        <f>IF(COUNT(J772)=0,"",IF(Z772=0,"n.a.",J772/Z772))</f>
        <v/>
      </c>
      <c r="L772" s="14">
        <f>IF(OR(A772="",COUNT(H772)=0,COUNT(Y772)=0),"",ROUND(H772*(1+Y772),2))</f>
        <v/>
      </c>
      <c r="M772" s="10" t="n"/>
      <c r="N772" s="10" t="n"/>
      <c r="O772" s="10" t="n"/>
      <c r="P772" s="10" t="n"/>
      <c r="Q772" s="20" t="n"/>
      <c r="R772" s="10" t="n"/>
      <c r="S772" s="10" t="n"/>
      <c r="T772" s="18" t="n"/>
      <c r="U772" s="18" t="n"/>
      <c r="V772" s="10" t="n"/>
      <c r="W772" s="10" t="n"/>
      <c r="X772" s="19">
        <f>IF(OR(A772="",COUNT(U772)=0,COUNT(AI772)=0),"",U772+AI772)</f>
        <v/>
      </c>
      <c r="Y772" s="16" t="n"/>
      <c r="Z772" s="12" t="n"/>
      <c r="AA772" s="17">
        <f>IF(COUNT(J772)=0,"",IF(H772=0,"n.a.",J772/H772))</f>
        <v/>
      </c>
      <c r="AB772" s="12" t="n"/>
      <c r="AC772" s="12" t="n"/>
      <c r="AD772" s="12" t="n"/>
      <c r="AE772" s="13">
        <f>IF(OR(COUNT(J772)=0,COUNT(AB772:AD772)&lt;3),"",ROUND(J772-SUM(AB772:AD772),2))</f>
        <v/>
      </c>
      <c r="AF772" s="15">
        <f>IF(COUNT(AE772)=0,"",IF(Z772=0,"n.a.",AE772/Z772))</f>
        <v/>
      </c>
      <c r="AG772" s="12" t="n"/>
      <c r="AH772" s="14">
        <f>IF(OR(A772="",COUNT(Z772)=0,COUNT(AG772)=0),"",ROUND(Z772-AG772,2))</f>
        <v/>
      </c>
      <c r="AI772" s="21" t="n"/>
      <c r="AJ772" s="11">
        <f>IF(A772="","",IF(COUNT(I772)=0,"Enter approved NTE",IF(COUNT(Z772)&gt;0,IF(Z772&gt;I772,"Invoice exceeds NTE","Invoice within NTE"),IF(COUNT(L772)=0,"Enter quote inputs",IF(L772&gt;I772,"Quote exceeds NTE","Quote within NTE")))))</f>
        <v/>
      </c>
      <c r="AK772" s="11">
        <f>IF(A772="","",IF(COUNT(H772)=0,"Enter direct cost",IF(COUNT(Z772)=0,"Enter invoice revenue",IF(COUNT(AB772:AD772)&lt;3,"Enter expenses (0 if none)","Complete"))))</f>
        <v/>
      </c>
      <c r="AL772" s="11">
        <f>IF(A772="","",IF(NOT(AND(COUNT(AH772)=1,N(AH772)&gt;0.004,V772&lt;&gt;"Void",V772&lt;&gt;"Not invoiced",V772&lt;&gt;"Draft")),"",IF(COUNT(X772)=0,"No due date",IF(TODAY()-X772&lt;=0,"Not yet due",IF(TODAY()-X772&lt;=30,"1-30 days",IF(TODAY()-X772&lt;=60,"31-60 days",IF(TODAY()-X772&lt;=90,"61-90 days","Over 90 days")))))))</f>
        <v/>
      </c>
      <c r="AM772" s="49">
        <f>IF(OR(AL772="",AL772="No due date"),"",MAX(TODAY()-X772,0))</f>
        <v/>
      </c>
      <c r="AN772" s="49">
        <f>IF(AL772="","",IF(COUNT(X772)=0,-100000,TODAY()-X772))</f>
        <v/>
      </c>
      <c r="AO772" s="49">
        <f>IF(AN772="","",COUNTIF(AN$11:AN$1010,"&gt;"&amp;AN772)+COUNTIF(AN$11:AN772,AN772))</f>
        <v/>
      </c>
      <c r="AP772" s="49">
        <f>IF(OR(A772="",B772=""),"",IF(COUNTIF(B$11:B772,B772)=1,MAX(AP$10:AP771)+1,""))</f>
        <v/>
      </c>
    </row>
    <row r="773">
      <c r="A773" s="20" t="n"/>
      <c r="B773" s="10" t="n"/>
      <c r="C773" s="10" t="n"/>
      <c r="D773" s="10" t="n"/>
      <c r="E773" s="10" t="n"/>
      <c r="F773" s="18" t="n"/>
      <c r="G773" s="10" t="n"/>
      <c r="H773" s="12" t="n"/>
      <c r="I773" s="12" t="n"/>
      <c r="J773" s="13">
        <f>IF(OR(A773="",COUNT(H773)=0,COUNT(Z773)=0),"",ROUND(Z773-H773,2))</f>
        <v/>
      </c>
      <c r="K773" s="15">
        <f>IF(COUNT(J773)=0,"",IF(Z773=0,"n.a.",J773/Z773))</f>
        <v/>
      </c>
      <c r="L773" s="14">
        <f>IF(OR(A773="",COUNT(H773)=0,COUNT(Y773)=0),"",ROUND(H773*(1+Y773),2))</f>
        <v/>
      </c>
      <c r="M773" s="10" t="n"/>
      <c r="N773" s="10" t="n"/>
      <c r="O773" s="10" t="n"/>
      <c r="P773" s="10" t="n"/>
      <c r="Q773" s="20" t="n"/>
      <c r="R773" s="10" t="n"/>
      <c r="S773" s="10" t="n"/>
      <c r="T773" s="18" t="n"/>
      <c r="U773" s="18" t="n"/>
      <c r="V773" s="10" t="n"/>
      <c r="W773" s="10" t="n"/>
      <c r="X773" s="19">
        <f>IF(OR(A773="",COUNT(U773)=0,COUNT(AI773)=0),"",U773+AI773)</f>
        <v/>
      </c>
      <c r="Y773" s="16" t="n"/>
      <c r="Z773" s="12" t="n"/>
      <c r="AA773" s="17">
        <f>IF(COUNT(J773)=0,"",IF(H773=0,"n.a.",J773/H773))</f>
        <v/>
      </c>
      <c r="AB773" s="12" t="n"/>
      <c r="AC773" s="12" t="n"/>
      <c r="AD773" s="12" t="n"/>
      <c r="AE773" s="13">
        <f>IF(OR(COUNT(J773)=0,COUNT(AB773:AD773)&lt;3),"",ROUND(J773-SUM(AB773:AD773),2))</f>
        <v/>
      </c>
      <c r="AF773" s="15">
        <f>IF(COUNT(AE773)=0,"",IF(Z773=0,"n.a.",AE773/Z773))</f>
        <v/>
      </c>
      <c r="AG773" s="12" t="n"/>
      <c r="AH773" s="14">
        <f>IF(OR(A773="",COUNT(Z773)=0,COUNT(AG773)=0),"",ROUND(Z773-AG773,2))</f>
        <v/>
      </c>
      <c r="AI773" s="21" t="n"/>
      <c r="AJ773" s="11">
        <f>IF(A773="","",IF(COUNT(I773)=0,"Enter approved NTE",IF(COUNT(Z773)&gt;0,IF(Z773&gt;I773,"Invoice exceeds NTE","Invoice within NTE"),IF(COUNT(L773)=0,"Enter quote inputs",IF(L773&gt;I773,"Quote exceeds NTE","Quote within NTE")))))</f>
        <v/>
      </c>
      <c r="AK773" s="11">
        <f>IF(A773="","",IF(COUNT(H773)=0,"Enter direct cost",IF(COUNT(Z773)=0,"Enter invoice revenue",IF(COUNT(AB773:AD773)&lt;3,"Enter expenses (0 if none)","Complete"))))</f>
        <v/>
      </c>
      <c r="AL773" s="11">
        <f>IF(A773="","",IF(NOT(AND(COUNT(AH773)=1,N(AH773)&gt;0.004,V773&lt;&gt;"Void",V773&lt;&gt;"Not invoiced",V773&lt;&gt;"Draft")),"",IF(COUNT(X773)=0,"No due date",IF(TODAY()-X773&lt;=0,"Not yet due",IF(TODAY()-X773&lt;=30,"1-30 days",IF(TODAY()-X773&lt;=60,"31-60 days",IF(TODAY()-X773&lt;=90,"61-90 days","Over 90 days")))))))</f>
        <v/>
      </c>
      <c r="AM773" s="49">
        <f>IF(OR(AL773="",AL773="No due date"),"",MAX(TODAY()-X773,0))</f>
        <v/>
      </c>
      <c r="AN773" s="49">
        <f>IF(AL773="","",IF(COUNT(X773)=0,-100000,TODAY()-X773))</f>
        <v/>
      </c>
      <c r="AO773" s="49">
        <f>IF(AN773="","",COUNTIF(AN$11:AN$1010,"&gt;"&amp;AN773)+COUNTIF(AN$11:AN773,AN773))</f>
        <v/>
      </c>
      <c r="AP773" s="49">
        <f>IF(OR(A773="",B773=""),"",IF(COUNTIF(B$11:B773,B773)=1,MAX(AP$10:AP772)+1,""))</f>
        <v/>
      </c>
    </row>
    <row r="774">
      <c r="A774" s="20" t="n"/>
      <c r="B774" s="10" t="n"/>
      <c r="C774" s="10" t="n"/>
      <c r="D774" s="10" t="n"/>
      <c r="E774" s="10" t="n"/>
      <c r="F774" s="18" t="n"/>
      <c r="G774" s="10" t="n"/>
      <c r="H774" s="12" t="n"/>
      <c r="I774" s="12" t="n"/>
      <c r="J774" s="13">
        <f>IF(OR(A774="",COUNT(H774)=0,COUNT(Z774)=0),"",ROUND(Z774-H774,2))</f>
        <v/>
      </c>
      <c r="K774" s="15">
        <f>IF(COUNT(J774)=0,"",IF(Z774=0,"n.a.",J774/Z774))</f>
        <v/>
      </c>
      <c r="L774" s="14">
        <f>IF(OR(A774="",COUNT(H774)=0,COUNT(Y774)=0),"",ROUND(H774*(1+Y774),2))</f>
        <v/>
      </c>
      <c r="M774" s="10" t="n"/>
      <c r="N774" s="10" t="n"/>
      <c r="O774" s="10" t="n"/>
      <c r="P774" s="10" t="n"/>
      <c r="Q774" s="20" t="n"/>
      <c r="R774" s="10" t="n"/>
      <c r="S774" s="10" t="n"/>
      <c r="T774" s="18" t="n"/>
      <c r="U774" s="18" t="n"/>
      <c r="V774" s="10" t="n"/>
      <c r="W774" s="10" t="n"/>
      <c r="X774" s="19">
        <f>IF(OR(A774="",COUNT(U774)=0,COUNT(AI774)=0),"",U774+AI774)</f>
        <v/>
      </c>
      <c r="Y774" s="16" t="n"/>
      <c r="Z774" s="12" t="n"/>
      <c r="AA774" s="17">
        <f>IF(COUNT(J774)=0,"",IF(H774=0,"n.a.",J774/H774))</f>
        <v/>
      </c>
      <c r="AB774" s="12" t="n"/>
      <c r="AC774" s="12" t="n"/>
      <c r="AD774" s="12" t="n"/>
      <c r="AE774" s="13">
        <f>IF(OR(COUNT(J774)=0,COUNT(AB774:AD774)&lt;3),"",ROUND(J774-SUM(AB774:AD774),2))</f>
        <v/>
      </c>
      <c r="AF774" s="15">
        <f>IF(COUNT(AE774)=0,"",IF(Z774=0,"n.a.",AE774/Z774))</f>
        <v/>
      </c>
      <c r="AG774" s="12" t="n"/>
      <c r="AH774" s="14">
        <f>IF(OR(A774="",COUNT(Z774)=0,COUNT(AG774)=0),"",ROUND(Z774-AG774,2))</f>
        <v/>
      </c>
      <c r="AI774" s="21" t="n"/>
      <c r="AJ774" s="11">
        <f>IF(A774="","",IF(COUNT(I774)=0,"Enter approved NTE",IF(COUNT(Z774)&gt;0,IF(Z774&gt;I774,"Invoice exceeds NTE","Invoice within NTE"),IF(COUNT(L774)=0,"Enter quote inputs",IF(L774&gt;I774,"Quote exceeds NTE","Quote within NTE")))))</f>
        <v/>
      </c>
      <c r="AK774" s="11">
        <f>IF(A774="","",IF(COUNT(H774)=0,"Enter direct cost",IF(COUNT(Z774)=0,"Enter invoice revenue",IF(COUNT(AB774:AD774)&lt;3,"Enter expenses (0 if none)","Complete"))))</f>
        <v/>
      </c>
      <c r="AL774" s="11">
        <f>IF(A774="","",IF(NOT(AND(COUNT(AH774)=1,N(AH774)&gt;0.004,V774&lt;&gt;"Void",V774&lt;&gt;"Not invoiced",V774&lt;&gt;"Draft")),"",IF(COUNT(X774)=0,"No due date",IF(TODAY()-X774&lt;=0,"Not yet due",IF(TODAY()-X774&lt;=30,"1-30 days",IF(TODAY()-X774&lt;=60,"31-60 days",IF(TODAY()-X774&lt;=90,"61-90 days","Over 90 days")))))))</f>
        <v/>
      </c>
      <c r="AM774" s="49">
        <f>IF(OR(AL774="",AL774="No due date"),"",MAX(TODAY()-X774,0))</f>
        <v/>
      </c>
      <c r="AN774" s="49">
        <f>IF(AL774="","",IF(COUNT(X774)=0,-100000,TODAY()-X774))</f>
        <v/>
      </c>
      <c r="AO774" s="49">
        <f>IF(AN774="","",COUNTIF(AN$11:AN$1010,"&gt;"&amp;AN774)+COUNTIF(AN$11:AN774,AN774))</f>
        <v/>
      </c>
      <c r="AP774" s="49">
        <f>IF(OR(A774="",B774=""),"",IF(COUNTIF(B$11:B774,B774)=1,MAX(AP$10:AP773)+1,""))</f>
        <v/>
      </c>
    </row>
    <row r="775">
      <c r="A775" s="20" t="n"/>
      <c r="B775" s="10" t="n"/>
      <c r="C775" s="10" t="n"/>
      <c r="D775" s="10" t="n"/>
      <c r="E775" s="10" t="n"/>
      <c r="F775" s="18" t="n"/>
      <c r="G775" s="10" t="n"/>
      <c r="H775" s="12" t="n"/>
      <c r="I775" s="12" t="n"/>
      <c r="J775" s="13">
        <f>IF(OR(A775="",COUNT(H775)=0,COUNT(Z775)=0),"",ROUND(Z775-H775,2))</f>
        <v/>
      </c>
      <c r="K775" s="15">
        <f>IF(COUNT(J775)=0,"",IF(Z775=0,"n.a.",J775/Z775))</f>
        <v/>
      </c>
      <c r="L775" s="14">
        <f>IF(OR(A775="",COUNT(H775)=0,COUNT(Y775)=0),"",ROUND(H775*(1+Y775),2))</f>
        <v/>
      </c>
      <c r="M775" s="10" t="n"/>
      <c r="N775" s="10" t="n"/>
      <c r="O775" s="10" t="n"/>
      <c r="P775" s="10" t="n"/>
      <c r="Q775" s="20" t="n"/>
      <c r="R775" s="10" t="n"/>
      <c r="S775" s="10" t="n"/>
      <c r="T775" s="18" t="n"/>
      <c r="U775" s="18" t="n"/>
      <c r="V775" s="10" t="n"/>
      <c r="W775" s="10" t="n"/>
      <c r="X775" s="19">
        <f>IF(OR(A775="",COUNT(U775)=0,COUNT(AI775)=0),"",U775+AI775)</f>
        <v/>
      </c>
      <c r="Y775" s="16" t="n"/>
      <c r="Z775" s="12" t="n"/>
      <c r="AA775" s="17">
        <f>IF(COUNT(J775)=0,"",IF(H775=0,"n.a.",J775/H775))</f>
        <v/>
      </c>
      <c r="AB775" s="12" t="n"/>
      <c r="AC775" s="12" t="n"/>
      <c r="AD775" s="12" t="n"/>
      <c r="AE775" s="13">
        <f>IF(OR(COUNT(J775)=0,COUNT(AB775:AD775)&lt;3),"",ROUND(J775-SUM(AB775:AD775),2))</f>
        <v/>
      </c>
      <c r="AF775" s="15">
        <f>IF(COUNT(AE775)=0,"",IF(Z775=0,"n.a.",AE775/Z775))</f>
        <v/>
      </c>
      <c r="AG775" s="12" t="n"/>
      <c r="AH775" s="14">
        <f>IF(OR(A775="",COUNT(Z775)=0,COUNT(AG775)=0),"",ROUND(Z775-AG775,2))</f>
        <v/>
      </c>
      <c r="AI775" s="21" t="n"/>
      <c r="AJ775" s="11">
        <f>IF(A775="","",IF(COUNT(I775)=0,"Enter approved NTE",IF(COUNT(Z775)&gt;0,IF(Z775&gt;I775,"Invoice exceeds NTE","Invoice within NTE"),IF(COUNT(L775)=0,"Enter quote inputs",IF(L775&gt;I775,"Quote exceeds NTE","Quote within NTE")))))</f>
        <v/>
      </c>
      <c r="AK775" s="11">
        <f>IF(A775="","",IF(COUNT(H775)=0,"Enter direct cost",IF(COUNT(Z775)=0,"Enter invoice revenue",IF(COUNT(AB775:AD775)&lt;3,"Enter expenses (0 if none)","Complete"))))</f>
        <v/>
      </c>
      <c r="AL775" s="11">
        <f>IF(A775="","",IF(NOT(AND(COUNT(AH775)=1,N(AH775)&gt;0.004,V775&lt;&gt;"Void",V775&lt;&gt;"Not invoiced",V775&lt;&gt;"Draft")),"",IF(COUNT(X775)=0,"No due date",IF(TODAY()-X775&lt;=0,"Not yet due",IF(TODAY()-X775&lt;=30,"1-30 days",IF(TODAY()-X775&lt;=60,"31-60 days",IF(TODAY()-X775&lt;=90,"61-90 days","Over 90 days")))))))</f>
        <v/>
      </c>
      <c r="AM775" s="49">
        <f>IF(OR(AL775="",AL775="No due date"),"",MAX(TODAY()-X775,0))</f>
        <v/>
      </c>
      <c r="AN775" s="49">
        <f>IF(AL775="","",IF(COUNT(X775)=0,-100000,TODAY()-X775))</f>
        <v/>
      </c>
      <c r="AO775" s="49">
        <f>IF(AN775="","",COUNTIF(AN$11:AN$1010,"&gt;"&amp;AN775)+COUNTIF(AN$11:AN775,AN775))</f>
        <v/>
      </c>
      <c r="AP775" s="49">
        <f>IF(OR(A775="",B775=""),"",IF(COUNTIF(B$11:B775,B775)=1,MAX(AP$10:AP774)+1,""))</f>
        <v/>
      </c>
    </row>
    <row r="776">
      <c r="A776" s="20" t="n"/>
      <c r="B776" s="10" t="n"/>
      <c r="C776" s="10" t="n"/>
      <c r="D776" s="10" t="n"/>
      <c r="E776" s="10" t="n"/>
      <c r="F776" s="18" t="n"/>
      <c r="G776" s="10" t="n"/>
      <c r="H776" s="12" t="n"/>
      <c r="I776" s="12" t="n"/>
      <c r="J776" s="13">
        <f>IF(OR(A776="",COUNT(H776)=0,COUNT(Z776)=0),"",ROUND(Z776-H776,2))</f>
        <v/>
      </c>
      <c r="K776" s="15">
        <f>IF(COUNT(J776)=0,"",IF(Z776=0,"n.a.",J776/Z776))</f>
        <v/>
      </c>
      <c r="L776" s="14">
        <f>IF(OR(A776="",COUNT(H776)=0,COUNT(Y776)=0),"",ROUND(H776*(1+Y776),2))</f>
        <v/>
      </c>
      <c r="M776" s="10" t="n"/>
      <c r="N776" s="10" t="n"/>
      <c r="O776" s="10" t="n"/>
      <c r="P776" s="10" t="n"/>
      <c r="Q776" s="20" t="n"/>
      <c r="R776" s="10" t="n"/>
      <c r="S776" s="10" t="n"/>
      <c r="T776" s="18" t="n"/>
      <c r="U776" s="18" t="n"/>
      <c r="V776" s="10" t="n"/>
      <c r="W776" s="10" t="n"/>
      <c r="X776" s="19">
        <f>IF(OR(A776="",COUNT(U776)=0,COUNT(AI776)=0),"",U776+AI776)</f>
        <v/>
      </c>
      <c r="Y776" s="16" t="n"/>
      <c r="Z776" s="12" t="n"/>
      <c r="AA776" s="17">
        <f>IF(COUNT(J776)=0,"",IF(H776=0,"n.a.",J776/H776))</f>
        <v/>
      </c>
      <c r="AB776" s="12" t="n"/>
      <c r="AC776" s="12" t="n"/>
      <c r="AD776" s="12" t="n"/>
      <c r="AE776" s="13">
        <f>IF(OR(COUNT(J776)=0,COUNT(AB776:AD776)&lt;3),"",ROUND(J776-SUM(AB776:AD776),2))</f>
        <v/>
      </c>
      <c r="AF776" s="15">
        <f>IF(COUNT(AE776)=0,"",IF(Z776=0,"n.a.",AE776/Z776))</f>
        <v/>
      </c>
      <c r="AG776" s="12" t="n"/>
      <c r="AH776" s="14">
        <f>IF(OR(A776="",COUNT(Z776)=0,COUNT(AG776)=0),"",ROUND(Z776-AG776,2))</f>
        <v/>
      </c>
      <c r="AI776" s="21" t="n"/>
      <c r="AJ776" s="11">
        <f>IF(A776="","",IF(COUNT(I776)=0,"Enter approved NTE",IF(COUNT(Z776)&gt;0,IF(Z776&gt;I776,"Invoice exceeds NTE","Invoice within NTE"),IF(COUNT(L776)=0,"Enter quote inputs",IF(L776&gt;I776,"Quote exceeds NTE","Quote within NTE")))))</f>
        <v/>
      </c>
      <c r="AK776" s="11">
        <f>IF(A776="","",IF(COUNT(H776)=0,"Enter direct cost",IF(COUNT(Z776)=0,"Enter invoice revenue",IF(COUNT(AB776:AD776)&lt;3,"Enter expenses (0 if none)","Complete"))))</f>
        <v/>
      </c>
      <c r="AL776" s="11">
        <f>IF(A776="","",IF(NOT(AND(COUNT(AH776)=1,N(AH776)&gt;0.004,V776&lt;&gt;"Void",V776&lt;&gt;"Not invoiced",V776&lt;&gt;"Draft")),"",IF(COUNT(X776)=0,"No due date",IF(TODAY()-X776&lt;=0,"Not yet due",IF(TODAY()-X776&lt;=30,"1-30 days",IF(TODAY()-X776&lt;=60,"31-60 days",IF(TODAY()-X776&lt;=90,"61-90 days","Over 90 days")))))))</f>
        <v/>
      </c>
      <c r="AM776" s="49">
        <f>IF(OR(AL776="",AL776="No due date"),"",MAX(TODAY()-X776,0))</f>
        <v/>
      </c>
      <c r="AN776" s="49">
        <f>IF(AL776="","",IF(COUNT(X776)=0,-100000,TODAY()-X776))</f>
        <v/>
      </c>
      <c r="AO776" s="49">
        <f>IF(AN776="","",COUNTIF(AN$11:AN$1010,"&gt;"&amp;AN776)+COUNTIF(AN$11:AN776,AN776))</f>
        <v/>
      </c>
      <c r="AP776" s="49">
        <f>IF(OR(A776="",B776=""),"",IF(COUNTIF(B$11:B776,B776)=1,MAX(AP$10:AP775)+1,""))</f>
        <v/>
      </c>
    </row>
    <row r="777">
      <c r="A777" s="20" t="n"/>
      <c r="B777" s="10" t="n"/>
      <c r="C777" s="10" t="n"/>
      <c r="D777" s="10" t="n"/>
      <c r="E777" s="10" t="n"/>
      <c r="F777" s="18" t="n"/>
      <c r="G777" s="10" t="n"/>
      <c r="H777" s="12" t="n"/>
      <c r="I777" s="12" t="n"/>
      <c r="J777" s="13">
        <f>IF(OR(A777="",COUNT(H777)=0,COUNT(Z777)=0),"",ROUND(Z777-H777,2))</f>
        <v/>
      </c>
      <c r="K777" s="15">
        <f>IF(COUNT(J777)=0,"",IF(Z777=0,"n.a.",J777/Z777))</f>
        <v/>
      </c>
      <c r="L777" s="14">
        <f>IF(OR(A777="",COUNT(H777)=0,COUNT(Y777)=0),"",ROUND(H777*(1+Y777),2))</f>
        <v/>
      </c>
      <c r="M777" s="10" t="n"/>
      <c r="N777" s="10" t="n"/>
      <c r="O777" s="10" t="n"/>
      <c r="P777" s="10" t="n"/>
      <c r="Q777" s="20" t="n"/>
      <c r="R777" s="10" t="n"/>
      <c r="S777" s="10" t="n"/>
      <c r="T777" s="18" t="n"/>
      <c r="U777" s="18" t="n"/>
      <c r="V777" s="10" t="n"/>
      <c r="W777" s="10" t="n"/>
      <c r="X777" s="19">
        <f>IF(OR(A777="",COUNT(U777)=0,COUNT(AI777)=0),"",U777+AI777)</f>
        <v/>
      </c>
      <c r="Y777" s="16" t="n"/>
      <c r="Z777" s="12" t="n"/>
      <c r="AA777" s="17">
        <f>IF(COUNT(J777)=0,"",IF(H777=0,"n.a.",J777/H777))</f>
        <v/>
      </c>
      <c r="AB777" s="12" t="n"/>
      <c r="AC777" s="12" t="n"/>
      <c r="AD777" s="12" t="n"/>
      <c r="AE777" s="13">
        <f>IF(OR(COUNT(J777)=0,COUNT(AB777:AD777)&lt;3),"",ROUND(J777-SUM(AB777:AD777),2))</f>
        <v/>
      </c>
      <c r="AF777" s="15">
        <f>IF(COUNT(AE777)=0,"",IF(Z777=0,"n.a.",AE777/Z777))</f>
        <v/>
      </c>
      <c r="AG777" s="12" t="n"/>
      <c r="AH777" s="14">
        <f>IF(OR(A777="",COUNT(Z777)=0,COUNT(AG777)=0),"",ROUND(Z777-AG777,2))</f>
        <v/>
      </c>
      <c r="AI777" s="21" t="n"/>
      <c r="AJ777" s="11">
        <f>IF(A777="","",IF(COUNT(I777)=0,"Enter approved NTE",IF(COUNT(Z777)&gt;0,IF(Z777&gt;I777,"Invoice exceeds NTE","Invoice within NTE"),IF(COUNT(L777)=0,"Enter quote inputs",IF(L777&gt;I777,"Quote exceeds NTE","Quote within NTE")))))</f>
        <v/>
      </c>
      <c r="AK777" s="11">
        <f>IF(A777="","",IF(COUNT(H777)=0,"Enter direct cost",IF(COUNT(Z777)=0,"Enter invoice revenue",IF(COUNT(AB777:AD777)&lt;3,"Enter expenses (0 if none)","Complete"))))</f>
        <v/>
      </c>
      <c r="AL777" s="11">
        <f>IF(A777="","",IF(NOT(AND(COUNT(AH777)=1,N(AH777)&gt;0.004,V777&lt;&gt;"Void",V777&lt;&gt;"Not invoiced",V777&lt;&gt;"Draft")),"",IF(COUNT(X777)=0,"No due date",IF(TODAY()-X777&lt;=0,"Not yet due",IF(TODAY()-X777&lt;=30,"1-30 days",IF(TODAY()-X777&lt;=60,"31-60 days",IF(TODAY()-X777&lt;=90,"61-90 days","Over 90 days")))))))</f>
        <v/>
      </c>
      <c r="AM777" s="49">
        <f>IF(OR(AL777="",AL777="No due date"),"",MAX(TODAY()-X777,0))</f>
        <v/>
      </c>
      <c r="AN777" s="49">
        <f>IF(AL777="","",IF(COUNT(X777)=0,-100000,TODAY()-X777))</f>
        <v/>
      </c>
      <c r="AO777" s="49">
        <f>IF(AN777="","",COUNTIF(AN$11:AN$1010,"&gt;"&amp;AN777)+COUNTIF(AN$11:AN777,AN777))</f>
        <v/>
      </c>
      <c r="AP777" s="49">
        <f>IF(OR(A777="",B777=""),"",IF(COUNTIF(B$11:B777,B777)=1,MAX(AP$10:AP776)+1,""))</f>
        <v/>
      </c>
    </row>
    <row r="778">
      <c r="A778" s="20" t="n"/>
      <c r="B778" s="10" t="n"/>
      <c r="C778" s="10" t="n"/>
      <c r="D778" s="10" t="n"/>
      <c r="E778" s="10" t="n"/>
      <c r="F778" s="18" t="n"/>
      <c r="G778" s="10" t="n"/>
      <c r="H778" s="12" t="n"/>
      <c r="I778" s="12" t="n"/>
      <c r="J778" s="13">
        <f>IF(OR(A778="",COUNT(H778)=0,COUNT(Z778)=0),"",ROUND(Z778-H778,2))</f>
        <v/>
      </c>
      <c r="K778" s="15">
        <f>IF(COUNT(J778)=0,"",IF(Z778=0,"n.a.",J778/Z778))</f>
        <v/>
      </c>
      <c r="L778" s="14">
        <f>IF(OR(A778="",COUNT(H778)=0,COUNT(Y778)=0),"",ROUND(H778*(1+Y778),2))</f>
        <v/>
      </c>
      <c r="M778" s="10" t="n"/>
      <c r="N778" s="10" t="n"/>
      <c r="O778" s="10" t="n"/>
      <c r="P778" s="10" t="n"/>
      <c r="Q778" s="20" t="n"/>
      <c r="R778" s="10" t="n"/>
      <c r="S778" s="10" t="n"/>
      <c r="T778" s="18" t="n"/>
      <c r="U778" s="18" t="n"/>
      <c r="V778" s="10" t="n"/>
      <c r="W778" s="10" t="n"/>
      <c r="X778" s="19">
        <f>IF(OR(A778="",COUNT(U778)=0,COUNT(AI778)=0),"",U778+AI778)</f>
        <v/>
      </c>
      <c r="Y778" s="16" t="n"/>
      <c r="Z778" s="12" t="n"/>
      <c r="AA778" s="17">
        <f>IF(COUNT(J778)=0,"",IF(H778=0,"n.a.",J778/H778))</f>
        <v/>
      </c>
      <c r="AB778" s="12" t="n"/>
      <c r="AC778" s="12" t="n"/>
      <c r="AD778" s="12" t="n"/>
      <c r="AE778" s="13">
        <f>IF(OR(COUNT(J778)=0,COUNT(AB778:AD778)&lt;3),"",ROUND(J778-SUM(AB778:AD778),2))</f>
        <v/>
      </c>
      <c r="AF778" s="15">
        <f>IF(COUNT(AE778)=0,"",IF(Z778=0,"n.a.",AE778/Z778))</f>
        <v/>
      </c>
      <c r="AG778" s="12" t="n"/>
      <c r="AH778" s="14">
        <f>IF(OR(A778="",COUNT(Z778)=0,COUNT(AG778)=0),"",ROUND(Z778-AG778,2))</f>
        <v/>
      </c>
      <c r="AI778" s="21" t="n"/>
      <c r="AJ778" s="11">
        <f>IF(A778="","",IF(COUNT(I778)=0,"Enter approved NTE",IF(COUNT(Z778)&gt;0,IF(Z778&gt;I778,"Invoice exceeds NTE","Invoice within NTE"),IF(COUNT(L778)=0,"Enter quote inputs",IF(L778&gt;I778,"Quote exceeds NTE","Quote within NTE")))))</f>
        <v/>
      </c>
      <c r="AK778" s="11">
        <f>IF(A778="","",IF(COUNT(H778)=0,"Enter direct cost",IF(COUNT(Z778)=0,"Enter invoice revenue",IF(COUNT(AB778:AD778)&lt;3,"Enter expenses (0 if none)","Complete"))))</f>
        <v/>
      </c>
      <c r="AL778" s="11">
        <f>IF(A778="","",IF(NOT(AND(COUNT(AH778)=1,N(AH778)&gt;0.004,V778&lt;&gt;"Void",V778&lt;&gt;"Not invoiced",V778&lt;&gt;"Draft")),"",IF(COUNT(X778)=0,"No due date",IF(TODAY()-X778&lt;=0,"Not yet due",IF(TODAY()-X778&lt;=30,"1-30 days",IF(TODAY()-X778&lt;=60,"31-60 days",IF(TODAY()-X778&lt;=90,"61-90 days","Over 90 days")))))))</f>
        <v/>
      </c>
      <c r="AM778" s="49">
        <f>IF(OR(AL778="",AL778="No due date"),"",MAX(TODAY()-X778,0))</f>
        <v/>
      </c>
      <c r="AN778" s="49">
        <f>IF(AL778="","",IF(COUNT(X778)=0,-100000,TODAY()-X778))</f>
        <v/>
      </c>
      <c r="AO778" s="49">
        <f>IF(AN778="","",COUNTIF(AN$11:AN$1010,"&gt;"&amp;AN778)+COUNTIF(AN$11:AN778,AN778))</f>
        <v/>
      </c>
      <c r="AP778" s="49">
        <f>IF(OR(A778="",B778=""),"",IF(COUNTIF(B$11:B778,B778)=1,MAX(AP$10:AP777)+1,""))</f>
        <v/>
      </c>
    </row>
    <row r="779">
      <c r="A779" s="20" t="n"/>
      <c r="B779" s="10" t="n"/>
      <c r="C779" s="10" t="n"/>
      <c r="D779" s="10" t="n"/>
      <c r="E779" s="10" t="n"/>
      <c r="F779" s="18" t="n"/>
      <c r="G779" s="10" t="n"/>
      <c r="H779" s="12" t="n"/>
      <c r="I779" s="12" t="n"/>
      <c r="J779" s="13">
        <f>IF(OR(A779="",COUNT(H779)=0,COUNT(Z779)=0),"",ROUND(Z779-H779,2))</f>
        <v/>
      </c>
      <c r="K779" s="15">
        <f>IF(COUNT(J779)=0,"",IF(Z779=0,"n.a.",J779/Z779))</f>
        <v/>
      </c>
      <c r="L779" s="14">
        <f>IF(OR(A779="",COUNT(H779)=0,COUNT(Y779)=0),"",ROUND(H779*(1+Y779),2))</f>
        <v/>
      </c>
      <c r="M779" s="10" t="n"/>
      <c r="N779" s="10" t="n"/>
      <c r="O779" s="10" t="n"/>
      <c r="P779" s="10" t="n"/>
      <c r="Q779" s="20" t="n"/>
      <c r="R779" s="10" t="n"/>
      <c r="S779" s="10" t="n"/>
      <c r="T779" s="18" t="n"/>
      <c r="U779" s="18" t="n"/>
      <c r="V779" s="10" t="n"/>
      <c r="W779" s="10" t="n"/>
      <c r="X779" s="19">
        <f>IF(OR(A779="",COUNT(U779)=0,COUNT(AI779)=0),"",U779+AI779)</f>
        <v/>
      </c>
      <c r="Y779" s="16" t="n"/>
      <c r="Z779" s="12" t="n"/>
      <c r="AA779" s="17">
        <f>IF(COUNT(J779)=0,"",IF(H779=0,"n.a.",J779/H779))</f>
        <v/>
      </c>
      <c r="AB779" s="12" t="n"/>
      <c r="AC779" s="12" t="n"/>
      <c r="AD779" s="12" t="n"/>
      <c r="AE779" s="13">
        <f>IF(OR(COUNT(J779)=0,COUNT(AB779:AD779)&lt;3),"",ROUND(J779-SUM(AB779:AD779),2))</f>
        <v/>
      </c>
      <c r="AF779" s="15">
        <f>IF(COUNT(AE779)=0,"",IF(Z779=0,"n.a.",AE779/Z779))</f>
        <v/>
      </c>
      <c r="AG779" s="12" t="n"/>
      <c r="AH779" s="14">
        <f>IF(OR(A779="",COUNT(Z779)=0,COUNT(AG779)=0),"",ROUND(Z779-AG779,2))</f>
        <v/>
      </c>
      <c r="AI779" s="21" t="n"/>
      <c r="AJ779" s="11">
        <f>IF(A779="","",IF(COUNT(I779)=0,"Enter approved NTE",IF(COUNT(Z779)&gt;0,IF(Z779&gt;I779,"Invoice exceeds NTE","Invoice within NTE"),IF(COUNT(L779)=0,"Enter quote inputs",IF(L779&gt;I779,"Quote exceeds NTE","Quote within NTE")))))</f>
        <v/>
      </c>
      <c r="AK779" s="11">
        <f>IF(A779="","",IF(COUNT(H779)=0,"Enter direct cost",IF(COUNT(Z779)=0,"Enter invoice revenue",IF(COUNT(AB779:AD779)&lt;3,"Enter expenses (0 if none)","Complete"))))</f>
        <v/>
      </c>
      <c r="AL779" s="11">
        <f>IF(A779="","",IF(NOT(AND(COUNT(AH779)=1,N(AH779)&gt;0.004,V779&lt;&gt;"Void",V779&lt;&gt;"Not invoiced",V779&lt;&gt;"Draft")),"",IF(COUNT(X779)=0,"No due date",IF(TODAY()-X779&lt;=0,"Not yet due",IF(TODAY()-X779&lt;=30,"1-30 days",IF(TODAY()-X779&lt;=60,"31-60 days",IF(TODAY()-X779&lt;=90,"61-90 days","Over 90 days")))))))</f>
        <v/>
      </c>
      <c r="AM779" s="49">
        <f>IF(OR(AL779="",AL779="No due date"),"",MAX(TODAY()-X779,0))</f>
        <v/>
      </c>
      <c r="AN779" s="49">
        <f>IF(AL779="","",IF(COUNT(X779)=0,-100000,TODAY()-X779))</f>
        <v/>
      </c>
      <c r="AO779" s="49">
        <f>IF(AN779="","",COUNTIF(AN$11:AN$1010,"&gt;"&amp;AN779)+COUNTIF(AN$11:AN779,AN779))</f>
        <v/>
      </c>
      <c r="AP779" s="49">
        <f>IF(OR(A779="",B779=""),"",IF(COUNTIF(B$11:B779,B779)=1,MAX(AP$10:AP778)+1,""))</f>
        <v/>
      </c>
    </row>
    <row r="780">
      <c r="A780" s="20" t="n"/>
      <c r="B780" s="10" t="n"/>
      <c r="C780" s="10" t="n"/>
      <c r="D780" s="10" t="n"/>
      <c r="E780" s="10" t="n"/>
      <c r="F780" s="18" t="n"/>
      <c r="G780" s="10" t="n"/>
      <c r="H780" s="12" t="n"/>
      <c r="I780" s="12" t="n"/>
      <c r="J780" s="13">
        <f>IF(OR(A780="",COUNT(H780)=0,COUNT(Z780)=0),"",ROUND(Z780-H780,2))</f>
        <v/>
      </c>
      <c r="K780" s="15">
        <f>IF(COUNT(J780)=0,"",IF(Z780=0,"n.a.",J780/Z780))</f>
        <v/>
      </c>
      <c r="L780" s="14">
        <f>IF(OR(A780="",COUNT(H780)=0,COUNT(Y780)=0),"",ROUND(H780*(1+Y780),2))</f>
        <v/>
      </c>
      <c r="M780" s="10" t="n"/>
      <c r="N780" s="10" t="n"/>
      <c r="O780" s="10" t="n"/>
      <c r="P780" s="10" t="n"/>
      <c r="Q780" s="20" t="n"/>
      <c r="R780" s="10" t="n"/>
      <c r="S780" s="10" t="n"/>
      <c r="T780" s="18" t="n"/>
      <c r="U780" s="18" t="n"/>
      <c r="V780" s="10" t="n"/>
      <c r="W780" s="10" t="n"/>
      <c r="X780" s="19">
        <f>IF(OR(A780="",COUNT(U780)=0,COUNT(AI780)=0),"",U780+AI780)</f>
        <v/>
      </c>
      <c r="Y780" s="16" t="n"/>
      <c r="Z780" s="12" t="n"/>
      <c r="AA780" s="17">
        <f>IF(COUNT(J780)=0,"",IF(H780=0,"n.a.",J780/H780))</f>
        <v/>
      </c>
      <c r="AB780" s="12" t="n"/>
      <c r="AC780" s="12" t="n"/>
      <c r="AD780" s="12" t="n"/>
      <c r="AE780" s="13">
        <f>IF(OR(COUNT(J780)=0,COUNT(AB780:AD780)&lt;3),"",ROUND(J780-SUM(AB780:AD780),2))</f>
        <v/>
      </c>
      <c r="AF780" s="15">
        <f>IF(COUNT(AE780)=0,"",IF(Z780=0,"n.a.",AE780/Z780))</f>
        <v/>
      </c>
      <c r="AG780" s="12" t="n"/>
      <c r="AH780" s="14">
        <f>IF(OR(A780="",COUNT(Z780)=0,COUNT(AG780)=0),"",ROUND(Z780-AG780,2))</f>
        <v/>
      </c>
      <c r="AI780" s="21" t="n"/>
      <c r="AJ780" s="11">
        <f>IF(A780="","",IF(COUNT(I780)=0,"Enter approved NTE",IF(COUNT(Z780)&gt;0,IF(Z780&gt;I780,"Invoice exceeds NTE","Invoice within NTE"),IF(COUNT(L780)=0,"Enter quote inputs",IF(L780&gt;I780,"Quote exceeds NTE","Quote within NTE")))))</f>
        <v/>
      </c>
      <c r="AK780" s="11">
        <f>IF(A780="","",IF(COUNT(H780)=0,"Enter direct cost",IF(COUNT(Z780)=0,"Enter invoice revenue",IF(COUNT(AB780:AD780)&lt;3,"Enter expenses (0 if none)","Complete"))))</f>
        <v/>
      </c>
      <c r="AL780" s="11">
        <f>IF(A780="","",IF(NOT(AND(COUNT(AH780)=1,N(AH780)&gt;0.004,V780&lt;&gt;"Void",V780&lt;&gt;"Not invoiced",V780&lt;&gt;"Draft")),"",IF(COUNT(X780)=0,"No due date",IF(TODAY()-X780&lt;=0,"Not yet due",IF(TODAY()-X780&lt;=30,"1-30 days",IF(TODAY()-X780&lt;=60,"31-60 days",IF(TODAY()-X780&lt;=90,"61-90 days","Over 90 days")))))))</f>
        <v/>
      </c>
      <c r="AM780" s="49">
        <f>IF(OR(AL780="",AL780="No due date"),"",MAX(TODAY()-X780,0))</f>
        <v/>
      </c>
      <c r="AN780" s="49">
        <f>IF(AL780="","",IF(COUNT(X780)=0,-100000,TODAY()-X780))</f>
        <v/>
      </c>
      <c r="AO780" s="49">
        <f>IF(AN780="","",COUNTIF(AN$11:AN$1010,"&gt;"&amp;AN780)+COUNTIF(AN$11:AN780,AN780))</f>
        <v/>
      </c>
      <c r="AP780" s="49">
        <f>IF(OR(A780="",B780=""),"",IF(COUNTIF(B$11:B780,B780)=1,MAX(AP$10:AP779)+1,""))</f>
        <v/>
      </c>
    </row>
    <row r="781">
      <c r="A781" s="20" t="n"/>
      <c r="B781" s="10" t="n"/>
      <c r="C781" s="10" t="n"/>
      <c r="D781" s="10" t="n"/>
      <c r="E781" s="10" t="n"/>
      <c r="F781" s="18" t="n"/>
      <c r="G781" s="10" t="n"/>
      <c r="H781" s="12" t="n"/>
      <c r="I781" s="12" t="n"/>
      <c r="J781" s="13">
        <f>IF(OR(A781="",COUNT(H781)=0,COUNT(Z781)=0),"",ROUND(Z781-H781,2))</f>
        <v/>
      </c>
      <c r="K781" s="15">
        <f>IF(COUNT(J781)=0,"",IF(Z781=0,"n.a.",J781/Z781))</f>
        <v/>
      </c>
      <c r="L781" s="14">
        <f>IF(OR(A781="",COUNT(H781)=0,COUNT(Y781)=0),"",ROUND(H781*(1+Y781),2))</f>
        <v/>
      </c>
      <c r="M781" s="10" t="n"/>
      <c r="N781" s="10" t="n"/>
      <c r="O781" s="10" t="n"/>
      <c r="P781" s="10" t="n"/>
      <c r="Q781" s="20" t="n"/>
      <c r="R781" s="10" t="n"/>
      <c r="S781" s="10" t="n"/>
      <c r="T781" s="18" t="n"/>
      <c r="U781" s="18" t="n"/>
      <c r="V781" s="10" t="n"/>
      <c r="W781" s="10" t="n"/>
      <c r="X781" s="19">
        <f>IF(OR(A781="",COUNT(U781)=0,COUNT(AI781)=0),"",U781+AI781)</f>
        <v/>
      </c>
      <c r="Y781" s="16" t="n"/>
      <c r="Z781" s="12" t="n"/>
      <c r="AA781" s="17">
        <f>IF(COUNT(J781)=0,"",IF(H781=0,"n.a.",J781/H781))</f>
        <v/>
      </c>
      <c r="AB781" s="12" t="n"/>
      <c r="AC781" s="12" t="n"/>
      <c r="AD781" s="12" t="n"/>
      <c r="AE781" s="13">
        <f>IF(OR(COUNT(J781)=0,COUNT(AB781:AD781)&lt;3),"",ROUND(J781-SUM(AB781:AD781),2))</f>
        <v/>
      </c>
      <c r="AF781" s="15">
        <f>IF(COUNT(AE781)=0,"",IF(Z781=0,"n.a.",AE781/Z781))</f>
        <v/>
      </c>
      <c r="AG781" s="12" t="n"/>
      <c r="AH781" s="14">
        <f>IF(OR(A781="",COUNT(Z781)=0,COUNT(AG781)=0),"",ROUND(Z781-AG781,2))</f>
        <v/>
      </c>
      <c r="AI781" s="21" t="n"/>
      <c r="AJ781" s="11">
        <f>IF(A781="","",IF(COUNT(I781)=0,"Enter approved NTE",IF(COUNT(Z781)&gt;0,IF(Z781&gt;I781,"Invoice exceeds NTE","Invoice within NTE"),IF(COUNT(L781)=0,"Enter quote inputs",IF(L781&gt;I781,"Quote exceeds NTE","Quote within NTE")))))</f>
        <v/>
      </c>
      <c r="AK781" s="11">
        <f>IF(A781="","",IF(COUNT(H781)=0,"Enter direct cost",IF(COUNT(Z781)=0,"Enter invoice revenue",IF(COUNT(AB781:AD781)&lt;3,"Enter expenses (0 if none)","Complete"))))</f>
        <v/>
      </c>
      <c r="AL781" s="11">
        <f>IF(A781="","",IF(NOT(AND(COUNT(AH781)=1,N(AH781)&gt;0.004,V781&lt;&gt;"Void",V781&lt;&gt;"Not invoiced",V781&lt;&gt;"Draft")),"",IF(COUNT(X781)=0,"No due date",IF(TODAY()-X781&lt;=0,"Not yet due",IF(TODAY()-X781&lt;=30,"1-30 days",IF(TODAY()-X781&lt;=60,"31-60 days",IF(TODAY()-X781&lt;=90,"61-90 days","Over 90 days")))))))</f>
        <v/>
      </c>
      <c r="AM781" s="49">
        <f>IF(OR(AL781="",AL781="No due date"),"",MAX(TODAY()-X781,0))</f>
        <v/>
      </c>
      <c r="AN781" s="49">
        <f>IF(AL781="","",IF(COUNT(X781)=0,-100000,TODAY()-X781))</f>
        <v/>
      </c>
      <c r="AO781" s="49">
        <f>IF(AN781="","",COUNTIF(AN$11:AN$1010,"&gt;"&amp;AN781)+COUNTIF(AN$11:AN781,AN781))</f>
        <v/>
      </c>
      <c r="AP781" s="49">
        <f>IF(OR(A781="",B781=""),"",IF(COUNTIF(B$11:B781,B781)=1,MAX(AP$10:AP780)+1,""))</f>
        <v/>
      </c>
    </row>
    <row r="782">
      <c r="A782" s="20" t="n"/>
      <c r="B782" s="10" t="n"/>
      <c r="C782" s="10" t="n"/>
      <c r="D782" s="10" t="n"/>
      <c r="E782" s="10" t="n"/>
      <c r="F782" s="18" t="n"/>
      <c r="G782" s="10" t="n"/>
      <c r="H782" s="12" t="n"/>
      <c r="I782" s="12" t="n"/>
      <c r="J782" s="13">
        <f>IF(OR(A782="",COUNT(H782)=0,COUNT(Z782)=0),"",ROUND(Z782-H782,2))</f>
        <v/>
      </c>
      <c r="K782" s="15">
        <f>IF(COUNT(J782)=0,"",IF(Z782=0,"n.a.",J782/Z782))</f>
        <v/>
      </c>
      <c r="L782" s="14">
        <f>IF(OR(A782="",COUNT(H782)=0,COUNT(Y782)=0),"",ROUND(H782*(1+Y782),2))</f>
        <v/>
      </c>
      <c r="M782" s="10" t="n"/>
      <c r="N782" s="10" t="n"/>
      <c r="O782" s="10" t="n"/>
      <c r="P782" s="10" t="n"/>
      <c r="Q782" s="20" t="n"/>
      <c r="R782" s="10" t="n"/>
      <c r="S782" s="10" t="n"/>
      <c r="T782" s="18" t="n"/>
      <c r="U782" s="18" t="n"/>
      <c r="V782" s="10" t="n"/>
      <c r="W782" s="10" t="n"/>
      <c r="X782" s="19">
        <f>IF(OR(A782="",COUNT(U782)=0,COUNT(AI782)=0),"",U782+AI782)</f>
        <v/>
      </c>
      <c r="Y782" s="16" t="n"/>
      <c r="Z782" s="12" t="n"/>
      <c r="AA782" s="17">
        <f>IF(COUNT(J782)=0,"",IF(H782=0,"n.a.",J782/H782))</f>
        <v/>
      </c>
      <c r="AB782" s="12" t="n"/>
      <c r="AC782" s="12" t="n"/>
      <c r="AD782" s="12" t="n"/>
      <c r="AE782" s="13">
        <f>IF(OR(COUNT(J782)=0,COUNT(AB782:AD782)&lt;3),"",ROUND(J782-SUM(AB782:AD782),2))</f>
        <v/>
      </c>
      <c r="AF782" s="15">
        <f>IF(COUNT(AE782)=0,"",IF(Z782=0,"n.a.",AE782/Z782))</f>
        <v/>
      </c>
      <c r="AG782" s="12" t="n"/>
      <c r="AH782" s="14">
        <f>IF(OR(A782="",COUNT(Z782)=0,COUNT(AG782)=0),"",ROUND(Z782-AG782,2))</f>
        <v/>
      </c>
      <c r="AI782" s="21" t="n"/>
      <c r="AJ782" s="11">
        <f>IF(A782="","",IF(COUNT(I782)=0,"Enter approved NTE",IF(COUNT(Z782)&gt;0,IF(Z782&gt;I782,"Invoice exceeds NTE","Invoice within NTE"),IF(COUNT(L782)=0,"Enter quote inputs",IF(L782&gt;I782,"Quote exceeds NTE","Quote within NTE")))))</f>
        <v/>
      </c>
      <c r="AK782" s="11">
        <f>IF(A782="","",IF(COUNT(H782)=0,"Enter direct cost",IF(COUNT(Z782)=0,"Enter invoice revenue",IF(COUNT(AB782:AD782)&lt;3,"Enter expenses (0 if none)","Complete"))))</f>
        <v/>
      </c>
      <c r="AL782" s="11">
        <f>IF(A782="","",IF(NOT(AND(COUNT(AH782)=1,N(AH782)&gt;0.004,V782&lt;&gt;"Void",V782&lt;&gt;"Not invoiced",V782&lt;&gt;"Draft")),"",IF(COUNT(X782)=0,"No due date",IF(TODAY()-X782&lt;=0,"Not yet due",IF(TODAY()-X782&lt;=30,"1-30 days",IF(TODAY()-X782&lt;=60,"31-60 days",IF(TODAY()-X782&lt;=90,"61-90 days","Over 90 days")))))))</f>
        <v/>
      </c>
      <c r="AM782" s="49">
        <f>IF(OR(AL782="",AL782="No due date"),"",MAX(TODAY()-X782,0))</f>
        <v/>
      </c>
      <c r="AN782" s="49">
        <f>IF(AL782="","",IF(COUNT(X782)=0,-100000,TODAY()-X782))</f>
        <v/>
      </c>
      <c r="AO782" s="49">
        <f>IF(AN782="","",COUNTIF(AN$11:AN$1010,"&gt;"&amp;AN782)+COUNTIF(AN$11:AN782,AN782))</f>
        <v/>
      </c>
      <c r="AP782" s="49">
        <f>IF(OR(A782="",B782=""),"",IF(COUNTIF(B$11:B782,B782)=1,MAX(AP$10:AP781)+1,""))</f>
        <v/>
      </c>
    </row>
    <row r="783">
      <c r="A783" s="20" t="n"/>
      <c r="B783" s="10" t="n"/>
      <c r="C783" s="10" t="n"/>
      <c r="D783" s="10" t="n"/>
      <c r="E783" s="10" t="n"/>
      <c r="F783" s="18" t="n"/>
      <c r="G783" s="10" t="n"/>
      <c r="H783" s="12" t="n"/>
      <c r="I783" s="12" t="n"/>
      <c r="J783" s="13">
        <f>IF(OR(A783="",COUNT(H783)=0,COUNT(Z783)=0),"",ROUND(Z783-H783,2))</f>
        <v/>
      </c>
      <c r="K783" s="15">
        <f>IF(COUNT(J783)=0,"",IF(Z783=0,"n.a.",J783/Z783))</f>
        <v/>
      </c>
      <c r="L783" s="14">
        <f>IF(OR(A783="",COUNT(H783)=0,COUNT(Y783)=0),"",ROUND(H783*(1+Y783),2))</f>
        <v/>
      </c>
      <c r="M783" s="10" t="n"/>
      <c r="N783" s="10" t="n"/>
      <c r="O783" s="10" t="n"/>
      <c r="P783" s="10" t="n"/>
      <c r="Q783" s="20" t="n"/>
      <c r="R783" s="10" t="n"/>
      <c r="S783" s="10" t="n"/>
      <c r="T783" s="18" t="n"/>
      <c r="U783" s="18" t="n"/>
      <c r="V783" s="10" t="n"/>
      <c r="W783" s="10" t="n"/>
      <c r="X783" s="19">
        <f>IF(OR(A783="",COUNT(U783)=0,COUNT(AI783)=0),"",U783+AI783)</f>
        <v/>
      </c>
      <c r="Y783" s="16" t="n"/>
      <c r="Z783" s="12" t="n"/>
      <c r="AA783" s="17">
        <f>IF(COUNT(J783)=0,"",IF(H783=0,"n.a.",J783/H783))</f>
        <v/>
      </c>
      <c r="AB783" s="12" t="n"/>
      <c r="AC783" s="12" t="n"/>
      <c r="AD783" s="12" t="n"/>
      <c r="AE783" s="13">
        <f>IF(OR(COUNT(J783)=0,COUNT(AB783:AD783)&lt;3),"",ROUND(J783-SUM(AB783:AD783),2))</f>
        <v/>
      </c>
      <c r="AF783" s="15">
        <f>IF(COUNT(AE783)=0,"",IF(Z783=0,"n.a.",AE783/Z783))</f>
        <v/>
      </c>
      <c r="AG783" s="12" t="n"/>
      <c r="AH783" s="14">
        <f>IF(OR(A783="",COUNT(Z783)=0,COUNT(AG783)=0),"",ROUND(Z783-AG783,2))</f>
        <v/>
      </c>
      <c r="AI783" s="21" t="n"/>
      <c r="AJ783" s="11">
        <f>IF(A783="","",IF(COUNT(I783)=0,"Enter approved NTE",IF(COUNT(Z783)&gt;0,IF(Z783&gt;I783,"Invoice exceeds NTE","Invoice within NTE"),IF(COUNT(L783)=0,"Enter quote inputs",IF(L783&gt;I783,"Quote exceeds NTE","Quote within NTE")))))</f>
        <v/>
      </c>
      <c r="AK783" s="11">
        <f>IF(A783="","",IF(COUNT(H783)=0,"Enter direct cost",IF(COUNT(Z783)=0,"Enter invoice revenue",IF(COUNT(AB783:AD783)&lt;3,"Enter expenses (0 if none)","Complete"))))</f>
        <v/>
      </c>
      <c r="AL783" s="11">
        <f>IF(A783="","",IF(NOT(AND(COUNT(AH783)=1,N(AH783)&gt;0.004,V783&lt;&gt;"Void",V783&lt;&gt;"Not invoiced",V783&lt;&gt;"Draft")),"",IF(COUNT(X783)=0,"No due date",IF(TODAY()-X783&lt;=0,"Not yet due",IF(TODAY()-X783&lt;=30,"1-30 days",IF(TODAY()-X783&lt;=60,"31-60 days",IF(TODAY()-X783&lt;=90,"61-90 days","Over 90 days")))))))</f>
        <v/>
      </c>
      <c r="AM783" s="49">
        <f>IF(OR(AL783="",AL783="No due date"),"",MAX(TODAY()-X783,0))</f>
        <v/>
      </c>
      <c r="AN783" s="49">
        <f>IF(AL783="","",IF(COUNT(X783)=0,-100000,TODAY()-X783))</f>
        <v/>
      </c>
      <c r="AO783" s="49">
        <f>IF(AN783="","",COUNTIF(AN$11:AN$1010,"&gt;"&amp;AN783)+COUNTIF(AN$11:AN783,AN783))</f>
        <v/>
      </c>
      <c r="AP783" s="49">
        <f>IF(OR(A783="",B783=""),"",IF(COUNTIF(B$11:B783,B783)=1,MAX(AP$10:AP782)+1,""))</f>
        <v/>
      </c>
    </row>
    <row r="784">
      <c r="A784" s="20" t="n"/>
      <c r="B784" s="10" t="n"/>
      <c r="C784" s="10" t="n"/>
      <c r="D784" s="10" t="n"/>
      <c r="E784" s="10" t="n"/>
      <c r="F784" s="18" t="n"/>
      <c r="G784" s="10" t="n"/>
      <c r="H784" s="12" t="n"/>
      <c r="I784" s="12" t="n"/>
      <c r="J784" s="13">
        <f>IF(OR(A784="",COUNT(H784)=0,COUNT(Z784)=0),"",ROUND(Z784-H784,2))</f>
        <v/>
      </c>
      <c r="K784" s="15">
        <f>IF(COUNT(J784)=0,"",IF(Z784=0,"n.a.",J784/Z784))</f>
        <v/>
      </c>
      <c r="L784" s="14">
        <f>IF(OR(A784="",COUNT(H784)=0,COUNT(Y784)=0),"",ROUND(H784*(1+Y784),2))</f>
        <v/>
      </c>
      <c r="M784" s="10" t="n"/>
      <c r="N784" s="10" t="n"/>
      <c r="O784" s="10" t="n"/>
      <c r="P784" s="10" t="n"/>
      <c r="Q784" s="20" t="n"/>
      <c r="R784" s="10" t="n"/>
      <c r="S784" s="10" t="n"/>
      <c r="T784" s="18" t="n"/>
      <c r="U784" s="18" t="n"/>
      <c r="V784" s="10" t="n"/>
      <c r="W784" s="10" t="n"/>
      <c r="X784" s="19">
        <f>IF(OR(A784="",COUNT(U784)=0,COUNT(AI784)=0),"",U784+AI784)</f>
        <v/>
      </c>
      <c r="Y784" s="16" t="n"/>
      <c r="Z784" s="12" t="n"/>
      <c r="AA784" s="17">
        <f>IF(COUNT(J784)=0,"",IF(H784=0,"n.a.",J784/H784))</f>
        <v/>
      </c>
      <c r="AB784" s="12" t="n"/>
      <c r="AC784" s="12" t="n"/>
      <c r="AD784" s="12" t="n"/>
      <c r="AE784" s="13">
        <f>IF(OR(COUNT(J784)=0,COUNT(AB784:AD784)&lt;3),"",ROUND(J784-SUM(AB784:AD784),2))</f>
        <v/>
      </c>
      <c r="AF784" s="15">
        <f>IF(COUNT(AE784)=0,"",IF(Z784=0,"n.a.",AE784/Z784))</f>
        <v/>
      </c>
      <c r="AG784" s="12" t="n"/>
      <c r="AH784" s="14">
        <f>IF(OR(A784="",COUNT(Z784)=0,COUNT(AG784)=0),"",ROUND(Z784-AG784,2))</f>
        <v/>
      </c>
      <c r="AI784" s="21" t="n"/>
      <c r="AJ784" s="11">
        <f>IF(A784="","",IF(COUNT(I784)=0,"Enter approved NTE",IF(COUNT(Z784)&gt;0,IF(Z784&gt;I784,"Invoice exceeds NTE","Invoice within NTE"),IF(COUNT(L784)=0,"Enter quote inputs",IF(L784&gt;I784,"Quote exceeds NTE","Quote within NTE")))))</f>
        <v/>
      </c>
      <c r="AK784" s="11">
        <f>IF(A784="","",IF(COUNT(H784)=0,"Enter direct cost",IF(COUNT(Z784)=0,"Enter invoice revenue",IF(COUNT(AB784:AD784)&lt;3,"Enter expenses (0 if none)","Complete"))))</f>
        <v/>
      </c>
      <c r="AL784" s="11">
        <f>IF(A784="","",IF(NOT(AND(COUNT(AH784)=1,N(AH784)&gt;0.004,V784&lt;&gt;"Void",V784&lt;&gt;"Not invoiced",V784&lt;&gt;"Draft")),"",IF(COUNT(X784)=0,"No due date",IF(TODAY()-X784&lt;=0,"Not yet due",IF(TODAY()-X784&lt;=30,"1-30 days",IF(TODAY()-X784&lt;=60,"31-60 days",IF(TODAY()-X784&lt;=90,"61-90 days","Over 90 days")))))))</f>
        <v/>
      </c>
      <c r="AM784" s="49">
        <f>IF(OR(AL784="",AL784="No due date"),"",MAX(TODAY()-X784,0))</f>
        <v/>
      </c>
      <c r="AN784" s="49">
        <f>IF(AL784="","",IF(COUNT(X784)=0,-100000,TODAY()-X784))</f>
        <v/>
      </c>
      <c r="AO784" s="49">
        <f>IF(AN784="","",COUNTIF(AN$11:AN$1010,"&gt;"&amp;AN784)+COUNTIF(AN$11:AN784,AN784))</f>
        <v/>
      </c>
      <c r="AP784" s="49">
        <f>IF(OR(A784="",B784=""),"",IF(COUNTIF(B$11:B784,B784)=1,MAX(AP$10:AP783)+1,""))</f>
        <v/>
      </c>
    </row>
    <row r="785">
      <c r="A785" s="20" t="n"/>
      <c r="B785" s="10" t="n"/>
      <c r="C785" s="10" t="n"/>
      <c r="D785" s="10" t="n"/>
      <c r="E785" s="10" t="n"/>
      <c r="F785" s="18" t="n"/>
      <c r="G785" s="10" t="n"/>
      <c r="H785" s="12" t="n"/>
      <c r="I785" s="12" t="n"/>
      <c r="J785" s="13">
        <f>IF(OR(A785="",COUNT(H785)=0,COUNT(Z785)=0),"",ROUND(Z785-H785,2))</f>
        <v/>
      </c>
      <c r="K785" s="15">
        <f>IF(COUNT(J785)=0,"",IF(Z785=0,"n.a.",J785/Z785))</f>
        <v/>
      </c>
      <c r="L785" s="14">
        <f>IF(OR(A785="",COUNT(H785)=0,COUNT(Y785)=0),"",ROUND(H785*(1+Y785),2))</f>
        <v/>
      </c>
      <c r="M785" s="10" t="n"/>
      <c r="N785" s="10" t="n"/>
      <c r="O785" s="10" t="n"/>
      <c r="P785" s="10" t="n"/>
      <c r="Q785" s="20" t="n"/>
      <c r="R785" s="10" t="n"/>
      <c r="S785" s="10" t="n"/>
      <c r="T785" s="18" t="n"/>
      <c r="U785" s="18" t="n"/>
      <c r="V785" s="10" t="n"/>
      <c r="W785" s="10" t="n"/>
      <c r="X785" s="19">
        <f>IF(OR(A785="",COUNT(U785)=0,COUNT(AI785)=0),"",U785+AI785)</f>
        <v/>
      </c>
      <c r="Y785" s="16" t="n"/>
      <c r="Z785" s="12" t="n"/>
      <c r="AA785" s="17">
        <f>IF(COUNT(J785)=0,"",IF(H785=0,"n.a.",J785/H785))</f>
        <v/>
      </c>
      <c r="AB785" s="12" t="n"/>
      <c r="AC785" s="12" t="n"/>
      <c r="AD785" s="12" t="n"/>
      <c r="AE785" s="13">
        <f>IF(OR(COUNT(J785)=0,COUNT(AB785:AD785)&lt;3),"",ROUND(J785-SUM(AB785:AD785),2))</f>
        <v/>
      </c>
      <c r="AF785" s="15">
        <f>IF(COUNT(AE785)=0,"",IF(Z785=0,"n.a.",AE785/Z785))</f>
        <v/>
      </c>
      <c r="AG785" s="12" t="n"/>
      <c r="AH785" s="14">
        <f>IF(OR(A785="",COUNT(Z785)=0,COUNT(AG785)=0),"",ROUND(Z785-AG785,2))</f>
        <v/>
      </c>
      <c r="AI785" s="21" t="n"/>
      <c r="AJ785" s="11">
        <f>IF(A785="","",IF(COUNT(I785)=0,"Enter approved NTE",IF(COUNT(Z785)&gt;0,IF(Z785&gt;I785,"Invoice exceeds NTE","Invoice within NTE"),IF(COUNT(L785)=0,"Enter quote inputs",IF(L785&gt;I785,"Quote exceeds NTE","Quote within NTE")))))</f>
        <v/>
      </c>
      <c r="AK785" s="11">
        <f>IF(A785="","",IF(COUNT(H785)=0,"Enter direct cost",IF(COUNT(Z785)=0,"Enter invoice revenue",IF(COUNT(AB785:AD785)&lt;3,"Enter expenses (0 if none)","Complete"))))</f>
        <v/>
      </c>
      <c r="AL785" s="11">
        <f>IF(A785="","",IF(NOT(AND(COUNT(AH785)=1,N(AH785)&gt;0.004,V785&lt;&gt;"Void",V785&lt;&gt;"Not invoiced",V785&lt;&gt;"Draft")),"",IF(COUNT(X785)=0,"No due date",IF(TODAY()-X785&lt;=0,"Not yet due",IF(TODAY()-X785&lt;=30,"1-30 days",IF(TODAY()-X785&lt;=60,"31-60 days",IF(TODAY()-X785&lt;=90,"61-90 days","Over 90 days")))))))</f>
        <v/>
      </c>
      <c r="AM785" s="49">
        <f>IF(OR(AL785="",AL785="No due date"),"",MAX(TODAY()-X785,0))</f>
        <v/>
      </c>
      <c r="AN785" s="49">
        <f>IF(AL785="","",IF(COUNT(X785)=0,-100000,TODAY()-X785))</f>
        <v/>
      </c>
      <c r="AO785" s="49">
        <f>IF(AN785="","",COUNTIF(AN$11:AN$1010,"&gt;"&amp;AN785)+COUNTIF(AN$11:AN785,AN785))</f>
        <v/>
      </c>
      <c r="AP785" s="49">
        <f>IF(OR(A785="",B785=""),"",IF(COUNTIF(B$11:B785,B785)=1,MAX(AP$10:AP784)+1,""))</f>
        <v/>
      </c>
    </row>
    <row r="786">
      <c r="A786" s="20" t="n"/>
      <c r="B786" s="10" t="n"/>
      <c r="C786" s="10" t="n"/>
      <c r="D786" s="10" t="n"/>
      <c r="E786" s="10" t="n"/>
      <c r="F786" s="18" t="n"/>
      <c r="G786" s="10" t="n"/>
      <c r="H786" s="12" t="n"/>
      <c r="I786" s="12" t="n"/>
      <c r="J786" s="13">
        <f>IF(OR(A786="",COUNT(H786)=0,COUNT(Z786)=0),"",ROUND(Z786-H786,2))</f>
        <v/>
      </c>
      <c r="K786" s="15">
        <f>IF(COUNT(J786)=0,"",IF(Z786=0,"n.a.",J786/Z786))</f>
        <v/>
      </c>
      <c r="L786" s="14">
        <f>IF(OR(A786="",COUNT(H786)=0,COUNT(Y786)=0),"",ROUND(H786*(1+Y786),2))</f>
        <v/>
      </c>
      <c r="M786" s="10" t="n"/>
      <c r="N786" s="10" t="n"/>
      <c r="O786" s="10" t="n"/>
      <c r="P786" s="10" t="n"/>
      <c r="Q786" s="20" t="n"/>
      <c r="R786" s="10" t="n"/>
      <c r="S786" s="10" t="n"/>
      <c r="T786" s="18" t="n"/>
      <c r="U786" s="18" t="n"/>
      <c r="V786" s="10" t="n"/>
      <c r="W786" s="10" t="n"/>
      <c r="X786" s="19">
        <f>IF(OR(A786="",COUNT(U786)=0,COUNT(AI786)=0),"",U786+AI786)</f>
        <v/>
      </c>
      <c r="Y786" s="16" t="n"/>
      <c r="Z786" s="12" t="n"/>
      <c r="AA786" s="17">
        <f>IF(COUNT(J786)=0,"",IF(H786=0,"n.a.",J786/H786))</f>
        <v/>
      </c>
      <c r="AB786" s="12" t="n"/>
      <c r="AC786" s="12" t="n"/>
      <c r="AD786" s="12" t="n"/>
      <c r="AE786" s="13">
        <f>IF(OR(COUNT(J786)=0,COUNT(AB786:AD786)&lt;3),"",ROUND(J786-SUM(AB786:AD786),2))</f>
        <v/>
      </c>
      <c r="AF786" s="15">
        <f>IF(COUNT(AE786)=0,"",IF(Z786=0,"n.a.",AE786/Z786))</f>
        <v/>
      </c>
      <c r="AG786" s="12" t="n"/>
      <c r="AH786" s="14">
        <f>IF(OR(A786="",COUNT(Z786)=0,COUNT(AG786)=0),"",ROUND(Z786-AG786,2))</f>
        <v/>
      </c>
      <c r="AI786" s="21" t="n"/>
      <c r="AJ786" s="11">
        <f>IF(A786="","",IF(COUNT(I786)=0,"Enter approved NTE",IF(COUNT(Z786)&gt;0,IF(Z786&gt;I786,"Invoice exceeds NTE","Invoice within NTE"),IF(COUNT(L786)=0,"Enter quote inputs",IF(L786&gt;I786,"Quote exceeds NTE","Quote within NTE")))))</f>
        <v/>
      </c>
      <c r="AK786" s="11">
        <f>IF(A786="","",IF(COUNT(H786)=0,"Enter direct cost",IF(COUNT(Z786)=0,"Enter invoice revenue",IF(COUNT(AB786:AD786)&lt;3,"Enter expenses (0 if none)","Complete"))))</f>
        <v/>
      </c>
      <c r="AL786" s="11">
        <f>IF(A786="","",IF(NOT(AND(COUNT(AH786)=1,N(AH786)&gt;0.004,V786&lt;&gt;"Void",V786&lt;&gt;"Not invoiced",V786&lt;&gt;"Draft")),"",IF(COUNT(X786)=0,"No due date",IF(TODAY()-X786&lt;=0,"Not yet due",IF(TODAY()-X786&lt;=30,"1-30 days",IF(TODAY()-X786&lt;=60,"31-60 days",IF(TODAY()-X786&lt;=90,"61-90 days","Over 90 days")))))))</f>
        <v/>
      </c>
      <c r="AM786" s="49">
        <f>IF(OR(AL786="",AL786="No due date"),"",MAX(TODAY()-X786,0))</f>
        <v/>
      </c>
      <c r="AN786" s="49">
        <f>IF(AL786="","",IF(COUNT(X786)=0,-100000,TODAY()-X786))</f>
        <v/>
      </c>
      <c r="AO786" s="49">
        <f>IF(AN786="","",COUNTIF(AN$11:AN$1010,"&gt;"&amp;AN786)+COUNTIF(AN$11:AN786,AN786))</f>
        <v/>
      </c>
      <c r="AP786" s="49">
        <f>IF(OR(A786="",B786=""),"",IF(COUNTIF(B$11:B786,B786)=1,MAX(AP$10:AP785)+1,""))</f>
        <v/>
      </c>
    </row>
    <row r="787">
      <c r="A787" s="20" t="n"/>
      <c r="B787" s="10" t="n"/>
      <c r="C787" s="10" t="n"/>
      <c r="D787" s="10" t="n"/>
      <c r="E787" s="10" t="n"/>
      <c r="F787" s="18" t="n"/>
      <c r="G787" s="10" t="n"/>
      <c r="H787" s="12" t="n"/>
      <c r="I787" s="12" t="n"/>
      <c r="J787" s="13">
        <f>IF(OR(A787="",COUNT(H787)=0,COUNT(Z787)=0),"",ROUND(Z787-H787,2))</f>
        <v/>
      </c>
      <c r="K787" s="15">
        <f>IF(COUNT(J787)=0,"",IF(Z787=0,"n.a.",J787/Z787))</f>
        <v/>
      </c>
      <c r="L787" s="14">
        <f>IF(OR(A787="",COUNT(H787)=0,COUNT(Y787)=0),"",ROUND(H787*(1+Y787),2))</f>
        <v/>
      </c>
      <c r="M787" s="10" t="n"/>
      <c r="N787" s="10" t="n"/>
      <c r="O787" s="10" t="n"/>
      <c r="P787" s="10" t="n"/>
      <c r="Q787" s="20" t="n"/>
      <c r="R787" s="10" t="n"/>
      <c r="S787" s="10" t="n"/>
      <c r="T787" s="18" t="n"/>
      <c r="U787" s="18" t="n"/>
      <c r="V787" s="10" t="n"/>
      <c r="W787" s="10" t="n"/>
      <c r="X787" s="19">
        <f>IF(OR(A787="",COUNT(U787)=0,COUNT(AI787)=0),"",U787+AI787)</f>
        <v/>
      </c>
      <c r="Y787" s="16" t="n"/>
      <c r="Z787" s="12" t="n"/>
      <c r="AA787" s="17">
        <f>IF(COUNT(J787)=0,"",IF(H787=0,"n.a.",J787/H787))</f>
        <v/>
      </c>
      <c r="AB787" s="12" t="n"/>
      <c r="AC787" s="12" t="n"/>
      <c r="AD787" s="12" t="n"/>
      <c r="AE787" s="13">
        <f>IF(OR(COUNT(J787)=0,COUNT(AB787:AD787)&lt;3),"",ROUND(J787-SUM(AB787:AD787),2))</f>
        <v/>
      </c>
      <c r="AF787" s="15">
        <f>IF(COUNT(AE787)=0,"",IF(Z787=0,"n.a.",AE787/Z787))</f>
        <v/>
      </c>
      <c r="AG787" s="12" t="n"/>
      <c r="AH787" s="14">
        <f>IF(OR(A787="",COUNT(Z787)=0,COUNT(AG787)=0),"",ROUND(Z787-AG787,2))</f>
        <v/>
      </c>
      <c r="AI787" s="21" t="n"/>
      <c r="AJ787" s="11">
        <f>IF(A787="","",IF(COUNT(I787)=0,"Enter approved NTE",IF(COUNT(Z787)&gt;0,IF(Z787&gt;I787,"Invoice exceeds NTE","Invoice within NTE"),IF(COUNT(L787)=0,"Enter quote inputs",IF(L787&gt;I787,"Quote exceeds NTE","Quote within NTE")))))</f>
        <v/>
      </c>
      <c r="AK787" s="11">
        <f>IF(A787="","",IF(COUNT(H787)=0,"Enter direct cost",IF(COUNT(Z787)=0,"Enter invoice revenue",IF(COUNT(AB787:AD787)&lt;3,"Enter expenses (0 if none)","Complete"))))</f>
        <v/>
      </c>
      <c r="AL787" s="11">
        <f>IF(A787="","",IF(NOT(AND(COUNT(AH787)=1,N(AH787)&gt;0.004,V787&lt;&gt;"Void",V787&lt;&gt;"Not invoiced",V787&lt;&gt;"Draft")),"",IF(COUNT(X787)=0,"No due date",IF(TODAY()-X787&lt;=0,"Not yet due",IF(TODAY()-X787&lt;=30,"1-30 days",IF(TODAY()-X787&lt;=60,"31-60 days",IF(TODAY()-X787&lt;=90,"61-90 days","Over 90 days")))))))</f>
        <v/>
      </c>
      <c r="AM787" s="49">
        <f>IF(OR(AL787="",AL787="No due date"),"",MAX(TODAY()-X787,0))</f>
        <v/>
      </c>
      <c r="AN787" s="49">
        <f>IF(AL787="","",IF(COUNT(X787)=0,-100000,TODAY()-X787))</f>
        <v/>
      </c>
      <c r="AO787" s="49">
        <f>IF(AN787="","",COUNTIF(AN$11:AN$1010,"&gt;"&amp;AN787)+COUNTIF(AN$11:AN787,AN787))</f>
        <v/>
      </c>
      <c r="AP787" s="49">
        <f>IF(OR(A787="",B787=""),"",IF(COUNTIF(B$11:B787,B787)=1,MAX(AP$10:AP786)+1,""))</f>
        <v/>
      </c>
    </row>
    <row r="788">
      <c r="A788" s="20" t="n"/>
      <c r="B788" s="10" t="n"/>
      <c r="C788" s="10" t="n"/>
      <c r="D788" s="10" t="n"/>
      <c r="E788" s="10" t="n"/>
      <c r="F788" s="18" t="n"/>
      <c r="G788" s="10" t="n"/>
      <c r="H788" s="12" t="n"/>
      <c r="I788" s="12" t="n"/>
      <c r="J788" s="13">
        <f>IF(OR(A788="",COUNT(H788)=0,COUNT(Z788)=0),"",ROUND(Z788-H788,2))</f>
        <v/>
      </c>
      <c r="K788" s="15">
        <f>IF(COUNT(J788)=0,"",IF(Z788=0,"n.a.",J788/Z788))</f>
        <v/>
      </c>
      <c r="L788" s="14">
        <f>IF(OR(A788="",COUNT(H788)=0,COUNT(Y788)=0),"",ROUND(H788*(1+Y788),2))</f>
        <v/>
      </c>
      <c r="M788" s="10" t="n"/>
      <c r="N788" s="10" t="n"/>
      <c r="O788" s="10" t="n"/>
      <c r="P788" s="10" t="n"/>
      <c r="Q788" s="20" t="n"/>
      <c r="R788" s="10" t="n"/>
      <c r="S788" s="10" t="n"/>
      <c r="T788" s="18" t="n"/>
      <c r="U788" s="18" t="n"/>
      <c r="V788" s="10" t="n"/>
      <c r="W788" s="10" t="n"/>
      <c r="X788" s="19">
        <f>IF(OR(A788="",COUNT(U788)=0,COUNT(AI788)=0),"",U788+AI788)</f>
        <v/>
      </c>
      <c r="Y788" s="16" t="n"/>
      <c r="Z788" s="12" t="n"/>
      <c r="AA788" s="17">
        <f>IF(COUNT(J788)=0,"",IF(H788=0,"n.a.",J788/H788))</f>
        <v/>
      </c>
      <c r="AB788" s="12" t="n"/>
      <c r="AC788" s="12" t="n"/>
      <c r="AD788" s="12" t="n"/>
      <c r="AE788" s="13">
        <f>IF(OR(COUNT(J788)=0,COUNT(AB788:AD788)&lt;3),"",ROUND(J788-SUM(AB788:AD788),2))</f>
        <v/>
      </c>
      <c r="AF788" s="15">
        <f>IF(COUNT(AE788)=0,"",IF(Z788=0,"n.a.",AE788/Z788))</f>
        <v/>
      </c>
      <c r="AG788" s="12" t="n"/>
      <c r="AH788" s="14">
        <f>IF(OR(A788="",COUNT(Z788)=0,COUNT(AG788)=0),"",ROUND(Z788-AG788,2))</f>
        <v/>
      </c>
      <c r="AI788" s="21" t="n"/>
      <c r="AJ788" s="11">
        <f>IF(A788="","",IF(COUNT(I788)=0,"Enter approved NTE",IF(COUNT(Z788)&gt;0,IF(Z788&gt;I788,"Invoice exceeds NTE","Invoice within NTE"),IF(COUNT(L788)=0,"Enter quote inputs",IF(L788&gt;I788,"Quote exceeds NTE","Quote within NTE")))))</f>
        <v/>
      </c>
      <c r="AK788" s="11">
        <f>IF(A788="","",IF(COUNT(H788)=0,"Enter direct cost",IF(COUNT(Z788)=0,"Enter invoice revenue",IF(COUNT(AB788:AD788)&lt;3,"Enter expenses (0 if none)","Complete"))))</f>
        <v/>
      </c>
      <c r="AL788" s="11">
        <f>IF(A788="","",IF(NOT(AND(COUNT(AH788)=1,N(AH788)&gt;0.004,V788&lt;&gt;"Void",V788&lt;&gt;"Not invoiced",V788&lt;&gt;"Draft")),"",IF(COUNT(X788)=0,"No due date",IF(TODAY()-X788&lt;=0,"Not yet due",IF(TODAY()-X788&lt;=30,"1-30 days",IF(TODAY()-X788&lt;=60,"31-60 days",IF(TODAY()-X788&lt;=90,"61-90 days","Over 90 days")))))))</f>
        <v/>
      </c>
      <c r="AM788" s="49">
        <f>IF(OR(AL788="",AL788="No due date"),"",MAX(TODAY()-X788,0))</f>
        <v/>
      </c>
      <c r="AN788" s="49">
        <f>IF(AL788="","",IF(COUNT(X788)=0,-100000,TODAY()-X788))</f>
        <v/>
      </c>
      <c r="AO788" s="49">
        <f>IF(AN788="","",COUNTIF(AN$11:AN$1010,"&gt;"&amp;AN788)+COUNTIF(AN$11:AN788,AN788))</f>
        <v/>
      </c>
      <c r="AP788" s="49">
        <f>IF(OR(A788="",B788=""),"",IF(COUNTIF(B$11:B788,B788)=1,MAX(AP$10:AP787)+1,""))</f>
        <v/>
      </c>
    </row>
    <row r="789">
      <c r="A789" s="20" t="n"/>
      <c r="B789" s="10" t="n"/>
      <c r="C789" s="10" t="n"/>
      <c r="D789" s="10" t="n"/>
      <c r="E789" s="10" t="n"/>
      <c r="F789" s="18" t="n"/>
      <c r="G789" s="10" t="n"/>
      <c r="H789" s="12" t="n"/>
      <c r="I789" s="12" t="n"/>
      <c r="J789" s="13">
        <f>IF(OR(A789="",COUNT(H789)=0,COUNT(Z789)=0),"",ROUND(Z789-H789,2))</f>
        <v/>
      </c>
      <c r="K789" s="15">
        <f>IF(COUNT(J789)=0,"",IF(Z789=0,"n.a.",J789/Z789))</f>
        <v/>
      </c>
      <c r="L789" s="14">
        <f>IF(OR(A789="",COUNT(H789)=0,COUNT(Y789)=0),"",ROUND(H789*(1+Y789),2))</f>
        <v/>
      </c>
      <c r="M789" s="10" t="n"/>
      <c r="N789" s="10" t="n"/>
      <c r="O789" s="10" t="n"/>
      <c r="P789" s="10" t="n"/>
      <c r="Q789" s="20" t="n"/>
      <c r="R789" s="10" t="n"/>
      <c r="S789" s="10" t="n"/>
      <c r="T789" s="18" t="n"/>
      <c r="U789" s="18" t="n"/>
      <c r="V789" s="10" t="n"/>
      <c r="W789" s="10" t="n"/>
      <c r="X789" s="19">
        <f>IF(OR(A789="",COUNT(U789)=0,COUNT(AI789)=0),"",U789+AI789)</f>
        <v/>
      </c>
      <c r="Y789" s="16" t="n"/>
      <c r="Z789" s="12" t="n"/>
      <c r="AA789" s="17">
        <f>IF(COUNT(J789)=0,"",IF(H789=0,"n.a.",J789/H789))</f>
        <v/>
      </c>
      <c r="AB789" s="12" t="n"/>
      <c r="AC789" s="12" t="n"/>
      <c r="AD789" s="12" t="n"/>
      <c r="AE789" s="13">
        <f>IF(OR(COUNT(J789)=0,COUNT(AB789:AD789)&lt;3),"",ROUND(J789-SUM(AB789:AD789),2))</f>
        <v/>
      </c>
      <c r="AF789" s="15">
        <f>IF(COUNT(AE789)=0,"",IF(Z789=0,"n.a.",AE789/Z789))</f>
        <v/>
      </c>
      <c r="AG789" s="12" t="n"/>
      <c r="AH789" s="14">
        <f>IF(OR(A789="",COUNT(Z789)=0,COUNT(AG789)=0),"",ROUND(Z789-AG789,2))</f>
        <v/>
      </c>
      <c r="AI789" s="21" t="n"/>
      <c r="AJ789" s="11">
        <f>IF(A789="","",IF(COUNT(I789)=0,"Enter approved NTE",IF(COUNT(Z789)&gt;0,IF(Z789&gt;I789,"Invoice exceeds NTE","Invoice within NTE"),IF(COUNT(L789)=0,"Enter quote inputs",IF(L789&gt;I789,"Quote exceeds NTE","Quote within NTE")))))</f>
        <v/>
      </c>
      <c r="AK789" s="11">
        <f>IF(A789="","",IF(COUNT(H789)=0,"Enter direct cost",IF(COUNT(Z789)=0,"Enter invoice revenue",IF(COUNT(AB789:AD789)&lt;3,"Enter expenses (0 if none)","Complete"))))</f>
        <v/>
      </c>
      <c r="AL789" s="11">
        <f>IF(A789="","",IF(NOT(AND(COUNT(AH789)=1,N(AH789)&gt;0.004,V789&lt;&gt;"Void",V789&lt;&gt;"Not invoiced",V789&lt;&gt;"Draft")),"",IF(COUNT(X789)=0,"No due date",IF(TODAY()-X789&lt;=0,"Not yet due",IF(TODAY()-X789&lt;=30,"1-30 days",IF(TODAY()-X789&lt;=60,"31-60 days",IF(TODAY()-X789&lt;=90,"61-90 days","Over 90 days")))))))</f>
        <v/>
      </c>
      <c r="AM789" s="49">
        <f>IF(OR(AL789="",AL789="No due date"),"",MAX(TODAY()-X789,0))</f>
        <v/>
      </c>
      <c r="AN789" s="49">
        <f>IF(AL789="","",IF(COUNT(X789)=0,-100000,TODAY()-X789))</f>
        <v/>
      </c>
      <c r="AO789" s="49">
        <f>IF(AN789="","",COUNTIF(AN$11:AN$1010,"&gt;"&amp;AN789)+COUNTIF(AN$11:AN789,AN789))</f>
        <v/>
      </c>
      <c r="AP789" s="49">
        <f>IF(OR(A789="",B789=""),"",IF(COUNTIF(B$11:B789,B789)=1,MAX(AP$10:AP788)+1,""))</f>
        <v/>
      </c>
    </row>
    <row r="790">
      <c r="A790" s="20" t="n"/>
      <c r="B790" s="10" t="n"/>
      <c r="C790" s="10" t="n"/>
      <c r="D790" s="10" t="n"/>
      <c r="E790" s="10" t="n"/>
      <c r="F790" s="18" t="n"/>
      <c r="G790" s="10" t="n"/>
      <c r="H790" s="12" t="n"/>
      <c r="I790" s="12" t="n"/>
      <c r="J790" s="13">
        <f>IF(OR(A790="",COUNT(H790)=0,COUNT(Z790)=0),"",ROUND(Z790-H790,2))</f>
        <v/>
      </c>
      <c r="K790" s="15">
        <f>IF(COUNT(J790)=0,"",IF(Z790=0,"n.a.",J790/Z790))</f>
        <v/>
      </c>
      <c r="L790" s="14">
        <f>IF(OR(A790="",COUNT(H790)=0,COUNT(Y790)=0),"",ROUND(H790*(1+Y790),2))</f>
        <v/>
      </c>
      <c r="M790" s="10" t="n"/>
      <c r="N790" s="10" t="n"/>
      <c r="O790" s="10" t="n"/>
      <c r="P790" s="10" t="n"/>
      <c r="Q790" s="20" t="n"/>
      <c r="R790" s="10" t="n"/>
      <c r="S790" s="10" t="n"/>
      <c r="T790" s="18" t="n"/>
      <c r="U790" s="18" t="n"/>
      <c r="V790" s="10" t="n"/>
      <c r="W790" s="10" t="n"/>
      <c r="X790" s="19">
        <f>IF(OR(A790="",COUNT(U790)=0,COUNT(AI790)=0),"",U790+AI790)</f>
        <v/>
      </c>
      <c r="Y790" s="16" t="n"/>
      <c r="Z790" s="12" t="n"/>
      <c r="AA790" s="17">
        <f>IF(COUNT(J790)=0,"",IF(H790=0,"n.a.",J790/H790))</f>
        <v/>
      </c>
      <c r="AB790" s="12" t="n"/>
      <c r="AC790" s="12" t="n"/>
      <c r="AD790" s="12" t="n"/>
      <c r="AE790" s="13">
        <f>IF(OR(COUNT(J790)=0,COUNT(AB790:AD790)&lt;3),"",ROUND(J790-SUM(AB790:AD790),2))</f>
        <v/>
      </c>
      <c r="AF790" s="15">
        <f>IF(COUNT(AE790)=0,"",IF(Z790=0,"n.a.",AE790/Z790))</f>
        <v/>
      </c>
      <c r="AG790" s="12" t="n"/>
      <c r="AH790" s="14">
        <f>IF(OR(A790="",COUNT(Z790)=0,COUNT(AG790)=0),"",ROUND(Z790-AG790,2))</f>
        <v/>
      </c>
      <c r="AI790" s="21" t="n"/>
      <c r="AJ790" s="11">
        <f>IF(A790="","",IF(COUNT(I790)=0,"Enter approved NTE",IF(COUNT(Z790)&gt;0,IF(Z790&gt;I790,"Invoice exceeds NTE","Invoice within NTE"),IF(COUNT(L790)=0,"Enter quote inputs",IF(L790&gt;I790,"Quote exceeds NTE","Quote within NTE")))))</f>
        <v/>
      </c>
      <c r="AK790" s="11">
        <f>IF(A790="","",IF(COUNT(H790)=0,"Enter direct cost",IF(COUNT(Z790)=0,"Enter invoice revenue",IF(COUNT(AB790:AD790)&lt;3,"Enter expenses (0 if none)","Complete"))))</f>
        <v/>
      </c>
      <c r="AL790" s="11">
        <f>IF(A790="","",IF(NOT(AND(COUNT(AH790)=1,N(AH790)&gt;0.004,V790&lt;&gt;"Void",V790&lt;&gt;"Not invoiced",V790&lt;&gt;"Draft")),"",IF(COUNT(X790)=0,"No due date",IF(TODAY()-X790&lt;=0,"Not yet due",IF(TODAY()-X790&lt;=30,"1-30 days",IF(TODAY()-X790&lt;=60,"31-60 days",IF(TODAY()-X790&lt;=90,"61-90 days","Over 90 days")))))))</f>
        <v/>
      </c>
      <c r="AM790" s="49">
        <f>IF(OR(AL790="",AL790="No due date"),"",MAX(TODAY()-X790,0))</f>
        <v/>
      </c>
      <c r="AN790" s="49">
        <f>IF(AL790="","",IF(COUNT(X790)=0,-100000,TODAY()-X790))</f>
        <v/>
      </c>
      <c r="AO790" s="49">
        <f>IF(AN790="","",COUNTIF(AN$11:AN$1010,"&gt;"&amp;AN790)+COUNTIF(AN$11:AN790,AN790))</f>
        <v/>
      </c>
      <c r="AP790" s="49">
        <f>IF(OR(A790="",B790=""),"",IF(COUNTIF(B$11:B790,B790)=1,MAX(AP$10:AP789)+1,""))</f>
        <v/>
      </c>
    </row>
    <row r="791">
      <c r="A791" s="20" t="n"/>
      <c r="B791" s="10" t="n"/>
      <c r="C791" s="10" t="n"/>
      <c r="D791" s="10" t="n"/>
      <c r="E791" s="10" t="n"/>
      <c r="F791" s="18" t="n"/>
      <c r="G791" s="10" t="n"/>
      <c r="H791" s="12" t="n"/>
      <c r="I791" s="12" t="n"/>
      <c r="J791" s="13">
        <f>IF(OR(A791="",COUNT(H791)=0,COUNT(Z791)=0),"",ROUND(Z791-H791,2))</f>
        <v/>
      </c>
      <c r="K791" s="15">
        <f>IF(COUNT(J791)=0,"",IF(Z791=0,"n.a.",J791/Z791))</f>
        <v/>
      </c>
      <c r="L791" s="14">
        <f>IF(OR(A791="",COUNT(H791)=0,COUNT(Y791)=0),"",ROUND(H791*(1+Y791),2))</f>
        <v/>
      </c>
      <c r="M791" s="10" t="n"/>
      <c r="N791" s="10" t="n"/>
      <c r="O791" s="10" t="n"/>
      <c r="P791" s="10" t="n"/>
      <c r="Q791" s="20" t="n"/>
      <c r="R791" s="10" t="n"/>
      <c r="S791" s="10" t="n"/>
      <c r="T791" s="18" t="n"/>
      <c r="U791" s="18" t="n"/>
      <c r="V791" s="10" t="n"/>
      <c r="W791" s="10" t="n"/>
      <c r="X791" s="19">
        <f>IF(OR(A791="",COUNT(U791)=0,COUNT(AI791)=0),"",U791+AI791)</f>
        <v/>
      </c>
      <c r="Y791" s="16" t="n"/>
      <c r="Z791" s="12" t="n"/>
      <c r="AA791" s="17">
        <f>IF(COUNT(J791)=0,"",IF(H791=0,"n.a.",J791/H791))</f>
        <v/>
      </c>
      <c r="AB791" s="12" t="n"/>
      <c r="AC791" s="12" t="n"/>
      <c r="AD791" s="12" t="n"/>
      <c r="AE791" s="13">
        <f>IF(OR(COUNT(J791)=0,COUNT(AB791:AD791)&lt;3),"",ROUND(J791-SUM(AB791:AD791),2))</f>
        <v/>
      </c>
      <c r="AF791" s="15">
        <f>IF(COUNT(AE791)=0,"",IF(Z791=0,"n.a.",AE791/Z791))</f>
        <v/>
      </c>
      <c r="AG791" s="12" t="n"/>
      <c r="AH791" s="14">
        <f>IF(OR(A791="",COUNT(Z791)=0,COUNT(AG791)=0),"",ROUND(Z791-AG791,2))</f>
        <v/>
      </c>
      <c r="AI791" s="21" t="n"/>
      <c r="AJ791" s="11">
        <f>IF(A791="","",IF(COUNT(I791)=0,"Enter approved NTE",IF(COUNT(Z791)&gt;0,IF(Z791&gt;I791,"Invoice exceeds NTE","Invoice within NTE"),IF(COUNT(L791)=0,"Enter quote inputs",IF(L791&gt;I791,"Quote exceeds NTE","Quote within NTE")))))</f>
        <v/>
      </c>
      <c r="AK791" s="11">
        <f>IF(A791="","",IF(COUNT(H791)=0,"Enter direct cost",IF(COUNT(Z791)=0,"Enter invoice revenue",IF(COUNT(AB791:AD791)&lt;3,"Enter expenses (0 if none)","Complete"))))</f>
        <v/>
      </c>
      <c r="AL791" s="11">
        <f>IF(A791="","",IF(NOT(AND(COUNT(AH791)=1,N(AH791)&gt;0.004,V791&lt;&gt;"Void",V791&lt;&gt;"Not invoiced",V791&lt;&gt;"Draft")),"",IF(COUNT(X791)=0,"No due date",IF(TODAY()-X791&lt;=0,"Not yet due",IF(TODAY()-X791&lt;=30,"1-30 days",IF(TODAY()-X791&lt;=60,"31-60 days",IF(TODAY()-X791&lt;=90,"61-90 days","Over 90 days")))))))</f>
        <v/>
      </c>
      <c r="AM791" s="49">
        <f>IF(OR(AL791="",AL791="No due date"),"",MAX(TODAY()-X791,0))</f>
        <v/>
      </c>
      <c r="AN791" s="49">
        <f>IF(AL791="","",IF(COUNT(X791)=0,-100000,TODAY()-X791))</f>
        <v/>
      </c>
      <c r="AO791" s="49">
        <f>IF(AN791="","",COUNTIF(AN$11:AN$1010,"&gt;"&amp;AN791)+COUNTIF(AN$11:AN791,AN791))</f>
        <v/>
      </c>
      <c r="AP791" s="49">
        <f>IF(OR(A791="",B791=""),"",IF(COUNTIF(B$11:B791,B791)=1,MAX(AP$10:AP790)+1,""))</f>
        <v/>
      </c>
    </row>
    <row r="792">
      <c r="A792" s="20" t="n"/>
      <c r="B792" s="10" t="n"/>
      <c r="C792" s="10" t="n"/>
      <c r="D792" s="10" t="n"/>
      <c r="E792" s="10" t="n"/>
      <c r="F792" s="18" t="n"/>
      <c r="G792" s="10" t="n"/>
      <c r="H792" s="12" t="n"/>
      <c r="I792" s="12" t="n"/>
      <c r="J792" s="13">
        <f>IF(OR(A792="",COUNT(H792)=0,COUNT(Z792)=0),"",ROUND(Z792-H792,2))</f>
        <v/>
      </c>
      <c r="K792" s="15">
        <f>IF(COUNT(J792)=0,"",IF(Z792=0,"n.a.",J792/Z792))</f>
        <v/>
      </c>
      <c r="L792" s="14">
        <f>IF(OR(A792="",COUNT(H792)=0,COUNT(Y792)=0),"",ROUND(H792*(1+Y792),2))</f>
        <v/>
      </c>
      <c r="M792" s="10" t="n"/>
      <c r="N792" s="10" t="n"/>
      <c r="O792" s="10" t="n"/>
      <c r="P792" s="10" t="n"/>
      <c r="Q792" s="20" t="n"/>
      <c r="R792" s="10" t="n"/>
      <c r="S792" s="10" t="n"/>
      <c r="T792" s="18" t="n"/>
      <c r="U792" s="18" t="n"/>
      <c r="V792" s="10" t="n"/>
      <c r="W792" s="10" t="n"/>
      <c r="X792" s="19">
        <f>IF(OR(A792="",COUNT(U792)=0,COUNT(AI792)=0),"",U792+AI792)</f>
        <v/>
      </c>
      <c r="Y792" s="16" t="n"/>
      <c r="Z792" s="12" t="n"/>
      <c r="AA792" s="17">
        <f>IF(COUNT(J792)=0,"",IF(H792=0,"n.a.",J792/H792))</f>
        <v/>
      </c>
      <c r="AB792" s="12" t="n"/>
      <c r="AC792" s="12" t="n"/>
      <c r="AD792" s="12" t="n"/>
      <c r="AE792" s="13">
        <f>IF(OR(COUNT(J792)=0,COUNT(AB792:AD792)&lt;3),"",ROUND(J792-SUM(AB792:AD792),2))</f>
        <v/>
      </c>
      <c r="AF792" s="15">
        <f>IF(COUNT(AE792)=0,"",IF(Z792=0,"n.a.",AE792/Z792))</f>
        <v/>
      </c>
      <c r="AG792" s="12" t="n"/>
      <c r="AH792" s="14">
        <f>IF(OR(A792="",COUNT(Z792)=0,COUNT(AG792)=0),"",ROUND(Z792-AG792,2))</f>
        <v/>
      </c>
      <c r="AI792" s="21" t="n"/>
      <c r="AJ792" s="11">
        <f>IF(A792="","",IF(COUNT(I792)=0,"Enter approved NTE",IF(COUNT(Z792)&gt;0,IF(Z792&gt;I792,"Invoice exceeds NTE","Invoice within NTE"),IF(COUNT(L792)=0,"Enter quote inputs",IF(L792&gt;I792,"Quote exceeds NTE","Quote within NTE")))))</f>
        <v/>
      </c>
      <c r="AK792" s="11">
        <f>IF(A792="","",IF(COUNT(H792)=0,"Enter direct cost",IF(COUNT(Z792)=0,"Enter invoice revenue",IF(COUNT(AB792:AD792)&lt;3,"Enter expenses (0 if none)","Complete"))))</f>
        <v/>
      </c>
      <c r="AL792" s="11">
        <f>IF(A792="","",IF(NOT(AND(COUNT(AH792)=1,N(AH792)&gt;0.004,V792&lt;&gt;"Void",V792&lt;&gt;"Not invoiced",V792&lt;&gt;"Draft")),"",IF(COUNT(X792)=0,"No due date",IF(TODAY()-X792&lt;=0,"Not yet due",IF(TODAY()-X792&lt;=30,"1-30 days",IF(TODAY()-X792&lt;=60,"31-60 days",IF(TODAY()-X792&lt;=90,"61-90 days","Over 90 days")))))))</f>
        <v/>
      </c>
      <c r="AM792" s="49">
        <f>IF(OR(AL792="",AL792="No due date"),"",MAX(TODAY()-X792,0))</f>
        <v/>
      </c>
      <c r="AN792" s="49">
        <f>IF(AL792="","",IF(COUNT(X792)=0,-100000,TODAY()-X792))</f>
        <v/>
      </c>
      <c r="AO792" s="49">
        <f>IF(AN792="","",COUNTIF(AN$11:AN$1010,"&gt;"&amp;AN792)+COUNTIF(AN$11:AN792,AN792))</f>
        <v/>
      </c>
      <c r="AP792" s="49">
        <f>IF(OR(A792="",B792=""),"",IF(COUNTIF(B$11:B792,B792)=1,MAX(AP$10:AP791)+1,""))</f>
        <v/>
      </c>
    </row>
    <row r="793">
      <c r="A793" s="20" t="n"/>
      <c r="B793" s="10" t="n"/>
      <c r="C793" s="10" t="n"/>
      <c r="D793" s="10" t="n"/>
      <c r="E793" s="10" t="n"/>
      <c r="F793" s="18" t="n"/>
      <c r="G793" s="10" t="n"/>
      <c r="H793" s="12" t="n"/>
      <c r="I793" s="12" t="n"/>
      <c r="J793" s="13">
        <f>IF(OR(A793="",COUNT(H793)=0,COUNT(Z793)=0),"",ROUND(Z793-H793,2))</f>
        <v/>
      </c>
      <c r="K793" s="15">
        <f>IF(COUNT(J793)=0,"",IF(Z793=0,"n.a.",J793/Z793))</f>
        <v/>
      </c>
      <c r="L793" s="14">
        <f>IF(OR(A793="",COUNT(H793)=0,COUNT(Y793)=0),"",ROUND(H793*(1+Y793),2))</f>
        <v/>
      </c>
      <c r="M793" s="10" t="n"/>
      <c r="N793" s="10" t="n"/>
      <c r="O793" s="10" t="n"/>
      <c r="P793" s="10" t="n"/>
      <c r="Q793" s="20" t="n"/>
      <c r="R793" s="10" t="n"/>
      <c r="S793" s="10" t="n"/>
      <c r="T793" s="18" t="n"/>
      <c r="U793" s="18" t="n"/>
      <c r="V793" s="10" t="n"/>
      <c r="W793" s="10" t="n"/>
      <c r="X793" s="19">
        <f>IF(OR(A793="",COUNT(U793)=0,COUNT(AI793)=0),"",U793+AI793)</f>
        <v/>
      </c>
      <c r="Y793" s="16" t="n"/>
      <c r="Z793" s="12" t="n"/>
      <c r="AA793" s="17">
        <f>IF(COUNT(J793)=0,"",IF(H793=0,"n.a.",J793/H793))</f>
        <v/>
      </c>
      <c r="AB793" s="12" t="n"/>
      <c r="AC793" s="12" t="n"/>
      <c r="AD793" s="12" t="n"/>
      <c r="AE793" s="13">
        <f>IF(OR(COUNT(J793)=0,COUNT(AB793:AD793)&lt;3),"",ROUND(J793-SUM(AB793:AD793),2))</f>
        <v/>
      </c>
      <c r="AF793" s="15">
        <f>IF(COUNT(AE793)=0,"",IF(Z793=0,"n.a.",AE793/Z793))</f>
        <v/>
      </c>
      <c r="AG793" s="12" t="n"/>
      <c r="AH793" s="14">
        <f>IF(OR(A793="",COUNT(Z793)=0,COUNT(AG793)=0),"",ROUND(Z793-AG793,2))</f>
        <v/>
      </c>
      <c r="AI793" s="21" t="n"/>
      <c r="AJ793" s="11">
        <f>IF(A793="","",IF(COUNT(I793)=0,"Enter approved NTE",IF(COUNT(Z793)&gt;0,IF(Z793&gt;I793,"Invoice exceeds NTE","Invoice within NTE"),IF(COUNT(L793)=0,"Enter quote inputs",IF(L793&gt;I793,"Quote exceeds NTE","Quote within NTE")))))</f>
        <v/>
      </c>
      <c r="AK793" s="11">
        <f>IF(A793="","",IF(COUNT(H793)=0,"Enter direct cost",IF(COUNT(Z793)=0,"Enter invoice revenue",IF(COUNT(AB793:AD793)&lt;3,"Enter expenses (0 if none)","Complete"))))</f>
        <v/>
      </c>
      <c r="AL793" s="11">
        <f>IF(A793="","",IF(NOT(AND(COUNT(AH793)=1,N(AH793)&gt;0.004,V793&lt;&gt;"Void",V793&lt;&gt;"Not invoiced",V793&lt;&gt;"Draft")),"",IF(COUNT(X793)=0,"No due date",IF(TODAY()-X793&lt;=0,"Not yet due",IF(TODAY()-X793&lt;=30,"1-30 days",IF(TODAY()-X793&lt;=60,"31-60 days",IF(TODAY()-X793&lt;=90,"61-90 days","Over 90 days")))))))</f>
        <v/>
      </c>
      <c r="AM793" s="49">
        <f>IF(OR(AL793="",AL793="No due date"),"",MAX(TODAY()-X793,0))</f>
        <v/>
      </c>
      <c r="AN793" s="49">
        <f>IF(AL793="","",IF(COUNT(X793)=0,-100000,TODAY()-X793))</f>
        <v/>
      </c>
      <c r="AO793" s="49">
        <f>IF(AN793="","",COUNTIF(AN$11:AN$1010,"&gt;"&amp;AN793)+COUNTIF(AN$11:AN793,AN793))</f>
        <v/>
      </c>
      <c r="AP793" s="49">
        <f>IF(OR(A793="",B793=""),"",IF(COUNTIF(B$11:B793,B793)=1,MAX(AP$10:AP792)+1,""))</f>
        <v/>
      </c>
    </row>
    <row r="794">
      <c r="A794" s="20" t="n"/>
      <c r="B794" s="10" t="n"/>
      <c r="C794" s="10" t="n"/>
      <c r="D794" s="10" t="n"/>
      <c r="E794" s="10" t="n"/>
      <c r="F794" s="18" t="n"/>
      <c r="G794" s="10" t="n"/>
      <c r="H794" s="12" t="n"/>
      <c r="I794" s="12" t="n"/>
      <c r="J794" s="13">
        <f>IF(OR(A794="",COUNT(H794)=0,COUNT(Z794)=0),"",ROUND(Z794-H794,2))</f>
        <v/>
      </c>
      <c r="K794" s="15">
        <f>IF(COUNT(J794)=0,"",IF(Z794=0,"n.a.",J794/Z794))</f>
        <v/>
      </c>
      <c r="L794" s="14">
        <f>IF(OR(A794="",COUNT(H794)=0,COUNT(Y794)=0),"",ROUND(H794*(1+Y794),2))</f>
        <v/>
      </c>
      <c r="M794" s="10" t="n"/>
      <c r="N794" s="10" t="n"/>
      <c r="O794" s="10" t="n"/>
      <c r="P794" s="10" t="n"/>
      <c r="Q794" s="20" t="n"/>
      <c r="R794" s="10" t="n"/>
      <c r="S794" s="10" t="n"/>
      <c r="T794" s="18" t="n"/>
      <c r="U794" s="18" t="n"/>
      <c r="V794" s="10" t="n"/>
      <c r="W794" s="10" t="n"/>
      <c r="X794" s="19">
        <f>IF(OR(A794="",COUNT(U794)=0,COUNT(AI794)=0),"",U794+AI794)</f>
        <v/>
      </c>
      <c r="Y794" s="16" t="n"/>
      <c r="Z794" s="12" t="n"/>
      <c r="AA794" s="17">
        <f>IF(COUNT(J794)=0,"",IF(H794=0,"n.a.",J794/H794))</f>
        <v/>
      </c>
      <c r="AB794" s="12" t="n"/>
      <c r="AC794" s="12" t="n"/>
      <c r="AD794" s="12" t="n"/>
      <c r="AE794" s="13">
        <f>IF(OR(COUNT(J794)=0,COUNT(AB794:AD794)&lt;3),"",ROUND(J794-SUM(AB794:AD794),2))</f>
        <v/>
      </c>
      <c r="AF794" s="15">
        <f>IF(COUNT(AE794)=0,"",IF(Z794=0,"n.a.",AE794/Z794))</f>
        <v/>
      </c>
      <c r="AG794" s="12" t="n"/>
      <c r="AH794" s="14">
        <f>IF(OR(A794="",COUNT(Z794)=0,COUNT(AG794)=0),"",ROUND(Z794-AG794,2))</f>
        <v/>
      </c>
      <c r="AI794" s="21" t="n"/>
      <c r="AJ794" s="11">
        <f>IF(A794="","",IF(COUNT(I794)=0,"Enter approved NTE",IF(COUNT(Z794)&gt;0,IF(Z794&gt;I794,"Invoice exceeds NTE","Invoice within NTE"),IF(COUNT(L794)=0,"Enter quote inputs",IF(L794&gt;I794,"Quote exceeds NTE","Quote within NTE")))))</f>
        <v/>
      </c>
      <c r="AK794" s="11">
        <f>IF(A794="","",IF(COUNT(H794)=0,"Enter direct cost",IF(COUNT(Z794)=0,"Enter invoice revenue",IF(COUNT(AB794:AD794)&lt;3,"Enter expenses (0 if none)","Complete"))))</f>
        <v/>
      </c>
      <c r="AL794" s="11">
        <f>IF(A794="","",IF(NOT(AND(COUNT(AH794)=1,N(AH794)&gt;0.004,V794&lt;&gt;"Void",V794&lt;&gt;"Not invoiced",V794&lt;&gt;"Draft")),"",IF(COUNT(X794)=0,"No due date",IF(TODAY()-X794&lt;=0,"Not yet due",IF(TODAY()-X794&lt;=30,"1-30 days",IF(TODAY()-X794&lt;=60,"31-60 days",IF(TODAY()-X794&lt;=90,"61-90 days","Over 90 days")))))))</f>
        <v/>
      </c>
      <c r="AM794" s="49">
        <f>IF(OR(AL794="",AL794="No due date"),"",MAX(TODAY()-X794,0))</f>
        <v/>
      </c>
      <c r="AN794" s="49">
        <f>IF(AL794="","",IF(COUNT(X794)=0,-100000,TODAY()-X794))</f>
        <v/>
      </c>
      <c r="AO794" s="49">
        <f>IF(AN794="","",COUNTIF(AN$11:AN$1010,"&gt;"&amp;AN794)+COUNTIF(AN$11:AN794,AN794))</f>
        <v/>
      </c>
      <c r="AP794" s="49">
        <f>IF(OR(A794="",B794=""),"",IF(COUNTIF(B$11:B794,B794)=1,MAX(AP$10:AP793)+1,""))</f>
        <v/>
      </c>
    </row>
    <row r="795">
      <c r="A795" s="20" t="n"/>
      <c r="B795" s="10" t="n"/>
      <c r="C795" s="10" t="n"/>
      <c r="D795" s="10" t="n"/>
      <c r="E795" s="10" t="n"/>
      <c r="F795" s="18" t="n"/>
      <c r="G795" s="10" t="n"/>
      <c r="H795" s="12" t="n"/>
      <c r="I795" s="12" t="n"/>
      <c r="J795" s="13">
        <f>IF(OR(A795="",COUNT(H795)=0,COUNT(Z795)=0),"",ROUND(Z795-H795,2))</f>
        <v/>
      </c>
      <c r="K795" s="15">
        <f>IF(COUNT(J795)=0,"",IF(Z795=0,"n.a.",J795/Z795))</f>
        <v/>
      </c>
      <c r="L795" s="14">
        <f>IF(OR(A795="",COUNT(H795)=0,COUNT(Y795)=0),"",ROUND(H795*(1+Y795),2))</f>
        <v/>
      </c>
      <c r="M795" s="10" t="n"/>
      <c r="N795" s="10" t="n"/>
      <c r="O795" s="10" t="n"/>
      <c r="P795" s="10" t="n"/>
      <c r="Q795" s="20" t="n"/>
      <c r="R795" s="10" t="n"/>
      <c r="S795" s="10" t="n"/>
      <c r="T795" s="18" t="n"/>
      <c r="U795" s="18" t="n"/>
      <c r="V795" s="10" t="n"/>
      <c r="W795" s="10" t="n"/>
      <c r="X795" s="19">
        <f>IF(OR(A795="",COUNT(U795)=0,COUNT(AI795)=0),"",U795+AI795)</f>
        <v/>
      </c>
      <c r="Y795" s="16" t="n"/>
      <c r="Z795" s="12" t="n"/>
      <c r="AA795" s="17">
        <f>IF(COUNT(J795)=0,"",IF(H795=0,"n.a.",J795/H795))</f>
        <v/>
      </c>
      <c r="AB795" s="12" t="n"/>
      <c r="AC795" s="12" t="n"/>
      <c r="AD795" s="12" t="n"/>
      <c r="AE795" s="13">
        <f>IF(OR(COUNT(J795)=0,COUNT(AB795:AD795)&lt;3),"",ROUND(J795-SUM(AB795:AD795),2))</f>
        <v/>
      </c>
      <c r="AF795" s="15">
        <f>IF(COUNT(AE795)=0,"",IF(Z795=0,"n.a.",AE795/Z795))</f>
        <v/>
      </c>
      <c r="AG795" s="12" t="n"/>
      <c r="AH795" s="14">
        <f>IF(OR(A795="",COUNT(Z795)=0,COUNT(AG795)=0),"",ROUND(Z795-AG795,2))</f>
        <v/>
      </c>
      <c r="AI795" s="21" t="n"/>
      <c r="AJ795" s="11">
        <f>IF(A795="","",IF(COUNT(I795)=0,"Enter approved NTE",IF(COUNT(Z795)&gt;0,IF(Z795&gt;I795,"Invoice exceeds NTE","Invoice within NTE"),IF(COUNT(L795)=0,"Enter quote inputs",IF(L795&gt;I795,"Quote exceeds NTE","Quote within NTE")))))</f>
        <v/>
      </c>
      <c r="AK795" s="11">
        <f>IF(A795="","",IF(COUNT(H795)=0,"Enter direct cost",IF(COUNT(Z795)=0,"Enter invoice revenue",IF(COUNT(AB795:AD795)&lt;3,"Enter expenses (0 if none)","Complete"))))</f>
        <v/>
      </c>
      <c r="AL795" s="11">
        <f>IF(A795="","",IF(NOT(AND(COUNT(AH795)=1,N(AH795)&gt;0.004,V795&lt;&gt;"Void",V795&lt;&gt;"Not invoiced",V795&lt;&gt;"Draft")),"",IF(COUNT(X795)=0,"No due date",IF(TODAY()-X795&lt;=0,"Not yet due",IF(TODAY()-X795&lt;=30,"1-30 days",IF(TODAY()-X795&lt;=60,"31-60 days",IF(TODAY()-X795&lt;=90,"61-90 days","Over 90 days")))))))</f>
        <v/>
      </c>
      <c r="AM795" s="49">
        <f>IF(OR(AL795="",AL795="No due date"),"",MAX(TODAY()-X795,0))</f>
        <v/>
      </c>
      <c r="AN795" s="49">
        <f>IF(AL795="","",IF(COUNT(X795)=0,-100000,TODAY()-X795))</f>
        <v/>
      </c>
      <c r="AO795" s="49">
        <f>IF(AN795="","",COUNTIF(AN$11:AN$1010,"&gt;"&amp;AN795)+COUNTIF(AN$11:AN795,AN795))</f>
        <v/>
      </c>
      <c r="AP795" s="49">
        <f>IF(OR(A795="",B795=""),"",IF(COUNTIF(B$11:B795,B795)=1,MAX(AP$10:AP794)+1,""))</f>
        <v/>
      </c>
    </row>
    <row r="796">
      <c r="A796" s="20" t="n"/>
      <c r="B796" s="10" t="n"/>
      <c r="C796" s="10" t="n"/>
      <c r="D796" s="10" t="n"/>
      <c r="E796" s="10" t="n"/>
      <c r="F796" s="18" t="n"/>
      <c r="G796" s="10" t="n"/>
      <c r="H796" s="12" t="n"/>
      <c r="I796" s="12" t="n"/>
      <c r="J796" s="13">
        <f>IF(OR(A796="",COUNT(H796)=0,COUNT(Z796)=0),"",ROUND(Z796-H796,2))</f>
        <v/>
      </c>
      <c r="K796" s="15">
        <f>IF(COUNT(J796)=0,"",IF(Z796=0,"n.a.",J796/Z796))</f>
        <v/>
      </c>
      <c r="L796" s="14">
        <f>IF(OR(A796="",COUNT(H796)=0,COUNT(Y796)=0),"",ROUND(H796*(1+Y796),2))</f>
        <v/>
      </c>
      <c r="M796" s="10" t="n"/>
      <c r="N796" s="10" t="n"/>
      <c r="O796" s="10" t="n"/>
      <c r="P796" s="10" t="n"/>
      <c r="Q796" s="20" t="n"/>
      <c r="R796" s="10" t="n"/>
      <c r="S796" s="10" t="n"/>
      <c r="T796" s="18" t="n"/>
      <c r="U796" s="18" t="n"/>
      <c r="V796" s="10" t="n"/>
      <c r="W796" s="10" t="n"/>
      <c r="X796" s="19">
        <f>IF(OR(A796="",COUNT(U796)=0,COUNT(AI796)=0),"",U796+AI796)</f>
        <v/>
      </c>
      <c r="Y796" s="16" t="n"/>
      <c r="Z796" s="12" t="n"/>
      <c r="AA796" s="17">
        <f>IF(COUNT(J796)=0,"",IF(H796=0,"n.a.",J796/H796))</f>
        <v/>
      </c>
      <c r="AB796" s="12" t="n"/>
      <c r="AC796" s="12" t="n"/>
      <c r="AD796" s="12" t="n"/>
      <c r="AE796" s="13">
        <f>IF(OR(COUNT(J796)=0,COUNT(AB796:AD796)&lt;3),"",ROUND(J796-SUM(AB796:AD796),2))</f>
        <v/>
      </c>
      <c r="AF796" s="15">
        <f>IF(COUNT(AE796)=0,"",IF(Z796=0,"n.a.",AE796/Z796))</f>
        <v/>
      </c>
      <c r="AG796" s="12" t="n"/>
      <c r="AH796" s="14">
        <f>IF(OR(A796="",COUNT(Z796)=0,COUNT(AG796)=0),"",ROUND(Z796-AG796,2))</f>
        <v/>
      </c>
      <c r="AI796" s="21" t="n"/>
      <c r="AJ796" s="11">
        <f>IF(A796="","",IF(COUNT(I796)=0,"Enter approved NTE",IF(COUNT(Z796)&gt;0,IF(Z796&gt;I796,"Invoice exceeds NTE","Invoice within NTE"),IF(COUNT(L796)=0,"Enter quote inputs",IF(L796&gt;I796,"Quote exceeds NTE","Quote within NTE")))))</f>
        <v/>
      </c>
      <c r="AK796" s="11">
        <f>IF(A796="","",IF(COUNT(H796)=0,"Enter direct cost",IF(COUNT(Z796)=0,"Enter invoice revenue",IF(COUNT(AB796:AD796)&lt;3,"Enter expenses (0 if none)","Complete"))))</f>
        <v/>
      </c>
      <c r="AL796" s="11">
        <f>IF(A796="","",IF(NOT(AND(COUNT(AH796)=1,N(AH796)&gt;0.004,V796&lt;&gt;"Void",V796&lt;&gt;"Not invoiced",V796&lt;&gt;"Draft")),"",IF(COUNT(X796)=0,"No due date",IF(TODAY()-X796&lt;=0,"Not yet due",IF(TODAY()-X796&lt;=30,"1-30 days",IF(TODAY()-X796&lt;=60,"31-60 days",IF(TODAY()-X796&lt;=90,"61-90 days","Over 90 days")))))))</f>
        <v/>
      </c>
      <c r="AM796" s="49">
        <f>IF(OR(AL796="",AL796="No due date"),"",MAX(TODAY()-X796,0))</f>
        <v/>
      </c>
      <c r="AN796" s="49">
        <f>IF(AL796="","",IF(COUNT(X796)=0,-100000,TODAY()-X796))</f>
        <v/>
      </c>
      <c r="AO796" s="49">
        <f>IF(AN796="","",COUNTIF(AN$11:AN$1010,"&gt;"&amp;AN796)+COUNTIF(AN$11:AN796,AN796))</f>
        <v/>
      </c>
      <c r="AP796" s="49">
        <f>IF(OR(A796="",B796=""),"",IF(COUNTIF(B$11:B796,B796)=1,MAX(AP$10:AP795)+1,""))</f>
        <v/>
      </c>
    </row>
    <row r="797">
      <c r="A797" s="20" t="n"/>
      <c r="B797" s="10" t="n"/>
      <c r="C797" s="10" t="n"/>
      <c r="D797" s="10" t="n"/>
      <c r="E797" s="10" t="n"/>
      <c r="F797" s="18" t="n"/>
      <c r="G797" s="10" t="n"/>
      <c r="H797" s="12" t="n"/>
      <c r="I797" s="12" t="n"/>
      <c r="J797" s="13">
        <f>IF(OR(A797="",COUNT(H797)=0,COUNT(Z797)=0),"",ROUND(Z797-H797,2))</f>
        <v/>
      </c>
      <c r="K797" s="15">
        <f>IF(COUNT(J797)=0,"",IF(Z797=0,"n.a.",J797/Z797))</f>
        <v/>
      </c>
      <c r="L797" s="14">
        <f>IF(OR(A797="",COUNT(H797)=0,COUNT(Y797)=0),"",ROUND(H797*(1+Y797),2))</f>
        <v/>
      </c>
      <c r="M797" s="10" t="n"/>
      <c r="N797" s="10" t="n"/>
      <c r="O797" s="10" t="n"/>
      <c r="P797" s="10" t="n"/>
      <c r="Q797" s="20" t="n"/>
      <c r="R797" s="10" t="n"/>
      <c r="S797" s="10" t="n"/>
      <c r="T797" s="18" t="n"/>
      <c r="U797" s="18" t="n"/>
      <c r="V797" s="10" t="n"/>
      <c r="W797" s="10" t="n"/>
      <c r="X797" s="19">
        <f>IF(OR(A797="",COUNT(U797)=0,COUNT(AI797)=0),"",U797+AI797)</f>
        <v/>
      </c>
      <c r="Y797" s="16" t="n"/>
      <c r="Z797" s="12" t="n"/>
      <c r="AA797" s="17">
        <f>IF(COUNT(J797)=0,"",IF(H797=0,"n.a.",J797/H797))</f>
        <v/>
      </c>
      <c r="AB797" s="12" t="n"/>
      <c r="AC797" s="12" t="n"/>
      <c r="AD797" s="12" t="n"/>
      <c r="AE797" s="13">
        <f>IF(OR(COUNT(J797)=0,COUNT(AB797:AD797)&lt;3),"",ROUND(J797-SUM(AB797:AD797),2))</f>
        <v/>
      </c>
      <c r="AF797" s="15">
        <f>IF(COUNT(AE797)=0,"",IF(Z797=0,"n.a.",AE797/Z797))</f>
        <v/>
      </c>
      <c r="AG797" s="12" t="n"/>
      <c r="AH797" s="14">
        <f>IF(OR(A797="",COUNT(Z797)=0,COUNT(AG797)=0),"",ROUND(Z797-AG797,2))</f>
        <v/>
      </c>
      <c r="AI797" s="21" t="n"/>
      <c r="AJ797" s="11">
        <f>IF(A797="","",IF(COUNT(I797)=0,"Enter approved NTE",IF(COUNT(Z797)&gt;0,IF(Z797&gt;I797,"Invoice exceeds NTE","Invoice within NTE"),IF(COUNT(L797)=0,"Enter quote inputs",IF(L797&gt;I797,"Quote exceeds NTE","Quote within NTE")))))</f>
        <v/>
      </c>
      <c r="AK797" s="11">
        <f>IF(A797="","",IF(COUNT(H797)=0,"Enter direct cost",IF(COUNT(Z797)=0,"Enter invoice revenue",IF(COUNT(AB797:AD797)&lt;3,"Enter expenses (0 if none)","Complete"))))</f>
        <v/>
      </c>
      <c r="AL797" s="11">
        <f>IF(A797="","",IF(NOT(AND(COUNT(AH797)=1,N(AH797)&gt;0.004,V797&lt;&gt;"Void",V797&lt;&gt;"Not invoiced",V797&lt;&gt;"Draft")),"",IF(COUNT(X797)=0,"No due date",IF(TODAY()-X797&lt;=0,"Not yet due",IF(TODAY()-X797&lt;=30,"1-30 days",IF(TODAY()-X797&lt;=60,"31-60 days",IF(TODAY()-X797&lt;=90,"61-90 days","Over 90 days")))))))</f>
        <v/>
      </c>
      <c r="AM797" s="49">
        <f>IF(OR(AL797="",AL797="No due date"),"",MAX(TODAY()-X797,0))</f>
        <v/>
      </c>
      <c r="AN797" s="49">
        <f>IF(AL797="","",IF(COUNT(X797)=0,-100000,TODAY()-X797))</f>
        <v/>
      </c>
      <c r="AO797" s="49">
        <f>IF(AN797="","",COUNTIF(AN$11:AN$1010,"&gt;"&amp;AN797)+COUNTIF(AN$11:AN797,AN797))</f>
        <v/>
      </c>
      <c r="AP797" s="49">
        <f>IF(OR(A797="",B797=""),"",IF(COUNTIF(B$11:B797,B797)=1,MAX(AP$10:AP796)+1,""))</f>
        <v/>
      </c>
    </row>
    <row r="798">
      <c r="A798" s="20" t="n"/>
      <c r="B798" s="10" t="n"/>
      <c r="C798" s="10" t="n"/>
      <c r="D798" s="10" t="n"/>
      <c r="E798" s="10" t="n"/>
      <c r="F798" s="18" t="n"/>
      <c r="G798" s="10" t="n"/>
      <c r="H798" s="12" t="n"/>
      <c r="I798" s="12" t="n"/>
      <c r="J798" s="13">
        <f>IF(OR(A798="",COUNT(H798)=0,COUNT(Z798)=0),"",ROUND(Z798-H798,2))</f>
        <v/>
      </c>
      <c r="K798" s="15">
        <f>IF(COUNT(J798)=0,"",IF(Z798=0,"n.a.",J798/Z798))</f>
        <v/>
      </c>
      <c r="L798" s="14">
        <f>IF(OR(A798="",COUNT(H798)=0,COUNT(Y798)=0),"",ROUND(H798*(1+Y798),2))</f>
        <v/>
      </c>
      <c r="M798" s="10" t="n"/>
      <c r="N798" s="10" t="n"/>
      <c r="O798" s="10" t="n"/>
      <c r="P798" s="10" t="n"/>
      <c r="Q798" s="20" t="n"/>
      <c r="R798" s="10" t="n"/>
      <c r="S798" s="10" t="n"/>
      <c r="T798" s="18" t="n"/>
      <c r="U798" s="18" t="n"/>
      <c r="V798" s="10" t="n"/>
      <c r="W798" s="10" t="n"/>
      <c r="X798" s="19">
        <f>IF(OR(A798="",COUNT(U798)=0,COUNT(AI798)=0),"",U798+AI798)</f>
        <v/>
      </c>
      <c r="Y798" s="16" t="n"/>
      <c r="Z798" s="12" t="n"/>
      <c r="AA798" s="17">
        <f>IF(COUNT(J798)=0,"",IF(H798=0,"n.a.",J798/H798))</f>
        <v/>
      </c>
      <c r="AB798" s="12" t="n"/>
      <c r="AC798" s="12" t="n"/>
      <c r="AD798" s="12" t="n"/>
      <c r="AE798" s="13">
        <f>IF(OR(COUNT(J798)=0,COUNT(AB798:AD798)&lt;3),"",ROUND(J798-SUM(AB798:AD798),2))</f>
        <v/>
      </c>
      <c r="AF798" s="15">
        <f>IF(COUNT(AE798)=0,"",IF(Z798=0,"n.a.",AE798/Z798))</f>
        <v/>
      </c>
      <c r="AG798" s="12" t="n"/>
      <c r="AH798" s="14">
        <f>IF(OR(A798="",COUNT(Z798)=0,COUNT(AG798)=0),"",ROUND(Z798-AG798,2))</f>
        <v/>
      </c>
      <c r="AI798" s="21" t="n"/>
      <c r="AJ798" s="11">
        <f>IF(A798="","",IF(COUNT(I798)=0,"Enter approved NTE",IF(COUNT(Z798)&gt;0,IF(Z798&gt;I798,"Invoice exceeds NTE","Invoice within NTE"),IF(COUNT(L798)=0,"Enter quote inputs",IF(L798&gt;I798,"Quote exceeds NTE","Quote within NTE")))))</f>
        <v/>
      </c>
      <c r="AK798" s="11">
        <f>IF(A798="","",IF(COUNT(H798)=0,"Enter direct cost",IF(COUNT(Z798)=0,"Enter invoice revenue",IF(COUNT(AB798:AD798)&lt;3,"Enter expenses (0 if none)","Complete"))))</f>
        <v/>
      </c>
      <c r="AL798" s="11">
        <f>IF(A798="","",IF(NOT(AND(COUNT(AH798)=1,N(AH798)&gt;0.004,V798&lt;&gt;"Void",V798&lt;&gt;"Not invoiced",V798&lt;&gt;"Draft")),"",IF(COUNT(X798)=0,"No due date",IF(TODAY()-X798&lt;=0,"Not yet due",IF(TODAY()-X798&lt;=30,"1-30 days",IF(TODAY()-X798&lt;=60,"31-60 days",IF(TODAY()-X798&lt;=90,"61-90 days","Over 90 days")))))))</f>
        <v/>
      </c>
      <c r="AM798" s="49">
        <f>IF(OR(AL798="",AL798="No due date"),"",MAX(TODAY()-X798,0))</f>
        <v/>
      </c>
      <c r="AN798" s="49">
        <f>IF(AL798="","",IF(COUNT(X798)=0,-100000,TODAY()-X798))</f>
        <v/>
      </c>
      <c r="AO798" s="49">
        <f>IF(AN798="","",COUNTIF(AN$11:AN$1010,"&gt;"&amp;AN798)+COUNTIF(AN$11:AN798,AN798))</f>
        <v/>
      </c>
      <c r="AP798" s="49">
        <f>IF(OR(A798="",B798=""),"",IF(COUNTIF(B$11:B798,B798)=1,MAX(AP$10:AP797)+1,""))</f>
        <v/>
      </c>
    </row>
    <row r="799">
      <c r="A799" s="20" t="n"/>
      <c r="B799" s="10" t="n"/>
      <c r="C799" s="10" t="n"/>
      <c r="D799" s="10" t="n"/>
      <c r="E799" s="10" t="n"/>
      <c r="F799" s="18" t="n"/>
      <c r="G799" s="10" t="n"/>
      <c r="H799" s="12" t="n"/>
      <c r="I799" s="12" t="n"/>
      <c r="J799" s="13">
        <f>IF(OR(A799="",COUNT(H799)=0,COUNT(Z799)=0),"",ROUND(Z799-H799,2))</f>
        <v/>
      </c>
      <c r="K799" s="15">
        <f>IF(COUNT(J799)=0,"",IF(Z799=0,"n.a.",J799/Z799))</f>
        <v/>
      </c>
      <c r="L799" s="14">
        <f>IF(OR(A799="",COUNT(H799)=0,COUNT(Y799)=0),"",ROUND(H799*(1+Y799),2))</f>
        <v/>
      </c>
      <c r="M799" s="10" t="n"/>
      <c r="N799" s="10" t="n"/>
      <c r="O799" s="10" t="n"/>
      <c r="P799" s="10" t="n"/>
      <c r="Q799" s="20" t="n"/>
      <c r="R799" s="10" t="n"/>
      <c r="S799" s="10" t="n"/>
      <c r="T799" s="18" t="n"/>
      <c r="U799" s="18" t="n"/>
      <c r="V799" s="10" t="n"/>
      <c r="W799" s="10" t="n"/>
      <c r="X799" s="19">
        <f>IF(OR(A799="",COUNT(U799)=0,COUNT(AI799)=0),"",U799+AI799)</f>
        <v/>
      </c>
      <c r="Y799" s="16" t="n"/>
      <c r="Z799" s="12" t="n"/>
      <c r="AA799" s="17">
        <f>IF(COUNT(J799)=0,"",IF(H799=0,"n.a.",J799/H799))</f>
        <v/>
      </c>
      <c r="AB799" s="12" t="n"/>
      <c r="AC799" s="12" t="n"/>
      <c r="AD799" s="12" t="n"/>
      <c r="AE799" s="13">
        <f>IF(OR(COUNT(J799)=0,COUNT(AB799:AD799)&lt;3),"",ROUND(J799-SUM(AB799:AD799),2))</f>
        <v/>
      </c>
      <c r="AF799" s="15">
        <f>IF(COUNT(AE799)=0,"",IF(Z799=0,"n.a.",AE799/Z799))</f>
        <v/>
      </c>
      <c r="AG799" s="12" t="n"/>
      <c r="AH799" s="14">
        <f>IF(OR(A799="",COUNT(Z799)=0,COUNT(AG799)=0),"",ROUND(Z799-AG799,2))</f>
        <v/>
      </c>
      <c r="AI799" s="21" t="n"/>
      <c r="AJ799" s="11">
        <f>IF(A799="","",IF(COUNT(I799)=0,"Enter approved NTE",IF(COUNT(Z799)&gt;0,IF(Z799&gt;I799,"Invoice exceeds NTE","Invoice within NTE"),IF(COUNT(L799)=0,"Enter quote inputs",IF(L799&gt;I799,"Quote exceeds NTE","Quote within NTE")))))</f>
        <v/>
      </c>
      <c r="AK799" s="11">
        <f>IF(A799="","",IF(COUNT(H799)=0,"Enter direct cost",IF(COUNT(Z799)=0,"Enter invoice revenue",IF(COUNT(AB799:AD799)&lt;3,"Enter expenses (0 if none)","Complete"))))</f>
        <v/>
      </c>
      <c r="AL799" s="11">
        <f>IF(A799="","",IF(NOT(AND(COUNT(AH799)=1,N(AH799)&gt;0.004,V799&lt;&gt;"Void",V799&lt;&gt;"Not invoiced",V799&lt;&gt;"Draft")),"",IF(COUNT(X799)=0,"No due date",IF(TODAY()-X799&lt;=0,"Not yet due",IF(TODAY()-X799&lt;=30,"1-30 days",IF(TODAY()-X799&lt;=60,"31-60 days",IF(TODAY()-X799&lt;=90,"61-90 days","Over 90 days")))))))</f>
        <v/>
      </c>
      <c r="AM799" s="49">
        <f>IF(OR(AL799="",AL799="No due date"),"",MAX(TODAY()-X799,0))</f>
        <v/>
      </c>
      <c r="AN799" s="49">
        <f>IF(AL799="","",IF(COUNT(X799)=0,-100000,TODAY()-X799))</f>
        <v/>
      </c>
      <c r="AO799" s="49">
        <f>IF(AN799="","",COUNTIF(AN$11:AN$1010,"&gt;"&amp;AN799)+COUNTIF(AN$11:AN799,AN799))</f>
        <v/>
      </c>
      <c r="AP799" s="49">
        <f>IF(OR(A799="",B799=""),"",IF(COUNTIF(B$11:B799,B799)=1,MAX(AP$10:AP798)+1,""))</f>
        <v/>
      </c>
    </row>
    <row r="800">
      <c r="A800" s="20" t="n"/>
      <c r="B800" s="10" t="n"/>
      <c r="C800" s="10" t="n"/>
      <c r="D800" s="10" t="n"/>
      <c r="E800" s="10" t="n"/>
      <c r="F800" s="18" t="n"/>
      <c r="G800" s="10" t="n"/>
      <c r="H800" s="12" t="n"/>
      <c r="I800" s="12" t="n"/>
      <c r="J800" s="13">
        <f>IF(OR(A800="",COUNT(H800)=0,COUNT(Z800)=0),"",ROUND(Z800-H800,2))</f>
        <v/>
      </c>
      <c r="K800" s="15">
        <f>IF(COUNT(J800)=0,"",IF(Z800=0,"n.a.",J800/Z800))</f>
        <v/>
      </c>
      <c r="L800" s="14">
        <f>IF(OR(A800="",COUNT(H800)=0,COUNT(Y800)=0),"",ROUND(H800*(1+Y800),2))</f>
        <v/>
      </c>
      <c r="M800" s="10" t="n"/>
      <c r="N800" s="10" t="n"/>
      <c r="O800" s="10" t="n"/>
      <c r="P800" s="10" t="n"/>
      <c r="Q800" s="20" t="n"/>
      <c r="R800" s="10" t="n"/>
      <c r="S800" s="10" t="n"/>
      <c r="T800" s="18" t="n"/>
      <c r="U800" s="18" t="n"/>
      <c r="V800" s="10" t="n"/>
      <c r="W800" s="10" t="n"/>
      <c r="X800" s="19">
        <f>IF(OR(A800="",COUNT(U800)=0,COUNT(AI800)=0),"",U800+AI800)</f>
        <v/>
      </c>
      <c r="Y800" s="16" t="n"/>
      <c r="Z800" s="12" t="n"/>
      <c r="AA800" s="17">
        <f>IF(COUNT(J800)=0,"",IF(H800=0,"n.a.",J800/H800))</f>
        <v/>
      </c>
      <c r="AB800" s="12" t="n"/>
      <c r="AC800" s="12" t="n"/>
      <c r="AD800" s="12" t="n"/>
      <c r="AE800" s="13">
        <f>IF(OR(COUNT(J800)=0,COUNT(AB800:AD800)&lt;3),"",ROUND(J800-SUM(AB800:AD800),2))</f>
        <v/>
      </c>
      <c r="AF800" s="15">
        <f>IF(COUNT(AE800)=0,"",IF(Z800=0,"n.a.",AE800/Z800))</f>
        <v/>
      </c>
      <c r="AG800" s="12" t="n"/>
      <c r="AH800" s="14">
        <f>IF(OR(A800="",COUNT(Z800)=0,COUNT(AG800)=0),"",ROUND(Z800-AG800,2))</f>
        <v/>
      </c>
      <c r="AI800" s="21" t="n"/>
      <c r="AJ800" s="11">
        <f>IF(A800="","",IF(COUNT(I800)=0,"Enter approved NTE",IF(COUNT(Z800)&gt;0,IF(Z800&gt;I800,"Invoice exceeds NTE","Invoice within NTE"),IF(COUNT(L800)=0,"Enter quote inputs",IF(L800&gt;I800,"Quote exceeds NTE","Quote within NTE")))))</f>
        <v/>
      </c>
      <c r="AK800" s="11">
        <f>IF(A800="","",IF(COUNT(H800)=0,"Enter direct cost",IF(COUNT(Z800)=0,"Enter invoice revenue",IF(COUNT(AB800:AD800)&lt;3,"Enter expenses (0 if none)","Complete"))))</f>
        <v/>
      </c>
      <c r="AL800" s="11">
        <f>IF(A800="","",IF(NOT(AND(COUNT(AH800)=1,N(AH800)&gt;0.004,V800&lt;&gt;"Void",V800&lt;&gt;"Not invoiced",V800&lt;&gt;"Draft")),"",IF(COUNT(X800)=0,"No due date",IF(TODAY()-X800&lt;=0,"Not yet due",IF(TODAY()-X800&lt;=30,"1-30 days",IF(TODAY()-X800&lt;=60,"31-60 days",IF(TODAY()-X800&lt;=90,"61-90 days","Over 90 days")))))))</f>
        <v/>
      </c>
      <c r="AM800" s="49">
        <f>IF(OR(AL800="",AL800="No due date"),"",MAX(TODAY()-X800,0))</f>
        <v/>
      </c>
      <c r="AN800" s="49">
        <f>IF(AL800="","",IF(COUNT(X800)=0,-100000,TODAY()-X800))</f>
        <v/>
      </c>
      <c r="AO800" s="49">
        <f>IF(AN800="","",COUNTIF(AN$11:AN$1010,"&gt;"&amp;AN800)+COUNTIF(AN$11:AN800,AN800))</f>
        <v/>
      </c>
      <c r="AP800" s="49">
        <f>IF(OR(A800="",B800=""),"",IF(COUNTIF(B$11:B800,B800)=1,MAX(AP$10:AP799)+1,""))</f>
        <v/>
      </c>
    </row>
    <row r="801">
      <c r="A801" s="20" t="n"/>
      <c r="B801" s="10" t="n"/>
      <c r="C801" s="10" t="n"/>
      <c r="D801" s="10" t="n"/>
      <c r="E801" s="10" t="n"/>
      <c r="F801" s="18" t="n"/>
      <c r="G801" s="10" t="n"/>
      <c r="H801" s="12" t="n"/>
      <c r="I801" s="12" t="n"/>
      <c r="J801" s="13">
        <f>IF(OR(A801="",COUNT(H801)=0,COUNT(Z801)=0),"",ROUND(Z801-H801,2))</f>
        <v/>
      </c>
      <c r="K801" s="15">
        <f>IF(COUNT(J801)=0,"",IF(Z801=0,"n.a.",J801/Z801))</f>
        <v/>
      </c>
      <c r="L801" s="14">
        <f>IF(OR(A801="",COUNT(H801)=0,COUNT(Y801)=0),"",ROUND(H801*(1+Y801),2))</f>
        <v/>
      </c>
      <c r="M801" s="10" t="n"/>
      <c r="N801" s="10" t="n"/>
      <c r="O801" s="10" t="n"/>
      <c r="P801" s="10" t="n"/>
      <c r="Q801" s="20" t="n"/>
      <c r="R801" s="10" t="n"/>
      <c r="S801" s="10" t="n"/>
      <c r="T801" s="18" t="n"/>
      <c r="U801" s="18" t="n"/>
      <c r="V801" s="10" t="n"/>
      <c r="W801" s="10" t="n"/>
      <c r="X801" s="19">
        <f>IF(OR(A801="",COUNT(U801)=0,COUNT(AI801)=0),"",U801+AI801)</f>
        <v/>
      </c>
      <c r="Y801" s="16" t="n"/>
      <c r="Z801" s="12" t="n"/>
      <c r="AA801" s="17">
        <f>IF(COUNT(J801)=0,"",IF(H801=0,"n.a.",J801/H801))</f>
        <v/>
      </c>
      <c r="AB801" s="12" t="n"/>
      <c r="AC801" s="12" t="n"/>
      <c r="AD801" s="12" t="n"/>
      <c r="AE801" s="13">
        <f>IF(OR(COUNT(J801)=0,COUNT(AB801:AD801)&lt;3),"",ROUND(J801-SUM(AB801:AD801),2))</f>
        <v/>
      </c>
      <c r="AF801" s="15">
        <f>IF(COUNT(AE801)=0,"",IF(Z801=0,"n.a.",AE801/Z801))</f>
        <v/>
      </c>
      <c r="AG801" s="12" t="n"/>
      <c r="AH801" s="14">
        <f>IF(OR(A801="",COUNT(Z801)=0,COUNT(AG801)=0),"",ROUND(Z801-AG801,2))</f>
        <v/>
      </c>
      <c r="AI801" s="21" t="n"/>
      <c r="AJ801" s="11">
        <f>IF(A801="","",IF(COUNT(I801)=0,"Enter approved NTE",IF(COUNT(Z801)&gt;0,IF(Z801&gt;I801,"Invoice exceeds NTE","Invoice within NTE"),IF(COUNT(L801)=0,"Enter quote inputs",IF(L801&gt;I801,"Quote exceeds NTE","Quote within NTE")))))</f>
        <v/>
      </c>
      <c r="AK801" s="11">
        <f>IF(A801="","",IF(COUNT(H801)=0,"Enter direct cost",IF(COUNT(Z801)=0,"Enter invoice revenue",IF(COUNT(AB801:AD801)&lt;3,"Enter expenses (0 if none)","Complete"))))</f>
        <v/>
      </c>
      <c r="AL801" s="11">
        <f>IF(A801="","",IF(NOT(AND(COUNT(AH801)=1,N(AH801)&gt;0.004,V801&lt;&gt;"Void",V801&lt;&gt;"Not invoiced",V801&lt;&gt;"Draft")),"",IF(COUNT(X801)=0,"No due date",IF(TODAY()-X801&lt;=0,"Not yet due",IF(TODAY()-X801&lt;=30,"1-30 days",IF(TODAY()-X801&lt;=60,"31-60 days",IF(TODAY()-X801&lt;=90,"61-90 days","Over 90 days")))))))</f>
        <v/>
      </c>
      <c r="AM801" s="49">
        <f>IF(OR(AL801="",AL801="No due date"),"",MAX(TODAY()-X801,0))</f>
        <v/>
      </c>
      <c r="AN801" s="49">
        <f>IF(AL801="","",IF(COUNT(X801)=0,-100000,TODAY()-X801))</f>
        <v/>
      </c>
      <c r="AO801" s="49">
        <f>IF(AN801="","",COUNTIF(AN$11:AN$1010,"&gt;"&amp;AN801)+COUNTIF(AN$11:AN801,AN801))</f>
        <v/>
      </c>
      <c r="AP801" s="49">
        <f>IF(OR(A801="",B801=""),"",IF(COUNTIF(B$11:B801,B801)=1,MAX(AP$10:AP800)+1,""))</f>
        <v/>
      </c>
    </row>
    <row r="802">
      <c r="A802" s="20" t="n"/>
      <c r="B802" s="10" t="n"/>
      <c r="C802" s="10" t="n"/>
      <c r="D802" s="10" t="n"/>
      <c r="E802" s="10" t="n"/>
      <c r="F802" s="18" t="n"/>
      <c r="G802" s="10" t="n"/>
      <c r="H802" s="12" t="n"/>
      <c r="I802" s="12" t="n"/>
      <c r="J802" s="13">
        <f>IF(OR(A802="",COUNT(H802)=0,COUNT(Z802)=0),"",ROUND(Z802-H802,2))</f>
        <v/>
      </c>
      <c r="K802" s="15">
        <f>IF(COUNT(J802)=0,"",IF(Z802=0,"n.a.",J802/Z802))</f>
        <v/>
      </c>
      <c r="L802" s="14">
        <f>IF(OR(A802="",COUNT(H802)=0,COUNT(Y802)=0),"",ROUND(H802*(1+Y802),2))</f>
        <v/>
      </c>
      <c r="M802" s="10" t="n"/>
      <c r="N802" s="10" t="n"/>
      <c r="O802" s="10" t="n"/>
      <c r="P802" s="10" t="n"/>
      <c r="Q802" s="20" t="n"/>
      <c r="R802" s="10" t="n"/>
      <c r="S802" s="10" t="n"/>
      <c r="T802" s="18" t="n"/>
      <c r="U802" s="18" t="n"/>
      <c r="V802" s="10" t="n"/>
      <c r="W802" s="10" t="n"/>
      <c r="X802" s="19">
        <f>IF(OR(A802="",COUNT(U802)=0,COUNT(AI802)=0),"",U802+AI802)</f>
        <v/>
      </c>
      <c r="Y802" s="16" t="n"/>
      <c r="Z802" s="12" t="n"/>
      <c r="AA802" s="17">
        <f>IF(COUNT(J802)=0,"",IF(H802=0,"n.a.",J802/H802))</f>
        <v/>
      </c>
      <c r="AB802" s="12" t="n"/>
      <c r="AC802" s="12" t="n"/>
      <c r="AD802" s="12" t="n"/>
      <c r="AE802" s="13">
        <f>IF(OR(COUNT(J802)=0,COUNT(AB802:AD802)&lt;3),"",ROUND(J802-SUM(AB802:AD802),2))</f>
        <v/>
      </c>
      <c r="AF802" s="15">
        <f>IF(COUNT(AE802)=0,"",IF(Z802=0,"n.a.",AE802/Z802))</f>
        <v/>
      </c>
      <c r="AG802" s="12" t="n"/>
      <c r="AH802" s="14">
        <f>IF(OR(A802="",COUNT(Z802)=0,COUNT(AG802)=0),"",ROUND(Z802-AG802,2))</f>
        <v/>
      </c>
      <c r="AI802" s="21" t="n"/>
      <c r="AJ802" s="11">
        <f>IF(A802="","",IF(COUNT(I802)=0,"Enter approved NTE",IF(COUNT(Z802)&gt;0,IF(Z802&gt;I802,"Invoice exceeds NTE","Invoice within NTE"),IF(COUNT(L802)=0,"Enter quote inputs",IF(L802&gt;I802,"Quote exceeds NTE","Quote within NTE")))))</f>
        <v/>
      </c>
      <c r="AK802" s="11">
        <f>IF(A802="","",IF(COUNT(H802)=0,"Enter direct cost",IF(COUNT(Z802)=0,"Enter invoice revenue",IF(COUNT(AB802:AD802)&lt;3,"Enter expenses (0 if none)","Complete"))))</f>
        <v/>
      </c>
      <c r="AL802" s="11">
        <f>IF(A802="","",IF(NOT(AND(COUNT(AH802)=1,N(AH802)&gt;0.004,V802&lt;&gt;"Void",V802&lt;&gt;"Not invoiced",V802&lt;&gt;"Draft")),"",IF(COUNT(X802)=0,"No due date",IF(TODAY()-X802&lt;=0,"Not yet due",IF(TODAY()-X802&lt;=30,"1-30 days",IF(TODAY()-X802&lt;=60,"31-60 days",IF(TODAY()-X802&lt;=90,"61-90 days","Over 90 days")))))))</f>
        <v/>
      </c>
      <c r="AM802" s="49">
        <f>IF(OR(AL802="",AL802="No due date"),"",MAX(TODAY()-X802,0))</f>
        <v/>
      </c>
      <c r="AN802" s="49">
        <f>IF(AL802="","",IF(COUNT(X802)=0,-100000,TODAY()-X802))</f>
        <v/>
      </c>
      <c r="AO802" s="49">
        <f>IF(AN802="","",COUNTIF(AN$11:AN$1010,"&gt;"&amp;AN802)+COUNTIF(AN$11:AN802,AN802))</f>
        <v/>
      </c>
      <c r="AP802" s="49">
        <f>IF(OR(A802="",B802=""),"",IF(COUNTIF(B$11:B802,B802)=1,MAX(AP$10:AP801)+1,""))</f>
        <v/>
      </c>
    </row>
    <row r="803">
      <c r="A803" s="20" t="n"/>
      <c r="B803" s="10" t="n"/>
      <c r="C803" s="10" t="n"/>
      <c r="D803" s="10" t="n"/>
      <c r="E803" s="10" t="n"/>
      <c r="F803" s="18" t="n"/>
      <c r="G803" s="10" t="n"/>
      <c r="H803" s="12" t="n"/>
      <c r="I803" s="12" t="n"/>
      <c r="J803" s="13">
        <f>IF(OR(A803="",COUNT(H803)=0,COUNT(Z803)=0),"",ROUND(Z803-H803,2))</f>
        <v/>
      </c>
      <c r="K803" s="15">
        <f>IF(COUNT(J803)=0,"",IF(Z803=0,"n.a.",J803/Z803))</f>
        <v/>
      </c>
      <c r="L803" s="14">
        <f>IF(OR(A803="",COUNT(H803)=0,COUNT(Y803)=0),"",ROUND(H803*(1+Y803),2))</f>
        <v/>
      </c>
      <c r="M803" s="10" t="n"/>
      <c r="N803" s="10" t="n"/>
      <c r="O803" s="10" t="n"/>
      <c r="P803" s="10" t="n"/>
      <c r="Q803" s="20" t="n"/>
      <c r="R803" s="10" t="n"/>
      <c r="S803" s="10" t="n"/>
      <c r="T803" s="18" t="n"/>
      <c r="U803" s="18" t="n"/>
      <c r="V803" s="10" t="n"/>
      <c r="W803" s="10" t="n"/>
      <c r="X803" s="19">
        <f>IF(OR(A803="",COUNT(U803)=0,COUNT(AI803)=0),"",U803+AI803)</f>
        <v/>
      </c>
      <c r="Y803" s="16" t="n"/>
      <c r="Z803" s="12" t="n"/>
      <c r="AA803" s="17">
        <f>IF(COUNT(J803)=0,"",IF(H803=0,"n.a.",J803/H803))</f>
        <v/>
      </c>
      <c r="AB803" s="12" t="n"/>
      <c r="AC803" s="12" t="n"/>
      <c r="AD803" s="12" t="n"/>
      <c r="AE803" s="13">
        <f>IF(OR(COUNT(J803)=0,COUNT(AB803:AD803)&lt;3),"",ROUND(J803-SUM(AB803:AD803),2))</f>
        <v/>
      </c>
      <c r="AF803" s="15">
        <f>IF(COUNT(AE803)=0,"",IF(Z803=0,"n.a.",AE803/Z803))</f>
        <v/>
      </c>
      <c r="AG803" s="12" t="n"/>
      <c r="AH803" s="14">
        <f>IF(OR(A803="",COUNT(Z803)=0,COUNT(AG803)=0),"",ROUND(Z803-AG803,2))</f>
        <v/>
      </c>
      <c r="AI803" s="21" t="n"/>
      <c r="AJ803" s="11">
        <f>IF(A803="","",IF(COUNT(I803)=0,"Enter approved NTE",IF(COUNT(Z803)&gt;0,IF(Z803&gt;I803,"Invoice exceeds NTE","Invoice within NTE"),IF(COUNT(L803)=0,"Enter quote inputs",IF(L803&gt;I803,"Quote exceeds NTE","Quote within NTE")))))</f>
        <v/>
      </c>
      <c r="AK803" s="11">
        <f>IF(A803="","",IF(COUNT(H803)=0,"Enter direct cost",IF(COUNT(Z803)=0,"Enter invoice revenue",IF(COUNT(AB803:AD803)&lt;3,"Enter expenses (0 if none)","Complete"))))</f>
        <v/>
      </c>
      <c r="AL803" s="11">
        <f>IF(A803="","",IF(NOT(AND(COUNT(AH803)=1,N(AH803)&gt;0.004,V803&lt;&gt;"Void",V803&lt;&gt;"Not invoiced",V803&lt;&gt;"Draft")),"",IF(COUNT(X803)=0,"No due date",IF(TODAY()-X803&lt;=0,"Not yet due",IF(TODAY()-X803&lt;=30,"1-30 days",IF(TODAY()-X803&lt;=60,"31-60 days",IF(TODAY()-X803&lt;=90,"61-90 days","Over 90 days")))))))</f>
        <v/>
      </c>
      <c r="AM803" s="49">
        <f>IF(OR(AL803="",AL803="No due date"),"",MAX(TODAY()-X803,0))</f>
        <v/>
      </c>
      <c r="AN803" s="49">
        <f>IF(AL803="","",IF(COUNT(X803)=0,-100000,TODAY()-X803))</f>
        <v/>
      </c>
      <c r="AO803" s="49">
        <f>IF(AN803="","",COUNTIF(AN$11:AN$1010,"&gt;"&amp;AN803)+COUNTIF(AN$11:AN803,AN803))</f>
        <v/>
      </c>
      <c r="AP803" s="49">
        <f>IF(OR(A803="",B803=""),"",IF(COUNTIF(B$11:B803,B803)=1,MAX(AP$10:AP802)+1,""))</f>
        <v/>
      </c>
    </row>
    <row r="804">
      <c r="A804" s="20" t="n"/>
      <c r="B804" s="10" t="n"/>
      <c r="C804" s="10" t="n"/>
      <c r="D804" s="10" t="n"/>
      <c r="E804" s="10" t="n"/>
      <c r="F804" s="18" t="n"/>
      <c r="G804" s="10" t="n"/>
      <c r="H804" s="12" t="n"/>
      <c r="I804" s="12" t="n"/>
      <c r="J804" s="13">
        <f>IF(OR(A804="",COUNT(H804)=0,COUNT(Z804)=0),"",ROUND(Z804-H804,2))</f>
        <v/>
      </c>
      <c r="K804" s="15">
        <f>IF(COUNT(J804)=0,"",IF(Z804=0,"n.a.",J804/Z804))</f>
        <v/>
      </c>
      <c r="L804" s="14">
        <f>IF(OR(A804="",COUNT(H804)=0,COUNT(Y804)=0),"",ROUND(H804*(1+Y804),2))</f>
        <v/>
      </c>
      <c r="M804" s="10" t="n"/>
      <c r="N804" s="10" t="n"/>
      <c r="O804" s="10" t="n"/>
      <c r="P804" s="10" t="n"/>
      <c r="Q804" s="20" t="n"/>
      <c r="R804" s="10" t="n"/>
      <c r="S804" s="10" t="n"/>
      <c r="T804" s="18" t="n"/>
      <c r="U804" s="18" t="n"/>
      <c r="V804" s="10" t="n"/>
      <c r="W804" s="10" t="n"/>
      <c r="X804" s="19">
        <f>IF(OR(A804="",COUNT(U804)=0,COUNT(AI804)=0),"",U804+AI804)</f>
        <v/>
      </c>
      <c r="Y804" s="16" t="n"/>
      <c r="Z804" s="12" t="n"/>
      <c r="AA804" s="17">
        <f>IF(COUNT(J804)=0,"",IF(H804=0,"n.a.",J804/H804))</f>
        <v/>
      </c>
      <c r="AB804" s="12" t="n"/>
      <c r="AC804" s="12" t="n"/>
      <c r="AD804" s="12" t="n"/>
      <c r="AE804" s="13">
        <f>IF(OR(COUNT(J804)=0,COUNT(AB804:AD804)&lt;3),"",ROUND(J804-SUM(AB804:AD804),2))</f>
        <v/>
      </c>
      <c r="AF804" s="15">
        <f>IF(COUNT(AE804)=0,"",IF(Z804=0,"n.a.",AE804/Z804))</f>
        <v/>
      </c>
      <c r="AG804" s="12" t="n"/>
      <c r="AH804" s="14">
        <f>IF(OR(A804="",COUNT(Z804)=0,COUNT(AG804)=0),"",ROUND(Z804-AG804,2))</f>
        <v/>
      </c>
      <c r="AI804" s="21" t="n"/>
      <c r="AJ804" s="11">
        <f>IF(A804="","",IF(COUNT(I804)=0,"Enter approved NTE",IF(COUNT(Z804)&gt;0,IF(Z804&gt;I804,"Invoice exceeds NTE","Invoice within NTE"),IF(COUNT(L804)=0,"Enter quote inputs",IF(L804&gt;I804,"Quote exceeds NTE","Quote within NTE")))))</f>
        <v/>
      </c>
      <c r="AK804" s="11">
        <f>IF(A804="","",IF(COUNT(H804)=0,"Enter direct cost",IF(COUNT(Z804)=0,"Enter invoice revenue",IF(COUNT(AB804:AD804)&lt;3,"Enter expenses (0 if none)","Complete"))))</f>
        <v/>
      </c>
      <c r="AL804" s="11">
        <f>IF(A804="","",IF(NOT(AND(COUNT(AH804)=1,N(AH804)&gt;0.004,V804&lt;&gt;"Void",V804&lt;&gt;"Not invoiced",V804&lt;&gt;"Draft")),"",IF(COUNT(X804)=0,"No due date",IF(TODAY()-X804&lt;=0,"Not yet due",IF(TODAY()-X804&lt;=30,"1-30 days",IF(TODAY()-X804&lt;=60,"31-60 days",IF(TODAY()-X804&lt;=90,"61-90 days","Over 90 days")))))))</f>
        <v/>
      </c>
      <c r="AM804" s="49">
        <f>IF(OR(AL804="",AL804="No due date"),"",MAX(TODAY()-X804,0))</f>
        <v/>
      </c>
      <c r="AN804" s="49">
        <f>IF(AL804="","",IF(COUNT(X804)=0,-100000,TODAY()-X804))</f>
        <v/>
      </c>
      <c r="AO804" s="49">
        <f>IF(AN804="","",COUNTIF(AN$11:AN$1010,"&gt;"&amp;AN804)+COUNTIF(AN$11:AN804,AN804))</f>
        <v/>
      </c>
      <c r="AP804" s="49">
        <f>IF(OR(A804="",B804=""),"",IF(COUNTIF(B$11:B804,B804)=1,MAX(AP$10:AP803)+1,""))</f>
        <v/>
      </c>
    </row>
    <row r="805">
      <c r="A805" s="20" t="n"/>
      <c r="B805" s="10" t="n"/>
      <c r="C805" s="10" t="n"/>
      <c r="D805" s="10" t="n"/>
      <c r="E805" s="10" t="n"/>
      <c r="F805" s="18" t="n"/>
      <c r="G805" s="10" t="n"/>
      <c r="H805" s="12" t="n"/>
      <c r="I805" s="12" t="n"/>
      <c r="J805" s="13">
        <f>IF(OR(A805="",COUNT(H805)=0,COUNT(Z805)=0),"",ROUND(Z805-H805,2))</f>
        <v/>
      </c>
      <c r="K805" s="15">
        <f>IF(COUNT(J805)=0,"",IF(Z805=0,"n.a.",J805/Z805))</f>
        <v/>
      </c>
      <c r="L805" s="14">
        <f>IF(OR(A805="",COUNT(H805)=0,COUNT(Y805)=0),"",ROUND(H805*(1+Y805),2))</f>
        <v/>
      </c>
      <c r="M805" s="10" t="n"/>
      <c r="N805" s="10" t="n"/>
      <c r="O805" s="10" t="n"/>
      <c r="P805" s="10" t="n"/>
      <c r="Q805" s="20" t="n"/>
      <c r="R805" s="10" t="n"/>
      <c r="S805" s="10" t="n"/>
      <c r="T805" s="18" t="n"/>
      <c r="U805" s="18" t="n"/>
      <c r="V805" s="10" t="n"/>
      <c r="W805" s="10" t="n"/>
      <c r="X805" s="19">
        <f>IF(OR(A805="",COUNT(U805)=0,COUNT(AI805)=0),"",U805+AI805)</f>
        <v/>
      </c>
      <c r="Y805" s="16" t="n"/>
      <c r="Z805" s="12" t="n"/>
      <c r="AA805" s="17">
        <f>IF(COUNT(J805)=0,"",IF(H805=0,"n.a.",J805/H805))</f>
        <v/>
      </c>
      <c r="AB805" s="12" t="n"/>
      <c r="AC805" s="12" t="n"/>
      <c r="AD805" s="12" t="n"/>
      <c r="AE805" s="13">
        <f>IF(OR(COUNT(J805)=0,COUNT(AB805:AD805)&lt;3),"",ROUND(J805-SUM(AB805:AD805),2))</f>
        <v/>
      </c>
      <c r="AF805" s="15">
        <f>IF(COUNT(AE805)=0,"",IF(Z805=0,"n.a.",AE805/Z805))</f>
        <v/>
      </c>
      <c r="AG805" s="12" t="n"/>
      <c r="AH805" s="14">
        <f>IF(OR(A805="",COUNT(Z805)=0,COUNT(AG805)=0),"",ROUND(Z805-AG805,2))</f>
        <v/>
      </c>
      <c r="AI805" s="21" t="n"/>
      <c r="AJ805" s="11">
        <f>IF(A805="","",IF(COUNT(I805)=0,"Enter approved NTE",IF(COUNT(Z805)&gt;0,IF(Z805&gt;I805,"Invoice exceeds NTE","Invoice within NTE"),IF(COUNT(L805)=0,"Enter quote inputs",IF(L805&gt;I805,"Quote exceeds NTE","Quote within NTE")))))</f>
        <v/>
      </c>
      <c r="AK805" s="11">
        <f>IF(A805="","",IF(COUNT(H805)=0,"Enter direct cost",IF(COUNT(Z805)=0,"Enter invoice revenue",IF(COUNT(AB805:AD805)&lt;3,"Enter expenses (0 if none)","Complete"))))</f>
        <v/>
      </c>
      <c r="AL805" s="11">
        <f>IF(A805="","",IF(NOT(AND(COUNT(AH805)=1,N(AH805)&gt;0.004,V805&lt;&gt;"Void",V805&lt;&gt;"Not invoiced",V805&lt;&gt;"Draft")),"",IF(COUNT(X805)=0,"No due date",IF(TODAY()-X805&lt;=0,"Not yet due",IF(TODAY()-X805&lt;=30,"1-30 days",IF(TODAY()-X805&lt;=60,"31-60 days",IF(TODAY()-X805&lt;=90,"61-90 days","Over 90 days")))))))</f>
        <v/>
      </c>
      <c r="AM805" s="49">
        <f>IF(OR(AL805="",AL805="No due date"),"",MAX(TODAY()-X805,0))</f>
        <v/>
      </c>
      <c r="AN805" s="49">
        <f>IF(AL805="","",IF(COUNT(X805)=0,-100000,TODAY()-X805))</f>
        <v/>
      </c>
      <c r="AO805" s="49">
        <f>IF(AN805="","",COUNTIF(AN$11:AN$1010,"&gt;"&amp;AN805)+COUNTIF(AN$11:AN805,AN805))</f>
        <v/>
      </c>
      <c r="AP805" s="49">
        <f>IF(OR(A805="",B805=""),"",IF(COUNTIF(B$11:B805,B805)=1,MAX(AP$10:AP804)+1,""))</f>
        <v/>
      </c>
    </row>
    <row r="806">
      <c r="A806" s="20" t="n"/>
      <c r="B806" s="10" t="n"/>
      <c r="C806" s="10" t="n"/>
      <c r="D806" s="10" t="n"/>
      <c r="E806" s="10" t="n"/>
      <c r="F806" s="18" t="n"/>
      <c r="G806" s="10" t="n"/>
      <c r="H806" s="12" t="n"/>
      <c r="I806" s="12" t="n"/>
      <c r="J806" s="13">
        <f>IF(OR(A806="",COUNT(H806)=0,COUNT(Z806)=0),"",ROUND(Z806-H806,2))</f>
        <v/>
      </c>
      <c r="K806" s="15">
        <f>IF(COUNT(J806)=0,"",IF(Z806=0,"n.a.",J806/Z806))</f>
        <v/>
      </c>
      <c r="L806" s="14">
        <f>IF(OR(A806="",COUNT(H806)=0,COUNT(Y806)=0),"",ROUND(H806*(1+Y806),2))</f>
        <v/>
      </c>
      <c r="M806" s="10" t="n"/>
      <c r="N806" s="10" t="n"/>
      <c r="O806" s="10" t="n"/>
      <c r="P806" s="10" t="n"/>
      <c r="Q806" s="20" t="n"/>
      <c r="R806" s="10" t="n"/>
      <c r="S806" s="10" t="n"/>
      <c r="T806" s="18" t="n"/>
      <c r="U806" s="18" t="n"/>
      <c r="V806" s="10" t="n"/>
      <c r="W806" s="10" t="n"/>
      <c r="X806" s="19">
        <f>IF(OR(A806="",COUNT(U806)=0,COUNT(AI806)=0),"",U806+AI806)</f>
        <v/>
      </c>
      <c r="Y806" s="16" t="n"/>
      <c r="Z806" s="12" t="n"/>
      <c r="AA806" s="17">
        <f>IF(COUNT(J806)=0,"",IF(H806=0,"n.a.",J806/H806))</f>
        <v/>
      </c>
      <c r="AB806" s="12" t="n"/>
      <c r="AC806" s="12" t="n"/>
      <c r="AD806" s="12" t="n"/>
      <c r="AE806" s="13">
        <f>IF(OR(COUNT(J806)=0,COUNT(AB806:AD806)&lt;3),"",ROUND(J806-SUM(AB806:AD806),2))</f>
        <v/>
      </c>
      <c r="AF806" s="15">
        <f>IF(COUNT(AE806)=0,"",IF(Z806=0,"n.a.",AE806/Z806))</f>
        <v/>
      </c>
      <c r="AG806" s="12" t="n"/>
      <c r="AH806" s="14">
        <f>IF(OR(A806="",COUNT(Z806)=0,COUNT(AG806)=0),"",ROUND(Z806-AG806,2))</f>
        <v/>
      </c>
      <c r="AI806" s="21" t="n"/>
      <c r="AJ806" s="11">
        <f>IF(A806="","",IF(COUNT(I806)=0,"Enter approved NTE",IF(COUNT(Z806)&gt;0,IF(Z806&gt;I806,"Invoice exceeds NTE","Invoice within NTE"),IF(COUNT(L806)=0,"Enter quote inputs",IF(L806&gt;I806,"Quote exceeds NTE","Quote within NTE")))))</f>
        <v/>
      </c>
      <c r="AK806" s="11">
        <f>IF(A806="","",IF(COUNT(H806)=0,"Enter direct cost",IF(COUNT(Z806)=0,"Enter invoice revenue",IF(COUNT(AB806:AD806)&lt;3,"Enter expenses (0 if none)","Complete"))))</f>
        <v/>
      </c>
      <c r="AL806" s="11">
        <f>IF(A806="","",IF(NOT(AND(COUNT(AH806)=1,N(AH806)&gt;0.004,V806&lt;&gt;"Void",V806&lt;&gt;"Not invoiced",V806&lt;&gt;"Draft")),"",IF(COUNT(X806)=0,"No due date",IF(TODAY()-X806&lt;=0,"Not yet due",IF(TODAY()-X806&lt;=30,"1-30 days",IF(TODAY()-X806&lt;=60,"31-60 days",IF(TODAY()-X806&lt;=90,"61-90 days","Over 90 days")))))))</f>
        <v/>
      </c>
      <c r="AM806" s="49">
        <f>IF(OR(AL806="",AL806="No due date"),"",MAX(TODAY()-X806,0))</f>
        <v/>
      </c>
      <c r="AN806" s="49">
        <f>IF(AL806="","",IF(COUNT(X806)=0,-100000,TODAY()-X806))</f>
        <v/>
      </c>
      <c r="AO806" s="49">
        <f>IF(AN806="","",COUNTIF(AN$11:AN$1010,"&gt;"&amp;AN806)+COUNTIF(AN$11:AN806,AN806))</f>
        <v/>
      </c>
      <c r="AP806" s="49">
        <f>IF(OR(A806="",B806=""),"",IF(COUNTIF(B$11:B806,B806)=1,MAX(AP$10:AP805)+1,""))</f>
        <v/>
      </c>
    </row>
    <row r="807">
      <c r="A807" s="20" t="n"/>
      <c r="B807" s="10" t="n"/>
      <c r="C807" s="10" t="n"/>
      <c r="D807" s="10" t="n"/>
      <c r="E807" s="10" t="n"/>
      <c r="F807" s="18" t="n"/>
      <c r="G807" s="10" t="n"/>
      <c r="H807" s="12" t="n"/>
      <c r="I807" s="12" t="n"/>
      <c r="J807" s="13">
        <f>IF(OR(A807="",COUNT(H807)=0,COUNT(Z807)=0),"",ROUND(Z807-H807,2))</f>
        <v/>
      </c>
      <c r="K807" s="15">
        <f>IF(COUNT(J807)=0,"",IF(Z807=0,"n.a.",J807/Z807))</f>
        <v/>
      </c>
      <c r="L807" s="14">
        <f>IF(OR(A807="",COUNT(H807)=0,COUNT(Y807)=0),"",ROUND(H807*(1+Y807),2))</f>
        <v/>
      </c>
      <c r="M807" s="10" t="n"/>
      <c r="N807" s="10" t="n"/>
      <c r="O807" s="10" t="n"/>
      <c r="P807" s="10" t="n"/>
      <c r="Q807" s="20" t="n"/>
      <c r="R807" s="10" t="n"/>
      <c r="S807" s="10" t="n"/>
      <c r="T807" s="18" t="n"/>
      <c r="U807" s="18" t="n"/>
      <c r="V807" s="10" t="n"/>
      <c r="W807" s="10" t="n"/>
      <c r="X807" s="19">
        <f>IF(OR(A807="",COUNT(U807)=0,COUNT(AI807)=0),"",U807+AI807)</f>
        <v/>
      </c>
      <c r="Y807" s="16" t="n"/>
      <c r="Z807" s="12" t="n"/>
      <c r="AA807" s="17">
        <f>IF(COUNT(J807)=0,"",IF(H807=0,"n.a.",J807/H807))</f>
        <v/>
      </c>
      <c r="AB807" s="12" t="n"/>
      <c r="AC807" s="12" t="n"/>
      <c r="AD807" s="12" t="n"/>
      <c r="AE807" s="13">
        <f>IF(OR(COUNT(J807)=0,COUNT(AB807:AD807)&lt;3),"",ROUND(J807-SUM(AB807:AD807),2))</f>
        <v/>
      </c>
      <c r="AF807" s="15">
        <f>IF(COUNT(AE807)=0,"",IF(Z807=0,"n.a.",AE807/Z807))</f>
        <v/>
      </c>
      <c r="AG807" s="12" t="n"/>
      <c r="AH807" s="14">
        <f>IF(OR(A807="",COUNT(Z807)=0,COUNT(AG807)=0),"",ROUND(Z807-AG807,2))</f>
        <v/>
      </c>
      <c r="AI807" s="21" t="n"/>
      <c r="AJ807" s="11">
        <f>IF(A807="","",IF(COUNT(I807)=0,"Enter approved NTE",IF(COUNT(Z807)&gt;0,IF(Z807&gt;I807,"Invoice exceeds NTE","Invoice within NTE"),IF(COUNT(L807)=0,"Enter quote inputs",IF(L807&gt;I807,"Quote exceeds NTE","Quote within NTE")))))</f>
        <v/>
      </c>
      <c r="AK807" s="11">
        <f>IF(A807="","",IF(COUNT(H807)=0,"Enter direct cost",IF(COUNT(Z807)=0,"Enter invoice revenue",IF(COUNT(AB807:AD807)&lt;3,"Enter expenses (0 if none)","Complete"))))</f>
        <v/>
      </c>
      <c r="AL807" s="11">
        <f>IF(A807="","",IF(NOT(AND(COUNT(AH807)=1,N(AH807)&gt;0.004,V807&lt;&gt;"Void",V807&lt;&gt;"Not invoiced",V807&lt;&gt;"Draft")),"",IF(COUNT(X807)=0,"No due date",IF(TODAY()-X807&lt;=0,"Not yet due",IF(TODAY()-X807&lt;=30,"1-30 days",IF(TODAY()-X807&lt;=60,"31-60 days",IF(TODAY()-X807&lt;=90,"61-90 days","Over 90 days")))))))</f>
        <v/>
      </c>
      <c r="AM807" s="49">
        <f>IF(OR(AL807="",AL807="No due date"),"",MAX(TODAY()-X807,0))</f>
        <v/>
      </c>
      <c r="AN807" s="49">
        <f>IF(AL807="","",IF(COUNT(X807)=0,-100000,TODAY()-X807))</f>
        <v/>
      </c>
      <c r="AO807" s="49">
        <f>IF(AN807="","",COUNTIF(AN$11:AN$1010,"&gt;"&amp;AN807)+COUNTIF(AN$11:AN807,AN807))</f>
        <v/>
      </c>
      <c r="AP807" s="49">
        <f>IF(OR(A807="",B807=""),"",IF(COUNTIF(B$11:B807,B807)=1,MAX(AP$10:AP806)+1,""))</f>
        <v/>
      </c>
    </row>
    <row r="808">
      <c r="A808" s="20" t="n"/>
      <c r="B808" s="10" t="n"/>
      <c r="C808" s="10" t="n"/>
      <c r="D808" s="10" t="n"/>
      <c r="E808" s="10" t="n"/>
      <c r="F808" s="18" t="n"/>
      <c r="G808" s="10" t="n"/>
      <c r="H808" s="12" t="n"/>
      <c r="I808" s="12" t="n"/>
      <c r="J808" s="13">
        <f>IF(OR(A808="",COUNT(H808)=0,COUNT(Z808)=0),"",ROUND(Z808-H808,2))</f>
        <v/>
      </c>
      <c r="K808" s="15">
        <f>IF(COUNT(J808)=0,"",IF(Z808=0,"n.a.",J808/Z808))</f>
        <v/>
      </c>
      <c r="L808" s="14">
        <f>IF(OR(A808="",COUNT(H808)=0,COUNT(Y808)=0),"",ROUND(H808*(1+Y808),2))</f>
        <v/>
      </c>
      <c r="M808" s="10" t="n"/>
      <c r="N808" s="10" t="n"/>
      <c r="O808" s="10" t="n"/>
      <c r="P808" s="10" t="n"/>
      <c r="Q808" s="20" t="n"/>
      <c r="R808" s="10" t="n"/>
      <c r="S808" s="10" t="n"/>
      <c r="T808" s="18" t="n"/>
      <c r="U808" s="18" t="n"/>
      <c r="V808" s="10" t="n"/>
      <c r="W808" s="10" t="n"/>
      <c r="X808" s="19">
        <f>IF(OR(A808="",COUNT(U808)=0,COUNT(AI808)=0),"",U808+AI808)</f>
        <v/>
      </c>
      <c r="Y808" s="16" t="n"/>
      <c r="Z808" s="12" t="n"/>
      <c r="AA808" s="17">
        <f>IF(COUNT(J808)=0,"",IF(H808=0,"n.a.",J808/H808))</f>
        <v/>
      </c>
      <c r="AB808" s="12" t="n"/>
      <c r="AC808" s="12" t="n"/>
      <c r="AD808" s="12" t="n"/>
      <c r="AE808" s="13">
        <f>IF(OR(COUNT(J808)=0,COUNT(AB808:AD808)&lt;3),"",ROUND(J808-SUM(AB808:AD808),2))</f>
        <v/>
      </c>
      <c r="AF808" s="15">
        <f>IF(COUNT(AE808)=0,"",IF(Z808=0,"n.a.",AE808/Z808))</f>
        <v/>
      </c>
      <c r="AG808" s="12" t="n"/>
      <c r="AH808" s="14">
        <f>IF(OR(A808="",COUNT(Z808)=0,COUNT(AG808)=0),"",ROUND(Z808-AG808,2))</f>
        <v/>
      </c>
      <c r="AI808" s="21" t="n"/>
      <c r="AJ808" s="11">
        <f>IF(A808="","",IF(COUNT(I808)=0,"Enter approved NTE",IF(COUNT(Z808)&gt;0,IF(Z808&gt;I808,"Invoice exceeds NTE","Invoice within NTE"),IF(COUNT(L808)=0,"Enter quote inputs",IF(L808&gt;I808,"Quote exceeds NTE","Quote within NTE")))))</f>
        <v/>
      </c>
      <c r="AK808" s="11">
        <f>IF(A808="","",IF(COUNT(H808)=0,"Enter direct cost",IF(COUNT(Z808)=0,"Enter invoice revenue",IF(COUNT(AB808:AD808)&lt;3,"Enter expenses (0 if none)","Complete"))))</f>
        <v/>
      </c>
      <c r="AL808" s="11">
        <f>IF(A808="","",IF(NOT(AND(COUNT(AH808)=1,N(AH808)&gt;0.004,V808&lt;&gt;"Void",V808&lt;&gt;"Not invoiced",V808&lt;&gt;"Draft")),"",IF(COUNT(X808)=0,"No due date",IF(TODAY()-X808&lt;=0,"Not yet due",IF(TODAY()-X808&lt;=30,"1-30 days",IF(TODAY()-X808&lt;=60,"31-60 days",IF(TODAY()-X808&lt;=90,"61-90 days","Over 90 days")))))))</f>
        <v/>
      </c>
      <c r="AM808" s="49">
        <f>IF(OR(AL808="",AL808="No due date"),"",MAX(TODAY()-X808,0))</f>
        <v/>
      </c>
      <c r="AN808" s="49">
        <f>IF(AL808="","",IF(COUNT(X808)=0,-100000,TODAY()-X808))</f>
        <v/>
      </c>
      <c r="AO808" s="49">
        <f>IF(AN808="","",COUNTIF(AN$11:AN$1010,"&gt;"&amp;AN808)+COUNTIF(AN$11:AN808,AN808))</f>
        <v/>
      </c>
      <c r="AP808" s="49">
        <f>IF(OR(A808="",B808=""),"",IF(COUNTIF(B$11:B808,B808)=1,MAX(AP$10:AP807)+1,""))</f>
        <v/>
      </c>
    </row>
    <row r="809">
      <c r="A809" s="20" t="n"/>
      <c r="B809" s="10" t="n"/>
      <c r="C809" s="10" t="n"/>
      <c r="D809" s="10" t="n"/>
      <c r="E809" s="10" t="n"/>
      <c r="F809" s="18" t="n"/>
      <c r="G809" s="10" t="n"/>
      <c r="H809" s="12" t="n"/>
      <c r="I809" s="12" t="n"/>
      <c r="J809" s="13">
        <f>IF(OR(A809="",COUNT(H809)=0,COUNT(Z809)=0),"",ROUND(Z809-H809,2))</f>
        <v/>
      </c>
      <c r="K809" s="15">
        <f>IF(COUNT(J809)=0,"",IF(Z809=0,"n.a.",J809/Z809))</f>
        <v/>
      </c>
      <c r="L809" s="14">
        <f>IF(OR(A809="",COUNT(H809)=0,COUNT(Y809)=0),"",ROUND(H809*(1+Y809),2))</f>
        <v/>
      </c>
      <c r="M809" s="10" t="n"/>
      <c r="N809" s="10" t="n"/>
      <c r="O809" s="10" t="n"/>
      <c r="P809" s="10" t="n"/>
      <c r="Q809" s="20" t="n"/>
      <c r="R809" s="10" t="n"/>
      <c r="S809" s="10" t="n"/>
      <c r="T809" s="18" t="n"/>
      <c r="U809" s="18" t="n"/>
      <c r="V809" s="10" t="n"/>
      <c r="W809" s="10" t="n"/>
      <c r="X809" s="19">
        <f>IF(OR(A809="",COUNT(U809)=0,COUNT(AI809)=0),"",U809+AI809)</f>
        <v/>
      </c>
      <c r="Y809" s="16" t="n"/>
      <c r="Z809" s="12" t="n"/>
      <c r="AA809" s="17">
        <f>IF(COUNT(J809)=0,"",IF(H809=0,"n.a.",J809/H809))</f>
        <v/>
      </c>
      <c r="AB809" s="12" t="n"/>
      <c r="AC809" s="12" t="n"/>
      <c r="AD809" s="12" t="n"/>
      <c r="AE809" s="13">
        <f>IF(OR(COUNT(J809)=0,COUNT(AB809:AD809)&lt;3),"",ROUND(J809-SUM(AB809:AD809),2))</f>
        <v/>
      </c>
      <c r="AF809" s="15">
        <f>IF(COUNT(AE809)=0,"",IF(Z809=0,"n.a.",AE809/Z809))</f>
        <v/>
      </c>
      <c r="AG809" s="12" t="n"/>
      <c r="AH809" s="14">
        <f>IF(OR(A809="",COUNT(Z809)=0,COUNT(AG809)=0),"",ROUND(Z809-AG809,2))</f>
        <v/>
      </c>
      <c r="AI809" s="21" t="n"/>
      <c r="AJ809" s="11">
        <f>IF(A809="","",IF(COUNT(I809)=0,"Enter approved NTE",IF(COUNT(Z809)&gt;0,IF(Z809&gt;I809,"Invoice exceeds NTE","Invoice within NTE"),IF(COUNT(L809)=0,"Enter quote inputs",IF(L809&gt;I809,"Quote exceeds NTE","Quote within NTE")))))</f>
        <v/>
      </c>
      <c r="AK809" s="11">
        <f>IF(A809="","",IF(COUNT(H809)=0,"Enter direct cost",IF(COUNT(Z809)=0,"Enter invoice revenue",IF(COUNT(AB809:AD809)&lt;3,"Enter expenses (0 if none)","Complete"))))</f>
        <v/>
      </c>
      <c r="AL809" s="11">
        <f>IF(A809="","",IF(NOT(AND(COUNT(AH809)=1,N(AH809)&gt;0.004,V809&lt;&gt;"Void",V809&lt;&gt;"Not invoiced",V809&lt;&gt;"Draft")),"",IF(COUNT(X809)=0,"No due date",IF(TODAY()-X809&lt;=0,"Not yet due",IF(TODAY()-X809&lt;=30,"1-30 days",IF(TODAY()-X809&lt;=60,"31-60 days",IF(TODAY()-X809&lt;=90,"61-90 days","Over 90 days")))))))</f>
        <v/>
      </c>
      <c r="AM809" s="49">
        <f>IF(OR(AL809="",AL809="No due date"),"",MAX(TODAY()-X809,0))</f>
        <v/>
      </c>
      <c r="AN809" s="49">
        <f>IF(AL809="","",IF(COUNT(X809)=0,-100000,TODAY()-X809))</f>
        <v/>
      </c>
      <c r="AO809" s="49">
        <f>IF(AN809="","",COUNTIF(AN$11:AN$1010,"&gt;"&amp;AN809)+COUNTIF(AN$11:AN809,AN809))</f>
        <v/>
      </c>
      <c r="AP809" s="49">
        <f>IF(OR(A809="",B809=""),"",IF(COUNTIF(B$11:B809,B809)=1,MAX(AP$10:AP808)+1,""))</f>
        <v/>
      </c>
    </row>
    <row r="810">
      <c r="A810" s="20" t="n"/>
      <c r="B810" s="10" t="n"/>
      <c r="C810" s="10" t="n"/>
      <c r="D810" s="10" t="n"/>
      <c r="E810" s="10" t="n"/>
      <c r="F810" s="18" t="n"/>
      <c r="G810" s="10" t="n"/>
      <c r="H810" s="12" t="n"/>
      <c r="I810" s="12" t="n"/>
      <c r="J810" s="13">
        <f>IF(OR(A810="",COUNT(H810)=0,COUNT(Z810)=0),"",ROUND(Z810-H810,2))</f>
        <v/>
      </c>
      <c r="K810" s="15">
        <f>IF(COUNT(J810)=0,"",IF(Z810=0,"n.a.",J810/Z810))</f>
        <v/>
      </c>
      <c r="L810" s="14">
        <f>IF(OR(A810="",COUNT(H810)=0,COUNT(Y810)=0),"",ROUND(H810*(1+Y810),2))</f>
        <v/>
      </c>
      <c r="M810" s="10" t="n"/>
      <c r="N810" s="10" t="n"/>
      <c r="O810" s="10" t="n"/>
      <c r="P810" s="10" t="n"/>
      <c r="Q810" s="20" t="n"/>
      <c r="R810" s="10" t="n"/>
      <c r="S810" s="10" t="n"/>
      <c r="T810" s="18" t="n"/>
      <c r="U810" s="18" t="n"/>
      <c r="V810" s="10" t="n"/>
      <c r="W810" s="10" t="n"/>
      <c r="X810" s="19">
        <f>IF(OR(A810="",COUNT(U810)=0,COUNT(AI810)=0),"",U810+AI810)</f>
        <v/>
      </c>
      <c r="Y810" s="16" t="n"/>
      <c r="Z810" s="12" t="n"/>
      <c r="AA810" s="17">
        <f>IF(COUNT(J810)=0,"",IF(H810=0,"n.a.",J810/H810))</f>
        <v/>
      </c>
      <c r="AB810" s="12" t="n"/>
      <c r="AC810" s="12" t="n"/>
      <c r="AD810" s="12" t="n"/>
      <c r="AE810" s="13">
        <f>IF(OR(COUNT(J810)=0,COUNT(AB810:AD810)&lt;3),"",ROUND(J810-SUM(AB810:AD810),2))</f>
        <v/>
      </c>
      <c r="AF810" s="15">
        <f>IF(COUNT(AE810)=0,"",IF(Z810=0,"n.a.",AE810/Z810))</f>
        <v/>
      </c>
      <c r="AG810" s="12" t="n"/>
      <c r="AH810" s="14">
        <f>IF(OR(A810="",COUNT(Z810)=0,COUNT(AG810)=0),"",ROUND(Z810-AG810,2))</f>
        <v/>
      </c>
      <c r="AI810" s="21" t="n"/>
      <c r="AJ810" s="11">
        <f>IF(A810="","",IF(COUNT(I810)=0,"Enter approved NTE",IF(COUNT(Z810)&gt;0,IF(Z810&gt;I810,"Invoice exceeds NTE","Invoice within NTE"),IF(COUNT(L810)=0,"Enter quote inputs",IF(L810&gt;I810,"Quote exceeds NTE","Quote within NTE")))))</f>
        <v/>
      </c>
      <c r="AK810" s="11">
        <f>IF(A810="","",IF(COUNT(H810)=0,"Enter direct cost",IF(COUNT(Z810)=0,"Enter invoice revenue",IF(COUNT(AB810:AD810)&lt;3,"Enter expenses (0 if none)","Complete"))))</f>
        <v/>
      </c>
      <c r="AL810" s="11">
        <f>IF(A810="","",IF(NOT(AND(COUNT(AH810)=1,N(AH810)&gt;0.004,V810&lt;&gt;"Void",V810&lt;&gt;"Not invoiced",V810&lt;&gt;"Draft")),"",IF(COUNT(X810)=0,"No due date",IF(TODAY()-X810&lt;=0,"Not yet due",IF(TODAY()-X810&lt;=30,"1-30 days",IF(TODAY()-X810&lt;=60,"31-60 days",IF(TODAY()-X810&lt;=90,"61-90 days","Over 90 days")))))))</f>
        <v/>
      </c>
      <c r="AM810" s="49">
        <f>IF(OR(AL810="",AL810="No due date"),"",MAX(TODAY()-X810,0))</f>
        <v/>
      </c>
      <c r="AN810" s="49">
        <f>IF(AL810="","",IF(COUNT(X810)=0,-100000,TODAY()-X810))</f>
        <v/>
      </c>
      <c r="AO810" s="49">
        <f>IF(AN810="","",COUNTIF(AN$11:AN$1010,"&gt;"&amp;AN810)+COUNTIF(AN$11:AN810,AN810))</f>
        <v/>
      </c>
      <c r="AP810" s="49">
        <f>IF(OR(A810="",B810=""),"",IF(COUNTIF(B$11:B810,B810)=1,MAX(AP$10:AP809)+1,""))</f>
        <v/>
      </c>
    </row>
    <row r="811">
      <c r="A811" s="20" t="n"/>
      <c r="B811" s="10" t="n"/>
      <c r="C811" s="10" t="n"/>
      <c r="D811" s="10" t="n"/>
      <c r="E811" s="10" t="n"/>
      <c r="F811" s="18" t="n"/>
      <c r="G811" s="10" t="n"/>
      <c r="H811" s="12" t="n"/>
      <c r="I811" s="12" t="n"/>
      <c r="J811" s="13">
        <f>IF(OR(A811="",COUNT(H811)=0,COUNT(Z811)=0),"",ROUND(Z811-H811,2))</f>
        <v/>
      </c>
      <c r="K811" s="15">
        <f>IF(COUNT(J811)=0,"",IF(Z811=0,"n.a.",J811/Z811))</f>
        <v/>
      </c>
      <c r="L811" s="14">
        <f>IF(OR(A811="",COUNT(H811)=0,COUNT(Y811)=0),"",ROUND(H811*(1+Y811),2))</f>
        <v/>
      </c>
      <c r="M811" s="10" t="n"/>
      <c r="N811" s="10" t="n"/>
      <c r="O811" s="10" t="n"/>
      <c r="P811" s="10" t="n"/>
      <c r="Q811" s="20" t="n"/>
      <c r="R811" s="10" t="n"/>
      <c r="S811" s="10" t="n"/>
      <c r="T811" s="18" t="n"/>
      <c r="U811" s="18" t="n"/>
      <c r="V811" s="10" t="n"/>
      <c r="W811" s="10" t="n"/>
      <c r="X811" s="19">
        <f>IF(OR(A811="",COUNT(U811)=0,COUNT(AI811)=0),"",U811+AI811)</f>
        <v/>
      </c>
      <c r="Y811" s="16" t="n"/>
      <c r="Z811" s="12" t="n"/>
      <c r="AA811" s="17">
        <f>IF(COUNT(J811)=0,"",IF(H811=0,"n.a.",J811/H811))</f>
        <v/>
      </c>
      <c r="AB811" s="12" t="n"/>
      <c r="AC811" s="12" t="n"/>
      <c r="AD811" s="12" t="n"/>
      <c r="AE811" s="13">
        <f>IF(OR(COUNT(J811)=0,COUNT(AB811:AD811)&lt;3),"",ROUND(J811-SUM(AB811:AD811),2))</f>
        <v/>
      </c>
      <c r="AF811" s="15">
        <f>IF(COUNT(AE811)=0,"",IF(Z811=0,"n.a.",AE811/Z811))</f>
        <v/>
      </c>
      <c r="AG811" s="12" t="n"/>
      <c r="AH811" s="14">
        <f>IF(OR(A811="",COUNT(Z811)=0,COUNT(AG811)=0),"",ROUND(Z811-AG811,2))</f>
        <v/>
      </c>
      <c r="AI811" s="21" t="n"/>
      <c r="AJ811" s="11">
        <f>IF(A811="","",IF(COUNT(I811)=0,"Enter approved NTE",IF(COUNT(Z811)&gt;0,IF(Z811&gt;I811,"Invoice exceeds NTE","Invoice within NTE"),IF(COUNT(L811)=0,"Enter quote inputs",IF(L811&gt;I811,"Quote exceeds NTE","Quote within NTE")))))</f>
        <v/>
      </c>
      <c r="AK811" s="11">
        <f>IF(A811="","",IF(COUNT(H811)=0,"Enter direct cost",IF(COUNT(Z811)=0,"Enter invoice revenue",IF(COUNT(AB811:AD811)&lt;3,"Enter expenses (0 if none)","Complete"))))</f>
        <v/>
      </c>
      <c r="AL811" s="11">
        <f>IF(A811="","",IF(NOT(AND(COUNT(AH811)=1,N(AH811)&gt;0.004,V811&lt;&gt;"Void",V811&lt;&gt;"Not invoiced",V811&lt;&gt;"Draft")),"",IF(COUNT(X811)=0,"No due date",IF(TODAY()-X811&lt;=0,"Not yet due",IF(TODAY()-X811&lt;=30,"1-30 days",IF(TODAY()-X811&lt;=60,"31-60 days",IF(TODAY()-X811&lt;=90,"61-90 days","Over 90 days")))))))</f>
        <v/>
      </c>
      <c r="AM811" s="49">
        <f>IF(OR(AL811="",AL811="No due date"),"",MAX(TODAY()-X811,0))</f>
        <v/>
      </c>
      <c r="AN811" s="49">
        <f>IF(AL811="","",IF(COUNT(X811)=0,-100000,TODAY()-X811))</f>
        <v/>
      </c>
      <c r="AO811" s="49">
        <f>IF(AN811="","",COUNTIF(AN$11:AN$1010,"&gt;"&amp;AN811)+COUNTIF(AN$11:AN811,AN811))</f>
        <v/>
      </c>
      <c r="AP811" s="49">
        <f>IF(OR(A811="",B811=""),"",IF(COUNTIF(B$11:B811,B811)=1,MAX(AP$10:AP810)+1,""))</f>
        <v/>
      </c>
    </row>
    <row r="812">
      <c r="A812" s="20" t="n"/>
      <c r="B812" s="10" t="n"/>
      <c r="C812" s="10" t="n"/>
      <c r="D812" s="10" t="n"/>
      <c r="E812" s="10" t="n"/>
      <c r="F812" s="18" t="n"/>
      <c r="G812" s="10" t="n"/>
      <c r="H812" s="12" t="n"/>
      <c r="I812" s="12" t="n"/>
      <c r="J812" s="13">
        <f>IF(OR(A812="",COUNT(H812)=0,COUNT(Z812)=0),"",ROUND(Z812-H812,2))</f>
        <v/>
      </c>
      <c r="K812" s="15">
        <f>IF(COUNT(J812)=0,"",IF(Z812=0,"n.a.",J812/Z812))</f>
        <v/>
      </c>
      <c r="L812" s="14">
        <f>IF(OR(A812="",COUNT(H812)=0,COUNT(Y812)=0),"",ROUND(H812*(1+Y812),2))</f>
        <v/>
      </c>
      <c r="M812" s="10" t="n"/>
      <c r="N812" s="10" t="n"/>
      <c r="O812" s="10" t="n"/>
      <c r="P812" s="10" t="n"/>
      <c r="Q812" s="20" t="n"/>
      <c r="R812" s="10" t="n"/>
      <c r="S812" s="10" t="n"/>
      <c r="T812" s="18" t="n"/>
      <c r="U812" s="18" t="n"/>
      <c r="V812" s="10" t="n"/>
      <c r="W812" s="10" t="n"/>
      <c r="X812" s="19">
        <f>IF(OR(A812="",COUNT(U812)=0,COUNT(AI812)=0),"",U812+AI812)</f>
        <v/>
      </c>
      <c r="Y812" s="16" t="n"/>
      <c r="Z812" s="12" t="n"/>
      <c r="AA812" s="17">
        <f>IF(COUNT(J812)=0,"",IF(H812=0,"n.a.",J812/H812))</f>
        <v/>
      </c>
      <c r="AB812" s="12" t="n"/>
      <c r="AC812" s="12" t="n"/>
      <c r="AD812" s="12" t="n"/>
      <c r="AE812" s="13">
        <f>IF(OR(COUNT(J812)=0,COUNT(AB812:AD812)&lt;3),"",ROUND(J812-SUM(AB812:AD812),2))</f>
        <v/>
      </c>
      <c r="AF812" s="15">
        <f>IF(COUNT(AE812)=0,"",IF(Z812=0,"n.a.",AE812/Z812))</f>
        <v/>
      </c>
      <c r="AG812" s="12" t="n"/>
      <c r="AH812" s="14">
        <f>IF(OR(A812="",COUNT(Z812)=0,COUNT(AG812)=0),"",ROUND(Z812-AG812,2))</f>
        <v/>
      </c>
      <c r="AI812" s="21" t="n"/>
      <c r="AJ812" s="11">
        <f>IF(A812="","",IF(COUNT(I812)=0,"Enter approved NTE",IF(COUNT(Z812)&gt;0,IF(Z812&gt;I812,"Invoice exceeds NTE","Invoice within NTE"),IF(COUNT(L812)=0,"Enter quote inputs",IF(L812&gt;I812,"Quote exceeds NTE","Quote within NTE")))))</f>
        <v/>
      </c>
      <c r="AK812" s="11">
        <f>IF(A812="","",IF(COUNT(H812)=0,"Enter direct cost",IF(COUNT(Z812)=0,"Enter invoice revenue",IF(COUNT(AB812:AD812)&lt;3,"Enter expenses (0 if none)","Complete"))))</f>
        <v/>
      </c>
      <c r="AL812" s="11">
        <f>IF(A812="","",IF(NOT(AND(COUNT(AH812)=1,N(AH812)&gt;0.004,V812&lt;&gt;"Void",V812&lt;&gt;"Not invoiced",V812&lt;&gt;"Draft")),"",IF(COUNT(X812)=0,"No due date",IF(TODAY()-X812&lt;=0,"Not yet due",IF(TODAY()-X812&lt;=30,"1-30 days",IF(TODAY()-X812&lt;=60,"31-60 days",IF(TODAY()-X812&lt;=90,"61-90 days","Over 90 days")))))))</f>
        <v/>
      </c>
      <c r="AM812" s="49">
        <f>IF(OR(AL812="",AL812="No due date"),"",MAX(TODAY()-X812,0))</f>
        <v/>
      </c>
      <c r="AN812" s="49">
        <f>IF(AL812="","",IF(COUNT(X812)=0,-100000,TODAY()-X812))</f>
        <v/>
      </c>
      <c r="AO812" s="49">
        <f>IF(AN812="","",COUNTIF(AN$11:AN$1010,"&gt;"&amp;AN812)+COUNTIF(AN$11:AN812,AN812))</f>
        <v/>
      </c>
      <c r="AP812" s="49">
        <f>IF(OR(A812="",B812=""),"",IF(COUNTIF(B$11:B812,B812)=1,MAX(AP$10:AP811)+1,""))</f>
        <v/>
      </c>
    </row>
    <row r="813">
      <c r="A813" s="20" t="n"/>
      <c r="B813" s="10" t="n"/>
      <c r="C813" s="10" t="n"/>
      <c r="D813" s="10" t="n"/>
      <c r="E813" s="10" t="n"/>
      <c r="F813" s="18" t="n"/>
      <c r="G813" s="10" t="n"/>
      <c r="H813" s="12" t="n"/>
      <c r="I813" s="12" t="n"/>
      <c r="J813" s="13">
        <f>IF(OR(A813="",COUNT(H813)=0,COUNT(Z813)=0),"",ROUND(Z813-H813,2))</f>
        <v/>
      </c>
      <c r="K813" s="15">
        <f>IF(COUNT(J813)=0,"",IF(Z813=0,"n.a.",J813/Z813))</f>
        <v/>
      </c>
      <c r="L813" s="14">
        <f>IF(OR(A813="",COUNT(H813)=0,COUNT(Y813)=0),"",ROUND(H813*(1+Y813),2))</f>
        <v/>
      </c>
      <c r="M813" s="10" t="n"/>
      <c r="N813" s="10" t="n"/>
      <c r="O813" s="10" t="n"/>
      <c r="P813" s="10" t="n"/>
      <c r="Q813" s="20" t="n"/>
      <c r="R813" s="10" t="n"/>
      <c r="S813" s="10" t="n"/>
      <c r="T813" s="18" t="n"/>
      <c r="U813" s="18" t="n"/>
      <c r="V813" s="10" t="n"/>
      <c r="W813" s="10" t="n"/>
      <c r="X813" s="19">
        <f>IF(OR(A813="",COUNT(U813)=0,COUNT(AI813)=0),"",U813+AI813)</f>
        <v/>
      </c>
      <c r="Y813" s="16" t="n"/>
      <c r="Z813" s="12" t="n"/>
      <c r="AA813" s="17">
        <f>IF(COUNT(J813)=0,"",IF(H813=0,"n.a.",J813/H813))</f>
        <v/>
      </c>
      <c r="AB813" s="12" t="n"/>
      <c r="AC813" s="12" t="n"/>
      <c r="AD813" s="12" t="n"/>
      <c r="AE813" s="13">
        <f>IF(OR(COUNT(J813)=0,COUNT(AB813:AD813)&lt;3),"",ROUND(J813-SUM(AB813:AD813),2))</f>
        <v/>
      </c>
      <c r="AF813" s="15">
        <f>IF(COUNT(AE813)=0,"",IF(Z813=0,"n.a.",AE813/Z813))</f>
        <v/>
      </c>
      <c r="AG813" s="12" t="n"/>
      <c r="AH813" s="14">
        <f>IF(OR(A813="",COUNT(Z813)=0,COUNT(AG813)=0),"",ROUND(Z813-AG813,2))</f>
        <v/>
      </c>
      <c r="AI813" s="21" t="n"/>
      <c r="AJ813" s="11">
        <f>IF(A813="","",IF(COUNT(I813)=0,"Enter approved NTE",IF(COUNT(Z813)&gt;0,IF(Z813&gt;I813,"Invoice exceeds NTE","Invoice within NTE"),IF(COUNT(L813)=0,"Enter quote inputs",IF(L813&gt;I813,"Quote exceeds NTE","Quote within NTE")))))</f>
        <v/>
      </c>
      <c r="AK813" s="11">
        <f>IF(A813="","",IF(COUNT(H813)=0,"Enter direct cost",IF(COUNT(Z813)=0,"Enter invoice revenue",IF(COUNT(AB813:AD813)&lt;3,"Enter expenses (0 if none)","Complete"))))</f>
        <v/>
      </c>
      <c r="AL813" s="11">
        <f>IF(A813="","",IF(NOT(AND(COUNT(AH813)=1,N(AH813)&gt;0.004,V813&lt;&gt;"Void",V813&lt;&gt;"Not invoiced",V813&lt;&gt;"Draft")),"",IF(COUNT(X813)=0,"No due date",IF(TODAY()-X813&lt;=0,"Not yet due",IF(TODAY()-X813&lt;=30,"1-30 days",IF(TODAY()-X813&lt;=60,"31-60 days",IF(TODAY()-X813&lt;=90,"61-90 days","Over 90 days")))))))</f>
        <v/>
      </c>
      <c r="AM813" s="49">
        <f>IF(OR(AL813="",AL813="No due date"),"",MAX(TODAY()-X813,0))</f>
        <v/>
      </c>
      <c r="AN813" s="49">
        <f>IF(AL813="","",IF(COUNT(X813)=0,-100000,TODAY()-X813))</f>
        <v/>
      </c>
      <c r="AO813" s="49">
        <f>IF(AN813="","",COUNTIF(AN$11:AN$1010,"&gt;"&amp;AN813)+COUNTIF(AN$11:AN813,AN813))</f>
        <v/>
      </c>
      <c r="AP813" s="49">
        <f>IF(OR(A813="",B813=""),"",IF(COUNTIF(B$11:B813,B813)=1,MAX(AP$10:AP812)+1,""))</f>
        <v/>
      </c>
    </row>
    <row r="814">
      <c r="A814" s="20" t="n"/>
      <c r="B814" s="10" t="n"/>
      <c r="C814" s="10" t="n"/>
      <c r="D814" s="10" t="n"/>
      <c r="E814" s="10" t="n"/>
      <c r="F814" s="18" t="n"/>
      <c r="G814" s="10" t="n"/>
      <c r="H814" s="12" t="n"/>
      <c r="I814" s="12" t="n"/>
      <c r="J814" s="13">
        <f>IF(OR(A814="",COUNT(H814)=0,COUNT(Z814)=0),"",ROUND(Z814-H814,2))</f>
        <v/>
      </c>
      <c r="K814" s="15">
        <f>IF(COUNT(J814)=0,"",IF(Z814=0,"n.a.",J814/Z814))</f>
        <v/>
      </c>
      <c r="L814" s="14">
        <f>IF(OR(A814="",COUNT(H814)=0,COUNT(Y814)=0),"",ROUND(H814*(1+Y814),2))</f>
        <v/>
      </c>
      <c r="M814" s="10" t="n"/>
      <c r="N814" s="10" t="n"/>
      <c r="O814" s="10" t="n"/>
      <c r="P814" s="10" t="n"/>
      <c r="Q814" s="20" t="n"/>
      <c r="R814" s="10" t="n"/>
      <c r="S814" s="10" t="n"/>
      <c r="T814" s="18" t="n"/>
      <c r="U814" s="18" t="n"/>
      <c r="V814" s="10" t="n"/>
      <c r="W814" s="10" t="n"/>
      <c r="X814" s="19">
        <f>IF(OR(A814="",COUNT(U814)=0,COUNT(AI814)=0),"",U814+AI814)</f>
        <v/>
      </c>
      <c r="Y814" s="16" t="n"/>
      <c r="Z814" s="12" t="n"/>
      <c r="AA814" s="17">
        <f>IF(COUNT(J814)=0,"",IF(H814=0,"n.a.",J814/H814))</f>
        <v/>
      </c>
      <c r="AB814" s="12" t="n"/>
      <c r="AC814" s="12" t="n"/>
      <c r="AD814" s="12" t="n"/>
      <c r="AE814" s="13">
        <f>IF(OR(COUNT(J814)=0,COUNT(AB814:AD814)&lt;3),"",ROUND(J814-SUM(AB814:AD814),2))</f>
        <v/>
      </c>
      <c r="AF814" s="15">
        <f>IF(COUNT(AE814)=0,"",IF(Z814=0,"n.a.",AE814/Z814))</f>
        <v/>
      </c>
      <c r="AG814" s="12" t="n"/>
      <c r="AH814" s="14">
        <f>IF(OR(A814="",COUNT(Z814)=0,COUNT(AG814)=0),"",ROUND(Z814-AG814,2))</f>
        <v/>
      </c>
      <c r="AI814" s="21" t="n"/>
      <c r="AJ814" s="11">
        <f>IF(A814="","",IF(COUNT(I814)=0,"Enter approved NTE",IF(COUNT(Z814)&gt;0,IF(Z814&gt;I814,"Invoice exceeds NTE","Invoice within NTE"),IF(COUNT(L814)=0,"Enter quote inputs",IF(L814&gt;I814,"Quote exceeds NTE","Quote within NTE")))))</f>
        <v/>
      </c>
      <c r="AK814" s="11">
        <f>IF(A814="","",IF(COUNT(H814)=0,"Enter direct cost",IF(COUNT(Z814)=0,"Enter invoice revenue",IF(COUNT(AB814:AD814)&lt;3,"Enter expenses (0 if none)","Complete"))))</f>
        <v/>
      </c>
      <c r="AL814" s="11">
        <f>IF(A814="","",IF(NOT(AND(COUNT(AH814)=1,N(AH814)&gt;0.004,V814&lt;&gt;"Void",V814&lt;&gt;"Not invoiced",V814&lt;&gt;"Draft")),"",IF(COUNT(X814)=0,"No due date",IF(TODAY()-X814&lt;=0,"Not yet due",IF(TODAY()-X814&lt;=30,"1-30 days",IF(TODAY()-X814&lt;=60,"31-60 days",IF(TODAY()-X814&lt;=90,"61-90 days","Over 90 days")))))))</f>
        <v/>
      </c>
      <c r="AM814" s="49">
        <f>IF(OR(AL814="",AL814="No due date"),"",MAX(TODAY()-X814,0))</f>
        <v/>
      </c>
      <c r="AN814" s="49">
        <f>IF(AL814="","",IF(COUNT(X814)=0,-100000,TODAY()-X814))</f>
        <v/>
      </c>
      <c r="AO814" s="49">
        <f>IF(AN814="","",COUNTIF(AN$11:AN$1010,"&gt;"&amp;AN814)+COUNTIF(AN$11:AN814,AN814))</f>
        <v/>
      </c>
      <c r="AP814" s="49">
        <f>IF(OR(A814="",B814=""),"",IF(COUNTIF(B$11:B814,B814)=1,MAX(AP$10:AP813)+1,""))</f>
        <v/>
      </c>
    </row>
    <row r="815">
      <c r="A815" s="20" t="n"/>
      <c r="B815" s="10" t="n"/>
      <c r="C815" s="10" t="n"/>
      <c r="D815" s="10" t="n"/>
      <c r="E815" s="10" t="n"/>
      <c r="F815" s="18" t="n"/>
      <c r="G815" s="10" t="n"/>
      <c r="H815" s="12" t="n"/>
      <c r="I815" s="12" t="n"/>
      <c r="J815" s="13">
        <f>IF(OR(A815="",COUNT(H815)=0,COUNT(Z815)=0),"",ROUND(Z815-H815,2))</f>
        <v/>
      </c>
      <c r="K815" s="15">
        <f>IF(COUNT(J815)=0,"",IF(Z815=0,"n.a.",J815/Z815))</f>
        <v/>
      </c>
      <c r="L815" s="14">
        <f>IF(OR(A815="",COUNT(H815)=0,COUNT(Y815)=0),"",ROUND(H815*(1+Y815),2))</f>
        <v/>
      </c>
      <c r="M815" s="10" t="n"/>
      <c r="N815" s="10" t="n"/>
      <c r="O815" s="10" t="n"/>
      <c r="P815" s="10" t="n"/>
      <c r="Q815" s="20" t="n"/>
      <c r="R815" s="10" t="n"/>
      <c r="S815" s="10" t="n"/>
      <c r="T815" s="18" t="n"/>
      <c r="U815" s="18" t="n"/>
      <c r="V815" s="10" t="n"/>
      <c r="W815" s="10" t="n"/>
      <c r="X815" s="19">
        <f>IF(OR(A815="",COUNT(U815)=0,COUNT(AI815)=0),"",U815+AI815)</f>
        <v/>
      </c>
      <c r="Y815" s="16" t="n"/>
      <c r="Z815" s="12" t="n"/>
      <c r="AA815" s="17">
        <f>IF(COUNT(J815)=0,"",IF(H815=0,"n.a.",J815/H815))</f>
        <v/>
      </c>
      <c r="AB815" s="12" t="n"/>
      <c r="AC815" s="12" t="n"/>
      <c r="AD815" s="12" t="n"/>
      <c r="AE815" s="13">
        <f>IF(OR(COUNT(J815)=0,COUNT(AB815:AD815)&lt;3),"",ROUND(J815-SUM(AB815:AD815),2))</f>
        <v/>
      </c>
      <c r="AF815" s="15">
        <f>IF(COUNT(AE815)=0,"",IF(Z815=0,"n.a.",AE815/Z815))</f>
        <v/>
      </c>
      <c r="AG815" s="12" t="n"/>
      <c r="AH815" s="14">
        <f>IF(OR(A815="",COUNT(Z815)=0,COUNT(AG815)=0),"",ROUND(Z815-AG815,2))</f>
        <v/>
      </c>
      <c r="AI815" s="21" t="n"/>
      <c r="AJ815" s="11">
        <f>IF(A815="","",IF(COUNT(I815)=0,"Enter approved NTE",IF(COUNT(Z815)&gt;0,IF(Z815&gt;I815,"Invoice exceeds NTE","Invoice within NTE"),IF(COUNT(L815)=0,"Enter quote inputs",IF(L815&gt;I815,"Quote exceeds NTE","Quote within NTE")))))</f>
        <v/>
      </c>
      <c r="AK815" s="11">
        <f>IF(A815="","",IF(COUNT(H815)=0,"Enter direct cost",IF(COUNT(Z815)=0,"Enter invoice revenue",IF(COUNT(AB815:AD815)&lt;3,"Enter expenses (0 if none)","Complete"))))</f>
        <v/>
      </c>
      <c r="AL815" s="11">
        <f>IF(A815="","",IF(NOT(AND(COUNT(AH815)=1,N(AH815)&gt;0.004,V815&lt;&gt;"Void",V815&lt;&gt;"Not invoiced",V815&lt;&gt;"Draft")),"",IF(COUNT(X815)=0,"No due date",IF(TODAY()-X815&lt;=0,"Not yet due",IF(TODAY()-X815&lt;=30,"1-30 days",IF(TODAY()-X815&lt;=60,"31-60 days",IF(TODAY()-X815&lt;=90,"61-90 days","Over 90 days")))))))</f>
        <v/>
      </c>
      <c r="AM815" s="49">
        <f>IF(OR(AL815="",AL815="No due date"),"",MAX(TODAY()-X815,0))</f>
        <v/>
      </c>
      <c r="AN815" s="49">
        <f>IF(AL815="","",IF(COUNT(X815)=0,-100000,TODAY()-X815))</f>
        <v/>
      </c>
      <c r="AO815" s="49">
        <f>IF(AN815="","",COUNTIF(AN$11:AN$1010,"&gt;"&amp;AN815)+COUNTIF(AN$11:AN815,AN815))</f>
        <v/>
      </c>
      <c r="AP815" s="49">
        <f>IF(OR(A815="",B815=""),"",IF(COUNTIF(B$11:B815,B815)=1,MAX(AP$10:AP814)+1,""))</f>
        <v/>
      </c>
    </row>
    <row r="816">
      <c r="A816" s="20" t="n"/>
      <c r="B816" s="10" t="n"/>
      <c r="C816" s="10" t="n"/>
      <c r="D816" s="10" t="n"/>
      <c r="E816" s="10" t="n"/>
      <c r="F816" s="18" t="n"/>
      <c r="G816" s="10" t="n"/>
      <c r="H816" s="12" t="n"/>
      <c r="I816" s="12" t="n"/>
      <c r="J816" s="13">
        <f>IF(OR(A816="",COUNT(H816)=0,COUNT(Z816)=0),"",ROUND(Z816-H816,2))</f>
        <v/>
      </c>
      <c r="K816" s="15">
        <f>IF(COUNT(J816)=0,"",IF(Z816=0,"n.a.",J816/Z816))</f>
        <v/>
      </c>
      <c r="L816" s="14">
        <f>IF(OR(A816="",COUNT(H816)=0,COUNT(Y816)=0),"",ROUND(H816*(1+Y816),2))</f>
        <v/>
      </c>
      <c r="M816" s="10" t="n"/>
      <c r="N816" s="10" t="n"/>
      <c r="O816" s="10" t="n"/>
      <c r="P816" s="10" t="n"/>
      <c r="Q816" s="20" t="n"/>
      <c r="R816" s="10" t="n"/>
      <c r="S816" s="10" t="n"/>
      <c r="T816" s="18" t="n"/>
      <c r="U816" s="18" t="n"/>
      <c r="V816" s="10" t="n"/>
      <c r="W816" s="10" t="n"/>
      <c r="X816" s="19">
        <f>IF(OR(A816="",COUNT(U816)=0,COUNT(AI816)=0),"",U816+AI816)</f>
        <v/>
      </c>
      <c r="Y816" s="16" t="n"/>
      <c r="Z816" s="12" t="n"/>
      <c r="AA816" s="17">
        <f>IF(COUNT(J816)=0,"",IF(H816=0,"n.a.",J816/H816))</f>
        <v/>
      </c>
      <c r="AB816" s="12" t="n"/>
      <c r="AC816" s="12" t="n"/>
      <c r="AD816" s="12" t="n"/>
      <c r="AE816" s="13">
        <f>IF(OR(COUNT(J816)=0,COUNT(AB816:AD816)&lt;3),"",ROUND(J816-SUM(AB816:AD816),2))</f>
        <v/>
      </c>
      <c r="AF816" s="15">
        <f>IF(COUNT(AE816)=0,"",IF(Z816=0,"n.a.",AE816/Z816))</f>
        <v/>
      </c>
      <c r="AG816" s="12" t="n"/>
      <c r="AH816" s="14">
        <f>IF(OR(A816="",COUNT(Z816)=0,COUNT(AG816)=0),"",ROUND(Z816-AG816,2))</f>
        <v/>
      </c>
      <c r="AI816" s="21" t="n"/>
      <c r="AJ816" s="11">
        <f>IF(A816="","",IF(COUNT(I816)=0,"Enter approved NTE",IF(COUNT(Z816)&gt;0,IF(Z816&gt;I816,"Invoice exceeds NTE","Invoice within NTE"),IF(COUNT(L816)=0,"Enter quote inputs",IF(L816&gt;I816,"Quote exceeds NTE","Quote within NTE")))))</f>
        <v/>
      </c>
      <c r="AK816" s="11">
        <f>IF(A816="","",IF(COUNT(H816)=0,"Enter direct cost",IF(COUNT(Z816)=0,"Enter invoice revenue",IF(COUNT(AB816:AD816)&lt;3,"Enter expenses (0 if none)","Complete"))))</f>
        <v/>
      </c>
      <c r="AL816" s="11">
        <f>IF(A816="","",IF(NOT(AND(COUNT(AH816)=1,N(AH816)&gt;0.004,V816&lt;&gt;"Void",V816&lt;&gt;"Not invoiced",V816&lt;&gt;"Draft")),"",IF(COUNT(X816)=0,"No due date",IF(TODAY()-X816&lt;=0,"Not yet due",IF(TODAY()-X816&lt;=30,"1-30 days",IF(TODAY()-X816&lt;=60,"31-60 days",IF(TODAY()-X816&lt;=90,"61-90 days","Over 90 days")))))))</f>
        <v/>
      </c>
      <c r="AM816" s="49">
        <f>IF(OR(AL816="",AL816="No due date"),"",MAX(TODAY()-X816,0))</f>
        <v/>
      </c>
      <c r="AN816" s="49">
        <f>IF(AL816="","",IF(COUNT(X816)=0,-100000,TODAY()-X816))</f>
        <v/>
      </c>
      <c r="AO816" s="49">
        <f>IF(AN816="","",COUNTIF(AN$11:AN$1010,"&gt;"&amp;AN816)+COUNTIF(AN$11:AN816,AN816))</f>
        <v/>
      </c>
      <c r="AP816" s="49">
        <f>IF(OR(A816="",B816=""),"",IF(COUNTIF(B$11:B816,B816)=1,MAX(AP$10:AP815)+1,""))</f>
        <v/>
      </c>
    </row>
    <row r="817">
      <c r="A817" s="20" t="n"/>
      <c r="B817" s="10" t="n"/>
      <c r="C817" s="10" t="n"/>
      <c r="D817" s="10" t="n"/>
      <c r="E817" s="10" t="n"/>
      <c r="F817" s="18" t="n"/>
      <c r="G817" s="10" t="n"/>
      <c r="H817" s="12" t="n"/>
      <c r="I817" s="12" t="n"/>
      <c r="J817" s="13">
        <f>IF(OR(A817="",COUNT(H817)=0,COUNT(Z817)=0),"",ROUND(Z817-H817,2))</f>
        <v/>
      </c>
      <c r="K817" s="15">
        <f>IF(COUNT(J817)=0,"",IF(Z817=0,"n.a.",J817/Z817))</f>
        <v/>
      </c>
      <c r="L817" s="14">
        <f>IF(OR(A817="",COUNT(H817)=0,COUNT(Y817)=0),"",ROUND(H817*(1+Y817),2))</f>
        <v/>
      </c>
      <c r="M817" s="10" t="n"/>
      <c r="N817" s="10" t="n"/>
      <c r="O817" s="10" t="n"/>
      <c r="P817" s="10" t="n"/>
      <c r="Q817" s="20" t="n"/>
      <c r="R817" s="10" t="n"/>
      <c r="S817" s="10" t="n"/>
      <c r="T817" s="18" t="n"/>
      <c r="U817" s="18" t="n"/>
      <c r="V817" s="10" t="n"/>
      <c r="W817" s="10" t="n"/>
      <c r="X817" s="19">
        <f>IF(OR(A817="",COUNT(U817)=0,COUNT(AI817)=0),"",U817+AI817)</f>
        <v/>
      </c>
      <c r="Y817" s="16" t="n"/>
      <c r="Z817" s="12" t="n"/>
      <c r="AA817" s="17">
        <f>IF(COUNT(J817)=0,"",IF(H817=0,"n.a.",J817/H817))</f>
        <v/>
      </c>
      <c r="AB817" s="12" t="n"/>
      <c r="AC817" s="12" t="n"/>
      <c r="AD817" s="12" t="n"/>
      <c r="AE817" s="13">
        <f>IF(OR(COUNT(J817)=0,COUNT(AB817:AD817)&lt;3),"",ROUND(J817-SUM(AB817:AD817),2))</f>
        <v/>
      </c>
      <c r="AF817" s="15">
        <f>IF(COUNT(AE817)=0,"",IF(Z817=0,"n.a.",AE817/Z817))</f>
        <v/>
      </c>
      <c r="AG817" s="12" t="n"/>
      <c r="AH817" s="14">
        <f>IF(OR(A817="",COUNT(Z817)=0,COUNT(AG817)=0),"",ROUND(Z817-AG817,2))</f>
        <v/>
      </c>
      <c r="AI817" s="21" t="n"/>
      <c r="AJ817" s="11">
        <f>IF(A817="","",IF(COUNT(I817)=0,"Enter approved NTE",IF(COUNT(Z817)&gt;0,IF(Z817&gt;I817,"Invoice exceeds NTE","Invoice within NTE"),IF(COUNT(L817)=0,"Enter quote inputs",IF(L817&gt;I817,"Quote exceeds NTE","Quote within NTE")))))</f>
        <v/>
      </c>
      <c r="AK817" s="11">
        <f>IF(A817="","",IF(COUNT(H817)=0,"Enter direct cost",IF(COUNT(Z817)=0,"Enter invoice revenue",IF(COUNT(AB817:AD817)&lt;3,"Enter expenses (0 if none)","Complete"))))</f>
        <v/>
      </c>
      <c r="AL817" s="11">
        <f>IF(A817="","",IF(NOT(AND(COUNT(AH817)=1,N(AH817)&gt;0.004,V817&lt;&gt;"Void",V817&lt;&gt;"Not invoiced",V817&lt;&gt;"Draft")),"",IF(COUNT(X817)=0,"No due date",IF(TODAY()-X817&lt;=0,"Not yet due",IF(TODAY()-X817&lt;=30,"1-30 days",IF(TODAY()-X817&lt;=60,"31-60 days",IF(TODAY()-X817&lt;=90,"61-90 days","Over 90 days")))))))</f>
        <v/>
      </c>
      <c r="AM817" s="49">
        <f>IF(OR(AL817="",AL817="No due date"),"",MAX(TODAY()-X817,0))</f>
        <v/>
      </c>
      <c r="AN817" s="49">
        <f>IF(AL817="","",IF(COUNT(X817)=0,-100000,TODAY()-X817))</f>
        <v/>
      </c>
      <c r="AO817" s="49">
        <f>IF(AN817="","",COUNTIF(AN$11:AN$1010,"&gt;"&amp;AN817)+COUNTIF(AN$11:AN817,AN817))</f>
        <v/>
      </c>
      <c r="AP817" s="49">
        <f>IF(OR(A817="",B817=""),"",IF(COUNTIF(B$11:B817,B817)=1,MAX(AP$10:AP816)+1,""))</f>
        <v/>
      </c>
    </row>
    <row r="818">
      <c r="A818" s="20" t="n"/>
      <c r="B818" s="10" t="n"/>
      <c r="C818" s="10" t="n"/>
      <c r="D818" s="10" t="n"/>
      <c r="E818" s="10" t="n"/>
      <c r="F818" s="18" t="n"/>
      <c r="G818" s="10" t="n"/>
      <c r="H818" s="12" t="n"/>
      <c r="I818" s="12" t="n"/>
      <c r="J818" s="13">
        <f>IF(OR(A818="",COUNT(H818)=0,COUNT(Z818)=0),"",ROUND(Z818-H818,2))</f>
        <v/>
      </c>
      <c r="K818" s="15">
        <f>IF(COUNT(J818)=0,"",IF(Z818=0,"n.a.",J818/Z818))</f>
        <v/>
      </c>
      <c r="L818" s="14">
        <f>IF(OR(A818="",COUNT(H818)=0,COUNT(Y818)=0),"",ROUND(H818*(1+Y818),2))</f>
        <v/>
      </c>
      <c r="M818" s="10" t="n"/>
      <c r="N818" s="10" t="n"/>
      <c r="O818" s="10" t="n"/>
      <c r="P818" s="10" t="n"/>
      <c r="Q818" s="20" t="n"/>
      <c r="R818" s="10" t="n"/>
      <c r="S818" s="10" t="n"/>
      <c r="T818" s="18" t="n"/>
      <c r="U818" s="18" t="n"/>
      <c r="V818" s="10" t="n"/>
      <c r="W818" s="10" t="n"/>
      <c r="X818" s="19">
        <f>IF(OR(A818="",COUNT(U818)=0,COUNT(AI818)=0),"",U818+AI818)</f>
        <v/>
      </c>
      <c r="Y818" s="16" t="n"/>
      <c r="Z818" s="12" t="n"/>
      <c r="AA818" s="17">
        <f>IF(COUNT(J818)=0,"",IF(H818=0,"n.a.",J818/H818))</f>
        <v/>
      </c>
      <c r="AB818" s="12" t="n"/>
      <c r="AC818" s="12" t="n"/>
      <c r="AD818" s="12" t="n"/>
      <c r="AE818" s="13">
        <f>IF(OR(COUNT(J818)=0,COUNT(AB818:AD818)&lt;3),"",ROUND(J818-SUM(AB818:AD818),2))</f>
        <v/>
      </c>
      <c r="AF818" s="15">
        <f>IF(COUNT(AE818)=0,"",IF(Z818=0,"n.a.",AE818/Z818))</f>
        <v/>
      </c>
      <c r="AG818" s="12" t="n"/>
      <c r="AH818" s="14">
        <f>IF(OR(A818="",COUNT(Z818)=0,COUNT(AG818)=0),"",ROUND(Z818-AG818,2))</f>
        <v/>
      </c>
      <c r="AI818" s="21" t="n"/>
      <c r="AJ818" s="11">
        <f>IF(A818="","",IF(COUNT(I818)=0,"Enter approved NTE",IF(COUNT(Z818)&gt;0,IF(Z818&gt;I818,"Invoice exceeds NTE","Invoice within NTE"),IF(COUNT(L818)=0,"Enter quote inputs",IF(L818&gt;I818,"Quote exceeds NTE","Quote within NTE")))))</f>
        <v/>
      </c>
      <c r="AK818" s="11">
        <f>IF(A818="","",IF(COUNT(H818)=0,"Enter direct cost",IF(COUNT(Z818)=0,"Enter invoice revenue",IF(COUNT(AB818:AD818)&lt;3,"Enter expenses (0 if none)","Complete"))))</f>
        <v/>
      </c>
      <c r="AL818" s="11">
        <f>IF(A818="","",IF(NOT(AND(COUNT(AH818)=1,N(AH818)&gt;0.004,V818&lt;&gt;"Void",V818&lt;&gt;"Not invoiced",V818&lt;&gt;"Draft")),"",IF(COUNT(X818)=0,"No due date",IF(TODAY()-X818&lt;=0,"Not yet due",IF(TODAY()-X818&lt;=30,"1-30 days",IF(TODAY()-X818&lt;=60,"31-60 days",IF(TODAY()-X818&lt;=90,"61-90 days","Over 90 days")))))))</f>
        <v/>
      </c>
      <c r="AM818" s="49">
        <f>IF(OR(AL818="",AL818="No due date"),"",MAX(TODAY()-X818,0))</f>
        <v/>
      </c>
      <c r="AN818" s="49">
        <f>IF(AL818="","",IF(COUNT(X818)=0,-100000,TODAY()-X818))</f>
        <v/>
      </c>
      <c r="AO818" s="49">
        <f>IF(AN818="","",COUNTIF(AN$11:AN$1010,"&gt;"&amp;AN818)+COUNTIF(AN$11:AN818,AN818))</f>
        <v/>
      </c>
      <c r="AP818" s="49">
        <f>IF(OR(A818="",B818=""),"",IF(COUNTIF(B$11:B818,B818)=1,MAX(AP$10:AP817)+1,""))</f>
        <v/>
      </c>
    </row>
    <row r="819">
      <c r="A819" s="20" t="n"/>
      <c r="B819" s="10" t="n"/>
      <c r="C819" s="10" t="n"/>
      <c r="D819" s="10" t="n"/>
      <c r="E819" s="10" t="n"/>
      <c r="F819" s="18" t="n"/>
      <c r="G819" s="10" t="n"/>
      <c r="H819" s="12" t="n"/>
      <c r="I819" s="12" t="n"/>
      <c r="J819" s="13">
        <f>IF(OR(A819="",COUNT(H819)=0,COUNT(Z819)=0),"",ROUND(Z819-H819,2))</f>
        <v/>
      </c>
      <c r="K819" s="15">
        <f>IF(COUNT(J819)=0,"",IF(Z819=0,"n.a.",J819/Z819))</f>
        <v/>
      </c>
      <c r="L819" s="14">
        <f>IF(OR(A819="",COUNT(H819)=0,COUNT(Y819)=0),"",ROUND(H819*(1+Y819),2))</f>
        <v/>
      </c>
      <c r="M819" s="10" t="n"/>
      <c r="N819" s="10" t="n"/>
      <c r="O819" s="10" t="n"/>
      <c r="P819" s="10" t="n"/>
      <c r="Q819" s="20" t="n"/>
      <c r="R819" s="10" t="n"/>
      <c r="S819" s="10" t="n"/>
      <c r="T819" s="18" t="n"/>
      <c r="U819" s="18" t="n"/>
      <c r="V819" s="10" t="n"/>
      <c r="W819" s="10" t="n"/>
      <c r="X819" s="19">
        <f>IF(OR(A819="",COUNT(U819)=0,COUNT(AI819)=0),"",U819+AI819)</f>
        <v/>
      </c>
      <c r="Y819" s="16" t="n"/>
      <c r="Z819" s="12" t="n"/>
      <c r="AA819" s="17">
        <f>IF(COUNT(J819)=0,"",IF(H819=0,"n.a.",J819/H819))</f>
        <v/>
      </c>
      <c r="AB819" s="12" t="n"/>
      <c r="AC819" s="12" t="n"/>
      <c r="AD819" s="12" t="n"/>
      <c r="AE819" s="13">
        <f>IF(OR(COUNT(J819)=0,COUNT(AB819:AD819)&lt;3),"",ROUND(J819-SUM(AB819:AD819),2))</f>
        <v/>
      </c>
      <c r="AF819" s="15">
        <f>IF(COUNT(AE819)=0,"",IF(Z819=0,"n.a.",AE819/Z819))</f>
        <v/>
      </c>
      <c r="AG819" s="12" t="n"/>
      <c r="AH819" s="14">
        <f>IF(OR(A819="",COUNT(Z819)=0,COUNT(AG819)=0),"",ROUND(Z819-AG819,2))</f>
        <v/>
      </c>
      <c r="AI819" s="21" t="n"/>
      <c r="AJ819" s="11">
        <f>IF(A819="","",IF(COUNT(I819)=0,"Enter approved NTE",IF(COUNT(Z819)&gt;0,IF(Z819&gt;I819,"Invoice exceeds NTE","Invoice within NTE"),IF(COUNT(L819)=0,"Enter quote inputs",IF(L819&gt;I819,"Quote exceeds NTE","Quote within NTE")))))</f>
        <v/>
      </c>
      <c r="AK819" s="11">
        <f>IF(A819="","",IF(COUNT(H819)=0,"Enter direct cost",IF(COUNT(Z819)=0,"Enter invoice revenue",IF(COUNT(AB819:AD819)&lt;3,"Enter expenses (0 if none)","Complete"))))</f>
        <v/>
      </c>
      <c r="AL819" s="11">
        <f>IF(A819="","",IF(NOT(AND(COUNT(AH819)=1,N(AH819)&gt;0.004,V819&lt;&gt;"Void",V819&lt;&gt;"Not invoiced",V819&lt;&gt;"Draft")),"",IF(COUNT(X819)=0,"No due date",IF(TODAY()-X819&lt;=0,"Not yet due",IF(TODAY()-X819&lt;=30,"1-30 days",IF(TODAY()-X819&lt;=60,"31-60 days",IF(TODAY()-X819&lt;=90,"61-90 days","Over 90 days")))))))</f>
        <v/>
      </c>
      <c r="AM819" s="49">
        <f>IF(OR(AL819="",AL819="No due date"),"",MAX(TODAY()-X819,0))</f>
        <v/>
      </c>
      <c r="AN819" s="49">
        <f>IF(AL819="","",IF(COUNT(X819)=0,-100000,TODAY()-X819))</f>
        <v/>
      </c>
      <c r="AO819" s="49">
        <f>IF(AN819="","",COUNTIF(AN$11:AN$1010,"&gt;"&amp;AN819)+COUNTIF(AN$11:AN819,AN819))</f>
        <v/>
      </c>
      <c r="AP819" s="49">
        <f>IF(OR(A819="",B819=""),"",IF(COUNTIF(B$11:B819,B819)=1,MAX(AP$10:AP818)+1,""))</f>
        <v/>
      </c>
    </row>
    <row r="820">
      <c r="A820" s="20" t="n"/>
      <c r="B820" s="10" t="n"/>
      <c r="C820" s="10" t="n"/>
      <c r="D820" s="10" t="n"/>
      <c r="E820" s="10" t="n"/>
      <c r="F820" s="18" t="n"/>
      <c r="G820" s="10" t="n"/>
      <c r="H820" s="12" t="n"/>
      <c r="I820" s="12" t="n"/>
      <c r="J820" s="13">
        <f>IF(OR(A820="",COUNT(H820)=0,COUNT(Z820)=0),"",ROUND(Z820-H820,2))</f>
        <v/>
      </c>
      <c r="K820" s="15">
        <f>IF(COUNT(J820)=0,"",IF(Z820=0,"n.a.",J820/Z820))</f>
        <v/>
      </c>
      <c r="L820" s="14">
        <f>IF(OR(A820="",COUNT(H820)=0,COUNT(Y820)=0),"",ROUND(H820*(1+Y820),2))</f>
        <v/>
      </c>
      <c r="M820" s="10" t="n"/>
      <c r="N820" s="10" t="n"/>
      <c r="O820" s="10" t="n"/>
      <c r="P820" s="10" t="n"/>
      <c r="Q820" s="20" t="n"/>
      <c r="R820" s="10" t="n"/>
      <c r="S820" s="10" t="n"/>
      <c r="T820" s="18" t="n"/>
      <c r="U820" s="18" t="n"/>
      <c r="V820" s="10" t="n"/>
      <c r="W820" s="10" t="n"/>
      <c r="X820" s="19">
        <f>IF(OR(A820="",COUNT(U820)=0,COUNT(AI820)=0),"",U820+AI820)</f>
        <v/>
      </c>
      <c r="Y820" s="16" t="n"/>
      <c r="Z820" s="12" t="n"/>
      <c r="AA820" s="17">
        <f>IF(COUNT(J820)=0,"",IF(H820=0,"n.a.",J820/H820))</f>
        <v/>
      </c>
      <c r="AB820" s="12" t="n"/>
      <c r="AC820" s="12" t="n"/>
      <c r="AD820" s="12" t="n"/>
      <c r="AE820" s="13">
        <f>IF(OR(COUNT(J820)=0,COUNT(AB820:AD820)&lt;3),"",ROUND(J820-SUM(AB820:AD820),2))</f>
        <v/>
      </c>
      <c r="AF820" s="15">
        <f>IF(COUNT(AE820)=0,"",IF(Z820=0,"n.a.",AE820/Z820))</f>
        <v/>
      </c>
      <c r="AG820" s="12" t="n"/>
      <c r="AH820" s="14">
        <f>IF(OR(A820="",COUNT(Z820)=0,COUNT(AG820)=0),"",ROUND(Z820-AG820,2))</f>
        <v/>
      </c>
      <c r="AI820" s="21" t="n"/>
      <c r="AJ820" s="11">
        <f>IF(A820="","",IF(COUNT(I820)=0,"Enter approved NTE",IF(COUNT(Z820)&gt;0,IF(Z820&gt;I820,"Invoice exceeds NTE","Invoice within NTE"),IF(COUNT(L820)=0,"Enter quote inputs",IF(L820&gt;I820,"Quote exceeds NTE","Quote within NTE")))))</f>
        <v/>
      </c>
      <c r="AK820" s="11">
        <f>IF(A820="","",IF(COUNT(H820)=0,"Enter direct cost",IF(COUNT(Z820)=0,"Enter invoice revenue",IF(COUNT(AB820:AD820)&lt;3,"Enter expenses (0 if none)","Complete"))))</f>
        <v/>
      </c>
      <c r="AL820" s="11">
        <f>IF(A820="","",IF(NOT(AND(COUNT(AH820)=1,N(AH820)&gt;0.004,V820&lt;&gt;"Void",V820&lt;&gt;"Not invoiced",V820&lt;&gt;"Draft")),"",IF(COUNT(X820)=0,"No due date",IF(TODAY()-X820&lt;=0,"Not yet due",IF(TODAY()-X820&lt;=30,"1-30 days",IF(TODAY()-X820&lt;=60,"31-60 days",IF(TODAY()-X820&lt;=90,"61-90 days","Over 90 days")))))))</f>
        <v/>
      </c>
      <c r="AM820" s="49">
        <f>IF(OR(AL820="",AL820="No due date"),"",MAX(TODAY()-X820,0))</f>
        <v/>
      </c>
      <c r="AN820" s="49">
        <f>IF(AL820="","",IF(COUNT(X820)=0,-100000,TODAY()-X820))</f>
        <v/>
      </c>
      <c r="AO820" s="49">
        <f>IF(AN820="","",COUNTIF(AN$11:AN$1010,"&gt;"&amp;AN820)+COUNTIF(AN$11:AN820,AN820))</f>
        <v/>
      </c>
      <c r="AP820" s="49">
        <f>IF(OR(A820="",B820=""),"",IF(COUNTIF(B$11:B820,B820)=1,MAX(AP$10:AP819)+1,""))</f>
        <v/>
      </c>
    </row>
    <row r="821">
      <c r="A821" s="20" t="n"/>
      <c r="B821" s="10" t="n"/>
      <c r="C821" s="10" t="n"/>
      <c r="D821" s="10" t="n"/>
      <c r="E821" s="10" t="n"/>
      <c r="F821" s="18" t="n"/>
      <c r="G821" s="10" t="n"/>
      <c r="H821" s="12" t="n"/>
      <c r="I821" s="12" t="n"/>
      <c r="J821" s="13">
        <f>IF(OR(A821="",COUNT(H821)=0,COUNT(Z821)=0),"",ROUND(Z821-H821,2))</f>
        <v/>
      </c>
      <c r="K821" s="15">
        <f>IF(COUNT(J821)=0,"",IF(Z821=0,"n.a.",J821/Z821))</f>
        <v/>
      </c>
      <c r="L821" s="14">
        <f>IF(OR(A821="",COUNT(H821)=0,COUNT(Y821)=0),"",ROUND(H821*(1+Y821),2))</f>
        <v/>
      </c>
      <c r="M821" s="10" t="n"/>
      <c r="N821" s="10" t="n"/>
      <c r="O821" s="10" t="n"/>
      <c r="P821" s="10" t="n"/>
      <c r="Q821" s="20" t="n"/>
      <c r="R821" s="10" t="n"/>
      <c r="S821" s="10" t="n"/>
      <c r="T821" s="18" t="n"/>
      <c r="U821" s="18" t="n"/>
      <c r="V821" s="10" t="n"/>
      <c r="W821" s="10" t="n"/>
      <c r="X821" s="19">
        <f>IF(OR(A821="",COUNT(U821)=0,COUNT(AI821)=0),"",U821+AI821)</f>
        <v/>
      </c>
      <c r="Y821" s="16" t="n"/>
      <c r="Z821" s="12" t="n"/>
      <c r="AA821" s="17">
        <f>IF(COUNT(J821)=0,"",IF(H821=0,"n.a.",J821/H821))</f>
        <v/>
      </c>
      <c r="AB821" s="12" t="n"/>
      <c r="AC821" s="12" t="n"/>
      <c r="AD821" s="12" t="n"/>
      <c r="AE821" s="13">
        <f>IF(OR(COUNT(J821)=0,COUNT(AB821:AD821)&lt;3),"",ROUND(J821-SUM(AB821:AD821),2))</f>
        <v/>
      </c>
      <c r="AF821" s="15">
        <f>IF(COUNT(AE821)=0,"",IF(Z821=0,"n.a.",AE821/Z821))</f>
        <v/>
      </c>
      <c r="AG821" s="12" t="n"/>
      <c r="AH821" s="14">
        <f>IF(OR(A821="",COUNT(Z821)=0,COUNT(AG821)=0),"",ROUND(Z821-AG821,2))</f>
        <v/>
      </c>
      <c r="AI821" s="21" t="n"/>
      <c r="AJ821" s="11">
        <f>IF(A821="","",IF(COUNT(I821)=0,"Enter approved NTE",IF(COUNT(Z821)&gt;0,IF(Z821&gt;I821,"Invoice exceeds NTE","Invoice within NTE"),IF(COUNT(L821)=0,"Enter quote inputs",IF(L821&gt;I821,"Quote exceeds NTE","Quote within NTE")))))</f>
        <v/>
      </c>
      <c r="AK821" s="11">
        <f>IF(A821="","",IF(COUNT(H821)=0,"Enter direct cost",IF(COUNT(Z821)=0,"Enter invoice revenue",IF(COUNT(AB821:AD821)&lt;3,"Enter expenses (0 if none)","Complete"))))</f>
        <v/>
      </c>
      <c r="AL821" s="11">
        <f>IF(A821="","",IF(NOT(AND(COUNT(AH821)=1,N(AH821)&gt;0.004,V821&lt;&gt;"Void",V821&lt;&gt;"Not invoiced",V821&lt;&gt;"Draft")),"",IF(COUNT(X821)=0,"No due date",IF(TODAY()-X821&lt;=0,"Not yet due",IF(TODAY()-X821&lt;=30,"1-30 days",IF(TODAY()-X821&lt;=60,"31-60 days",IF(TODAY()-X821&lt;=90,"61-90 days","Over 90 days")))))))</f>
        <v/>
      </c>
      <c r="AM821" s="49">
        <f>IF(OR(AL821="",AL821="No due date"),"",MAX(TODAY()-X821,0))</f>
        <v/>
      </c>
      <c r="AN821" s="49">
        <f>IF(AL821="","",IF(COUNT(X821)=0,-100000,TODAY()-X821))</f>
        <v/>
      </c>
      <c r="AO821" s="49">
        <f>IF(AN821="","",COUNTIF(AN$11:AN$1010,"&gt;"&amp;AN821)+COUNTIF(AN$11:AN821,AN821))</f>
        <v/>
      </c>
      <c r="AP821" s="49">
        <f>IF(OR(A821="",B821=""),"",IF(COUNTIF(B$11:B821,B821)=1,MAX(AP$10:AP820)+1,""))</f>
        <v/>
      </c>
    </row>
    <row r="822">
      <c r="A822" s="20" t="n"/>
      <c r="B822" s="10" t="n"/>
      <c r="C822" s="10" t="n"/>
      <c r="D822" s="10" t="n"/>
      <c r="E822" s="10" t="n"/>
      <c r="F822" s="18" t="n"/>
      <c r="G822" s="10" t="n"/>
      <c r="H822" s="12" t="n"/>
      <c r="I822" s="12" t="n"/>
      <c r="J822" s="13">
        <f>IF(OR(A822="",COUNT(H822)=0,COUNT(Z822)=0),"",ROUND(Z822-H822,2))</f>
        <v/>
      </c>
      <c r="K822" s="15">
        <f>IF(COUNT(J822)=0,"",IF(Z822=0,"n.a.",J822/Z822))</f>
        <v/>
      </c>
      <c r="L822" s="14">
        <f>IF(OR(A822="",COUNT(H822)=0,COUNT(Y822)=0),"",ROUND(H822*(1+Y822),2))</f>
        <v/>
      </c>
      <c r="M822" s="10" t="n"/>
      <c r="N822" s="10" t="n"/>
      <c r="O822" s="10" t="n"/>
      <c r="P822" s="10" t="n"/>
      <c r="Q822" s="20" t="n"/>
      <c r="R822" s="10" t="n"/>
      <c r="S822" s="10" t="n"/>
      <c r="T822" s="18" t="n"/>
      <c r="U822" s="18" t="n"/>
      <c r="V822" s="10" t="n"/>
      <c r="W822" s="10" t="n"/>
      <c r="X822" s="19">
        <f>IF(OR(A822="",COUNT(U822)=0,COUNT(AI822)=0),"",U822+AI822)</f>
        <v/>
      </c>
      <c r="Y822" s="16" t="n"/>
      <c r="Z822" s="12" t="n"/>
      <c r="AA822" s="17">
        <f>IF(COUNT(J822)=0,"",IF(H822=0,"n.a.",J822/H822))</f>
        <v/>
      </c>
      <c r="AB822" s="12" t="n"/>
      <c r="AC822" s="12" t="n"/>
      <c r="AD822" s="12" t="n"/>
      <c r="AE822" s="13">
        <f>IF(OR(COUNT(J822)=0,COUNT(AB822:AD822)&lt;3),"",ROUND(J822-SUM(AB822:AD822),2))</f>
        <v/>
      </c>
      <c r="AF822" s="15">
        <f>IF(COUNT(AE822)=0,"",IF(Z822=0,"n.a.",AE822/Z822))</f>
        <v/>
      </c>
      <c r="AG822" s="12" t="n"/>
      <c r="AH822" s="14">
        <f>IF(OR(A822="",COUNT(Z822)=0,COUNT(AG822)=0),"",ROUND(Z822-AG822,2))</f>
        <v/>
      </c>
      <c r="AI822" s="21" t="n"/>
      <c r="AJ822" s="11">
        <f>IF(A822="","",IF(COUNT(I822)=0,"Enter approved NTE",IF(COUNT(Z822)&gt;0,IF(Z822&gt;I822,"Invoice exceeds NTE","Invoice within NTE"),IF(COUNT(L822)=0,"Enter quote inputs",IF(L822&gt;I822,"Quote exceeds NTE","Quote within NTE")))))</f>
        <v/>
      </c>
      <c r="AK822" s="11">
        <f>IF(A822="","",IF(COUNT(H822)=0,"Enter direct cost",IF(COUNT(Z822)=0,"Enter invoice revenue",IF(COUNT(AB822:AD822)&lt;3,"Enter expenses (0 if none)","Complete"))))</f>
        <v/>
      </c>
      <c r="AL822" s="11">
        <f>IF(A822="","",IF(NOT(AND(COUNT(AH822)=1,N(AH822)&gt;0.004,V822&lt;&gt;"Void",V822&lt;&gt;"Not invoiced",V822&lt;&gt;"Draft")),"",IF(COUNT(X822)=0,"No due date",IF(TODAY()-X822&lt;=0,"Not yet due",IF(TODAY()-X822&lt;=30,"1-30 days",IF(TODAY()-X822&lt;=60,"31-60 days",IF(TODAY()-X822&lt;=90,"61-90 days","Over 90 days")))))))</f>
        <v/>
      </c>
      <c r="AM822" s="49">
        <f>IF(OR(AL822="",AL822="No due date"),"",MAX(TODAY()-X822,0))</f>
        <v/>
      </c>
      <c r="AN822" s="49">
        <f>IF(AL822="","",IF(COUNT(X822)=0,-100000,TODAY()-X822))</f>
        <v/>
      </c>
      <c r="AO822" s="49">
        <f>IF(AN822="","",COUNTIF(AN$11:AN$1010,"&gt;"&amp;AN822)+COUNTIF(AN$11:AN822,AN822))</f>
        <v/>
      </c>
      <c r="AP822" s="49">
        <f>IF(OR(A822="",B822=""),"",IF(COUNTIF(B$11:B822,B822)=1,MAX(AP$10:AP821)+1,""))</f>
        <v/>
      </c>
    </row>
    <row r="823">
      <c r="A823" s="20" t="n"/>
      <c r="B823" s="10" t="n"/>
      <c r="C823" s="10" t="n"/>
      <c r="D823" s="10" t="n"/>
      <c r="E823" s="10" t="n"/>
      <c r="F823" s="18" t="n"/>
      <c r="G823" s="10" t="n"/>
      <c r="H823" s="12" t="n"/>
      <c r="I823" s="12" t="n"/>
      <c r="J823" s="13">
        <f>IF(OR(A823="",COUNT(H823)=0,COUNT(Z823)=0),"",ROUND(Z823-H823,2))</f>
        <v/>
      </c>
      <c r="K823" s="15">
        <f>IF(COUNT(J823)=0,"",IF(Z823=0,"n.a.",J823/Z823))</f>
        <v/>
      </c>
      <c r="L823" s="14">
        <f>IF(OR(A823="",COUNT(H823)=0,COUNT(Y823)=0),"",ROUND(H823*(1+Y823),2))</f>
        <v/>
      </c>
      <c r="M823" s="10" t="n"/>
      <c r="N823" s="10" t="n"/>
      <c r="O823" s="10" t="n"/>
      <c r="P823" s="10" t="n"/>
      <c r="Q823" s="20" t="n"/>
      <c r="R823" s="10" t="n"/>
      <c r="S823" s="10" t="n"/>
      <c r="T823" s="18" t="n"/>
      <c r="U823" s="18" t="n"/>
      <c r="V823" s="10" t="n"/>
      <c r="W823" s="10" t="n"/>
      <c r="X823" s="19">
        <f>IF(OR(A823="",COUNT(U823)=0,COUNT(AI823)=0),"",U823+AI823)</f>
        <v/>
      </c>
      <c r="Y823" s="16" t="n"/>
      <c r="Z823" s="12" t="n"/>
      <c r="AA823" s="17">
        <f>IF(COUNT(J823)=0,"",IF(H823=0,"n.a.",J823/H823))</f>
        <v/>
      </c>
      <c r="AB823" s="12" t="n"/>
      <c r="AC823" s="12" t="n"/>
      <c r="AD823" s="12" t="n"/>
      <c r="AE823" s="13">
        <f>IF(OR(COUNT(J823)=0,COUNT(AB823:AD823)&lt;3),"",ROUND(J823-SUM(AB823:AD823),2))</f>
        <v/>
      </c>
      <c r="AF823" s="15">
        <f>IF(COUNT(AE823)=0,"",IF(Z823=0,"n.a.",AE823/Z823))</f>
        <v/>
      </c>
      <c r="AG823" s="12" t="n"/>
      <c r="AH823" s="14">
        <f>IF(OR(A823="",COUNT(Z823)=0,COUNT(AG823)=0),"",ROUND(Z823-AG823,2))</f>
        <v/>
      </c>
      <c r="AI823" s="21" t="n"/>
      <c r="AJ823" s="11">
        <f>IF(A823="","",IF(COUNT(I823)=0,"Enter approved NTE",IF(COUNT(Z823)&gt;0,IF(Z823&gt;I823,"Invoice exceeds NTE","Invoice within NTE"),IF(COUNT(L823)=0,"Enter quote inputs",IF(L823&gt;I823,"Quote exceeds NTE","Quote within NTE")))))</f>
        <v/>
      </c>
      <c r="AK823" s="11">
        <f>IF(A823="","",IF(COUNT(H823)=0,"Enter direct cost",IF(COUNT(Z823)=0,"Enter invoice revenue",IF(COUNT(AB823:AD823)&lt;3,"Enter expenses (0 if none)","Complete"))))</f>
        <v/>
      </c>
      <c r="AL823" s="11">
        <f>IF(A823="","",IF(NOT(AND(COUNT(AH823)=1,N(AH823)&gt;0.004,V823&lt;&gt;"Void",V823&lt;&gt;"Not invoiced",V823&lt;&gt;"Draft")),"",IF(COUNT(X823)=0,"No due date",IF(TODAY()-X823&lt;=0,"Not yet due",IF(TODAY()-X823&lt;=30,"1-30 days",IF(TODAY()-X823&lt;=60,"31-60 days",IF(TODAY()-X823&lt;=90,"61-90 days","Over 90 days")))))))</f>
        <v/>
      </c>
      <c r="AM823" s="49">
        <f>IF(OR(AL823="",AL823="No due date"),"",MAX(TODAY()-X823,0))</f>
        <v/>
      </c>
      <c r="AN823" s="49">
        <f>IF(AL823="","",IF(COUNT(X823)=0,-100000,TODAY()-X823))</f>
        <v/>
      </c>
      <c r="AO823" s="49">
        <f>IF(AN823="","",COUNTIF(AN$11:AN$1010,"&gt;"&amp;AN823)+COUNTIF(AN$11:AN823,AN823))</f>
        <v/>
      </c>
      <c r="AP823" s="49">
        <f>IF(OR(A823="",B823=""),"",IF(COUNTIF(B$11:B823,B823)=1,MAX(AP$10:AP822)+1,""))</f>
        <v/>
      </c>
    </row>
    <row r="824">
      <c r="A824" s="20" t="n"/>
      <c r="B824" s="10" t="n"/>
      <c r="C824" s="10" t="n"/>
      <c r="D824" s="10" t="n"/>
      <c r="E824" s="10" t="n"/>
      <c r="F824" s="18" t="n"/>
      <c r="G824" s="10" t="n"/>
      <c r="H824" s="12" t="n"/>
      <c r="I824" s="12" t="n"/>
      <c r="J824" s="13">
        <f>IF(OR(A824="",COUNT(H824)=0,COUNT(Z824)=0),"",ROUND(Z824-H824,2))</f>
        <v/>
      </c>
      <c r="K824" s="15">
        <f>IF(COUNT(J824)=0,"",IF(Z824=0,"n.a.",J824/Z824))</f>
        <v/>
      </c>
      <c r="L824" s="14">
        <f>IF(OR(A824="",COUNT(H824)=0,COUNT(Y824)=0),"",ROUND(H824*(1+Y824),2))</f>
        <v/>
      </c>
      <c r="M824" s="10" t="n"/>
      <c r="N824" s="10" t="n"/>
      <c r="O824" s="10" t="n"/>
      <c r="P824" s="10" t="n"/>
      <c r="Q824" s="20" t="n"/>
      <c r="R824" s="10" t="n"/>
      <c r="S824" s="10" t="n"/>
      <c r="T824" s="18" t="n"/>
      <c r="U824" s="18" t="n"/>
      <c r="V824" s="10" t="n"/>
      <c r="W824" s="10" t="n"/>
      <c r="X824" s="19">
        <f>IF(OR(A824="",COUNT(U824)=0,COUNT(AI824)=0),"",U824+AI824)</f>
        <v/>
      </c>
      <c r="Y824" s="16" t="n"/>
      <c r="Z824" s="12" t="n"/>
      <c r="AA824" s="17">
        <f>IF(COUNT(J824)=0,"",IF(H824=0,"n.a.",J824/H824))</f>
        <v/>
      </c>
      <c r="AB824" s="12" t="n"/>
      <c r="AC824" s="12" t="n"/>
      <c r="AD824" s="12" t="n"/>
      <c r="AE824" s="13">
        <f>IF(OR(COUNT(J824)=0,COUNT(AB824:AD824)&lt;3),"",ROUND(J824-SUM(AB824:AD824),2))</f>
        <v/>
      </c>
      <c r="AF824" s="15">
        <f>IF(COUNT(AE824)=0,"",IF(Z824=0,"n.a.",AE824/Z824))</f>
        <v/>
      </c>
      <c r="AG824" s="12" t="n"/>
      <c r="AH824" s="14">
        <f>IF(OR(A824="",COUNT(Z824)=0,COUNT(AG824)=0),"",ROUND(Z824-AG824,2))</f>
        <v/>
      </c>
      <c r="AI824" s="21" t="n"/>
      <c r="AJ824" s="11">
        <f>IF(A824="","",IF(COUNT(I824)=0,"Enter approved NTE",IF(COUNT(Z824)&gt;0,IF(Z824&gt;I824,"Invoice exceeds NTE","Invoice within NTE"),IF(COUNT(L824)=0,"Enter quote inputs",IF(L824&gt;I824,"Quote exceeds NTE","Quote within NTE")))))</f>
        <v/>
      </c>
      <c r="AK824" s="11">
        <f>IF(A824="","",IF(COUNT(H824)=0,"Enter direct cost",IF(COUNT(Z824)=0,"Enter invoice revenue",IF(COUNT(AB824:AD824)&lt;3,"Enter expenses (0 if none)","Complete"))))</f>
        <v/>
      </c>
      <c r="AL824" s="11">
        <f>IF(A824="","",IF(NOT(AND(COUNT(AH824)=1,N(AH824)&gt;0.004,V824&lt;&gt;"Void",V824&lt;&gt;"Not invoiced",V824&lt;&gt;"Draft")),"",IF(COUNT(X824)=0,"No due date",IF(TODAY()-X824&lt;=0,"Not yet due",IF(TODAY()-X824&lt;=30,"1-30 days",IF(TODAY()-X824&lt;=60,"31-60 days",IF(TODAY()-X824&lt;=90,"61-90 days","Over 90 days")))))))</f>
        <v/>
      </c>
      <c r="AM824" s="49">
        <f>IF(OR(AL824="",AL824="No due date"),"",MAX(TODAY()-X824,0))</f>
        <v/>
      </c>
      <c r="AN824" s="49">
        <f>IF(AL824="","",IF(COUNT(X824)=0,-100000,TODAY()-X824))</f>
        <v/>
      </c>
      <c r="AO824" s="49">
        <f>IF(AN824="","",COUNTIF(AN$11:AN$1010,"&gt;"&amp;AN824)+COUNTIF(AN$11:AN824,AN824))</f>
        <v/>
      </c>
      <c r="AP824" s="49">
        <f>IF(OR(A824="",B824=""),"",IF(COUNTIF(B$11:B824,B824)=1,MAX(AP$10:AP823)+1,""))</f>
        <v/>
      </c>
    </row>
    <row r="825">
      <c r="A825" s="20" t="n"/>
      <c r="B825" s="10" t="n"/>
      <c r="C825" s="10" t="n"/>
      <c r="D825" s="10" t="n"/>
      <c r="E825" s="10" t="n"/>
      <c r="F825" s="18" t="n"/>
      <c r="G825" s="10" t="n"/>
      <c r="H825" s="12" t="n"/>
      <c r="I825" s="12" t="n"/>
      <c r="J825" s="13">
        <f>IF(OR(A825="",COUNT(H825)=0,COUNT(Z825)=0),"",ROUND(Z825-H825,2))</f>
        <v/>
      </c>
      <c r="K825" s="15">
        <f>IF(COUNT(J825)=0,"",IF(Z825=0,"n.a.",J825/Z825))</f>
        <v/>
      </c>
      <c r="L825" s="14">
        <f>IF(OR(A825="",COUNT(H825)=0,COUNT(Y825)=0),"",ROUND(H825*(1+Y825),2))</f>
        <v/>
      </c>
      <c r="M825" s="10" t="n"/>
      <c r="N825" s="10" t="n"/>
      <c r="O825" s="10" t="n"/>
      <c r="P825" s="10" t="n"/>
      <c r="Q825" s="20" t="n"/>
      <c r="R825" s="10" t="n"/>
      <c r="S825" s="10" t="n"/>
      <c r="T825" s="18" t="n"/>
      <c r="U825" s="18" t="n"/>
      <c r="V825" s="10" t="n"/>
      <c r="W825" s="10" t="n"/>
      <c r="X825" s="19">
        <f>IF(OR(A825="",COUNT(U825)=0,COUNT(AI825)=0),"",U825+AI825)</f>
        <v/>
      </c>
      <c r="Y825" s="16" t="n"/>
      <c r="Z825" s="12" t="n"/>
      <c r="AA825" s="17">
        <f>IF(COUNT(J825)=0,"",IF(H825=0,"n.a.",J825/H825))</f>
        <v/>
      </c>
      <c r="AB825" s="12" t="n"/>
      <c r="AC825" s="12" t="n"/>
      <c r="AD825" s="12" t="n"/>
      <c r="AE825" s="13">
        <f>IF(OR(COUNT(J825)=0,COUNT(AB825:AD825)&lt;3),"",ROUND(J825-SUM(AB825:AD825),2))</f>
        <v/>
      </c>
      <c r="AF825" s="15">
        <f>IF(COUNT(AE825)=0,"",IF(Z825=0,"n.a.",AE825/Z825))</f>
        <v/>
      </c>
      <c r="AG825" s="12" t="n"/>
      <c r="AH825" s="14">
        <f>IF(OR(A825="",COUNT(Z825)=0,COUNT(AG825)=0),"",ROUND(Z825-AG825,2))</f>
        <v/>
      </c>
      <c r="AI825" s="21" t="n"/>
      <c r="AJ825" s="11">
        <f>IF(A825="","",IF(COUNT(I825)=0,"Enter approved NTE",IF(COUNT(Z825)&gt;0,IF(Z825&gt;I825,"Invoice exceeds NTE","Invoice within NTE"),IF(COUNT(L825)=0,"Enter quote inputs",IF(L825&gt;I825,"Quote exceeds NTE","Quote within NTE")))))</f>
        <v/>
      </c>
      <c r="AK825" s="11">
        <f>IF(A825="","",IF(COUNT(H825)=0,"Enter direct cost",IF(COUNT(Z825)=0,"Enter invoice revenue",IF(COUNT(AB825:AD825)&lt;3,"Enter expenses (0 if none)","Complete"))))</f>
        <v/>
      </c>
      <c r="AL825" s="11">
        <f>IF(A825="","",IF(NOT(AND(COUNT(AH825)=1,N(AH825)&gt;0.004,V825&lt;&gt;"Void",V825&lt;&gt;"Not invoiced",V825&lt;&gt;"Draft")),"",IF(COUNT(X825)=0,"No due date",IF(TODAY()-X825&lt;=0,"Not yet due",IF(TODAY()-X825&lt;=30,"1-30 days",IF(TODAY()-X825&lt;=60,"31-60 days",IF(TODAY()-X825&lt;=90,"61-90 days","Over 90 days")))))))</f>
        <v/>
      </c>
      <c r="AM825" s="49">
        <f>IF(OR(AL825="",AL825="No due date"),"",MAX(TODAY()-X825,0))</f>
        <v/>
      </c>
      <c r="AN825" s="49">
        <f>IF(AL825="","",IF(COUNT(X825)=0,-100000,TODAY()-X825))</f>
        <v/>
      </c>
      <c r="AO825" s="49">
        <f>IF(AN825="","",COUNTIF(AN$11:AN$1010,"&gt;"&amp;AN825)+COUNTIF(AN$11:AN825,AN825))</f>
        <v/>
      </c>
      <c r="AP825" s="49">
        <f>IF(OR(A825="",B825=""),"",IF(COUNTIF(B$11:B825,B825)=1,MAX(AP$10:AP824)+1,""))</f>
        <v/>
      </c>
    </row>
    <row r="826">
      <c r="A826" s="20" t="n"/>
      <c r="B826" s="10" t="n"/>
      <c r="C826" s="10" t="n"/>
      <c r="D826" s="10" t="n"/>
      <c r="E826" s="10" t="n"/>
      <c r="F826" s="18" t="n"/>
      <c r="G826" s="10" t="n"/>
      <c r="H826" s="12" t="n"/>
      <c r="I826" s="12" t="n"/>
      <c r="J826" s="13">
        <f>IF(OR(A826="",COUNT(H826)=0,COUNT(Z826)=0),"",ROUND(Z826-H826,2))</f>
        <v/>
      </c>
      <c r="K826" s="15">
        <f>IF(COUNT(J826)=0,"",IF(Z826=0,"n.a.",J826/Z826))</f>
        <v/>
      </c>
      <c r="L826" s="14">
        <f>IF(OR(A826="",COUNT(H826)=0,COUNT(Y826)=0),"",ROUND(H826*(1+Y826),2))</f>
        <v/>
      </c>
      <c r="M826" s="10" t="n"/>
      <c r="N826" s="10" t="n"/>
      <c r="O826" s="10" t="n"/>
      <c r="P826" s="10" t="n"/>
      <c r="Q826" s="20" t="n"/>
      <c r="R826" s="10" t="n"/>
      <c r="S826" s="10" t="n"/>
      <c r="T826" s="18" t="n"/>
      <c r="U826" s="18" t="n"/>
      <c r="V826" s="10" t="n"/>
      <c r="W826" s="10" t="n"/>
      <c r="X826" s="19">
        <f>IF(OR(A826="",COUNT(U826)=0,COUNT(AI826)=0),"",U826+AI826)</f>
        <v/>
      </c>
      <c r="Y826" s="16" t="n"/>
      <c r="Z826" s="12" t="n"/>
      <c r="AA826" s="17">
        <f>IF(COUNT(J826)=0,"",IF(H826=0,"n.a.",J826/H826))</f>
        <v/>
      </c>
      <c r="AB826" s="12" t="n"/>
      <c r="AC826" s="12" t="n"/>
      <c r="AD826" s="12" t="n"/>
      <c r="AE826" s="13">
        <f>IF(OR(COUNT(J826)=0,COUNT(AB826:AD826)&lt;3),"",ROUND(J826-SUM(AB826:AD826),2))</f>
        <v/>
      </c>
      <c r="AF826" s="15">
        <f>IF(COUNT(AE826)=0,"",IF(Z826=0,"n.a.",AE826/Z826))</f>
        <v/>
      </c>
      <c r="AG826" s="12" t="n"/>
      <c r="AH826" s="14">
        <f>IF(OR(A826="",COUNT(Z826)=0,COUNT(AG826)=0),"",ROUND(Z826-AG826,2))</f>
        <v/>
      </c>
      <c r="AI826" s="21" t="n"/>
      <c r="AJ826" s="11">
        <f>IF(A826="","",IF(COUNT(I826)=0,"Enter approved NTE",IF(COUNT(Z826)&gt;0,IF(Z826&gt;I826,"Invoice exceeds NTE","Invoice within NTE"),IF(COUNT(L826)=0,"Enter quote inputs",IF(L826&gt;I826,"Quote exceeds NTE","Quote within NTE")))))</f>
        <v/>
      </c>
      <c r="AK826" s="11">
        <f>IF(A826="","",IF(COUNT(H826)=0,"Enter direct cost",IF(COUNT(Z826)=0,"Enter invoice revenue",IF(COUNT(AB826:AD826)&lt;3,"Enter expenses (0 if none)","Complete"))))</f>
        <v/>
      </c>
      <c r="AL826" s="11">
        <f>IF(A826="","",IF(NOT(AND(COUNT(AH826)=1,N(AH826)&gt;0.004,V826&lt;&gt;"Void",V826&lt;&gt;"Not invoiced",V826&lt;&gt;"Draft")),"",IF(COUNT(X826)=0,"No due date",IF(TODAY()-X826&lt;=0,"Not yet due",IF(TODAY()-X826&lt;=30,"1-30 days",IF(TODAY()-X826&lt;=60,"31-60 days",IF(TODAY()-X826&lt;=90,"61-90 days","Over 90 days")))))))</f>
        <v/>
      </c>
      <c r="AM826" s="49">
        <f>IF(OR(AL826="",AL826="No due date"),"",MAX(TODAY()-X826,0))</f>
        <v/>
      </c>
      <c r="AN826" s="49">
        <f>IF(AL826="","",IF(COUNT(X826)=0,-100000,TODAY()-X826))</f>
        <v/>
      </c>
      <c r="AO826" s="49">
        <f>IF(AN826="","",COUNTIF(AN$11:AN$1010,"&gt;"&amp;AN826)+COUNTIF(AN$11:AN826,AN826))</f>
        <v/>
      </c>
      <c r="AP826" s="49">
        <f>IF(OR(A826="",B826=""),"",IF(COUNTIF(B$11:B826,B826)=1,MAX(AP$10:AP825)+1,""))</f>
        <v/>
      </c>
    </row>
    <row r="827">
      <c r="A827" s="20" t="n"/>
      <c r="B827" s="10" t="n"/>
      <c r="C827" s="10" t="n"/>
      <c r="D827" s="10" t="n"/>
      <c r="E827" s="10" t="n"/>
      <c r="F827" s="18" t="n"/>
      <c r="G827" s="10" t="n"/>
      <c r="H827" s="12" t="n"/>
      <c r="I827" s="12" t="n"/>
      <c r="J827" s="13">
        <f>IF(OR(A827="",COUNT(H827)=0,COUNT(Z827)=0),"",ROUND(Z827-H827,2))</f>
        <v/>
      </c>
      <c r="K827" s="15">
        <f>IF(COUNT(J827)=0,"",IF(Z827=0,"n.a.",J827/Z827))</f>
        <v/>
      </c>
      <c r="L827" s="14">
        <f>IF(OR(A827="",COUNT(H827)=0,COUNT(Y827)=0),"",ROUND(H827*(1+Y827),2))</f>
        <v/>
      </c>
      <c r="M827" s="10" t="n"/>
      <c r="N827" s="10" t="n"/>
      <c r="O827" s="10" t="n"/>
      <c r="P827" s="10" t="n"/>
      <c r="Q827" s="20" t="n"/>
      <c r="R827" s="10" t="n"/>
      <c r="S827" s="10" t="n"/>
      <c r="T827" s="18" t="n"/>
      <c r="U827" s="18" t="n"/>
      <c r="V827" s="10" t="n"/>
      <c r="W827" s="10" t="n"/>
      <c r="X827" s="19">
        <f>IF(OR(A827="",COUNT(U827)=0,COUNT(AI827)=0),"",U827+AI827)</f>
        <v/>
      </c>
      <c r="Y827" s="16" t="n"/>
      <c r="Z827" s="12" t="n"/>
      <c r="AA827" s="17">
        <f>IF(COUNT(J827)=0,"",IF(H827=0,"n.a.",J827/H827))</f>
        <v/>
      </c>
      <c r="AB827" s="12" t="n"/>
      <c r="AC827" s="12" t="n"/>
      <c r="AD827" s="12" t="n"/>
      <c r="AE827" s="13">
        <f>IF(OR(COUNT(J827)=0,COUNT(AB827:AD827)&lt;3),"",ROUND(J827-SUM(AB827:AD827),2))</f>
        <v/>
      </c>
      <c r="AF827" s="15">
        <f>IF(COUNT(AE827)=0,"",IF(Z827=0,"n.a.",AE827/Z827))</f>
        <v/>
      </c>
      <c r="AG827" s="12" t="n"/>
      <c r="AH827" s="14">
        <f>IF(OR(A827="",COUNT(Z827)=0,COUNT(AG827)=0),"",ROUND(Z827-AG827,2))</f>
        <v/>
      </c>
      <c r="AI827" s="21" t="n"/>
      <c r="AJ827" s="11">
        <f>IF(A827="","",IF(COUNT(I827)=0,"Enter approved NTE",IF(COUNT(Z827)&gt;0,IF(Z827&gt;I827,"Invoice exceeds NTE","Invoice within NTE"),IF(COUNT(L827)=0,"Enter quote inputs",IF(L827&gt;I827,"Quote exceeds NTE","Quote within NTE")))))</f>
        <v/>
      </c>
      <c r="AK827" s="11">
        <f>IF(A827="","",IF(COUNT(H827)=0,"Enter direct cost",IF(COUNT(Z827)=0,"Enter invoice revenue",IF(COUNT(AB827:AD827)&lt;3,"Enter expenses (0 if none)","Complete"))))</f>
        <v/>
      </c>
      <c r="AL827" s="11">
        <f>IF(A827="","",IF(NOT(AND(COUNT(AH827)=1,N(AH827)&gt;0.004,V827&lt;&gt;"Void",V827&lt;&gt;"Not invoiced",V827&lt;&gt;"Draft")),"",IF(COUNT(X827)=0,"No due date",IF(TODAY()-X827&lt;=0,"Not yet due",IF(TODAY()-X827&lt;=30,"1-30 days",IF(TODAY()-X827&lt;=60,"31-60 days",IF(TODAY()-X827&lt;=90,"61-90 days","Over 90 days")))))))</f>
        <v/>
      </c>
      <c r="AM827" s="49">
        <f>IF(OR(AL827="",AL827="No due date"),"",MAX(TODAY()-X827,0))</f>
        <v/>
      </c>
      <c r="AN827" s="49">
        <f>IF(AL827="","",IF(COUNT(X827)=0,-100000,TODAY()-X827))</f>
        <v/>
      </c>
      <c r="AO827" s="49">
        <f>IF(AN827="","",COUNTIF(AN$11:AN$1010,"&gt;"&amp;AN827)+COUNTIF(AN$11:AN827,AN827))</f>
        <v/>
      </c>
      <c r="AP827" s="49">
        <f>IF(OR(A827="",B827=""),"",IF(COUNTIF(B$11:B827,B827)=1,MAX(AP$10:AP826)+1,""))</f>
        <v/>
      </c>
    </row>
    <row r="828">
      <c r="A828" s="20" t="n"/>
      <c r="B828" s="10" t="n"/>
      <c r="C828" s="10" t="n"/>
      <c r="D828" s="10" t="n"/>
      <c r="E828" s="10" t="n"/>
      <c r="F828" s="18" t="n"/>
      <c r="G828" s="10" t="n"/>
      <c r="H828" s="12" t="n"/>
      <c r="I828" s="12" t="n"/>
      <c r="J828" s="13">
        <f>IF(OR(A828="",COUNT(H828)=0,COUNT(Z828)=0),"",ROUND(Z828-H828,2))</f>
        <v/>
      </c>
      <c r="K828" s="15">
        <f>IF(COUNT(J828)=0,"",IF(Z828=0,"n.a.",J828/Z828))</f>
        <v/>
      </c>
      <c r="L828" s="14">
        <f>IF(OR(A828="",COUNT(H828)=0,COUNT(Y828)=0),"",ROUND(H828*(1+Y828),2))</f>
        <v/>
      </c>
      <c r="M828" s="10" t="n"/>
      <c r="N828" s="10" t="n"/>
      <c r="O828" s="10" t="n"/>
      <c r="P828" s="10" t="n"/>
      <c r="Q828" s="20" t="n"/>
      <c r="R828" s="10" t="n"/>
      <c r="S828" s="10" t="n"/>
      <c r="T828" s="18" t="n"/>
      <c r="U828" s="18" t="n"/>
      <c r="V828" s="10" t="n"/>
      <c r="W828" s="10" t="n"/>
      <c r="X828" s="19">
        <f>IF(OR(A828="",COUNT(U828)=0,COUNT(AI828)=0),"",U828+AI828)</f>
        <v/>
      </c>
      <c r="Y828" s="16" t="n"/>
      <c r="Z828" s="12" t="n"/>
      <c r="AA828" s="17">
        <f>IF(COUNT(J828)=0,"",IF(H828=0,"n.a.",J828/H828))</f>
        <v/>
      </c>
      <c r="AB828" s="12" t="n"/>
      <c r="AC828" s="12" t="n"/>
      <c r="AD828" s="12" t="n"/>
      <c r="AE828" s="13">
        <f>IF(OR(COUNT(J828)=0,COUNT(AB828:AD828)&lt;3),"",ROUND(J828-SUM(AB828:AD828),2))</f>
        <v/>
      </c>
      <c r="AF828" s="15">
        <f>IF(COUNT(AE828)=0,"",IF(Z828=0,"n.a.",AE828/Z828))</f>
        <v/>
      </c>
      <c r="AG828" s="12" t="n"/>
      <c r="AH828" s="14">
        <f>IF(OR(A828="",COUNT(Z828)=0,COUNT(AG828)=0),"",ROUND(Z828-AG828,2))</f>
        <v/>
      </c>
      <c r="AI828" s="21" t="n"/>
      <c r="AJ828" s="11">
        <f>IF(A828="","",IF(COUNT(I828)=0,"Enter approved NTE",IF(COUNT(Z828)&gt;0,IF(Z828&gt;I828,"Invoice exceeds NTE","Invoice within NTE"),IF(COUNT(L828)=0,"Enter quote inputs",IF(L828&gt;I828,"Quote exceeds NTE","Quote within NTE")))))</f>
        <v/>
      </c>
      <c r="AK828" s="11">
        <f>IF(A828="","",IF(COUNT(H828)=0,"Enter direct cost",IF(COUNT(Z828)=0,"Enter invoice revenue",IF(COUNT(AB828:AD828)&lt;3,"Enter expenses (0 if none)","Complete"))))</f>
        <v/>
      </c>
      <c r="AL828" s="11">
        <f>IF(A828="","",IF(NOT(AND(COUNT(AH828)=1,N(AH828)&gt;0.004,V828&lt;&gt;"Void",V828&lt;&gt;"Not invoiced",V828&lt;&gt;"Draft")),"",IF(COUNT(X828)=0,"No due date",IF(TODAY()-X828&lt;=0,"Not yet due",IF(TODAY()-X828&lt;=30,"1-30 days",IF(TODAY()-X828&lt;=60,"31-60 days",IF(TODAY()-X828&lt;=90,"61-90 days","Over 90 days")))))))</f>
        <v/>
      </c>
      <c r="AM828" s="49">
        <f>IF(OR(AL828="",AL828="No due date"),"",MAX(TODAY()-X828,0))</f>
        <v/>
      </c>
      <c r="AN828" s="49">
        <f>IF(AL828="","",IF(COUNT(X828)=0,-100000,TODAY()-X828))</f>
        <v/>
      </c>
      <c r="AO828" s="49">
        <f>IF(AN828="","",COUNTIF(AN$11:AN$1010,"&gt;"&amp;AN828)+COUNTIF(AN$11:AN828,AN828))</f>
        <v/>
      </c>
      <c r="AP828" s="49">
        <f>IF(OR(A828="",B828=""),"",IF(COUNTIF(B$11:B828,B828)=1,MAX(AP$10:AP827)+1,""))</f>
        <v/>
      </c>
    </row>
    <row r="829">
      <c r="A829" s="20" t="n"/>
      <c r="B829" s="10" t="n"/>
      <c r="C829" s="10" t="n"/>
      <c r="D829" s="10" t="n"/>
      <c r="E829" s="10" t="n"/>
      <c r="F829" s="18" t="n"/>
      <c r="G829" s="10" t="n"/>
      <c r="H829" s="12" t="n"/>
      <c r="I829" s="12" t="n"/>
      <c r="J829" s="13">
        <f>IF(OR(A829="",COUNT(H829)=0,COUNT(Z829)=0),"",ROUND(Z829-H829,2))</f>
        <v/>
      </c>
      <c r="K829" s="15">
        <f>IF(COUNT(J829)=0,"",IF(Z829=0,"n.a.",J829/Z829))</f>
        <v/>
      </c>
      <c r="L829" s="14">
        <f>IF(OR(A829="",COUNT(H829)=0,COUNT(Y829)=0),"",ROUND(H829*(1+Y829),2))</f>
        <v/>
      </c>
      <c r="M829" s="10" t="n"/>
      <c r="N829" s="10" t="n"/>
      <c r="O829" s="10" t="n"/>
      <c r="P829" s="10" t="n"/>
      <c r="Q829" s="20" t="n"/>
      <c r="R829" s="10" t="n"/>
      <c r="S829" s="10" t="n"/>
      <c r="T829" s="18" t="n"/>
      <c r="U829" s="18" t="n"/>
      <c r="V829" s="10" t="n"/>
      <c r="W829" s="10" t="n"/>
      <c r="X829" s="19">
        <f>IF(OR(A829="",COUNT(U829)=0,COUNT(AI829)=0),"",U829+AI829)</f>
        <v/>
      </c>
      <c r="Y829" s="16" t="n"/>
      <c r="Z829" s="12" t="n"/>
      <c r="AA829" s="17">
        <f>IF(COUNT(J829)=0,"",IF(H829=0,"n.a.",J829/H829))</f>
        <v/>
      </c>
      <c r="AB829" s="12" t="n"/>
      <c r="AC829" s="12" t="n"/>
      <c r="AD829" s="12" t="n"/>
      <c r="AE829" s="13">
        <f>IF(OR(COUNT(J829)=0,COUNT(AB829:AD829)&lt;3),"",ROUND(J829-SUM(AB829:AD829),2))</f>
        <v/>
      </c>
      <c r="AF829" s="15">
        <f>IF(COUNT(AE829)=0,"",IF(Z829=0,"n.a.",AE829/Z829))</f>
        <v/>
      </c>
      <c r="AG829" s="12" t="n"/>
      <c r="AH829" s="14">
        <f>IF(OR(A829="",COUNT(Z829)=0,COUNT(AG829)=0),"",ROUND(Z829-AG829,2))</f>
        <v/>
      </c>
      <c r="AI829" s="21" t="n"/>
      <c r="AJ829" s="11">
        <f>IF(A829="","",IF(COUNT(I829)=0,"Enter approved NTE",IF(COUNT(Z829)&gt;0,IF(Z829&gt;I829,"Invoice exceeds NTE","Invoice within NTE"),IF(COUNT(L829)=0,"Enter quote inputs",IF(L829&gt;I829,"Quote exceeds NTE","Quote within NTE")))))</f>
        <v/>
      </c>
      <c r="AK829" s="11">
        <f>IF(A829="","",IF(COUNT(H829)=0,"Enter direct cost",IF(COUNT(Z829)=0,"Enter invoice revenue",IF(COUNT(AB829:AD829)&lt;3,"Enter expenses (0 if none)","Complete"))))</f>
        <v/>
      </c>
      <c r="AL829" s="11">
        <f>IF(A829="","",IF(NOT(AND(COUNT(AH829)=1,N(AH829)&gt;0.004,V829&lt;&gt;"Void",V829&lt;&gt;"Not invoiced",V829&lt;&gt;"Draft")),"",IF(COUNT(X829)=0,"No due date",IF(TODAY()-X829&lt;=0,"Not yet due",IF(TODAY()-X829&lt;=30,"1-30 days",IF(TODAY()-X829&lt;=60,"31-60 days",IF(TODAY()-X829&lt;=90,"61-90 days","Over 90 days")))))))</f>
        <v/>
      </c>
      <c r="AM829" s="49">
        <f>IF(OR(AL829="",AL829="No due date"),"",MAX(TODAY()-X829,0))</f>
        <v/>
      </c>
      <c r="AN829" s="49">
        <f>IF(AL829="","",IF(COUNT(X829)=0,-100000,TODAY()-X829))</f>
        <v/>
      </c>
      <c r="AO829" s="49">
        <f>IF(AN829="","",COUNTIF(AN$11:AN$1010,"&gt;"&amp;AN829)+COUNTIF(AN$11:AN829,AN829))</f>
        <v/>
      </c>
      <c r="AP829" s="49">
        <f>IF(OR(A829="",B829=""),"",IF(COUNTIF(B$11:B829,B829)=1,MAX(AP$10:AP828)+1,""))</f>
        <v/>
      </c>
    </row>
    <row r="830">
      <c r="A830" s="20" t="n"/>
      <c r="B830" s="10" t="n"/>
      <c r="C830" s="10" t="n"/>
      <c r="D830" s="10" t="n"/>
      <c r="E830" s="10" t="n"/>
      <c r="F830" s="18" t="n"/>
      <c r="G830" s="10" t="n"/>
      <c r="H830" s="12" t="n"/>
      <c r="I830" s="12" t="n"/>
      <c r="J830" s="13">
        <f>IF(OR(A830="",COUNT(H830)=0,COUNT(Z830)=0),"",ROUND(Z830-H830,2))</f>
        <v/>
      </c>
      <c r="K830" s="15">
        <f>IF(COUNT(J830)=0,"",IF(Z830=0,"n.a.",J830/Z830))</f>
        <v/>
      </c>
      <c r="L830" s="14">
        <f>IF(OR(A830="",COUNT(H830)=0,COUNT(Y830)=0),"",ROUND(H830*(1+Y830),2))</f>
        <v/>
      </c>
      <c r="M830" s="10" t="n"/>
      <c r="N830" s="10" t="n"/>
      <c r="O830" s="10" t="n"/>
      <c r="P830" s="10" t="n"/>
      <c r="Q830" s="20" t="n"/>
      <c r="R830" s="10" t="n"/>
      <c r="S830" s="10" t="n"/>
      <c r="T830" s="18" t="n"/>
      <c r="U830" s="18" t="n"/>
      <c r="V830" s="10" t="n"/>
      <c r="W830" s="10" t="n"/>
      <c r="X830" s="19">
        <f>IF(OR(A830="",COUNT(U830)=0,COUNT(AI830)=0),"",U830+AI830)</f>
        <v/>
      </c>
      <c r="Y830" s="16" t="n"/>
      <c r="Z830" s="12" t="n"/>
      <c r="AA830" s="17">
        <f>IF(COUNT(J830)=0,"",IF(H830=0,"n.a.",J830/H830))</f>
        <v/>
      </c>
      <c r="AB830" s="12" t="n"/>
      <c r="AC830" s="12" t="n"/>
      <c r="AD830" s="12" t="n"/>
      <c r="AE830" s="13">
        <f>IF(OR(COUNT(J830)=0,COUNT(AB830:AD830)&lt;3),"",ROUND(J830-SUM(AB830:AD830),2))</f>
        <v/>
      </c>
      <c r="AF830" s="15">
        <f>IF(COUNT(AE830)=0,"",IF(Z830=0,"n.a.",AE830/Z830))</f>
        <v/>
      </c>
      <c r="AG830" s="12" t="n"/>
      <c r="AH830" s="14">
        <f>IF(OR(A830="",COUNT(Z830)=0,COUNT(AG830)=0),"",ROUND(Z830-AG830,2))</f>
        <v/>
      </c>
      <c r="AI830" s="21" t="n"/>
      <c r="AJ830" s="11">
        <f>IF(A830="","",IF(COUNT(I830)=0,"Enter approved NTE",IF(COUNT(Z830)&gt;0,IF(Z830&gt;I830,"Invoice exceeds NTE","Invoice within NTE"),IF(COUNT(L830)=0,"Enter quote inputs",IF(L830&gt;I830,"Quote exceeds NTE","Quote within NTE")))))</f>
        <v/>
      </c>
      <c r="AK830" s="11">
        <f>IF(A830="","",IF(COUNT(H830)=0,"Enter direct cost",IF(COUNT(Z830)=0,"Enter invoice revenue",IF(COUNT(AB830:AD830)&lt;3,"Enter expenses (0 if none)","Complete"))))</f>
        <v/>
      </c>
      <c r="AL830" s="11">
        <f>IF(A830="","",IF(NOT(AND(COUNT(AH830)=1,N(AH830)&gt;0.004,V830&lt;&gt;"Void",V830&lt;&gt;"Not invoiced",V830&lt;&gt;"Draft")),"",IF(COUNT(X830)=0,"No due date",IF(TODAY()-X830&lt;=0,"Not yet due",IF(TODAY()-X830&lt;=30,"1-30 days",IF(TODAY()-X830&lt;=60,"31-60 days",IF(TODAY()-X830&lt;=90,"61-90 days","Over 90 days")))))))</f>
        <v/>
      </c>
      <c r="AM830" s="49">
        <f>IF(OR(AL830="",AL830="No due date"),"",MAX(TODAY()-X830,0))</f>
        <v/>
      </c>
      <c r="AN830" s="49">
        <f>IF(AL830="","",IF(COUNT(X830)=0,-100000,TODAY()-X830))</f>
        <v/>
      </c>
      <c r="AO830" s="49">
        <f>IF(AN830="","",COUNTIF(AN$11:AN$1010,"&gt;"&amp;AN830)+COUNTIF(AN$11:AN830,AN830))</f>
        <v/>
      </c>
      <c r="AP830" s="49">
        <f>IF(OR(A830="",B830=""),"",IF(COUNTIF(B$11:B830,B830)=1,MAX(AP$10:AP829)+1,""))</f>
        <v/>
      </c>
    </row>
    <row r="831">
      <c r="A831" s="20" t="n"/>
      <c r="B831" s="10" t="n"/>
      <c r="C831" s="10" t="n"/>
      <c r="D831" s="10" t="n"/>
      <c r="E831" s="10" t="n"/>
      <c r="F831" s="18" t="n"/>
      <c r="G831" s="10" t="n"/>
      <c r="H831" s="12" t="n"/>
      <c r="I831" s="12" t="n"/>
      <c r="J831" s="13">
        <f>IF(OR(A831="",COUNT(H831)=0,COUNT(Z831)=0),"",ROUND(Z831-H831,2))</f>
        <v/>
      </c>
      <c r="K831" s="15">
        <f>IF(COUNT(J831)=0,"",IF(Z831=0,"n.a.",J831/Z831))</f>
        <v/>
      </c>
      <c r="L831" s="14">
        <f>IF(OR(A831="",COUNT(H831)=0,COUNT(Y831)=0),"",ROUND(H831*(1+Y831),2))</f>
        <v/>
      </c>
      <c r="M831" s="10" t="n"/>
      <c r="N831" s="10" t="n"/>
      <c r="O831" s="10" t="n"/>
      <c r="P831" s="10" t="n"/>
      <c r="Q831" s="20" t="n"/>
      <c r="R831" s="10" t="n"/>
      <c r="S831" s="10" t="n"/>
      <c r="T831" s="18" t="n"/>
      <c r="U831" s="18" t="n"/>
      <c r="V831" s="10" t="n"/>
      <c r="W831" s="10" t="n"/>
      <c r="X831" s="19">
        <f>IF(OR(A831="",COUNT(U831)=0,COUNT(AI831)=0),"",U831+AI831)</f>
        <v/>
      </c>
      <c r="Y831" s="16" t="n"/>
      <c r="Z831" s="12" t="n"/>
      <c r="AA831" s="17">
        <f>IF(COUNT(J831)=0,"",IF(H831=0,"n.a.",J831/H831))</f>
        <v/>
      </c>
      <c r="AB831" s="12" t="n"/>
      <c r="AC831" s="12" t="n"/>
      <c r="AD831" s="12" t="n"/>
      <c r="AE831" s="13">
        <f>IF(OR(COUNT(J831)=0,COUNT(AB831:AD831)&lt;3),"",ROUND(J831-SUM(AB831:AD831),2))</f>
        <v/>
      </c>
      <c r="AF831" s="15">
        <f>IF(COUNT(AE831)=0,"",IF(Z831=0,"n.a.",AE831/Z831))</f>
        <v/>
      </c>
      <c r="AG831" s="12" t="n"/>
      <c r="AH831" s="14">
        <f>IF(OR(A831="",COUNT(Z831)=0,COUNT(AG831)=0),"",ROUND(Z831-AG831,2))</f>
        <v/>
      </c>
      <c r="AI831" s="21" t="n"/>
      <c r="AJ831" s="11">
        <f>IF(A831="","",IF(COUNT(I831)=0,"Enter approved NTE",IF(COUNT(Z831)&gt;0,IF(Z831&gt;I831,"Invoice exceeds NTE","Invoice within NTE"),IF(COUNT(L831)=0,"Enter quote inputs",IF(L831&gt;I831,"Quote exceeds NTE","Quote within NTE")))))</f>
        <v/>
      </c>
      <c r="AK831" s="11">
        <f>IF(A831="","",IF(COUNT(H831)=0,"Enter direct cost",IF(COUNT(Z831)=0,"Enter invoice revenue",IF(COUNT(AB831:AD831)&lt;3,"Enter expenses (0 if none)","Complete"))))</f>
        <v/>
      </c>
      <c r="AL831" s="11">
        <f>IF(A831="","",IF(NOT(AND(COUNT(AH831)=1,N(AH831)&gt;0.004,V831&lt;&gt;"Void",V831&lt;&gt;"Not invoiced",V831&lt;&gt;"Draft")),"",IF(COUNT(X831)=0,"No due date",IF(TODAY()-X831&lt;=0,"Not yet due",IF(TODAY()-X831&lt;=30,"1-30 days",IF(TODAY()-X831&lt;=60,"31-60 days",IF(TODAY()-X831&lt;=90,"61-90 days","Over 90 days")))))))</f>
        <v/>
      </c>
      <c r="AM831" s="49">
        <f>IF(OR(AL831="",AL831="No due date"),"",MAX(TODAY()-X831,0))</f>
        <v/>
      </c>
      <c r="AN831" s="49">
        <f>IF(AL831="","",IF(COUNT(X831)=0,-100000,TODAY()-X831))</f>
        <v/>
      </c>
      <c r="AO831" s="49">
        <f>IF(AN831="","",COUNTIF(AN$11:AN$1010,"&gt;"&amp;AN831)+COUNTIF(AN$11:AN831,AN831))</f>
        <v/>
      </c>
      <c r="AP831" s="49">
        <f>IF(OR(A831="",B831=""),"",IF(COUNTIF(B$11:B831,B831)=1,MAX(AP$10:AP830)+1,""))</f>
        <v/>
      </c>
    </row>
    <row r="832">
      <c r="A832" s="20" t="n"/>
      <c r="B832" s="10" t="n"/>
      <c r="C832" s="10" t="n"/>
      <c r="D832" s="10" t="n"/>
      <c r="E832" s="10" t="n"/>
      <c r="F832" s="18" t="n"/>
      <c r="G832" s="10" t="n"/>
      <c r="H832" s="12" t="n"/>
      <c r="I832" s="12" t="n"/>
      <c r="J832" s="13">
        <f>IF(OR(A832="",COUNT(H832)=0,COUNT(Z832)=0),"",ROUND(Z832-H832,2))</f>
        <v/>
      </c>
      <c r="K832" s="15">
        <f>IF(COUNT(J832)=0,"",IF(Z832=0,"n.a.",J832/Z832))</f>
        <v/>
      </c>
      <c r="L832" s="14">
        <f>IF(OR(A832="",COUNT(H832)=0,COUNT(Y832)=0),"",ROUND(H832*(1+Y832),2))</f>
        <v/>
      </c>
      <c r="M832" s="10" t="n"/>
      <c r="N832" s="10" t="n"/>
      <c r="O832" s="10" t="n"/>
      <c r="P832" s="10" t="n"/>
      <c r="Q832" s="20" t="n"/>
      <c r="R832" s="10" t="n"/>
      <c r="S832" s="10" t="n"/>
      <c r="T832" s="18" t="n"/>
      <c r="U832" s="18" t="n"/>
      <c r="V832" s="10" t="n"/>
      <c r="W832" s="10" t="n"/>
      <c r="X832" s="19">
        <f>IF(OR(A832="",COUNT(U832)=0,COUNT(AI832)=0),"",U832+AI832)</f>
        <v/>
      </c>
      <c r="Y832" s="16" t="n"/>
      <c r="Z832" s="12" t="n"/>
      <c r="AA832" s="17">
        <f>IF(COUNT(J832)=0,"",IF(H832=0,"n.a.",J832/H832))</f>
        <v/>
      </c>
      <c r="AB832" s="12" t="n"/>
      <c r="AC832" s="12" t="n"/>
      <c r="AD832" s="12" t="n"/>
      <c r="AE832" s="13">
        <f>IF(OR(COUNT(J832)=0,COUNT(AB832:AD832)&lt;3),"",ROUND(J832-SUM(AB832:AD832),2))</f>
        <v/>
      </c>
      <c r="AF832" s="15">
        <f>IF(COUNT(AE832)=0,"",IF(Z832=0,"n.a.",AE832/Z832))</f>
        <v/>
      </c>
      <c r="AG832" s="12" t="n"/>
      <c r="AH832" s="14">
        <f>IF(OR(A832="",COUNT(Z832)=0,COUNT(AG832)=0),"",ROUND(Z832-AG832,2))</f>
        <v/>
      </c>
      <c r="AI832" s="21" t="n"/>
      <c r="AJ832" s="11">
        <f>IF(A832="","",IF(COUNT(I832)=0,"Enter approved NTE",IF(COUNT(Z832)&gt;0,IF(Z832&gt;I832,"Invoice exceeds NTE","Invoice within NTE"),IF(COUNT(L832)=0,"Enter quote inputs",IF(L832&gt;I832,"Quote exceeds NTE","Quote within NTE")))))</f>
        <v/>
      </c>
      <c r="AK832" s="11">
        <f>IF(A832="","",IF(COUNT(H832)=0,"Enter direct cost",IF(COUNT(Z832)=0,"Enter invoice revenue",IF(COUNT(AB832:AD832)&lt;3,"Enter expenses (0 if none)","Complete"))))</f>
        <v/>
      </c>
      <c r="AL832" s="11">
        <f>IF(A832="","",IF(NOT(AND(COUNT(AH832)=1,N(AH832)&gt;0.004,V832&lt;&gt;"Void",V832&lt;&gt;"Not invoiced",V832&lt;&gt;"Draft")),"",IF(COUNT(X832)=0,"No due date",IF(TODAY()-X832&lt;=0,"Not yet due",IF(TODAY()-X832&lt;=30,"1-30 days",IF(TODAY()-X832&lt;=60,"31-60 days",IF(TODAY()-X832&lt;=90,"61-90 days","Over 90 days")))))))</f>
        <v/>
      </c>
      <c r="AM832" s="49">
        <f>IF(OR(AL832="",AL832="No due date"),"",MAX(TODAY()-X832,0))</f>
        <v/>
      </c>
      <c r="AN832" s="49">
        <f>IF(AL832="","",IF(COUNT(X832)=0,-100000,TODAY()-X832))</f>
        <v/>
      </c>
      <c r="AO832" s="49">
        <f>IF(AN832="","",COUNTIF(AN$11:AN$1010,"&gt;"&amp;AN832)+COUNTIF(AN$11:AN832,AN832))</f>
        <v/>
      </c>
      <c r="AP832" s="49">
        <f>IF(OR(A832="",B832=""),"",IF(COUNTIF(B$11:B832,B832)=1,MAX(AP$10:AP831)+1,""))</f>
        <v/>
      </c>
    </row>
    <row r="833">
      <c r="A833" s="20" t="n"/>
      <c r="B833" s="10" t="n"/>
      <c r="C833" s="10" t="n"/>
      <c r="D833" s="10" t="n"/>
      <c r="E833" s="10" t="n"/>
      <c r="F833" s="18" t="n"/>
      <c r="G833" s="10" t="n"/>
      <c r="H833" s="12" t="n"/>
      <c r="I833" s="12" t="n"/>
      <c r="J833" s="13">
        <f>IF(OR(A833="",COUNT(H833)=0,COUNT(Z833)=0),"",ROUND(Z833-H833,2))</f>
        <v/>
      </c>
      <c r="K833" s="15">
        <f>IF(COUNT(J833)=0,"",IF(Z833=0,"n.a.",J833/Z833))</f>
        <v/>
      </c>
      <c r="L833" s="14">
        <f>IF(OR(A833="",COUNT(H833)=0,COUNT(Y833)=0),"",ROUND(H833*(1+Y833),2))</f>
        <v/>
      </c>
      <c r="M833" s="10" t="n"/>
      <c r="N833" s="10" t="n"/>
      <c r="O833" s="10" t="n"/>
      <c r="P833" s="10" t="n"/>
      <c r="Q833" s="20" t="n"/>
      <c r="R833" s="10" t="n"/>
      <c r="S833" s="10" t="n"/>
      <c r="T833" s="18" t="n"/>
      <c r="U833" s="18" t="n"/>
      <c r="V833" s="10" t="n"/>
      <c r="W833" s="10" t="n"/>
      <c r="X833" s="19">
        <f>IF(OR(A833="",COUNT(U833)=0,COUNT(AI833)=0),"",U833+AI833)</f>
        <v/>
      </c>
      <c r="Y833" s="16" t="n"/>
      <c r="Z833" s="12" t="n"/>
      <c r="AA833" s="17">
        <f>IF(COUNT(J833)=0,"",IF(H833=0,"n.a.",J833/H833))</f>
        <v/>
      </c>
      <c r="AB833" s="12" t="n"/>
      <c r="AC833" s="12" t="n"/>
      <c r="AD833" s="12" t="n"/>
      <c r="AE833" s="13">
        <f>IF(OR(COUNT(J833)=0,COUNT(AB833:AD833)&lt;3),"",ROUND(J833-SUM(AB833:AD833),2))</f>
        <v/>
      </c>
      <c r="AF833" s="15">
        <f>IF(COUNT(AE833)=0,"",IF(Z833=0,"n.a.",AE833/Z833))</f>
        <v/>
      </c>
      <c r="AG833" s="12" t="n"/>
      <c r="AH833" s="14">
        <f>IF(OR(A833="",COUNT(Z833)=0,COUNT(AG833)=0),"",ROUND(Z833-AG833,2))</f>
        <v/>
      </c>
      <c r="AI833" s="21" t="n"/>
      <c r="AJ833" s="11">
        <f>IF(A833="","",IF(COUNT(I833)=0,"Enter approved NTE",IF(COUNT(Z833)&gt;0,IF(Z833&gt;I833,"Invoice exceeds NTE","Invoice within NTE"),IF(COUNT(L833)=0,"Enter quote inputs",IF(L833&gt;I833,"Quote exceeds NTE","Quote within NTE")))))</f>
        <v/>
      </c>
      <c r="AK833" s="11">
        <f>IF(A833="","",IF(COUNT(H833)=0,"Enter direct cost",IF(COUNT(Z833)=0,"Enter invoice revenue",IF(COUNT(AB833:AD833)&lt;3,"Enter expenses (0 if none)","Complete"))))</f>
        <v/>
      </c>
      <c r="AL833" s="11">
        <f>IF(A833="","",IF(NOT(AND(COUNT(AH833)=1,N(AH833)&gt;0.004,V833&lt;&gt;"Void",V833&lt;&gt;"Not invoiced",V833&lt;&gt;"Draft")),"",IF(COUNT(X833)=0,"No due date",IF(TODAY()-X833&lt;=0,"Not yet due",IF(TODAY()-X833&lt;=30,"1-30 days",IF(TODAY()-X833&lt;=60,"31-60 days",IF(TODAY()-X833&lt;=90,"61-90 days","Over 90 days")))))))</f>
        <v/>
      </c>
      <c r="AM833" s="49">
        <f>IF(OR(AL833="",AL833="No due date"),"",MAX(TODAY()-X833,0))</f>
        <v/>
      </c>
      <c r="AN833" s="49">
        <f>IF(AL833="","",IF(COUNT(X833)=0,-100000,TODAY()-X833))</f>
        <v/>
      </c>
      <c r="AO833" s="49">
        <f>IF(AN833="","",COUNTIF(AN$11:AN$1010,"&gt;"&amp;AN833)+COUNTIF(AN$11:AN833,AN833))</f>
        <v/>
      </c>
      <c r="AP833" s="49">
        <f>IF(OR(A833="",B833=""),"",IF(COUNTIF(B$11:B833,B833)=1,MAX(AP$10:AP832)+1,""))</f>
        <v/>
      </c>
    </row>
    <row r="834">
      <c r="A834" s="20" t="n"/>
      <c r="B834" s="10" t="n"/>
      <c r="C834" s="10" t="n"/>
      <c r="D834" s="10" t="n"/>
      <c r="E834" s="10" t="n"/>
      <c r="F834" s="18" t="n"/>
      <c r="G834" s="10" t="n"/>
      <c r="H834" s="12" t="n"/>
      <c r="I834" s="12" t="n"/>
      <c r="J834" s="13">
        <f>IF(OR(A834="",COUNT(H834)=0,COUNT(Z834)=0),"",ROUND(Z834-H834,2))</f>
        <v/>
      </c>
      <c r="K834" s="15">
        <f>IF(COUNT(J834)=0,"",IF(Z834=0,"n.a.",J834/Z834))</f>
        <v/>
      </c>
      <c r="L834" s="14">
        <f>IF(OR(A834="",COUNT(H834)=0,COUNT(Y834)=0),"",ROUND(H834*(1+Y834),2))</f>
        <v/>
      </c>
      <c r="M834" s="10" t="n"/>
      <c r="N834" s="10" t="n"/>
      <c r="O834" s="10" t="n"/>
      <c r="P834" s="10" t="n"/>
      <c r="Q834" s="20" t="n"/>
      <c r="R834" s="10" t="n"/>
      <c r="S834" s="10" t="n"/>
      <c r="T834" s="18" t="n"/>
      <c r="U834" s="18" t="n"/>
      <c r="V834" s="10" t="n"/>
      <c r="W834" s="10" t="n"/>
      <c r="X834" s="19">
        <f>IF(OR(A834="",COUNT(U834)=0,COUNT(AI834)=0),"",U834+AI834)</f>
        <v/>
      </c>
      <c r="Y834" s="16" t="n"/>
      <c r="Z834" s="12" t="n"/>
      <c r="AA834" s="17">
        <f>IF(COUNT(J834)=0,"",IF(H834=0,"n.a.",J834/H834))</f>
        <v/>
      </c>
      <c r="AB834" s="12" t="n"/>
      <c r="AC834" s="12" t="n"/>
      <c r="AD834" s="12" t="n"/>
      <c r="AE834" s="13">
        <f>IF(OR(COUNT(J834)=0,COUNT(AB834:AD834)&lt;3),"",ROUND(J834-SUM(AB834:AD834),2))</f>
        <v/>
      </c>
      <c r="AF834" s="15">
        <f>IF(COUNT(AE834)=0,"",IF(Z834=0,"n.a.",AE834/Z834))</f>
        <v/>
      </c>
      <c r="AG834" s="12" t="n"/>
      <c r="AH834" s="14">
        <f>IF(OR(A834="",COUNT(Z834)=0,COUNT(AG834)=0),"",ROUND(Z834-AG834,2))</f>
        <v/>
      </c>
      <c r="AI834" s="21" t="n"/>
      <c r="AJ834" s="11">
        <f>IF(A834="","",IF(COUNT(I834)=0,"Enter approved NTE",IF(COUNT(Z834)&gt;0,IF(Z834&gt;I834,"Invoice exceeds NTE","Invoice within NTE"),IF(COUNT(L834)=0,"Enter quote inputs",IF(L834&gt;I834,"Quote exceeds NTE","Quote within NTE")))))</f>
        <v/>
      </c>
      <c r="AK834" s="11">
        <f>IF(A834="","",IF(COUNT(H834)=0,"Enter direct cost",IF(COUNT(Z834)=0,"Enter invoice revenue",IF(COUNT(AB834:AD834)&lt;3,"Enter expenses (0 if none)","Complete"))))</f>
        <v/>
      </c>
      <c r="AL834" s="11">
        <f>IF(A834="","",IF(NOT(AND(COUNT(AH834)=1,N(AH834)&gt;0.004,V834&lt;&gt;"Void",V834&lt;&gt;"Not invoiced",V834&lt;&gt;"Draft")),"",IF(COUNT(X834)=0,"No due date",IF(TODAY()-X834&lt;=0,"Not yet due",IF(TODAY()-X834&lt;=30,"1-30 days",IF(TODAY()-X834&lt;=60,"31-60 days",IF(TODAY()-X834&lt;=90,"61-90 days","Over 90 days")))))))</f>
        <v/>
      </c>
      <c r="AM834" s="49">
        <f>IF(OR(AL834="",AL834="No due date"),"",MAX(TODAY()-X834,0))</f>
        <v/>
      </c>
      <c r="AN834" s="49">
        <f>IF(AL834="","",IF(COUNT(X834)=0,-100000,TODAY()-X834))</f>
        <v/>
      </c>
      <c r="AO834" s="49">
        <f>IF(AN834="","",COUNTIF(AN$11:AN$1010,"&gt;"&amp;AN834)+COUNTIF(AN$11:AN834,AN834))</f>
        <v/>
      </c>
      <c r="AP834" s="49">
        <f>IF(OR(A834="",B834=""),"",IF(COUNTIF(B$11:B834,B834)=1,MAX(AP$10:AP833)+1,""))</f>
        <v/>
      </c>
    </row>
    <row r="835">
      <c r="A835" s="20" t="n"/>
      <c r="B835" s="10" t="n"/>
      <c r="C835" s="10" t="n"/>
      <c r="D835" s="10" t="n"/>
      <c r="E835" s="10" t="n"/>
      <c r="F835" s="18" t="n"/>
      <c r="G835" s="10" t="n"/>
      <c r="H835" s="12" t="n"/>
      <c r="I835" s="12" t="n"/>
      <c r="J835" s="13">
        <f>IF(OR(A835="",COUNT(H835)=0,COUNT(Z835)=0),"",ROUND(Z835-H835,2))</f>
        <v/>
      </c>
      <c r="K835" s="15">
        <f>IF(COUNT(J835)=0,"",IF(Z835=0,"n.a.",J835/Z835))</f>
        <v/>
      </c>
      <c r="L835" s="14">
        <f>IF(OR(A835="",COUNT(H835)=0,COUNT(Y835)=0),"",ROUND(H835*(1+Y835),2))</f>
        <v/>
      </c>
      <c r="M835" s="10" t="n"/>
      <c r="N835" s="10" t="n"/>
      <c r="O835" s="10" t="n"/>
      <c r="P835" s="10" t="n"/>
      <c r="Q835" s="20" t="n"/>
      <c r="R835" s="10" t="n"/>
      <c r="S835" s="10" t="n"/>
      <c r="T835" s="18" t="n"/>
      <c r="U835" s="18" t="n"/>
      <c r="V835" s="10" t="n"/>
      <c r="W835" s="10" t="n"/>
      <c r="X835" s="19">
        <f>IF(OR(A835="",COUNT(U835)=0,COUNT(AI835)=0),"",U835+AI835)</f>
        <v/>
      </c>
      <c r="Y835" s="16" t="n"/>
      <c r="Z835" s="12" t="n"/>
      <c r="AA835" s="17">
        <f>IF(COUNT(J835)=0,"",IF(H835=0,"n.a.",J835/H835))</f>
        <v/>
      </c>
      <c r="AB835" s="12" t="n"/>
      <c r="AC835" s="12" t="n"/>
      <c r="AD835" s="12" t="n"/>
      <c r="AE835" s="13">
        <f>IF(OR(COUNT(J835)=0,COUNT(AB835:AD835)&lt;3),"",ROUND(J835-SUM(AB835:AD835),2))</f>
        <v/>
      </c>
      <c r="AF835" s="15">
        <f>IF(COUNT(AE835)=0,"",IF(Z835=0,"n.a.",AE835/Z835))</f>
        <v/>
      </c>
      <c r="AG835" s="12" t="n"/>
      <c r="AH835" s="14">
        <f>IF(OR(A835="",COUNT(Z835)=0,COUNT(AG835)=0),"",ROUND(Z835-AG835,2))</f>
        <v/>
      </c>
      <c r="AI835" s="21" t="n"/>
      <c r="AJ835" s="11">
        <f>IF(A835="","",IF(COUNT(I835)=0,"Enter approved NTE",IF(COUNT(Z835)&gt;0,IF(Z835&gt;I835,"Invoice exceeds NTE","Invoice within NTE"),IF(COUNT(L835)=0,"Enter quote inputs",IF(L835&gt;I835,"Quote exceeds NTE","Quote within NTE")))))</f>
        <v/>
      </c>
      <c r="AK835" s="11">
        <f>IF(A835="","",IF(COUNT(H835)=0,"Enter direct cost",IF(COUNT(Z835)=0,"Enter invoice revenue",IF(COUNT(AB835:AD835)&lt;3,"Enter expenses (0 if none)","Complete"))))</f>
        <v/>
      </c>
      <c r="AL835" s="11">
        <f>IF(A835="","",IF(NOT(AND(COUNT(AH835)=1,N(AH835)&gt;0.004,V835&lt;&gt;"Void",V835&lt;&gt;"Not invoiced",V835&lt;&gt;"Draft")),"",IF(COUNT(X835)=0,"No due date",IF(TODAY()-X835&lt;=0,"Not yet due",IF(TODAY()-X835&lt;=30,"1-30 days",IF(TODAY()-X835&lt;=60,"31-60 days",IF(TODAY()-X835&lt;=90,"61-90 days","Over 90 days")))))))</f>
        <v/>
      </c>
      <c r="AM835" s="49">
        <f>IF(OR(AL835="",AL835="No due date"),"",MAX(TODAY()-X835,0))</f>
        <v/>
      </c>
      <c r="AN835" s="49">
        <f>IF(AL835="","",IF(COUNT(X835)=0,-100000,TODAY()-X835))</f>
        <v/>
      </c>
      <c r="AO835" s="49">
        <f>IF(AN835="","",COUNTIF(AN$11:AN$1010,"&gt;"&amp;AN835)+COUNTIF(AN$11:AN835,AN835))</f>
        <v/>
      </c>
      <c r="AP835" s="49">
        <f>IF(OR(A835="",B835=""),"",IF(COUNTIF(B$11:B835,B835)=1,MAX(AP$10:AP834)+1,""))</f>
        <v/>
      </c>
    </row>
    <row r="836">
      <c r="A836" s="20" t="n"/>
      <c r="B836" s="10" t="n"/>
      <c r="C836" s="10" t="n"/>
      <c r="D836" s="10" t="n"/>
      <c r="E836" s="10" t="n"/>
      <c r="F836" s="18" t="n"/>
      <c r="G836" s="10" t="n"/>
      <c r="H836" s="12" t="n"/>
      <c r="I836" s="12" t="n"/>
      <c r="J836" s="13">
        <f>IF(OR(A836="",COUNT(H836)=0,COUNT(Z836)=0),"",ROUND(Z836-H836,2))</f>
        <v/>
      </c>
      <c r="K836" s="15">
        <f>IF(COUNT(J836)=0,"",IF(Z836=0,"n.a.",J836/Z836))</f>
        <v/>
      </c>
      <c r="L836" s="14">
        <f>IF(OR(A836="",COUNT(H836)=0,COUNT(Y836)=0),"",ROUND(H836*(1+Y836),2))</f>
        <v/>
      </c>
      <c r="M836" s="10" t="n"/>
      <c r="N836" s="10" t="n"/>
      <c r="O836" s="10" t="n"/>
      <c r="P836" s="10" t="n"/>
      <c r="Q836" s="20" t="n"/>
      <c r="R836" s="10" t="n"/>
      <c r="S836" s="10" t="n"/>
      <c r="T836" s="18" t="n"/>
      <c r="U836" s="18" t="n"/>
      <c r="V836" s="10" t="n"/>
      <c r="W836" s="10" t="n"/>
      <c r="X836" s="19">
        <f>IF(OR(A836="",COUNT(U836)=0,COUNT(AI836)=0),"",U836+AI836)</f>
        <v/>
      </c>
      <c r="Y836" s="16" t="n"/>
      <c r="Z836" s="12" t="n"/>
      <c r="AA836" s="17">
        <f>IF(COUNT(J836)=0,"",IF(H836=0,"n.a.",J836/H836))</f>
        <v/>
      </c>
      <c r="AB836" s="12" t="n"/>
      <c r="AC836" s="12" t="n"/>
      <c r="AD836" s="12" t="n"/>
      <c r="AE836" s="13">
        <f>IF(OR(COUNT(J836)=0,COUNT(AB836:AD836)&lt;3),"",ROUND(J836-SUM(AB836:AD836),2))</f>
        <v/>
      </c>
      <c r="AF836" s="15">
        <f>IF(COUNT(AE836)=0,"",IF(Z836=0,"n.a.",AE836/Z836))</f>
        <v/>
      </c>
      <c r="AG836" s="12" t="n"/>
      <c r="AH836" s="14">
        <f>IF(OR(A836="",COUNT(Z836)=0,COUNT(AG836)=0),"",ROUND(Z836-AG836,2))</f>
        <v/>
      </c>
      <c r="AI836" s="21" t="n"/>
      <c r="AJ836" s="11">
        <f>IF(A836="","",IF(COUNT(I836)=0,"Enter approved NTE",IF(COUNT(Z836)&gt;0,IF(Z836&gt;I836,"Invoice exceeds NTE","Invoice within NTE"),IF(COUNT(L836)=0,"Enter quote inputs",IF(L836&gt;I836,"Quote exceeds NTE","Quote within NTE")))))</f>
        <v/>
      </c>
      <c r="AK836" s="11">
        <f>IF(A836="","",IF(COUNT(H836)=0,"Enter direct cost",IF(COUNT(Z836)=0,"Enter invoice revenue",IF(COUNT(AB836:AD836)&lt;3,"Enter expenses (0 if none)","Complete"))))</f>
        <v/>
      </c>
      <c r="AL836" s="11">
        <f>IF(A836="","",IF(NOT(AND(COUNT(AH836)=1,N(AH836)&gt;0.004,V836&lt;&gt;"Void",V836&lt;&gt;"Not invoiced",V836&lt;&gt;"Draft")),"",IF(COUNT(X836)=0,"No due date",IF(TODAY()-X836&lt;=0,"Not yet due",IF(TODAY()-X836&lt;=30,"1-30 days",IF(TODAY()-X836&lt;=60,"31-60 days",IF(TODAY()-X836&lt;=90,"61-90 days","Over 90 days")))))))</f>
        <v/>
      </c>
      <c r="AM836" s="49">
        <f>IF(OR(AL836="",AL836="No due date"),"",MAX(TODAY()-X836,0))</f>
        <v/>
      </c>
      <c r="AN836" s="49">
        <f>IF(AL836="","",IF(COUNT(X836)=0,-100000,TODAY()-X836))</f>
        <v/>
      </c>
      <c r="AO836" s="49">
        <f>IF(AN836="","",COUNTIF(AN$11:AN$1010,"&gt;"&amp;AN836)+COUNTIF(AN$11:AN836,AN836))</f>
        <v/>
      </c>
      <c r="AP836" s="49">
        <f>IF(OR(A836="",B836=""),"",IF(COUNTIF(B$11:B836,B836)=1,MAX(AP$10:AP835)+1,""))</f>
        <v/>
      </c>
    </row>
    <row r="837">
      <c r="A837" s="20" t="n"/>
      <c r="B837" s="10" t="n"/>
      <c r="C837" s="10" t="n"/>
      <c r="D837" s="10" t="n"/>
      <c r="E837" s="10" t="n"/>
      <c r="F837" s="18" t="n"/>
      <c r="G837" s="10" t="n"/>
      <c r="H837" s="12" t="n"/>
      <c r="I837" s="12" t="n"/>
      <c r="J837" s="13">
        <f>IF(OR(A837="",COUNT(H837)=0,COUNT(Z837)=0),"",ROUND(Z837-H837,2))</f>
        <v/>
      </c>
      <c r="K837" s="15">
        <f>IF(COUNT(J837)=0,"",IF(Z837=0,"n.a.",J837/Z837))</f>
        <v/>
      </c>
      <c r="L837" s="14">
        <f>IF(OR(A837="",COUNT(H837)=0,COUNT(Y837)=0),"",ROUND(H837*(1+Y837),2))</f>
        <v/>
      </c>
      <c r="M837" s="10" t="n"/>
      <c r="N837" s="10" t="n"/>
      <c r="O837" s="10" t="n"/>
      <c r="P837" s="10" t="n"/>
      <c r="Q837" s="20" t="n"/>
      <c r="R837" s="10" t="n"/>
      <c r="S837" s="10" t="n"/>
      <c r="T837" s="18" t="n"/>
      <c r="U837" s="18" t="n"/>
      <c r="V837" s="10" t="n"/>
      <c r="W837" s="10" t="n"/>
      <c r="X837" s="19">
        <f>IF(OR(A837="",COUNT(U837)=0,COUNT(AI837)=0),"",U837+AI837)</f>
        <v/>
      </c>
      <c r="Y837" s="16" t="n"/>
      <c r="Z837" s="12" t="n"/>
      <c r="AA837" s="17">
        <f>IF(COUNT(J837)=0,"",IF(H837=0,"n.a.",J837/H837))</f>
        <v/>
      </c>
      <c r="AB837" s="12" t="n"/>
      <c r="AC837" s="12" t="n"/>
      <c r="AD837" s="12" t="n"/>
      <c r="AE837" s="13">
        <f>IF(OR(COUNT(J837)=0,COUNT(AB837:AD837)&lt;3),"",ROUND(J837-SUM(AB837:AD837),2))</f>
        <v/>
      </c>
      <c r="AF837" s="15">
        <f>IF(COUNT(AE837)=0,"",IF(Z837=0,"n.a.",AE837/Z837))</f>
        <v/>
      </c>
      <c r="AG837" s="12" t="n"/>
      <c r="AH837" s="14">
        <f>IF(OR(A837="",COUNT(Z837)=0,COUNT(AG837)=0),"",ROUND(Z837-AG837,2))</f>
        <v/>
      </c>
      <c r="AI837" s="21" t="n"/>
      <c r="AJ837" s="11">
        <f>IF(A837="","",IF(COUNT(I837)=0,"Enter approved NTE",IF(COUNT(Z837)&gt;0,IF(Z837&gt;I837,"Invoice exceeds NTE","Invoice within NTE"),IF(COUNT(L837)=0,"Enter quote inputs",IF(L837&gt;I837,"Quote exceeds NTE","Quote within NTE")))))</f>
        <v/>
      </c>
      <c r="AK837" s="11">
        <f>IF(A837="","",IF(COUNT(H837)=0,"Enter direct cost",IF(COUNT(Z837)=0,"Enter invoice revenue",IF(COUNT(AB837:AD837)&lt;3,"Enter expenses (0 if none)","Complete"))))</f>
        <v/>
      </c>
      <c r="AL837" s="11">
        <f>IF(A837="","",IF(NOT(AND(COUNT(AH837)=1,N(AH837)&gt;0.004,V837&lt;&gt;"Void",V837&lt;&gt;"Not invoiced",V837&lt;&gt;"Draft")),"",IF(COUNT(X837)=0,"No due date",IF(TODAY()-X837&lt;=0,"Not yet due",IF(TODAY()-X837&lt;=30,"1-30 days",IF(TODAY()-X837&lt;=60,"31-60 days",IF(TODAY()-X837&lt;=90,"61-90 days","Over 90 days")))))))</f>
        <v/>
      </c>
      <c r="AM837" s="49">
        <f>IF(OR(AL837="",AL837="No due date"),"",MAX(TODAY()-X837,0))</f>
        <v/>
      </c>
      <c r="AN837" s="49">
        <f>IF(AL837="","",IF(COUNT(X837)=0,-100000,TODAY()-X837))</f>
        <v/>
      </c>
      <c r="AO837" s="49">
        <f>IF(AN837="","",COUNTIF(AN$11:AN$1010,"&gt;"&amp;AN837)+COUNTIF(AN$11:AN837,AN837))</f>
        <v/>
      </c>
      <c r="AP837" s="49">
        <f>IF(OR(A837="",B837=""),"",IF(COUNTIF(B$11:B837,B837)=1,MAX(AP$10:AP836)+1,""))</f>
        <v/>
      </c>
    </row>
    <row r="838">
      <c r="A838" s="20" t="n"/>
      <c r="B838" s="10" t="n"/>
      <c r="C838" s="10" t="n"/>
      <c r="D838" s="10" t="n"/>
      <c r="E838" s="10" t="n"/>
      <c r="F838" s="18" t="n"/>
      <c r="G838" s="10" t="n"/>
      <c r="H838" s="12" t="n"/>
      <c r="I838" s="12" t="n"/>
      <c r="J838" s="13">
        <f>IF(OR(A838="",COUNT(H838)=0,COUNT(Z838)=0),"",ROUND(Z838-H838,2))</f>
        <v/>
      </c>
      <c r="K838" s="15">
        <f>IF(COUNT(J838)=0,"",IF(Z838=0,"n.a.",J838/Z838))</f>
        <v/>
      </c>
      <c r="L838" s="14">
        <f>IF(OR(A838="",COUNT(H838)=0,COUNT(Y838)=0),"",ROUND(H838*(1+Y838),2))</f>
        <v/>
      </c>
      <c r="M838" s="10" t="n"/>
      <c r="N838" s="10" t="n"/>
      <c r="O838" s="10" t="n"/>
      <c r="P838" s="10" t="n"/>
      <c r="Q838" s="20" t="n"/>
      <c r="R838" s="10" t="n"/>
      <c r="S838" s="10" t="n"/>
      <c r="T838" s="18" t="n"/>
      <c r="U838" s="18" t="n"/>
      <c r="V838" s="10" t="n"/>
      <c r="W838" s="10" t="n"/>
      <c r="X838" s="19">
        <f>IF(OR(A838="",COUNT(U838)=0,COUNT(AI838)=0),"",U838+AI838)</f>
        <v/>
      </c>
      <c r="Y838" s="16" t="n"/>
      <c r="Z838" s="12" t="n"/>
      <c r="AA838" s="17">
        <f>IF(COUNT(J838)=0,"",IF(H838=0,"n.a.",J838/H838))</f>
        <v/>
      </c>
      <c r="AB838" s="12" t="n"/>
      <c r="AC838" s="12" t="n"/>
      <c r="AD838" s="12" t="n"/>
      <c r="AE838" s="13">
        <f>IF(OR(COUNT(J838)=0,COUNT(AB838:AD838)&lt;3),"",ROUND(J838-SUM(AB838:AD838),2))</f>
        <v/>
      </c>
      <c r="AF838" s="15">
        <f>IF(COUNT(AE838)=0,"",IF(Z838=0,"n.a.",AE838/Z838))</f>
        <v/>
      </c>
      <c r="AG838" s="12" t="n"/>
      <c r="AH838" s="14">
        <f>IF(OR(A838="",COUNT(Z838)=0,COUNT(AG838)=0),"",ROUND(Z838-AG838,2))</f>
        <v/>
      </c>
      <c r="AI838" s="21" t="n"/>
      <c r="AJ838" s="11">
        <f>IF(A838="","",IF(COUNT(I838)=0,"Enter approved NTE",IF(COUNT(Z838)&gt;0,IF(Z838&gt;I838,"Invoice exceeds NTE","Invoice within NTE"),IF(COUNT(L838)=0,"Enter quote inputs",IF(L838&gt;I838,"Quote exceeds NTE","Quote within NTE")))))</f>
        <v/>
      </c>
      <c r="AK838" s="11">
        <f>IF(A838="","",IF(COUNT(H838)=0,"Enter direct cost",IF(COUNT(Z838)=0,"Enter invoice revenue",IF(COUNT(AB838:AD838)&lt;3,"Enter expenses (0 if none)","Complete"))))</f>
        <v/>
      </c>
      <c r="AL838" s="11">
        <f>IF(A838="","",IF(NOT(AND(COUNT(AH838)=1,N(AH838)&gt;0.004,V838&lt;&gt;"Void",V838&lt;&gt;"Not invoiced",V838&lt;&gt;"Draft")),"",IF(COUNT(X838)=0,"No due date",IF(TODAY()-X838&lt;=0,"Not yet due",IF(TODAY()-X838&lt;=30,"1-30 days",IF(TODAY()-X838&lt;=60,"31-60 days",IF(TODAY()-X838&lt;=90,"61-90 days","Over 90 days")))))))</f>
        <v/>
      </c>
      <c r="AM838" s="49">
        <f>IF(OR(AL838="",AL838="No due date"),"",MAX(TODAY()-X838,0))</f>
        <v/>
      </c>
      <c r="AN838" s="49">
        <f>IF(AL838="","",IF(COUNT(X838)=0,-100000,TODAY()-X838))</f>
        <v/>
      </c>
      <c r="AO838" s="49">
        <f>IF(AN838="","",COUNTIF(AN$11:AN$1010,"&gt;"&amp;AN838)+COUNTIF(AN$11:AN838,AN838))</f>
        <v/>
      </c>
      <c r="AP838" s="49">
        <f>IF(OR(A838="",B838=""),"",IF(COUNTIF(B$11:B838,B838)=1,MAX(AP$10:AP837)+1,""))</f>
        <v/>
      </c>
    </row>
    <row r="839">
      <c r="A839" s="20" t="n"/>
      <c r="B839" s="10" t="n"/>
      <c r="C839" s="10" t="n"/>
      <c r="D839" s="10" t="n"/>
      <c r="E839" s="10" t="n"/>
      <c r="F839" s="18" t="n"/>
      <c r="G839" s="10" t="n"/>
      <c r="H839" s="12" t="n"/>
      <c r="I839" s="12" t="n"/>
      <c r="J839" s="13">
        <f>IF(OR(A839="",COUNT(H839)=0,COUNT(Z839)=0),"",ROUND(Z839-H839,2))</f>
        <v/>
      </c>
      <c r="K839" s="15">
        <f>IF(COUNT(J839)=0,"",IF(Z839=0,"n.a.",J839/Z839))</f>
        <v/>
      </c>
      <c r="L839" s="14">
        <f>IF(OR(A839="",COUNT(H839)=0,COUNT(Y839)=0),"",ROUND(H839*(1+Y839),2))</f>
        <v/>
      </c>
      <c r="M839" s="10" t="n"/>
      <c r="N839" s="10" t="n"/>
      <c r="O839" s="10" t="n"/>
      <c r="P839" s="10" t="n"/>
      <c r="Q839" s="20" t="n"/>
      <c r="R839" s="10" t="n"/>
      <c r="S839" s="10" t="n"/>
      <c r="T839" s="18" t="n"/>
      <c r="U839" s="18" t="n"/>
      <c r="V839" s="10" t="n"/>
      <c r="W839" s="10" t="n"/>
      <c r="X839" s="19">
        <f>IF(OR(A839="",COUNT(U839)=0,COUNT(AI839)=0),"",U839+AI839)</f>
        <v/>
      </c>
      <c r="Y839" s="16" t="n"/>
      <c r="Z839" s="12" t="n"/>
      <c r="AA839" s="17">
        <f>IF(COUNT(J839)=0,"",IF(H839=0,"n.a.",J839/H839))</f>
        <v/>
      </c>
      <c r="AB839" s="12" t="n"/>
      <c r="AC839" s="12" t="n"/>
      <c r="AD839" s="12" t="n"/>
      <c r="AE839" s="13">
        <f>IF(OR(COUNT(J839)=0,COUNT(AB839:AD839)&lt;3),"",ROUND(J839-SUM(AB839:AD839),2))</f>
        <v/>
      </c>
      <c r="AF839" s="15">
        <f>IF(COUNT(AE839)=0,"",IF(Z839=0,"n.a.",AE839/Z839))</f>
        <v/>
      </c>
      <c r="AG839" s="12" t="n"/>
      <c r="AH839" s="14">
        <f>IF(OR(A839="",COUNT(Z839)=0,COUNT(AG839)=0),"",ROUND(Z839-AG839,2))</f>
        <v/>
      </c>
      <c r="AI839" s="21" t="n"/>
      <c r="AJ839" s="11">
        <f>IF(A839="","",IF(COUNT(I839)=0,"Enter approved NTE",IF(COUNT(Z839)&gt;0,IF(Z839&gt;I839,"Invoice exceeds NTE","Invoice within NTE"),IF(COUNT(L839)=0,"Enter quote inputs",IF(L839&gt;I839,"Quote exceeds NTE","Quote within NTE")))))</f>
        <v/>
      </c>
      <c r="AK839" s="11">
        <f>IF(A839="","",IF(COUNT(H839)=0,"Enter direct cost",IF(COUNT(Z839)=0,"Enter invoice revenue",IF(COUNT(AB839:AD839)&lt;3,"Enter expenses (0 if none)","Complete"))))</f>
        <v/>
      </c>
      <c r="AL839" s="11">
        <f>IF(A839="","",IF(NOT(AND(COUNT(AH839)=1,N(AH839)&gt;0.004,V839&lt;&gt;"Void",V839&lt;&gt;"Not invoiced",V839&lt;&gt;"Draft")),"",IF(COUNT(X839)=0,"No due date",IF(TODAY()-X839&lt;=0,"Not yet due",IF(TODAY()-X839&lt;=30,"1-30 days",IF(TODAY()-X839&lt;=60,"31-60 days",IF(TODAY()-X839&lt;=90,"61-90 days","Over 90 days")))))))</f>
        <v/>
      </c>
      <c r="AM839" s="49">
        <f>IF(OR(AL839="",AL839="No due date"),"",MAX(TODAY()-X839,0))</f>
        <v/>
      </c>
      <c r="AN839" s="49">
        <f>IF(AL839="","",IF(COUNT(X839)=0,-100000,TODAY()-X839))</f>
        <v/>
      </c>
      <c r="AO839" s="49">
        <f>IF(AN839="","",COUNTIF(AN$11:AN$1010,"&gt;"&amp;AN839)+COUNTIF(AN$11:AN839,AN839))</f>
        <v/>
      </c>
      <c r="AP839" s="49">
        <f>IF(OR(A839="",B839=""),"",IF(COUNTIF(B$11:B839,B839)=1,MAX(AP$10:AP838)+1,""))</f>
        <v/>
      </c>
    </row>
    <row r="840">
      <c r="A840" s="20" t="n"/>
      <c r="B840" s="10" t="n"/>
      <c r="C840" s="10" t="n"/>
      <c r="D840" s="10" t="n"/>
      <c r="E840" s="10" t="n"/>
      <c r="F840" s="18" t="n"/>
      <c r="G840" s="10" t="n"/>
      <c r="H840" s="12" t="n"/>
      <c r="I840" s="12" t="n"/>
      <c r="J840" s="13">
        <f>IF(OR(A840="",COUNT(H840)=0,COUNT(Z840)=0),"",ROUND(Z840-H840,2))</f>
        <v/>
      </c>
      <c r="K840" s="15">
        <f>IF(COUNT(J840)=0,"",IF(Z840=0,"n.a.",J840/Z840))</f>
        <v/>
      </c>
      <c r="L840" s="14">
        <f>IF(OR(A840="",COUNT(H840)=0,COUNT(Y840)=0),"",ROUND(H840*(1+Y840),2))</f>
        <v/>
      </c>
      <c r="M840" s="10" t="n"/>
      <c r="N840" s="10" t="n"/>
      <c r="O840" s="10" t="n"/>
      <c r="P840" s="10" t="n"/>
      <c r="Q840" s="20" t="n"/>
      <c r="R840" s="10" t="n"/>
      <c r="S840" s="10" t="n"/>
      <c r="T840" s="18" t="n"/>
      <c r="U840" s="18" t="n"/>
      <c r="V840" s="10" t="n"/>
      <c r="W840" s="10" t="n"/>
      <c r="X840" s="19">
        <f>IF(OR(A840="",COUNT(U840)=0,COUNT(AI840)=0),"",U840+AI840)</f>
        <v/>
      </c>
      <c r="Y840" s="16" t="n"/>
      <c r="Z840" s="12" t="n"/>
      <c r="AA840" s="17">
        <f>IF(COUNT(J840)=0,"",IF(H840=0,"n.a.",J840/H840))</f>
        <v/>
      </c>
      <c r="AB840" s="12" t="n"/>
      <c r="AC840" s="12" t="n"/>
      <c r="AD840" s="12" t="n"/>
      <c r="AE840" s="13">
        <f>IF(OR(COUNT(J840)=0,COUNT(AB840:AD840)&lt;3),"",ROUND(J840-SUM(AB840:AD840),2))</f>
        <v/>
      </c>
      <c r="AF840" s="15">
        <f>IF(COUNT(AE840)=0,"",IF(Z840=0,"n.a.",AE840/Z840))</f>
        <v/>
      </c>
      <c r="AG840" s="12" t="n"/>
      <c r="AH840" s="14">
        <f>IF(OR(A840="",COUNT(Z840)=0,COUNT(AG840)=0),"",ROUND(Z840-AG840,2))</f>
        <v/>
      </c>
      <c r="AI840" s="21" t="n"/>
      <c r="AJ840" s="11">
        <f>IF(A840="","",IF(COUNT(I840)=0,"Enter approved NTE",IF(COUNT(Z840)&gt;0,IF(Z840&gt;I840,"Invoice exceeds NTE","Invoice within NTE"),IF(COUNT(L840)=0,"Enter quote inputs",IF(L840&gt;I840,"Quote exceeds NTE","Quote within NTE")))))</f>
        <v/>
      </c>
      <c r="AK840" s="11">
        <f>IF(A840="","",IF(COUNT(H840)=0,"Enter direct cost",IF(COUNT(Z840)=0,"Enter invoice revenue",IF(COUNT(AB840:AD840)&lt;3,"Enter expenses (0 if none)","Complete"))))</f>
        <v/>
      </c>
      <c r="AL840" s="11">
        <f>IF(A840="","",IF(NOT(AND(COUNT(AH840)=1,N(AH840)&gt;0.004,V840&lt;&gt;"Void",V840&lt;&gt;"Not invoiced",V840&lt;&gt;"Draft")),"",IF(COUNT(X840)=0,"No due date",IF(TODAY()-X840&lt;=0,"Not yet due",IF(TODAY()-X840&lt;=30,"1-30 days",IF(TODAY()-X840&lt;=60,"31-60 days",IF(TODAY()-X840&lt;=90,"61-90 days","Over 90 days")))))))</f>
        <v/>
      </c>
      <c r="AM840" s="49">
        <f>IF(OR(AL840="",AL840="No due date"),"",MAX(TODAY()-X840,0))</f>
        <v/>
      </c>
      <c r="AN840" s="49">
        <f>IF(AL840="","",IF(COUNT(X840)=0,-100000,TODAY()-X840))</f>
        <v/>
      </c>
      <c r="AO840" s="49">
        <f>IF(AN840="","",COUNTIF(AN$11:AN$1010,"&gt;"&amp;AN840)+COUNTIF(AN$11:AN840,AN840))</f>
        <v/>
      </c>
      <c r="AP840" s="49">
        <f>IF(OR(A840="",B840=""),"",IF(COUNTIF(B$11:B840,B840)=1,MAX(AP$10:AP839)+1,""))</f>
        <v/>
      </c>
    </row>
    <row r="841">
      <c r="A841" s="20" t="n"/>
      <c r="B841" s="10" t="n"/>
      <c r="C841" s="10" t="n"/>
      <c r="D841" s="10" t="n"/>
      <c r="E841" s="10" t="n"/>
      <c r="F841" s="18" t="n"/>
      <c r="G841" s="10" t="n"/>
      <c r="H841" s="12" t="n"/>
      <c r="I841" s="12" t="n"/>
      <c r="J841" s="13">
        <f>IF(OR(A841="",COUNT(H841)=0,COUNT(Z841)=0),"",ROUND(Z841-H841,2))</f>
        <v/>
      </c>
      <c r="K841" s="15">
        <f>IF(COUNT(J841)=0,"",IF(Z841=0,"n.a.",J841/Z841))</f>
        <v/>
      </c>
      <c r="L841" s="14">
        <f>IF(OR(A841="",COUNT(H841)=0,COUNT(Y841)=0),"",ROUND(H841*(1+Y841),2))</f>
        <v/>
      </c>
      <c r="M841" s="10" t="n"/>
      <c r="N841" s="10" t="n"/>
      <c r="O841" s="10" t="n"/>
      <c r="P841" s="10" t="n"/>
      <c r="Q841" s="20" t="n"/>
      <c r="R841" s="10" t="n"/>
      <c r="S841" s="10" t="n"/>
      <c r="T841" s="18" t="n"/>
      <c r="U841" s="18" t="n"/>
      <c r="V841" s="10" t="n"/>
      <c r="W841" s="10" t="n"/>
      <c r="X841" s="19">
        <f>IF(OR(A841="",COUNT(U841)=0,COUNT(AI841)=0),"",U841+AI841)</f>
        <v/>
      </c>
      <c r="Y841" s="16" t="n"/>
      <c r="Z841" s="12" t="n"/>
      <c r="AA841" s="17">
        <f>IF(COUNT(J841)=0,"",IF(H841=0,"n.a.",J841/H841))</f>
        <v/>
      </c>
      <c r="AB841" s="12" t="n"/>
      <c r="AC841" s="12" t="n"/>
      <c r="AD841" s="12" t="n"/>
      <c r="AE841" s="13">
        <f>IF(OR(COUNT(J841)=0,COUNT(AB841:AD841)&lt;3),"",ROUND(J841-SUM(AB841:AD841),2))</f>
        <v/>
      </c>
      <c r="AF841" s="15">
        <f>IF(COUNT(AE841)=0,"",IF(Z841=0,"n.a.",AE841/Z841))</f>
        <v/>
      </c>
      <c r="AG841" s="12" t="n"/>
      <c r="AH841" s="14">
        <f>IF(OR(A841="",COUNT(Z841)=0,COUNT(AG841)=0),"",ROUND(Z841-AG841,2))</f>
        <v/>
      </c>
      <c r="AI841" s="21" t="n"/>
      <c r="AJ841" s="11">
        <f>IF(A841="","",IF(COUNT(I841)=0,"Enter approved NTE",IF(COUNT(Z841)&gt;0,IF(Z841&gt;I841,"Invoice exceeds NTE","Invoice within NTE"),IF(COUNT(L841)=0,"Enter quote inputs",IF(L841&gt;I841,"Quote exceeds NTE","Quote within NTE")))))</f>
        <v/>
      </c>
      <c r="AK841" s="11">
        <f>IF(A841="","",IF(COUNT(H841)=0,"Enter direct cost",IF(COUNT(Z841)=0,"Enter invoice revenue",IF(COUNT(AB841:AD841)&lt;3,"Enter expenses (0 if none)","Complete"))))</f>
        <v/>
      </c>
      <c r="AL841" s="11">
        <f>IF(A841="","",IF(NOT(AND(COUNT(AH841)=1,N(AH841)&gt;0.004,V841&lt;&gt;"Void",V841&lt;&gt;"Not invoiced",V841&lt;&gt;"Draft")),"",IF(COUNT(X841)=0,"No due date",IF(TODAY()-X841&lt;=0,"Not yet due",IF(TODAY()-X841&lt;=30,"1-30 days",IF(TODAY()-X841&lt;=60,"31-60 days",IF(TODAY()-X841&lt;=90,"61-90 days","Over 90 days")))))))</f>
        <v/>
      </c>
      <c r="AM841" s="49">
        <f>IF(OR(AL841="",AL841="No due date"),"",MAX(TODAY()-X841,0))</f>
        <v/>
      </c>
      <c r="AN841" s="49">
        <f>IF(AL841="","",IF(COUNT(X841)=0,-100000,TODAY()-X841))</f>
        <v/>
      </c>
      <c r="AO841" s="49">
        <f>IF(AN841="","",COUNTIF(AN$11:AN$1010,"&gt;"&amp;AN841)+COUNTIF(AN$11:AN841,AN841))</f>
        <v/>
      </c>
      <c r="AP841" s="49">
        <f>IF(OR(A841="",B841=""),"",IF(COUNTIF(B$11:B841,B841)=1,MAX(AP$10:AP840)+1,""))</f>
        <v/>
      </c>
    </row>
    <row r="842">
      <c r="A842" s="20" t="n"/>
      <c r="B842" s="10" t="n"/>
      <c r="C842" s="10" t="n"/>
      <c r="D842" s="10" t="n"/>
      <c r="E842" s="10" t="n"/>
      <c r="F842" s="18" t="n"/>
      <c r="G842" s="10" t="n"/>
      <c r="H842" s="12" t="n"/>
      <c r="I842" s="12" t="n"/>
      <c r="J842" s="13">
        <f>IF(OR(A842="",COUNT(H842)=0,COUNT(Z842)=0),"",ROUND(Z842-H842,2))</f>
        <v/>
      </c>
      <c r="K842" s="15">
        <f>IF(COUNT(J842)=0,"",IF(Z842=0,"n.a.",J842/Z842))</f>
        <v/>
      </c>
      <c r="L842" s="14">
        <f>IF(OR(A842="",COUNT(H842)=0,COUNT(Y842)=0),"",ROUND(H842*(1+Y842),2))</f>
        <v/>
      </c>
      <c r="M842" s="10" t="n"/>
      <c r="N842" s="10" t="n"/>
      <c r="O842" s="10" t="n"/>
      <c r="P842" s="10" t="n"/>
      <c r="Q842" s="20" t="n"/>
      <c r="R842" s="10" t="n"/>
      <c r="S842" s="10" t="n"/>
      <c r="T842" s="18" t="n"/>
      <c r="U842" s="18" t="n"/>
      <c r="V842" s="10" t="n"/>
      <c r="W842" s="10" t="n"/>
      <c r="X842" s="19">
        <f>IF(OR(A842="",COUNT(U842)=0,COUNT(AI842)=0),"",U842+AI842)</f>
        <v/>
      </c>
      <c r="Y842" s="16" t="n"/>
      <c r="Z842" s="12" t="n"/>
      <c r="AA842" s="17">
        <f>IF(COUNT(J842)=0,"",IF(H842=0,"n.a.",J842/H842))</f>
        <v/>
      </c>
      <c r="AB842" s="12" t="n"/>
      <c r="AC842" s="12" t="n"/>
      <c r="AD842" s="12" t="n"/>
      <c r="AE842" s="13">
        <f>IF(OR(COUNT(J842)=0,COUNT(AB842:AD842)&lt;3),"",ROUND(J842-SUM(AB842:AD842),2))</f>
        <v/>
      </c>
      <c r="AF842" s="15">
        <f>IF(COUNT(AE842)=0,"",IF(Z842=0,"n.a.",AE842/Z842))</f>
        <v/>
      </c>
      <c r="AG842" s="12" t="n"/>
      <c r="AH842" s="14">
        <f>IF(OR(A842="",COUNT(Z842)=0,COUNT(AG842)=0),"",ROUND(Z842-AG842,2))</f>
        <v/>
      </c>
      <c r="AI842" s="21" t="n"/>
      <c r="AJ842" s="11">
        <f>IF(A842="","",IF(COUNT(I842)=0,"Enter approved NTE",IF(COUNT(Z842)&gt;0,IF(Z842&gt;I842,"Invoice exceeds NTE","Invoice within NTE"),IF(COUNT(L842)=0,"Enter quote inputs",IF(L842&gt;I842,"Quote exceeds NTE","Quote within NTE")))))</f>
        <v/>
      </c>
      <c r="AK842" s="11">
        <f>IF(A842="","",IF(COUNT(H842)=0,"Enter direct cost",IF(COUNT(Z842)=0,"Enter invoice revenue",IF(COUNT(AB842:AD842)&lt;3,"Enter expenses (0 if none)","Complete"))))</f>
        <v/>
      </c>
      <c r="AL842" s="11">
        <f>IF(A842="","",IF(NOT(AND(COUNT(AH842)=1,N(AH842)&gt;0.004,V842&lt;&gt;"Void",V842&lt;&gt;"Not invoiced",V842&lt;&gt;"Draft")),"",IF(COUNT(X842)=0,"No due date",IF(TODAY()-X842&lt;=0,"Not yet due",IF(TODAY()-X842&lt;=30,"1-30 days",IF(TODAY()-X842&lt;=60,"31-60 days",IF(TODAY()-X842&lt;=90,"61-90 days","Over 90 days")))))))</f>
        <v/>
      </c>
      <c r="AM842" s="49">
        <f>IF(OR(AL842="",AL842="No due date"),"",MAX(TODAY()-X842,0))</f>
        <v/>
      </c>
      <c r="AN842" s="49">
        <f>IF(AL842="","",IF(COUNT(X842)=0,-100000,TODAY()-X842))</f>
        <v/>
      </c>
      <c r="AO842" s="49">
        <f>IF(AN842="","",COUNTIF(AN$11:AN$1010,"&gt;"&amp;AN842)+COUNTIF(AN$11:AN842,AN842))</f>
        <v/>
      </c>
      <c r="AP842" s="49">
        <f>IF(OR(A842="",B842=""),"",IF(COUNTIF(B$11:B842,B842)=1,MAX(AP$10:AP841)+1,""))</f>
        <v/>
      </c>
    </row>
    <row r="843">
      <c r="A843" s="20" t="n"/>
      <c r="B843" s="10" t="n"/>
      <c r="C843" s="10" t="n"/>
      <c r="D843" s="10" t="n"/>
      <c r="E843" s="10" t="n"/>
      <c r="F843" s="18" t="n"/>
      <c r="G843" s="10" t="n"/>
      <c r="H843" s="12" t="n"/>
      <c r="I843" s="12" t="n"/>
      <c r="J843" s="13">
        <f>IF(OR(A843="",COUNT(H843)=0,COUNT(Z843)=0),"",ROUND(Z843-H843,2))</f>
        <v/>
      </c>
      <c r="K843" s="15">
        <f>IF(COUNT(J843)=0,"",IF(Z843=0,"n.a.",J843/Z843))</f>
        <v/>
      </c>
      <c r="L843" s="14">
        <f>IF(OR(A843="",COUNT(H843)=0,COUNT(Y843)=0),"",ROUND(H843*(1+Y843),2))</f>
        <v/>
      </c>
      <c r="M843" s="10" t="n"/>
      <c r="N843" s="10" t="n"/>
      <c r="O843" s="10" t="n"/>
      <c r="P843" s="10" t="n"/>
      <c r="Q843" s="20" t="n"/>
      <c r="R843" s="10" t="n"/>
      <c r="S843" s="10" t="n"/>
      <c r="T843" s="18" t="n"/>
      <c r="U843" s="18" t="n"/>
      <c r="V843" s="10" t="n"/>
      <c r="W843" s="10" t="n"/>
      <c r="X843" s="19">
        <f>IF(OR(A843="",COUNT(U843)=0,COUNT(AI843)=0),"",U843+AI843)</f>
        <v/>
      </c>
      <c r="Y843" s="16" t="n"/>
      <c r="Z843" s="12" t="n"/>
      <c r="AA843" s="17">
        <f>IF(COUNT(J843)=0,"",IF(H843=0,"n.a.",J843/H843))</f>
        <v/>
      </c>
      <c r="AB843" s="12" t="n"/>
      <c r="AC843" s="12" t="n"/>
      <c r="AD843" s="12" t="n"/>
      <c r="AE843" s="13">
        <f>IF(OR(COUNT(J843)=0,COUNT(AB843:AD843)&lt;3),"",ROUND(J843-SUM(AB843:AD843),2))</f>
        <v/>
      </c>
      <c r="AF843" s="15">
        <f>IF(COUNT(AE843)=0,"",IF(Z843=0,"n.a.",AE843/Z843))</f>
        <v/>
      </c>
      <c r="AG843" s="12" t="n"/>
      <c r="AH843" s="14">
        <f>IF(OR(A843="",COUNT(Z843)=0,COUNT(AG843)=0),"",ROUND(Z843-AG843,2))</f>
        <v/>
      </c>
      <c r="AI843" s="21" t="n"/>
      <c r="AJ843" s="11">
        <f>IF(A843="","",IF(COUNT(I843)=0,"Enter approved NTE",IF(COUNT(Z843)&gt;0,IF(Z843&gt;I843,"Invoice exceeds NTE","Invoice within NTE"),IF(COUNT(L843)=0,"Enter quote inputs",IF(L843&gt;I843,"Quote exceeds NTE","Quote within NTE")))))</f>
        <v/>
      </c>
      <c r="AK843" s="11">
        <f>IF(A843="","",IF(COUNT(H843)=0,"Enter direct cost",IF(COUNT(Z843)=0,"Enter invoice revenue",IF(COUNT(AB843:AD843)&lt;3,"Enter expenses (0 if none)","Complete"))))</f>
        <v/>
      </c>
      <c r="AL843" s="11">
        <f>IF(A843="","",IF(NOT(AND(COUNT(AH843)=1,N(AH843)&gt;0.004,V843&lt;&gt;"Void",V843&lt;&gt;"Not invoiced",V843&lt;&gt;"Draft")),"",IF(COUNT(X843)=0,"No due date",IF(TODAY()-X843&lt;=0,"Not yet due",IF(TODAY()-X843&lt;=30,"1-30 days",IF(TODAY()-X843&lt;=60,"31-60 days",IF(TODAY()-X843&lt;=90,"61-90 days","Over 90 days")))))))</f>
        <v/>
      </c>
      <c r="AM843" s="49">
        <f>IF(OR(AL843="",AL843="No due date"),"",MAX(TODAY()-X843,0))</f>
        <v/>
      </c>
      <c r="AN843" s="49">
        <f>IF(AL843="","",IF(COUNT(X843)=0,-100000,TODAY()-X843))</f>
        <v/>
      </c>
      <c r="AO843" s="49">
        <f>IF(AN843="","",COUNTIF(AN$11:AN$1010,"&gt;"&amp;AN843)+COUNTIF(AN$11:AN843,AN843))</f>
        <v/>
      </c>
      <c r="AP843" s="49">
        <f>IF(OR(A843="",B843=""),"",IF(COUNTIF(B$11:B843,B843)=1,MAX(AP$10:AP842)+1,""))</f>
        <v/>
      </c>
    </row>
    <row r="844">
      <c r="A844" s="20" t="n"/>
      <c r="B844" s="10" t="n"/>
      <c r="C844" s="10" t="n"/>
      <c r="D844" s="10" t="n"/>
      <c r="E844" s="10" t="n"/>
      <c r="F844" s="18" t="n"/>
      <c r="G844" s="10" t="n"/>
      <c r="H844" s="12" t="n"/>
      <c r="I844" s="12" t="n"/>
      <c r="J844" s="13">
        <f>IF(OR(A844="",COUNT(H844)=0,COUNT(Z844)=0),"",ROUND(Z844-H844,2))</f>
        <v/>
      </c>
      <c r="K844" s="15">
        <f>IF(COUNT(J844)=0,"",IF(Z844=0,"n.a.",J844/Z844))</f>
        <v/>
      </c>
      <c r="L844" s="14">
        <f>IF(OR(A844="",COUNT(H844)=0,COUNT(Y844)=0),"",ROUND(H844*(1+Y844),2))</f>
        <v/>
      </c>
      <c r="M844" s="10" t="n"/>
      <c r="N844" s="10" t="n"/>
      <c r="O844" s="10" t="n"/>
      <c r="P844" s="10" t="n"/>
      <c r="Q844" s="20" t="n"/>
      <c r="R844" s="10" t="n"/>
      <c r="S844" s="10" t="n"/>
      <c r="T844" s="18" t="n"/>
      <c r="U844" s="18" t="n"/>
      <c r="V844" s="10" t="n"/>
      <c r="W844" s="10" t="n"/>
      <c r="X844" s="19">
        <f>IF(OR(A844="",COUNT(U844)=0,COUNT(AI844)=0),"",U844+AI844)</f>
        <v/>
      </c>
      <c r="Y844" s="16" t="n"/>
      <c r="Z844" s="12" t="n"/>
      <c r="AA844" s="17">
        <f>IF(COUNT(J844)=0,"",IF(H844=0,"n.a.",J844/H844))</f>
        <v/>
      </c>
      <c r="AB844" s="12" t="n"/>
      <c r="AC844" s="12" t="n"/>
      <c r="AD844" s="12" t="n"/>
      <c r="AE844" s="13">
        <f>IF(OR(COUNT(J844)=0,COUNT(AB844:AD844)&lt;3),"",ROUND(J844-SUM(AB844:AD844),2))</f>
        <v/>
      </c>
      <c r="AF844" s="15">
        <f>IF(COUNT(AE844)=0,"",IF(Z844=0,"n.a.",AE844/Z844))</f>
        <v/>
      </c>
      <c r="AG844" s="12" t="n"/>
      <c r="AH844" s="14">
        <f>IF(OR(A844="",COUNT(Z844)=0,COUNT(AG844)=0),"",ROUND(Z844-AG844,2))</f>
        <v/>
      </c>
      <c r="AI844" s="21" t="n"/>
      <c r="AJ844" s="11">
        <f>IF(A844="","",IF(COUNT(I844)=0,"Enter approved NTE",IF(COUNT(Z844)&gt;0,IF(Z844&gt;I844,"Invoice exceeds NTE","Invoice within NTE"),IF(COUNT(L844)=0,"Enter quote inputs",IF(L844&gt;I844,"Quote exceeds NTE","Quote within NTE")))))</f>
        <v/>
      </c>
      <c r="AK844" s="11">
        <f>IF(A844="","",IF(COUNT(H844)=0,"Enter direct cost",IF(COUNT(Z844)=0,"Enter invoice revenue",IF(COUNT(AB844:AD844)&lt;3,"Enter expenses (0 if none)","Complete"))))</f>
        <v/>
      </c>
      <c r="AL844" s="11">
        <f>IF(A844="","",IF(NOT(AND(COUNT(AH844)=1,N(AH844)&gt;0.004,V844&lt;&gt;"Void",V844&lt;&gt;"Not invoiced",V844&lt;&gt;"Draft")),"",IF(COUNT(X844)=0,"No due date",IF(TODAY()-X844&lt;=0,"Not yet due",IF(TODAY()-X844&lt;=30,"1-30 days",IF(TODAY()-X844&lt;=60,"31-60 days",IF(TODAY()-X844&lt;=90,"61-90 days","Over 90 days")))))))</f>
        <v/>
      </c>
      <c r="AM844" s="49">
        <f>IF(OR(AL844="",AL844="No due date"),"",MAX(TODAY()-X844,0))</f>
        <v/>
      </c>
      <c r="AN844" s="49">
        <f>IF(AL844="","",IF(COUNT(X844)=0,-100000,TODAY()-X844))</f>
        <v/>
      </c>
      <c r="AO844" s="49">
        <f>IF(AN844="","",COUNTIF(AN$11:AN$1010,"&gt;"&amp;AN844)+COUNTIF(AN$11:AN844,AN844))</f>
        <v/>
      </c>
      <c r="AP844" s="49">
        <f>IF(OR(A844="",B844=""),"",IF(COUNTIF(B$11:B844,B844)=1,MAX(AP$10:AP843)+1,""))</f>
        <v/>
      </c>
    </row>
    <row r="845">
      <c r="A845" s="20" t="n"/>
      <c r="B845" s="10" t="n"/>
      <c r="C845" s="10" t="n"/>
      <c r="D845" s="10" t="n"/>
      <c r="E845" s="10" t="n"/>
      <c r="F845" s="18" t="n"/>
      <c r="G845" s="10" t="n"/>
      <c r="H845" s="12" t="n"/>
      <c r="I845" s="12" t="n"/>
      <c r="J845" s="13">
        <f>IF(OR(A845="",COUNT(H845)=0,COUNT(Z845)=0),"",ROUND(Z845-H845,2))</f>
        <v/>
      </c>
      <c r="K845" s="15">
        <f>IF(COUNT(J845)=0,"",IF(Z845=0,"n.a.",J845/Z845))</f>
        <v/>
      </c>
      <c r="L845" s="14">
        <f>IF(OR(A845="",COUNT(H845)=0,COUNT(Y845)=0),"",ROUND(H845*(1+Y845),2))</f>
        <v/>
      </c>
      <c r="M845" s="10" t="n"/>
      <c r="N845" s="10" t="n"/>
      <c r="O845" s="10" t="n"/>
      <c r="P845" s="10" t="n"/>
      <c r="Q845" s="20" t="n"/>
      <c r="R845" s="10" t="n"/>
      <c r="S845" s="10" t="n"/>
      <c r="T845" s="18" t="n"/>
      <c r="U845" s="18" t="n"/>
      <c r="V845" s="10" t="n"/>
      <c r="W845" s="10" t="n"/>
      <c r="X845" s="19">
        <f>IF(OR(A845="",COUNT(U845)=0,COUNT(AI845)=0),"",U845+AI845)</f>
        <v/>
      </c>
      <c r="Y845" s="16" t="n"/>
      <c r="Z845" s="12" t="n"/>
      <c r="AA845" s="17">
        <f>IF(COUNT(J845)=0,"",IF(H845=0,"n.a.",J845/H845))</f>
        <v/>
      </c>
      <c r="AB845" s="12" t="n"/>
      <c r="AC845" s="12" t="n"/>
      <c r="AD845" s="12" t="n"/>
      <c r="AE845" s="13">
        <f>IF(OR(COUNT(J845)=0,COUNT(AB845:AD845)&lt;3),"",ROUND(J845-SUM(AB845:AD845),2))</f>
        <v/>
      </c>
      <c r="AF845" s="15">
        <f>IF(COUNT(AE845)=0,"",IF(Z845=0,"n.a.",AE845/Z845))</f>
        <v/>
      </c>
      <c r="AG845" s="12" t="n"/>
      <c r="AH845" s="14">
        <f>IF(OR(A845="",COUNT(Z845)=0,COUNT(AG845)=0),"",ROUND(Z845-AG845,2))</f>
        <v/>
      </c>
      <c r="AI845" s="21" t="n"/>
      <c r="AJ845" s="11">
        <f>IF(A845="","",IF(COUNT(I845)=0,"Enter approved NTE",IF(COUNT(Z845)&gt;0,IF(Z845&gt;I845,"Invoice exceeds NTE","Invoice within NTE"),IF(COUNT(L845)=0,"Enter quote inputs",IF(L845&gt;I845,"Quote exceeds NTE","Quote within NTE")))))</f>
        <v/>
      </c>
      <c r="AK845" s="11">
        <f>IF(A845="","",IF(COUNT(H845)=0,"Enter direct cost",IF(COUNT(Z845)=0,"Enter invoice revenue",IF(COUNT(AB845:AD845)&lt;3,"Enter expenses (0 if none)","Complete"))))</f>
        <v/>
      </c>
      <c r="AL845" s="11">
        <f>IF(A845="","",IF(NOT(AND(COUNT(AH845)=1,N(AH845)&gt;0.004,V845&lt;&gt;"Void",V845&lt;&gt;"Not invoiced",V845&lt;&gt;"Draft")),"",IF(COUNT(X845)=0,"No due date",IF(TODAY()-X845&lt;=0,"Not yet due",IF(TODAY()-X845&lt;=30,"1-30 days",IF(TODAY()-X845&lt;=60,"31-60 days",IF(TODAY()-X845&lt;=90,"61-90 days","Over 90 days")))))))</f>
        <v/>
      </c>
      <c r="AM845" s="49">
        <f>IF(OR(AL845="",AL845="No due date"),"",MAX(TODAY()-X845,0))</f>
        <v/>
      </c>
      <c r="AN845" s="49">
        <f>IF(AL845="","",IF(COUNT(X845)=0,-100000,TODAY()-X845))</f>
        <v/>
      </c>
      <c r="AO845" s="49">
        <f>IF(AN845="","",COUNTIF(AN$11:AN$1010,"&gt;"&amp;AN845)+COUNTIF(AN$11:AN845,AN845))</f>
        <v/>
      </c>
      <c r="AP845" s="49">
        <f>IF(OR(A845="",B845=""),"",IF(COUNTIF(B$11:B845,B845)=1,MAX(AP$10:AP844)+1,""))</f>
        <v/>
      </c>
    </row>
    <row r="846">
      <c r="A846" s="20" t="n"/>
      <c r="B846" s="10" t="n"/>
      <c r="C846" s="10" t="n"/>
      <c r="D846" s="10" t="n"/>
      <c r="E846" s="10" t="n"/>
      <c r="F846" s="18" t="n"/>
      <c r="G846" s="10" t="n"/>
      <c r="H846" s="12" t="n"/>
      <c r="I846" s="12" t="n"/>
      <c r="J846" s="13">
        <f>IF(OR(A846="",COUNT(H846)=0,COUNT(Z846)=0),"",ROUND(Z846-H846,2))</f>
        <v/>
      </c>
      <c r="K846" s="15">
        <f>IF(COUNT(J846)=0,"",IF(Z846=0,"n.a.",J846/Z846))</f>
        <v/>
      </c>
      <c r="L846" s="14">
        <f>IF(OR(A846="",COUNT(H846)=0,COUNT(Y846)=0),"",ROUND(H846*(1+Y846),2))</f>
        <v/>
      </c>
      <c r="M846" s="10" t="n"/>
      <c r="N846" s="10" t="n"/>
      <c r="O846" s="10" t="n"/>
      <c r="P846" s="10" t="n"/>
      <c r="Q846" s="20" t="n"/>
      <c r="R846" s="10" t="n"/>
      <c r="S846" s="10" t="n"/>
      <c r="T846" s="18" t="n"/>
      <c r="U846" s="18" t="n"/>
      <c r="V846" s="10" t="n"/>
      <c r="W846" s="10" t="n"/>
      <c r="X846" s="19">
        <f>IF(OR(A846="",COUNT(U846)=0,COUNT(AI846)=0),"",U846+AI846)</f>
        <v/>
      </c>
      <c r="Y846" s="16" t="n"/>
      <c r="Z846" s="12" t="n"/>
      <c r="AA846" s="17">
        <f>IF(COUNT(J846)=0,"",IF(H846=0,"n.a.",J846/H846))</f>
        <v/>
      </c>
      <c r="AB846" s="12" t="n"/>
      <c r="AC846" s="12" t="n"/>
      <c r="AD846" s="12" t="n"/>
      <c r="AE846" s="13">
        <f>IF(OR(COUNT(J846)=0,COUNT(AB846:AD846)&lt;3),"",ROUND(J846-SUM(AB846:AD846),2))</f>
        <v/>
      </c>
      <c r="AF846" s="15">
        <f>IF(COUNT(AE846)=0,"",IF(Z846=0,"n.a.",AE846/Z846))</f>
        <v/>
      </c>
      <c r="AG846" s="12" t="n"/>
      <c r="AH846" s="14">
        <f>IF(OR(A846="",COUNT(Z846)=0,COUNT(AG846)=0),"",ROUND(Z846-AG846,2))</f>
        <v/>
      </c>
      <c r="AI846" s="21" t="n"/>
      <c r="AJ846" s="11">
        <f>IF(A846="","",IF(COUNT(I846)=0,"Enter approved NTE",IF(COUNT(Z846)&gt;0,IF(Z846&gt;I846,"Invoice exceeds NTE","Invoice within NTE"),IF(COUNT(L846)=0,"Enter quote inputs",IF(L846&gt;I846,"Quote exceeds NTE","Quote within NTE")))))</f>
        <v/>
      </c>
      <c r="AK846" s="11">
        <f>IF(A846="","",IF(COUNT(H846)=0,"Enter direct cost",IF(COUNT(Z846)=0,"Enter invoice revenue",IF(COUNT(AB846:AD846)&lt;3,"Enter expenses (0 if none)","Complete"))))</f>
        <v/>
      </c>
      <c r="AL846" s="11">
        <f>IF(A846="","",IF(NOT(AND(COUNT(AH846)=1,N(AH846)&gt;0.004,V846&lt;&gt;"Void",V846&lt;&gt;"Not invoiced",V846&lt;&gt;"Draft")),"",IF(COUNT(X846)=0,"No due date",IF(TODAY()-X846&lt;=0,"Not yet due",IF(TODAY()-X846&lt;=30,"1-30 days",IF(TODAY()-X846&lt;=60,"31-60 days",IF(TODAY()-X846&lt;=90,"61-90 days","Over 90 days")))))))</f>
        <v/>
      </c>
      <c r="AM846" s="49">
        <f>IF(OR(AL846="",AL846="No due date"),"",MAX(TODAY()-X846,0))</f>
        <v/>
      </c>
      <c r="AN846" s="49">
        <f>IF(AL846="","",IF(COUNT(X846)=0,-100000,TODAY()-X846))</f>
        <v/>
      </c>
      <c r="AO846" s="49">
        <f>IF(AN846="","",COUNTIF(AN$11:AN$1010,"&gt;"&amp;AN846)+COUNTIF(AN$11:AN846,AN846))</f>
        <v/>
      </c>
      <c r="AP846" s="49">
        <f>IF(OR(A846="",B846=""),"",IF(COUNTIF(B$11:B846,B846)=1,MAX(AP$10:AP845)+1,""))</f>
        <v/>
      </c>
    </row>
    <row r="847">
      <c r="A847" s="20" t="n"/>
      <c r="B847" s="10" t="n"/>
      <c r="C847" s="10" t="n"/>
      <c r="D847" s="10" t="n"/>
      <c r="E847" s="10" t="n"/>
      <c r="F847" s="18" t="n"/>
      <c r="G847" s="10" t="n"/>
      <c r="H847" s="12" t="n"/>
      <c r="I847" s="12" t="n"/>
      <c r="J847" s="13">
        <f>IF(OR(A847="",COUNT(H847)=0,COUNT(Z847)=0),"",ROUND(Z847-H847,2))</f>
        <v/>
      </c>
      <c r="K847" s="15">
        <f>IF(COUNT(J847)=0,"",IF(Z847=0,"n.a.",J847/Z847))</f>
        <v/>
      </c>
      <c r="L847" s="14">
        <f>IF(OR(A847="",COUNT(H847)=0,COUNT(Y847)=0),"",ROUND(H847*(1+Y847),2))</f>
        <v/>
      </c>
      <c r="M847" s="10" t="n"/>
      <c r="N847" s="10" t="n"/>
      <c r="O847" s="10" t="n"/>
      <c r="P847" s="10" t="n"/>
      <c r="Q847" s="20" t="n"/>
      <c r="R847" s="10" t="n"/>
      <c r="S847" s="10" t="n"/>
      <c r="T847" s="18" t="n"/>
      <c r="U847" s="18" t="n"/>
      <c r="V847" s="10" t="n"/>
      <c r="W847" s="10" t="n"/>
      <c r="X847" s="19">
        <f>IF(OR(A847="",COUNT(U847)=0,COUNT(AI847)=0),"",U847+AI847)</f>
        <v/>
      </c>
      <c r="Y847" s="16" t="n"/>
      <c r="Z847" s="12" t="n"/>
      <c r="AA847" s="17">
        <f>IF(COUNT(J847)=0,"",IF(H847=0,"n.a.",J847/H847))</f>
        <v/>
      </c>
      <c r="AB847" s="12" t="n"/>
      <c r="AC847" s="12" t="n"/>
      <c r="AD847" s="12" t="n"/>
      <c r="AE847" s="13">
        <f>IF(OR(COUNT(J847)=0,COUNT(AB847:AD847)&lt;3),"",ROUND(J847-SUM(AB847:AD847),2))</f>
        <v/>
      </c>
      <c r="AF847" s="15">
        <f>IF(COUNT(AE847)=0,"",IF(Z847=0,"n.a.",AE847/Z847))</f>
        <v/>
      </c>
      <c r="AG847" s="12" t="n"/>
      <c r="AH847" s="14">
        <f>IF(OR(A847="",COUNT(Z847)=0,COUNT(AG847)=0),"",ROUND(Z847-AG847,2))</f>
        <v/>
      </c>
      <c r="AI847" s="21" t="n"/>
      <c r="AJ847" s="11">
        <f>IF(A847="","",IF(COUNT(I847)=0,"Enter approved NTE",IF(COUNT(Z847)&gt;0,IF(Z847&gt;I847,"Invoice exceeds NTE","Invoice within NTE"),IF(COUNT(L847)=0,"Enter quote inputs",IF(L847&gt;I847,"Quote exceeds NTE","Quote within NTE")))))</f>
        <v/>
      </c>
      <c r="AK847" s="11">
        <f>IF(A847="","",IF(COUNT(H847)=0,"Enter direct cost",IF(COUNT(Z847)=0,"Enter invoice revenue",IF(COUNT(AB847:AD847)&lt;3,"Enter expenses (0 if none)","Complete"))))</f>
        <v/>
      </c>
      <c r="AL847" s="11">
        <f>IF(A847="","",IF(NOT(AND(COUNT(AH847)=1,N(AH847)&gt;0.004,V847&lt;&gt;"Void",V847&lt;&gt;"Not invoiced",V847&lt;&gt;"Draft")),"",IF(COUNT(X847)=0,"No due date",IF(TODAY()-X847&lt;=0,"Not yet due",IF(TODAY()-X847&lt;=30,"1-30 days",IF(TODAY()-X847&lt;=60,"31-60 days",IF(TODAY()-X847&lt;=90,"61-90 days","Over 90 days")))))))</f>
        <v/>
      </c>
      <c r="AM847" s="49">
        <f>IF(OR(AL847="",AL847="No due date"),"",MAX(TODAY()-X847,0))</f>
        <v/>
      </c>
      <c r="AN847" s="49">
        <f>IF(AL847="","",IF(COUNT(X847)=0,-100000,TODAY()-X847))</f>
        <v/>
      </c>
      <c r="AO847" s="49">
        <f>IF(AN847="","",COUNTIF(AN$11:AN$1010,"&gt;"&amp;AN847)+COUNTIF(AN$11:AN847,AN847))</f>
        <v/>
      </c>
      <c r="AP847" s="49">
        <f>IF(OR(A847="",B847=""),"",IF(COUNTIF(B$11:B847,B847)=1,MAX(AP$10:AP846)+1,""))</f>
        <v/>
      </c>
    </row>
    <row r="848">
      <c r="A848" s="20" t="n"/>
      <c r="B848" s="10" t="n"/>
      <c r="C848" s="10" t="n"/>
      <c r="D848" s="10" t="n"/>
      <c r="E848" s="10" t="n"/>
      <c r="F848" s="18" t="n"/>
      <c r="G848" s="10" t="n"/>
      <c r="H848" s="12" t="n"/>
      <c r="I848" s="12" t="n"/>
      <c r="J848" s="13">
        <f>IF(OR(A848="",COUNT(H848)=0,COUNT(Z848)=0),"",ROUND(Z848-H848,2))</f>
        <v/>
      </c>
      <c r="K848" s="15">
        <f>IF(COUNT(J848)=0,"",IF(Z848=0,"n.a.",J848/Z848))</f>
        <v/>
      </c>
      <c r="L848" s="14">
        <f>IF(OR(A848="",COUNT(H848)=0,COUNT(Y848)=0),"",ROUND(H848*(1+Y848),2))</f>
        <v/>
      </c>
      <c r="M848" s="10" t="n"/>
      <c r="N848" s="10" t="n"/>
      <c r="O848" s="10" t="n"/>
      <c r="P848" s="10" t="n"/>
      <c r="Q848" s="20" t="n"/>
      <c r="R848" s="10" t="n"/>
      <c r="S848" s="10" t="n"/>
      <c r="T848" s="18" t="n"/>
      <c r="U848" s="18" t="n"/>
      <c r="V848" s="10" t="n"/>
      <c r="W848" s="10" t="n"/>
      <c r="X848" s="19">
        <f>IF(OR(A848="",COUNT(U848)=0,COUNT(AI848)=0),"",U848+AI848)</f>
        <v/>
      </c>
      <c r="Y848" s="16" t="n"/>
      <c r="Z848" s="12" t="n"/>
      <c r="AA848" s="17">
        <f>IF(COUNT(J848)=0,"",IF(H848=0,"n.a.",J848/H848))</f>
        <v/>
      </c>
      <c r="AB848" s="12" t="n"/>
      <c r="AC848" s="12" t="n"/>
      <c r="AD848" s="12" t="n"/>
      <c r="AE848" s="13">
        <f>IF(OR(COUNT(J848)=0,COUNT(AB848:AD848)&lt;3),"",ROUND(J848-SUM(AB848:AD848),2))</f>
        <v/>
      </c>
      <c r="AF848" s="15">
        <f>IF(COUNT(AE848)=0,"",IF(Z848=0,"n.a.",AE848/Z848))</f>
        <v/>
      </c>
      <c r="AG848" s="12" t="n"/>
      <c r="AH848" s="14">
        <f>IF(OR(A848="",COUNT(Z848)=0,COUNT(AG848)=0),"",ROUND(Z848-AG848,2))</f>
        <v/>
      </c>
      <c r="AI848" s="21" t="n"/>
      <c r="AJ848" s="11">
        <f>IF(A848="","",IF(COUNT(I848)=0,"Enter approved NTE",IF(COUNT(Z848)&gt;0,IF(Z848&gt;I848,"Invoice exceeds NTE","Invoice within NTE"),IF(COUNT(L848)=0,"Enter quote inputs",IF(L848&gt;I848,"Quote exceeds NTE","Quote within NTE")))))</f>
        <v/>
      </c>
      <c r="AK848" s="11">
        <f>IF(A848="","",IF(COUNT(H848)=0,"Enter direct cost",IF(COUNT(Z848)=0,"Enter invoice revenue",IF(COUNT(AB848:AD848)&lt;3,"Enter expenses (0 if none)","Complete"))))</f>
        <v/>
      </c>
      <c r="AL848" s="11">
        <f>IF(A848="","",IF(NOT(AND(COUNT(AH848)=1,N(AH848)&gt;0.004,V848&lt;&gt;"Void",V848&lt;&gt;"Not invoiced",V848&lt;&gt;"Draft")),"",IF(COUNT(X848)=0,"No due date",IF(TODAY()-X848&lt;=0,"Not yet due",IF(TODAY()-X848&lt;=30,"1-30 days",IF(TODAY()-X848&lt;=60,"31-60 days",IF(TODAY()-X848&lt;=90,"61-90 days","Over 90 days")))))))</f>
        <v/>
      </c>
      <c r="AM848" s="49">
        <f>IF(OR(AL848="",AL848="No due date"),"",MAX(TODAY()-X848,0))</f>
        <v/>
      </c>
      <c r="AN848" s="49">
        <f>IF(AL848="","",IF(COUNT(X848)=0,-100000,TODAY()-X848))</f>
        <v/>
      </c>
      <c r="AO848" s="49">
        <f>IF(AN848="","",COUNTIF(AN$11:AN$1010,"&gt;"&amp;AN848)+COUNTIF(AN$11:AN848,AN848))</f>
        <v/>
      </c>
      <c r="AP848" s="49">
        <f>IF(OR(A848="",B848=""),"",IF(COUNTIF(B$11:B848,B848)=1,MAX(AP$10:AP847)+1,""))</f>
        <v/>
      </c>
    </row>
    <row r="849">
      <c r="A849" s="20" t="n"/>
      <c r="B849" s="10" t="n"/>
      <c r="C849" s="10" t="n"/>
      <c r="D849" s="10" t="n"/>
      <c r="E849" s="10" t="n"/>
      <c r="F849" s="18" t="n"/>
      <c r="G849" s="10" t="n"/>
      <c r="H849" s="12" t="n"/>
      <c r="I849" s="12" t="n"/>
      <c r="J849" s="13">
        <f>IF(OR(A849="",COUNT(H849)=0,COUNT(Z849)=0),"",ROUND(Z849-H849,2))</f>
        <v/>
      </c>
      <c r="K849" s="15">
        <f>IF(COUNT(J849)=0,"",IF(Z849=0,"n.a.",J849/Z849))</f>
        <v/>
      </c>
      <c r="L849" s="14">
        <f>IF(OR(A849="",COUNT(H849)=0,COUNT(Y849)=0),"",ROUND(H849*(1+Y849),2))</f>
        <v/>
      </c>
      <c r="M849" s="10" t="n"/>
      <c r="N849" s="10" t="n"/>
      <c r="O849" s="10" t="n"/>
      <c r="P849" s="10" t="n"/>
      <c r="Q849" s="20" t="n"/>
      <c r="R849" s="10" t="n"/>
      <c r="S849" s="10" t="n"/>
      <c r="T849" s="18" t="n"/>
      <c r="U849" s="18" t="n"/>
      <c r="V849" s="10" t="n"/>
      <c r="W849" s="10" t="n"/>
      <c r="X849" s="19">
        <f>IF(OR(A849="",COUNT(U849)=0,COUNT(AI849)=0),"",U849+AI849)</f>
        <v/>
      </c>
      <c r="Y849" s="16" t="n"/>
      <c r="Z849" s="12" t="n"/>
      <c r="AA849" s="17">
        <f>IF(COUNT(J849)=0,"",IF(H849=0,"n.a.",J849/H849))</f>
        <v/>
      </c>
      <c r="AB849" s="12" t="n"/>
      <c r="AC849" s="12" t="n"/>
      <c r="AD849" s="12" t="n"/>
      <c r="AE849" s="13">
        <f>IF(OR(COUNT(J849)=0,COUNT(AB849:AD849)&lt;3),"",ROUND(J849-SUM(AB849:AD849),2))</f>
        <v/>
      </c>
      <c r="AF849" s="15">
        <f>IF(COUNT(AE849)=0,"",IF(Z849=0,"n.a.",AE849/Z849))</f>
        <v/>
      </c>
      <c r="AG849" s="12" t="n"/>
      <c r="AH849" s="14">
        <f>IF(OR(A849="",COUNT(Z849)=0,COUNT(AG849)=0),"",ROUND(Z849-AG849,2))</f>
        <v/>
      </c>
      <c r="AI849" s="21" t="n"/>
      <c r="AJ849" s="11">
        <f>IF(A849="","",IF(COUNT(I849)=0,"Enter approved NTE",IF(COUNT(Z849)&gt;0,IF(Z849&gt;I849,"Invoice exceeds NTE","Invoice within NTE"),IF(COUNT(L849)=0,"Enter quote inputs",IF(L849&gt;I849,"Quote exceeds NTE","Quote within NTE")))))</f>
        <v/>
      </c>
      <c r="AK849" s="11">
        <f>IF(A849="","",IF(COUNT(H849)=0,"Enter direct cost",IF(COUNT(Z849)=0,"Enter invoice revenue",IF(COUNT(AB849:AD849)&lt;3,"Enter expenses (0 if none)","Complete"))))</f>
        <v/>
      </c>
      <c r="AL849" s="11">
        <f>IF(A849="","",IF(NOT(AND(COUNT(AH849)=1,N(AH849)&gt;0.004,V849&lt;&gt;"Void",V849&lt;&gt;"Not invoiced",V849&lt;&gt;"Draft")),"",IF(COUNT(X849)=0,"No due date",IF(TODAY()-X849&lt;=0,"Not yet due",IF(TODAY()-X849&lt;=30,"1-30 days",IF(TODAY()-X849&lt;=60,"31-60 days",IF(TODAY()-X849&lt;=90,"61-90 days","Over 90 days")))))))</f>
        <v/>
      </c>
      <c r="AM849" s="49">
        <f>IF(OR(AL849="",AL849="No due date"),"",MAX(TODAY()-X849,0))</f>
        <v/>
      </c>
      <c r="AN849" s="49">
        <f>IF(AL849="","",IF(COUNT(X849)=0,-100000,TODAY()-X849))</f>
        <v/>
      </c>
      <c r="AO849" s="49">
        <f>IF(AN849="","",COUNTIF(AN$11:AN$1010,"&gt;"&amp;AN849)+COUNTIF(AN$11:AN849,AN849))</f>
        <v/>
      </c>
      <c r="AP849" s="49">
        <f>IF(OR(A849="",B849=""),"",IF(COUNTIF(B$11:B849,B849)=1,MAX(AP$10:AP848)+1,""))</f>
        <v/>
      </c>
    </row>
    <row r="850">
      <c r="A850" s="20" t="n"/>
      <c r="B850" s="10" t="n"/>
      <c r="C850" s="10" t="n"/>
      <c r="D850" s="10" t="n"/>
      <c r="E850" s="10" t="n"/>
      <c r="F850" s="18" t="n"/>
      <c r="G850" s="10" t="n"/>
      <c r="H850" s="12" t="n"/>
      <c r="I850" s="12" t="n"/>
      <c r="J850" s="13">
        <f>IF(OR(A850="",COUNT(H850)=0,COUNT(Z850)=0),"",ROUND(Z850-H850,2))</f>
        <v/>
      </c>
      <c r="K850" s="15">
        <f>IF(COUNT(J850)=0,"",IF(Z850=0,"n.a.",J850/Z850))</f>
        <v/>
      </c>
      <c r="L850" s="14">
        <f>IF(OR(A850="",COUNT(H850)=0,COUNT(Y850)=0),"",ROUND(H850*(1+Y850),2))</f>
        <v/>
      </c>
      <c r="M850" s="10" t="n"/>
      <c r="N850" s="10" t="n"/>
      <c r="O850" s="10" t="n"/>
      <c r="P850" s="10" t="n"/>
      <c r="Q850" s="20" t="n"/>
      <c r="R850" s="10" t="n"/>
      <c r="S850" s="10" t="n"/>
      <c r="T850" s="18" t="n"/>
      <c r="U850" s="18" t="n"/>
      <c r="V850" s="10" t="n"/>
      <c r="W850" s="10" t="n"/>
      <c r="X850" s="19">
        <f>IF(OR(A850="",COUNT(U850)=0,COUNT(AI850)=0),"",U850+AI850)</f>
        <v/>
      </c>
      <c r="Y850" s="16" t="n"/>
      <c r="Z850" s="12" t="n"/>
      <c r="AA850" s="17">
        <f>IF(COUNT(J850)=0,"",IF(H850=0,"n.a.",J850/H850))</f>
        <v/>
      </c>
      <c r="AB850" s="12" t="n"/>
      <c r="AC850" s="12" t="n"/>
      <c r="AD850" s="12" t="n"/>
      <c r="AE850" s="13">
        <f>IF(OR(COUNT(J850)=0,COUNT(AB850:AD850)&lt;3),"",ROUND(J850-SUM(AB850:AD850),2))</f>
        <v/>
      </c>
      <c r="AF850" s="15">
        <f>IF(COUNT(AE850)=0,"",IF(Z850=0,"n.a.",AE850/Z850))</f>
        <v/>
      </c>
      <c r="AG850" s="12" t="n"/>
      <c r="AH850" s="14">
        <f>IF(OR(A850="",COUNT(Z850)=0,COUNT(AG850)=0),"",ROUND(Z850-AG850,2))</f>
        <v/>
      </c>
      <c r="AI850" s="21" t="n"/>
      <c r="AJ850" s="11">
        <f>IF(A850="","",IF(COUNT(I850)=0,"Enter approved NTE",IF(COUNT(Z850)&gt;0,IF(Z850&gt;I850,"Invoice exceeds NTE","Invoice within NTE"),IF(COUNT(L850)=0,"Enter quote inputs",IF(L850&gt;I850,"Quote exceeds NTE","Quote within NTE")))))</f>
        <v/>
      </c>
      <c r="AK850" s="11">
        <f>IF(A850="","",IF(COUNT(H850)=0,"Enter direct cost",IF(COUNT(Z850)=0,"Enter invoice revenue",IF(COUNT(AB850:AD850)&lt;3,"Enter expenses (0 if none)","Complete"))))</f>
        <v/>
      </c>
      <c r="AL850" s="11">
        <f>IF(A850="","",IF(NOT(AND(COUNT(AH850)=1,N(AH850)&gt;0.004,V850&lt;&gt;"Void",V850&lt;&gt;"Not invoiced",V850&lt;&gt;"Draft")),"",IF(COUNT(X850)=0,"No due date",IF(TODAY()-X850&lt;=0,"Not yet due",IF(TODAY()-X850&lt;=30,"1-30 days",IF(TODAY()-X850&lt;=60,"31-60 days",IF(TODAY()-X850&lt;=90,"61-90 days","Over 90 days")))))))</f>
        <v/>
      </c>
      <c r="AM850" s="49">
        <f>IF(OR(AL850="",AL850="No due date"),"",MAX(TODAY()-X850,0))</f>
        <v/>
      </c>
      <c r="AN850" s="49">
        <f>IF(AL850="","",IF(COUNT(X850)=0,-100000,TODAY()-X850))</f>
        <v/>
      </c>
      <c r="AO850" s="49">
        <f>IF(AN850="","",COUNTIF(AN$11:AN$1010,"&gt;"&amp;AN850)+COUNTIF(AN$11:AN850,AN850))</f>
        <v/>
      </c>
      <c r="AP850" s="49">
        <f>IF(OR(A850="",B850=""),"",IF(COUNTIF(B$11:B850,B850)=1,MAX(AP$10:AP849)+1,""))</f>
        <v/>
      </c>
    </row>
    <row r="851">
      <c r="A851" s="20" t="n"/>
      <c r="B851" s="10" t="n"/>
      <c r="C851" s="10" t="n"/>
      <c r="D851" s="10" t="n"/>
      <c r="E851" s="10" t="n"/>
      <c r="F851" s="18" t="n"/>
      <c r="G851" s="10" t="n"/>
      <c r="H851" s="12" t="n"/>
      <c r="I851" s="12" t="n"/>
      <c r="J851" s="13">
        <f>IF(OR(A851="",COUNT(H851)=0,COUNT(Z851)=0),"",ROUND(Z851-H851,2))</f>
        <v/>
      </c>
      <c r="K851" s="15">
        <f>IF(COUNT(J851)=0,"",IF(Z851=0,"n.a.",J851/Z851))</f>
        <v/>
      </c>
      <c r="L851" s="14">
        <f>IF(OR(A851="",COUNT(H851)=0,COUNT(Y851)=0),"",ROUND(H851*(1+Y851),2))</f>
        <v/>
      </c>
      <c r="M851" s="10" t="n"/>
      <c r="N851" s="10" t="n"/>
      <c r="O851" s="10" t="n"/>
      <c r="P851" s="10" t="n"/>
      <c r="Q851" s="20" t="n"/>
      <c r="R851" s="10" t="n"/>
      <c r="S851" s="10" t="n"/>
      <c r="T851" s="18" t="n"/>
      <c r="U851" s="18" t="n"/>
      <c r="V851" s="10" t="n"/>
      <c r="W851" s="10" t="n"/>
      <c r="X851" s="19">
        <f>IF(OR(A851="",COUNT(U851)=0,COUNT(AI851)=0),"",U851+AI851)</f>
        <v/>
      </c>
      <c r="Y851" s="16" t="n"/>
      <c r="Z851" s="12" t="n"/>
      <c r="AA851" s="17">
        <f>IF(COUNT(J851)=0,"",IF(H851=0,"n.a.",J851/H851))</f>
        <v/>
      </c>
      <c r="AB851" s="12" t="n"/>
      <c r="AC851" s="12" t="n"/>
      <c r="AD851" s="12" t="n"/>
      <c r="AE851" s="13">
        <f>IF(OR(COUNT(J851)=0,COUNT(AB851:AD851)&lt;3),"",ROUND(J851-SUM(AB851:AD851),2))</f>
        <v/>
      </c>
      <c r="AF851" s="15">
        <f>IF(COUNT(AE851)=0,"",IF(Z851=0,"n.a.",AE851/Z851))</f>
        <v/>
      </c>
      <c r="AG851" s="12" t="n"/>
      <c r="AH851" s="14">
        <f>IF(OR(A851="",COUNT(Z851)=0,COUNT(AG851)=0),"",ROUND(Z851-AG851,2))</f>
        <v/>
      </c>
      <c r="AI851" s="21" t="n"/>
      <c r="AJ851" s="11">
        <f>IF(A851="","",IF(COUNT(I851)=0,"Enter approved NTE",IF(COUNT(Z851)&gt;0,IF(Z851&gt;I851,"Invoice exceeds NTE","Invoice within NTE"),IF(COUNT(L851)=0,"Enter quote inputs",IF(L851&gt;I851,"Quote exceeds NTE","Quote within NTE")))))</f>
        <v/>
      </c>
      <c r="AK851" s="11">
        <f>IF(A851="","",IF(COUNT(H851)=0,"Enter direct cost",IF(COUNT(Z851)=0,"Enter invoice revenue",IF(COUNT(AB851:AD851)&lt;3,"Enter expenses (0 if none)","Complete"))))</f>
        <v/>
      </c>
      <c r="AL851" s="11">
        <f>IF(A851="","",IF(NOT(AND(COUNT(AH851)=1,N(AH851)&gt;0.004,V851&lt;&gt;"Void",V851&lt;&gt;"Not invoiced",V851&lt;&gt;"Draft")),"",IF(COUNT(X851)=0,"No due date",IF(TODAY()-X851&lt;=0,"Not yet due",IF(TODAY()-X851&lt;=30,"1-30 days",IF(TODAY()-X851&lt;=60,"31-60 days",IF(TODAY()-X851&lt;=90,"61-90 days","Over 90 days")))))))</f>
        <v/>
      </c>
      <c r="AM851" s="49">
        <f>IF(OR(AL851="",AL851="No due date"),"",MAX(TODAY()-X851,0))</f>
        <v/>
      </c>
      <c r="AN851" s="49">
        <f>IF(AL851="","",IF(COUNT(X851)=0,-100000,TODAY()-X851))</f>
        <v/>
      </c>
      <c r="AO851" s="49">
        <f>IF(AN851="","",COUNTIF(AN$11:AN$1010,"&gt;"&amp;AN851)+COUNTIF(AN$11:AN851,AN851))</f>
        <v/>
      </c>
      <c r="AP851" s="49">
        <f>IF(OR(A851="",B851=""),"",IF(COUNTIF(B$11:B851,B851)=1,MAX(AP$10:AP850)+1,""))</f>
        <v/>
      </c>
    </row>
    <row r="852">
      <c r="A852" s="20" t="n"/>
      <c r="B852" s="10" t="n"/>
      <c r="C852" s="10" t="n"/>
      <c r="D852" s="10" t="n"/>
      <c r="E852" s="10" t="n"/>
      <c r="F852" s="18" t="n"/>
      <c r="G852" s="10" t="n"/>
      <c r="H852" s="12" t="n"/>
      <c r="I852" s="12" t="n"/>
      <c r="J852" s="13">
        <f>IF(OR(A852="",COUNT(H852)=0,COUNT(Z852)=0),"",ROUND(Z852-H852,2))</f>
        <v/>
      </c>
      <c r="K852" s="15">
        <f>IF(COUNT(J852)=0,"",IF(Z852=0,"n.a.",J852/Z852))</f>
        <v/>
      </c>
      <c r="L852" s="14">
        <f>IF(OR(A852="",COUNT(H852)=0,COUNT(Y852)=0),"",ROUND(H852*(1+Y852),2))</f>
        <v/>
      </c>
      <c r="M852" s="10" t="n"/>
      <c r="N852" s="10" t="n"/>
      <c r="O852" s="10" t="n"/>
      <c r="P852" s="10" t="n"/>
      <c r="Q852" s="20" t="n"/>
      <c r="R852" s="10" t="n"/>
      <c r="S852" s="10" t="n"/>
      <c r="T852" s="18" t="n"/>
      <c r="U852" s="18" t="n"/>
      <c r="V852" s="10" t="n"/>
      <c r="W852" s="10" t="n"/>
      <c r="X852" s="19">
        <f>IF(OR(A852="",COUNT(U852)=0,COUNT(AI852)=0),"",U852+AI852)</f>
        <v/>
      </c>
      <c r="Y852" s="16" t="n"/>
      <c r="Z852" s="12" t="n"/>
      <c r="AA852" s="17">
        <f>IF(COUNT(J852)=0,"",IF(H852=0,"n.a.",J852/H852))</f>
        <v/>
      </c>
      <c r="AB852" s="12" t="n"/>
      <c r="AC852" s="12" t="n"/>
      <c r="AD852" s="12" t="n"/>
      <c r="AE852" s="13">
        <f>IF(OR(COUNT(J852)=0,COUNT(AB852:AD852)&lt;3),"",ROUND(J852-SUM(AB852:AD852),2))</f>
        <v/>
      </c>
      <c r="AF852" s="15">
        <f>IF(COUNT(AE852)=0,"",IF(Z852=0,"n.a.",AE852/Z852))</f>
        <v/>
      </c>
      <c r="AG852" s="12" t="n"/>
      <c r="AH852" s="14">
        <f>IF(OR(A852="",COUNT(Z852)=0,COUNT(AG852)=0),"",ROUND(Z852-AG852,2))</f>
        <v/>
      </c>
      <c r="AI852" s="21" t="n"/>
      <c r="AJ852" s="11">
        <f>IF(A852="","",IF(COUNT(I852)=0,"Enter approved NTE",IF(COUNT(Z852)&gt;0,IF(Z852&gt;I852,"Invoice exceeds NTE","Invoice within NTE"),IF(COUNT(L852)=0,"Enter quote inputs",IF(L852&gt;I852,"Quote exceeds NTE","Quote within NTE")))))</f>
        <v/>
      </c>
      <c r="AK852" s="11">
        <f>IF(A852="","",IF(COUNT(H852)=0,"Enter direct cost",IF(COUNT(Z852)=0,"Enter invoice revenue",IF(COUNT(AB852:AD852)&lt;3,"Enter expenses (0 if none)","Complete"))))</f>
        <v/>
      </c>
      <c r="AL852" s="11">
        <f>IF(A852="","",IF(NOT(AND(COUNT(AH852)=1,N(AH852)&gt;0.004,V852&lt;&gt;"Void",V852&lt;&gt;"Not invoiced",V852&lt;&gt;"Draft")),"",IF(COUNT(X852)=0,"No due date",IF(TODAY()-X852&lt;=0,"Not yet due",IF(TODAY()-X852&lt;=30,"1-30 days",IF(TODAY()-X852&lt;=60,"31-60 days",IF(TODAY()-X852&lt;=90,"61-90 days","Over 90 days")))))))</f>
        <v/>
      </c>
      <c r="AM852" s="49">
        <f>IF(OR(AL852="",AL852="No due date"),"",MAX(TODAY()-X852,0))</f>
        <v/>
      </c>
      <c r="AN852" s="49">
        <f>IF(AL852="","",IF(COUNT(X852)=0,-100000,TODAY()-X852))</f>
        <v/>
      </c>
      <c r="AO852" s="49">
        <f>IF(AN852="","",COUNTIF(AN$11:AN$1010,"&gt;"&amp;AN852)+COUNTIF(AN$11:AN852,AN852))</f>
        <v/>
      </c>
      <c r="AP852" s="49">
        <f>IF(OR(A852="",B852=""),"",IF(COUNTIF(B$11:B852,B852)=1,MAX(AP$10:AP851)+1,""))</f>
        <v/>
      </c>
    </row>
    <row r="853">
      <c r="A853" s="20" t="n"/>
      <c r="B853" s="10" t="n"/>
      <c r="C853" s="10" t="n"/>
      <c r="D853" s="10" t="n"/>
      <c r="E853" s="10" t="n"/>
      <c r="F853" s="18" t="n"/>
      <c r="G853" s="10" t="n"/>
      <c r="H853" s="12" t="n"/>
      <c r="I853" s="12" t="n"/>
      <c r="J853" s="13">
        <f>IF(OR(A853="",COUNT(H853)=0,COUNT(Z853)=0),"",ROUND(Z853-H853,2))</f>
        <v/>
      </c>
      <c r="K853" s="15">
        <f>IF(COUNT(J853)=0,"",IF(Z853=0,"n.a.",J853/Z853))</f>
        <v/>
      </c>
      <c r="L853" s="14">
        <f>IF(OR(A853="",COUNT(H853)=0,COUNT(Y853)=0),"",ROUND(H853*(1+Y853),2))</f>
        <v/>
      </c>
      <c r="M853" s="10" t="n"/>
      <c r="N853" s="10" t="n"/>
      <c r="O853" s="10" t="n"/>
      <c r="P853" s="10" t="n"/>
      <c r="Q853" s="20" t="n"/>
      <c r="R853" s="10" t="n"/>
      <c r="S853" s="10" t="n"/>
      <c r="T853" s="18" t="n"/>
      <c r="U853" s="18" t="n"/>
      <c r="V853" s="10" t="n"/>
      <c r="W853" s="10" t="n"/>
      <c r="X853" s="19">
        <f>IF(OR(A853="",COUNT(U853)=0,COUNT(AI853)=0),"",U853+AI853)</f>
        <v/>
      </c>
      <c r="Y853" s="16" t="n"/>
      <c r="Z853" s="12" t="n"/>
      <c r="AA853" s="17">
        <f>IF(COUNT(J853)=0,"",IF(H853=0,"n.a.",J853/H853))</f>
        <v/>
      </c>
      <c r="AB853" s="12" t="n"/>
      <c r="AC853" s="12" t="n"/>
      <c r="AD853" s="12" t="n"/>
      <c r="AE853" s="13">
        <f>IF(OR(COUNT(J853)=0,COUNT(AB853:AD853)&lt;3),"",ROUND(J853-SUM(AB853:AD853),2))</f>
        <v/>
      </c>
      <c r="AF853" s="15">
        <f>IF(COUNT(AE853)=0,"",IF(Z853=0,"n.a.",AE853/Z853))</f>
        <v/>
      </c>
      <c r="AG853" s="12" t="n"/>
      <c r="AH853" s="14">
        <f>IF(OR(A853="",COUNT(Z853)=0,COUNT(AG853)=0),"",ROUND(Z853-AG853,2))</f>
        <v/>
      </c>
      <c r="AI853" s="21" t="n"/>
      <c r="AJ853" s="11">
        <f>IF(A853="","",IF(COUNT(I853)=0,"Enter approved NTE",IF(COUNT(Z853)&gt;0,IF(Z853&gt;I853,"Invoice exceeds NTE","Invoice within NTE"),IF(COUNT(L853)=0,"Enter quote inputs",IF(L853&gt;I853,"Quote exceeds NTE","Quote within NTE")))))</f>
        <v/>
      </c>
      <c r="AK853" s="11">
        <f>IF(A853="","",IF(COUNT(H853)=0,"Enter direct cost",IF(COUNT(Z853)=0,"Enter invoice revenue",IF(COUNT(AB853:AD853)&lt;3,"Enter expenses (0 if none)","Complete"))))</f>
        <v/>
      </c>
      <c r="AL853" s="11">
        <f>IF(A853="","",IF(NOT(AND(COUNT(AH853)=1,N(AH853)&gt;0.004,V853&lt;&gt;"Void",V853&lt;&gt;"Not invoiced",V853&lt;&gt;"Draft")),"",IF(COUNT(X853)=0,"No due date",IF(TODAY()-X853&lt;=0,"Not yet due",IF(TODAY()-X853&lt;=30,"1-30 days",IF(TODAY()-X853&lt;=60,"31-60 days",IF(TODAY()-X853&lt;=90,"61-90 days","Over 90 days")))))))</f>
        <v/>
      </c>
      <c r="AM853" s="49">
        <f>IF(OR(AL853="",AL853="No due date"),"",MAX(TODAY()-X853,0))</f>
        <v/>
      </c>
      <c r="AN853" s="49">
        <f>IF(AL853="","",IF(COUNT(X853)=0,-100000,TODAY()-X853))</f>
        <v/>
      </c>
      <c r="AO853" s="49">
        <f>IF(AN853="","",COUNTIF(AN$11:AN$1010,"&gt;"&amp;AN853)+COUNTIF(AN$11:AN853,AN853))</f>
        <v/>
      </c>
      <c r="AP853" s="49">
        <f>IF(OR(A853="",B853=""),"",IF(COUNTIF(B$11:B853,B853)=1,MAX(AP$10:AP852)+1,""))</f>
        <v/>
      </c>
    </row>
    <row r="854">
      <c r="A854" s="20" t="n"/>
      <c r="B854" s="10" t="n"/>
      <c r="C854" s="10" t="n"/>
      <c r="D854" s="10" t="n"/>
      <c r="E854" s="10" t="n"/>
      <c r="F854" s="18" t="n"/>
      <c r="G854" s="10" t="n"/>
      <c r="H854" s="12" t="n"/>
      <c r="I854" s="12" t="n"/>
      <c r="J854" s="13">
        <f>IF(OR(A854="",COUNT(H854)=0,COUNT(Z854)=0),"",ROUND(Z854-H854,2))</f>
        <v/>
      </c>
      <c r="K854" s="15">
        <f>IF(COUNT(J854)=0,"",IF(Z854=0,"n.a.",J854/Z854))</f>
        <v/>
      </c>
      <c r="L854" s="14">
        <f>IF(OR(A854="",COUNT(H854)=0,COUNT(Y854)=0),"",ROUND(H854*(1+Y854),2))</f>
        <v/>
      </c>
      <c r="M854" s="10" t="n"/>
      <c r="N854" s="10" t="n"/>
      <c r="O854" s="10" t="n"/>
      <c r="P854" s="10" t="n"/>
      <c r="Q854" s="20" t="n"/>
      <c r="R854" s="10" t="n"/>
      <c r="S854" s="10" t="n"/>
      <c r="T854" s="18" t="n"/>
      <c r="U854" s="18" t="n"/>
      <c r="V854" s="10" t="n"/>
      <c r="W854" s="10" t="n"/>
      <c r="X854" s="19">
        <f>IF(OR(A854="",COUNT(U854)=0,COUNT(AI854)=0),"",U854+AI854)</f>
        <v/>
      </c>
      <c r="Y854" s="16" t="n"/>
      <c r="Z854" s="12" t="n"/>
      <c r="AA854" s="17">
        <f>IF(COUNT(J854)=0,"",IF(H854=0,"n.a.",J854/H854))</f>
        <v/>
      </c>
      <c r="AB854" s="12" t="n"/>
      <c r="AC854" s="12" t="n"/>
      <c r="AD854" s="12" t="n"/>
      <c r="AE854" s="13">
        <f>IF(OR(COUNT(J854)=0,COUNT(AB854:AD854)&lt;3),"",ROUND(J854-SUM(AB854:AD854),2))</f>
        <v/>
      </c>
      <c r="AF854" s="15">
        <f>IF(COUNT(AE854)=0,"",IF(Z854=0,"n.a.",AE854/Z854))</f>
        <v/>
      </c>
      <c r="AG854" s="12" t="n"/>
      <c r="AH854" s="14">
        <f>IF(OR(A854="",COUNT(Z854)=0,COUNT(AG854)=0),"",ROUND(Z854-AG854,2))</f>
        <v/>
      </c>
      <c r="AI854" s="21" t="n"/>
      <c r="AJ854" s="11">
        <f>IF(A854="","",IF(COUNT(I854)=0,"Enter approved NTE",IF(COUNT(Z854)&gt;0,IF(Z854&gt;I854,"Invoice exceeds NTE","Invoice within NTE"),IF(COUNT(L854)=0,"Enter quote inputs",IF(L854&gt;I854,"Quote exceeds NTE","Quote within NTE")))))</f>
        <v/>
      </c>
      <c r="AK854" s="11">
        <f>IF(A854="","",IF(COUNT(H854)=0,"Enter direct cost",IF(COUNT(Z854)=0,"Enter invoice revenue",IF(COUNT(AB854:AD854)&lt;3,"Enter expenses (0 if none)","Complete"))))</f>
        <v/>
      </c>
      <c r="AL854" s="11">
        <f>IF(A854="","",IF(NOT(AND(COUNT(AH854)=1,N(AH854)&gt;0.004,V854&lt;&gt;"Void",V854&lt;&gt;"Not invoiced",V854&lt;&gt;"Draft")),"",IF(COUNT(X854)=0,"No due date",IF(TODAY()-X854&lt;=0,"Not yet due",IF(TODAY()-X854&lt;=30,"1-30 days",IF(TODAY()-X854&lt;=60,"31-60 days",IF(TODAY()-X854&lt;=90,"61-90 days","Over 90 days")))))))</f>
        <v/>
      </c>
      <c r="AM854" s="49">
        <f>IF(OR(AL854="",AL854="No due date"),"",MAX(TODAY()-X854,0))</f>
        <v/>
      </c>
      <c r="AN854" s="49">
        <f>IF(AL854="","",IF(COUNT(X854)=0,-100000,TODAY()-X854))</f>
        <v/>
      </c>
      <c r="AO854" s="49">
        <f>IF(AN854="","",COUNTIF(AN$11:AN$1010,"&gt;"&amp;AN854)+COUNTIF(AN$11:AN854,AN854))</f>
        <v/>
      </c>
      <c r="AP854" s="49">
        <f>IF(OR(A854="",B854=""),"",IF(COUNTIF(B$11:B854,B854)=1,MAX(AP$10:AP853)+1,""))</f>
        <v/>
      </c>
    </row>
    <row r="855">
      <c r="A855" s="20" t="n"/>
      <c r="B855" s="10" t="n"/>
      <c r="C855" s="10" t="n"/>
      <c r="D855" s="10" t="n"/>
      <c r="E855" s="10" t="n"/>
      <c r="F855" s="18" t="n"/>
      <c r="G855" s="10" t="n"/>
      <c r="H855" s="12" t="n"/>
      <c r="I855" s="12" t="n"/>
      <c r="J855" s="13">
        <f>IF(OR(A855="",COUNT(H855)=0,COUNT(Z855)=0),"",ROUND(Z855-H855,2))</f>
        <v/>
      </c>
      <c r="K855" s="15">
        <f>IF(COUNT(J855)=0,"",IF(Z855=0,"n.a.",J855/Z855))</f>
        <v/>
      </c>
      <c r="L855" s="14">
        <f>IF(OR(A855="",COUNT(H855)=0,COUNT(Y855)=0),"",ROUND(H855*(1+Y855),2))</f>
        <v/>
      </c>
      <c r="M855" s="10" t="n"/>
      <c r="N855" s="10" t="n"/>
      <c r="O855" s="10" t="n"/>
      <c r="P855" s="10" t="n"/>
      <c r="Q855" s="20" t="n"/>
      <c r="R855" s="10" t="n"/>
      <c r="S855" s="10" t="n"/>
      <c r="T855" s="18" t="n"/>
      <c r="U855" s="18" t="n"/>
      <c r="V855" s="10" t="n"/>
      <c r="W855" s="10" t="n"/>
      <c r="X855" s="19">
        <f>IF(OR(A855="",COUNT(U855)=0,COUNT(AI855)=0),"",U855+AI855)</f>
        <v/>
      </c>
      <c r="Y855" s="16" t="n"/>
      <c r="Z855" s="12" t="n"/>
      <c r="AA855" s="17">
        <f>IF(COUNT(J855)=0,"",IF(H855=0,"n.a.",J855/H855))</f>
        <v/>
      </c>
      <c r="AB855" s="12" t="n"/>
      <c r="AC855" s="12" t="n"/>
      <c r="AD855" s="12" t="n"/>
      <c r="AE855" s="13">
        <f>IF(OR(COUNT(J855)=0,COUNT(AB855:AD855)&lt;3),"",ROUND(J855-SUM(AB855:AD855),2))</f>
        <v/>
      </c>
      <c r="AF855" s="15">
        <f>IF(COUNT(AE855)=0,"",IF(Z855=0,"n.a.",AE855/Z855))</f>
        <v/>
      </c>
      <c r="AG855" s="12" t="n"/>
      <c r="AH855" s="14">
        <f>IF(OR(A855="",COUNT(Z855)=0,COUNT(AG855)=0),"",ROUND(Z855-AG855,2))</f>
        <v/>
      </c>
      <c r="AI855" s="21" t="n"/>
      <c r="AJ855" s="11">
        <f>IF(A855="","",IF(COUNT(I855)=0,"Enter approved NTE",IF(COUNT(Z855)&gt;0,IF(Z855&gt;I855,"Invoice exceeds NTE","Invoice within NTE"),IF(COUNT(L855)=0,"Enter quote inputs",IF(L855&gt;I855,"Quote exceeds NTE","Quote within NTE")))))</f>
        <v/>
      </c>
      <c r="AK855" s="11">
        <f>IF(A855="","",IF(COUNT(H855)=0,"Enter direct cost",IF(COUNT(Z855)=0,"Enter invoice revenue",IF(COUNT(AB855:AD855)&lt;3,"Enter expenses (0 if none)","Complete"))))</f>
        <v/>
      </c>
      <c r="AL855" s="11">
        <f>IF(A855="","",IF(NOT(AND(COUNT(AH855)=1,N(AH855)&gt;0.004,V855&lt;&gt;"Void",V855&lt;&gt;"Not invoiced",V855&lt;&gt;"Draft")),"",IF(COUNT(X855)=0,"No due date",IF(TODAY()-X855&lt;=0,"Not yet due",IF(TODAY()-X855&lt;=30,"1-30 days",IF(TODAY()-X855&lt;=60,"31-60 days",IF(TODAY()-X855&lt;=90,"61-90 days","Over 90 days")))))))</f>
        <v/>
      </c>
      <c r="AM855" s="49">
        <f>IF(OR(AL855="",AL855="No due date"),"",MAX(TODAY()-X855,0))</f>
        <v/>
      </c>
      <c r="AN855" s="49">
        <f>IF(AL855="","",IF(COUNT(X855)=0,-100000,TODAY()-X855))</f>
        <v/>
      </c>
      <c r="AO855" s="49">
        <f>IF(AN855="","",COUNTIF(AN$11:AN$1010,"&gt;"&amp;AN855)+COUNTIF(AN$11:AN855,AN855))</f>
        <v/>
      </c>
      <c r="AP855" s="49">
        <f>IF(OR(A855="",B855=""),"",IF(COUNTIF(B$11:B855,B855)=1,MAX(AP$10:AP854)+1,""))</f>
        <v/>
      </c>
    </row>
    <row r="856">
      <c r="A856" s="20" t="n"/>
      <c r="B856" s="10" t="n"/>
      <c r="C856" s="10" t="n"/>
      <c r="D856" s="10" t="n"/>
      <c r="E856" s="10" t="n"/>
      <c r="F856" s="18" t="n"/>
      <c r="G856" s="10" t="n"/>
      <c r="H856" s="12" t="n"/>
      <c r="I856" s="12" t="n"/>
      <c r="J856" s="13">
        <f>IF(OR(A856="",COUNT(H856)=0,COUNT(Z856)=0),"",ROUND(Z856-H856,2))</f>
        <v/>
      </c>
      <c r="K856" s="15">
        <f>IF(COUNT(J856)=0,"",IF(Z856=0,"n.a.",J856/Z856))</f>
        <v/>
      </c>
      <c r="L856" s="14">
        <f>IF(OR(A856="",COUNT(H856)=0,COUNT(Y856)=0),"",ROUND(H856*(1+Y856),2))</f>
        <v/>
      </c>
      <c r="M856" s="10" t="n"/>
      <c r="N856" s="10" t="n"/>
      <c r="O856" s="10" t="n"/>
      <c r="P856" s="10" t="n"/>
      <c r="Q856" s="20" t="n"/>
      <c r="R856" s="10" t="n"/>
      <c r="S856" s="10" t="n"/>
      <c r="T856" s="18" t="n"/>
      <c r="U856" s="18" t="n"/>
      <c r="V856" s="10" t="n"/>
      <c r="W856" s="10" t="n"/>
      <c r="X856" s="19">
        <f>IF(OR(A856="",COUNT(U856)=0,COUNT(AI856)=0),"",U856+AI856)</f>
        <v/>
      </c>
      <c r="Y856" s="16" t="n"/>
      <c r="Z856" s="12" t="n"/>
      <c r="AA856" s="17">
        <f>IF(COUNT(J856)=0,"",IF(H856=0,"n.a.",J856/H856))</f>
        <v/>
      </c>
      <c r="AB856" s="12" t="n"/>
      <c r="AC856" s="12" t="n"/>
      <c r="AD856" s="12" t="n"/>
      <c r="AE856" s="13">
        <f>IF(OR(COUNT(J856)=0,COUNT(AB856:AD856)&lt;3),"",ROUND(J856-SUM(AB856:AD856),2))</f>
        <v/>
      </c>
      <c r="AF856" s="15">
        <f>IF(COUNT(AE856)=0,"",IF(Z856=0,"n.a.",AE856/Z856))</f>
        <v/>
      </c>
      <c r="AG856" s="12" t="n"/>
      <c r="AH856" s="14">
        <f>IF(OR(A856="",COUNT(Z856)=0,COUNT(AG856)=0),"",ROUND(Z856-AG856,2))</f>
        <v/>
      </c>
      <c r="AI856" s="21" t="n"/>
      <c r="AJ856" s="11">
        <f>IF(A856="","",IF(COUNT(I856)=0,"Enter approved NTE",IF(COUNT(Z856)&gt;0,IF(Z856&gt;I856,"Invoice exceeds NTE","Invoice within NTE"),IF(COUNT(L856)=0,"Enter quote inputs",IF(L856&gt;I856,"Quote exceeds NTE","Quote within NTE")))))</f>
        <v/>
      </c>
      <c r="AK856" s="11">
        <f>IF(A856="","",IF(COUNT(H856)=0,"Enter direct cost",IF(COUNT(Z856)=0,"Enter invoice revenue",IF(COUNT(AB856:AD856)&lt;3,"Enter expenses (0 if none)","Complete"))))</f>
        <v/>
      </c>
      <c r="AL856" s="11">
        <f>IF(A856="","",IF(NOT(AND(COUNT(AH856)=1,N(AH856)&gt;0.004,V856&lt;&gt;"Void",V856&lt;&gt;"Not invoiced",V856&lt;&gt;"Draft")),"",IF(COUNT(X856)=0,"No due date",IF(TODAY()-X856&lt;=0,"Not yet due",IF(TODAY()-X856&lt;=30,"1-30 days",IF(TODAY()-X856&lt;=60,"31-60 days",IF(TODAY()-X856&lt;=90,"61-90 days","Over 90 days")))))))</f>
        <v/>
      </c>
      <c r="AM856" s="49">
        <f>IF(OR(AL856="",AL856="No due date"),"",MAX(TODAY()-X856,0))</f>
        <v/>
      </c>
      <c r="AN856" s="49">
        <f>IF(AL856="","",IF(COUNT(X856)=0,-100000,TODAY()-X856))</f>
        <v/>
      </c>
      <c r="AO856" s="49">
        <f>IF(AN856="","",COUNTIF(AN$11:AN$1010,"&gt;"&amp;AN856)+COUNTIF(AN$11:AN856,AN856))</f>
        <v/>
      </c>
      <c r="AP856" s="49">
        <f>IF(OR(A856="",B856=""),"",IF(COUNTIF(B$11:B856,B856)=1,MAX(AP$10:AP855)+1,""))</f>
        <v/>
      </c>
    </row>
    <row r="857">
      <c r="A857" s="20" t="n"/>
      <c r="B857" s="10" t="n"/>
      <c r="C857" s="10" t="n"/>
      <c r="D857" s="10" t="n"/>
      <c r="E857" s="10" t="n"/>
      <c r="F857" s="18" t="n"/>
      <c r="G857" s="10" t="n"/>
      <c r="H857" s="12" t="n"/>
      <c r="I857" s="12" t="n"/>
      <c r="J857" s="13">
        <f>IF(OR(A857="",COUNT(H857)=0,COUNT(Z857)=0),"",ROUND(Z857-H857,2))</f>
        <v/>
      </c>
      <c r="K857" s="15">
        <f>IF(COUNT(J857)=0,"",IF(Z857=0,"n.a.",J857/Z857))</f>
        <v/>
      </c>
      <c r="L857" s="14">
        <f>IF(OR(A857="",COUNT(H857)=0,COUNT(Y857)=0),"",ROUND(H857*(1+Y857),2))</f>
        <v/>
      </c>
      <c r="M857" s="10" t="n"/>
      <c r="N857" s="10" t="n"/>
      <c r="O857" s="10" t="n"/>
      <c r="P857" s="10" t="n"/>
      <c r="Q857" s="20" t="n"/>
      <c r="R857" s="10" t="n"/>
      <c r="S857" s="10" t="n"/>
      <c r="T857" s="18" t="n"/>
      <c r="U857" s="18" t="n"/>
      <c r="V857" s="10" t="n"/>
      <c r="W857" s="10" t="n"/>
      <c r="X857" s="19">
        <f>IF(OR(A857="",COUNT(U857)=0,COUNT(AI857)=0),"",U857+AI857)</f>
        <v/>
      </c>
      <c r="Y857" s="16" t="n"/>
      <c r="Z857" s="12" t="n"/>
      <c r="AA857" s="17">
        <f>IF(COUNT(J857)=0,"",IF(H857=0,"n.a.",J857/H857))</f>
        <v/>
      </c>
      <c r="AB857" s="12" t="n"/>
      <c r="AC857" s="12" t="n"/>
      <c r="AD857" s="12" t="n"/>
      <c r="AE857" s="13">
        <f>IF(OR(COUNT(J857)=0,COUNT(AB857:AD857)&lt;3),"",ROUND(J857-SUM(AB857:AD857),2))</f>
        <v/>
      </c>
      <c r="AF857" s="15">
        <f>IF(COUNT(AE857)=0,"",IF(Z857=0,"n.a.",AE857/Z857))</f>
        <v/>
      </c>
      <c r="AG857" s="12" t="n"/>
      <c r="AH857" s="14">
        <f>IF(OR(A857="",COUNT(Z857)=0,COUNT(AG857)=0),"",ROUND(Z857-AG857,2))</f>
        <v/>
      </c>
      <c r="AI857" s="21" t="n"/>
      <c r="AJ857" s="11">
        <f>IF(A857="","",IF(COUNT(I857)=0,"Enter approved NTE",IF(COUNT(Z857)&gt;0,IF(Z857&gt;I857,"Invoice exceeds NTE","Invoice within NTE"),IF(COUNT(L857)=0,"Enter quote inputs",IF(L857&gt;I857,"Quote exceeds NTE","Quote within NTE")))))</f>
        <v/>
      </c>
      <c r="AK857" s="11">
        <f>IF(A857="","",IF(COUNT(H857)=0,"Enter direct cost",IF(COUNT(Z857)=0,"Enter invoice revenue",IF(COUNT(AB857:AD857)&lt;3,"Enter expenses (0 if none)","Complete"))))</f>
        <v/>
      </c>
      <c r="AL857" s="11">
        <f>IF(A857="","",IF(NOT(AND(COUNT(AH857)=1,N(AH857)&gt;0.004,V857&lt;&gt;"Void",V857&lt;&gt;"Not invoiced",V857&lt;&gt;"Draft")),"",IF(COUNT(X857)=0,"No due date",IF(TODAY()-X857&lt;=0,"Not yet due",IF(TODAY()-X857&lt;=30,"1-30 days",IF(TODAY()-X857&lt;=60,"31-60 days",IF(TODAY()-X857&lt;=90,"61-90 days","Over 90 days")))))))</f>
        <v/>
      </c>
      <c r="AM857" s="49">
        <f>IF(OR(AL857="",AL857="No due date"),"",MAX(TODAY()-X857,0))</f>
        <v/>
      </c>
      <c r="AN857" s="49">
        <f>IF(AL857="","",IF(COUNT(X857)=0,-100000,TODAY()-X857))</f>
        <v/>
      </c>
      <c r="AO857" s="49">
        <f>IF(AN857="","",COUNTIF(AN$11:AN$1010,"&gt;"&amp;AN857)+COUNTIF(AN$11:AN857,AN857))</f>
        <v/>
      </c>
      <c r="AP857" s="49">
        <f>IF(OR(A857="",B857=""),"",IF(COUNTIF(B$11:B857,B857)=1,MAX(AP$10:AP856)+1,""))</f>
        <v/>
      </c>
    </row>
    <row r="858">
      <c r="A858" s="20" t="n"/>
      <c r="B858" s="10" t="n"/>
      <c r="C858" s="10" t="n"/>
      <c r="D858" s="10" t="n"/>
      <c r="E858" s="10" t="n"/>
      <c r="F858" s="18" t="n"/>
      <c r="G858" s="10" t="n"/>
      <c r="H858" s="12" t="n"/>
      <c r="I858" s="12" t="n"/>
      <c r="J858" s="13">
        <f>IF(OR(A858="",COUNT(H858)=0,COUNT(Z858)=0),"",ROUND(Z858-H858,2))</f>
        <v/>
      </c>
      <c r="K858" s="15">
        <f>IF(COUNT(J858)=0,"",IF(Z858=0,"n.a.",J858/Z858))</f>
        <v/>
      </c>
      <c r="L858" s="14">
        <f>IF(OR(A858="",COUNT(H858)=0,COUNT(Y858)=0),"",ROUND(H858*(1+Y858),2))</f>
        <v/>
      </c>
      <c r="M858" s="10" t="n"/>
      <c r="N858" s="10" t="n"/>
      <c r="O858" s="10" t="n"/>
      <c r="P858" s="10" t="n"/>
      <c r="Q858" s="20" t="n"/>
      <c r="R858" s="10" t="n"/>
      <c r="S858" s="10" t="n"/>
      <c r="T858" s="18" t="n"/>
      <c r="U858" s="18" t="n"/>
      <c r="V858" s="10" t="n"/>
      <c r="W858" s="10" t="n"/>
      <c r="X858" s="19">
        <f>IF(OR(A858="",COUNT(U858)=0,COUNT(AI858)=0),"",U858+AI858)</f>
        <v/>
      </c>
      <c r="Y858" s="16" t="n"/>
      <c r="Z858" s="12" t="n"/>
      <c r="AA858" s="17">
        <f>IF(COUNT(J858)=0,"",IF(H858=0,"n.a.",J858/H858))</f>
        <v/>
      </c>
      <c r="AB858" s="12" t="n"/>
      <c r="AC858" s="12" t="n"/>
      <c r="AD858" s="12" t="n"/>
      <c r="AE858" s="13">
        <f>IF(OR(COUNT(J858)=0,COUNT(AB858:AD858)&lt;3),"",ROUND(J858-SUM(AB858:AD858),2))</f>
        <v/>
      </c>
      <c r="AF858" s="15">
        <f>IF(COUNT(AE858)=0,"",IF(Z858=0,"n.a.",AE858/Z858))</f>
        <v/>
      </c>
      <c r="AG858" s="12" t="n"/>
      <c r="AH858" s="14">
        <f>IF(OR(A858="",COUNT(Z858)=0,COUNT(AG858)=0),"",ROUND(Z858-AG858,2))</f>
        <v/>
      </c>
      <c r="AI858" s="21" t="n"/>
      <c r="AJ858" s="11">
        <f>IF(A858="","",IF(COUNT(I858)=0,"Enter approved NTE",IF(COUNT(Z858)&gt;0,IF(Z858&gt;I858,"Invoice exceeds NTE","Invoice within NTE"),IF(COUNT(L858)=0,"Enter quote inputs",IF(L858&gt;I858,"Quote exceeds NTE","Quote within NTE")))))</f>
        <v/>
      </c>
      <c r="AK858" s="11">
        <f>IF(A858="","",IF(COUNT(H858)=0,"Enter direct cost",IF(COUNT(Z858)=0,"Enter invoice revenue",IF(COUNT(AB858:AD858)&lt;3,"Enter expenses (0 if none)","Complete"))))</f>
        <v/>
      </c>
      <c r="AL858" s="11">
        <f>IF(A858="","",IF(NOT(AND(COUNT(AH858)=1,N(AH858)&gt;0.004,V858&lt;&gt;"Void",V858&lt;&gt;"Not invoiced",V858&lt;&gt;"Draft")),"",IF(COUNT(X858)=0,"No due date",IF(TODAY()-X858&lt;=0,"Not yet due",IF(TODAY()-X858&lt;=30,"1-30 days",IF(TODAY()-X858&lt;=60,"31-60 days",IF(TODAY()-X858&lt;=90,"61-90 days","Over 90 days")))))))</f>
        <v/>
      </c>
      <c r="AM858" s="49">
        <f>IF(OR(AL858="",AL858="No due date"),"",MAX(TODAY()-X858,0))</f>
        <v/>
      </c>
      <c r="AN858" s="49">
        <f>IF(AL858="","",IF(COUNT(X858)=0,-100000,TODAY()-X858))</f>
        <v/>
      </c>
      <c r="AO858" s="49">
        <f>IF(AN858="","",COUNTIF(AN$11:AN$1010,"&gt;"&amp;AN858)+COUNTIF(AN$11:AN858,AN858))</f>
        <v/>
      </c>
      <c r="AP858" s="49">
        <f>IF(OR(A858="",B858=""),"",IF(COUNTIF(B$11:B858,B858)=1,MAX(AP$10:AP857)+1,""))</f>
        <v/>
      </c>
    </row>
    <row r="859">
      <c r="A859" s="20" t="n"/>
      <c r="B859" s="10" t="n"/>
      <c r="C859" s="10" t="n"/>
      <c r="D859" s="10" t="n"/>
      <c r="E859" s="10" t="n"/>
      <c r="F859" s="18" t="n"/>
      <c r="G859" s="10" t="n"/>
      <c r="H859" s="12" t="n"/>
      <c r="I859" s="12" t="n"/>
      <c r="J859" s="13">
        <f>IF(OR(A859="",COUNT(H859)=0,COUNT(Z859)=0),"",ROUND(Z859-H859,2))</f>
        <v/>
      </c>
      <c r="K859" s="15">
        <f>IF(COUNT(J859)=0,"",IF(Z859=0,"n.a.",J859/Z859))</f>
        <v/>
      </c>
      <c r="L859" s="14">
        <f>IF(OR(A859="",COUNT(H859)=0,COUNT(Y859)=0),"",ROUND(H859*(1+Y859),2))</f>
        <v/>
      </c>
      <c r="M859" s="10" t="n"/>
      <c r="N859" s="10" t="n"/>
      <c r="O859" s="10" t="n"/>
      <c r="P859" s="10" t="n"/>
      <c r="Q859" s="20" t="n"/>
      <c r="R859" s="10" t="n"/>
      <c r="S859" s="10" t="n"/>
      <c r="T859" s="18" t="n"/>
      <c r="U859" s="18" t="n"/>
      <c r="V859" s="10" t="n"/>
      <c r="W859" s="10" t="n"/>
      <c r="X859" s="19">
        <f>IF(OR(A859="",COUNT(U859)=0,COUNT(AI859)=0),"",U859+AI859)</f>
        <v/>
      </c>
      <c r="Y859" s="16" t="n"/>
      <c r="Z859" s="12" t="n"/>
      <c r="AA859" s="17">
        <f>IF(COUNT(J859)=0,"",IF(H859=0,"n.a.",J859/H859))</f>
        <v/>
      </c>
      <c r="AB859" s="12" t="n"/>
      <c r="AC859" s="12" t="n"/>
      <c r="AD859" s="12" t="n"/>
      <c r="AE859" s="13">
        <f>IF(OR(COUNT(J859)=0,COUNT(AB859:AD859)&lt;3),"",ROUND(J859-SUM(AB859:AD859),2))</f>
        <v/>
      </c>
      <c r="AF859" s="15">
        <f>IF(COUNT(AE859)=0,"",IF(Z859=0,"n.a.",AE859/Z859))</f>
        <v/>
      </c>
      <c r="AG859" s="12" t="n"/>
      <c r="AH859" s="14">
        <f>IF(OR(A859="",COUNT(Z859)=0,COUNT(AG859)=0),"",ROUND(Z859-AG859,2))</f>
        <v/>
      </c>
      <c r="AI859" s="21" t="n"/>
      <c r="AJ859" s="11">
        <f>IF(A859="","",IF(COUNT(I859)=0,"Enter approved NTE",IF(COUNT(Z859)&gt;0,IF(Z859&gt;I859,"Invoice exceeds NTE","Invoice within NTE"),IF(COUNT(L859)=0,"Enter quote inputs",IF(L859&gt;I859,"Quote exceeds NTE","Quote within NTE")))))</f>
        <v/>
      </c>
      <c r="AK859" s="11">
        <f>IF(A859="","",IF(COUNT(H859)=0,"Enter direct cost",IF(COUNT(Z859)=0,"Enter invoice revenue",IF(COUNT(AB859:AD859)&lt;3,"Enter expenses (0 if none)","Complete"))))</f>
        <v/>
      </c>
      <c r="AL859" s="11">
        <f>IF(A859="","",IF(NOT(AND(COUNT(AH859)=1,N(AH859)&gt;0.004,V859&lt;&gt;"Void",V859&lt;&gt;"Not invoiced",V859&lt;&gt;"Draft")),"",IF(COUNT(X859)=0,"No due date",IF(TODAY()-X859&lt;=0,"Not yet due",IF(TODAY()-X859&lt;=30,"1-30 days",IF(TODAY()-X859&lt;=60,"31-60 days",IF(TODAY()-X859&lt;=90,"61-90 days","Over 90 days")))))))</f>
        <v/>
      </c>
      <c r="AM859" s="49">
        <f>IF(OR(AL859="",AL859="No due date"),"",MAX(TODAY()-X859,0))</f>
        <v/>
      </c>
      <c r="AN859" s="49">
        <f>IF(AL859="","",IF(COUNT(X859)=0,-100000,TODAY()-X859))</f>
        <v/>
      </c>
      <c r="AO859" s="49">
        <f>IF(AN859="","",COUNTIF(AN$11:AN$1010,"&gt;"&amp;AN859)+COUNTIF(AN$11:AN859,AN859))</f>
        <v/>
      </c>
      <c r="AP859" s="49">
        <f>IF(OR(A859="",B859=""),"",IF(COUNTIF(B$11:B859,B859)=1,MAX(AP$10:AP858)+1,""))</f>
        <v/>
      </c>
    </row>
    <row r="860">
      <c r="A860" s="20" t="n"/>
      <c r="B860" s="10" t="n"/>
      <c r="C860" s="10" t="n"/>
      <c r="D860" s="10" t="n"/>
      <c r="E860" s="10" t="n"/>
      <c r="F860" s="18" t="n"/>
      <c r="G860" s="10" t="n"/>
      <c r="H860" s="12" t="n"/>
      <c r="I860" s="12" t="n"/>
      <c r="J860" s="13">
        <f>IF(OR(A860="",COUNT(H860)=0,COUNT(Z860)=0),"",ROUND(Z860-H860,2))</f>
        <v/>
      </c>
      <c r="K860" s="15">
        <f>IF(COUNT(J860)=0,"",IF(Z860=0,"n.a.",J860/Z860))</f>
        <v/>
      </c>
      <c r="L860" s="14">
        <f>IF(OR(A860="",COUNT(H860)=0,COUNT(Y860)=0),"",ROUND(H860*(1+Y860),2))</f>
        <v/>
      </c>
      <c r="M860" s="10" t="n"/>
      <c r="N860" s="10" t="n"/>
      <c r="O860" s="10" t="n"/>
      <c r="P860" s="10" t="n"/>
      <c r="Q860" s="20" t="n"/>
      <c r="R860" s="10" t="n"/>
      <c r="S860" s="10" t="n"/>
      <c r="T860" s="18" t="n"/>
      <c r="U860" s="18" t="n"/>
      <c r="V860" s="10" t="n"/>
      <c r="W860" s="10" t="n"/>
      <c r="X860" s="19">
        <f>IF(OR(A860="",COUNT(U860)=0,COUNT(AI860)=0),"",U860+AI860)</f>
        <v/>
      </c>
      <c r="Y860" s="16" t="n"/>
      <c r="Z860" s="12" t="n"/>
      <c r="AA860" s="17">
        <f>IF(COUNT(J860)=0,"",IF(H860=0,"n.a.",J860/H860))</f>
        <v/>
      </c>
      <c r="AB860" s="12" t="n"/>
      <c r="AC860" s="12" t="n"/>
      <c r="AD860" s="12" t="n"/>
      <c r="AE860" s="13">
        <f>IF(OR(COUNT(J860)=0,COUNT(AB860:AD860)&lt;3),"",ROUND(J860-SUM(AB860:AD860),2))</f>
        <v/>
      </c>
      <c r="AF860" s="15">
        <f>IF(COUNT(AE860)=0,"",IF(Z860=0,"n.a.",AE860/Z860))</f>
        <v/>
      </c>
      <c r="AG860" s="12" t="n"/>
      <c r="AH860" s="14">
        <f>IF(OR(A860="",COUNT(Z860)=0,COUNT(AG860)=0),"",ROUND(Z860-AG860,2))</f>
        <v/>
      </c>
      <c r="AI860" s="21" t="n"/>
      <c r="AJ860" s="11">
        <f>IF(A860="","",IF(COUNT(I860)=0,"Enter approved NTE",IF(COUNT(Z860)&gt;0,IF(Z860&gt;I860,"Invoice exceeds NTE","Invoice within NTE"),IF(COUNT(L860)=0,"Enter quote inputs",IF(L860&gt;I860,"Quote exceeds NTE","Quote within NTE")))))</f>
        <v/>
      </c>
      <c r="AK860" s="11">
        <f>IF(A860="","",IF(COUNT(H860)=0,"Enter direct cost",IF(COUNT(Z860)=0,"Enter invoice revenue",IF(COUNT(AB860:AD860)&lt;3,"Enter expenses (0 if none)","Complete"))))</f>
        <v/>
      </c>
      <c r="AL860" s="11">
        <f>IF(A860="","",IF(NOT(AND(COUNT(AH860)=1,N(AH860)&gt;0.004,V860&lt;&gt;"Void",V860&lt;&gt;"Not invoiced",V860&lt;&gt;"Draft")),"",IF(COUNT(X860)=0,"No due date",IF(TODAY()-X860&lt;=0,"Not yet due",IF(TODAY()-X860&lt;=30,"1-30 days",IF(TODAY()-X860&lt;=60,"31-60 days",IF(TODAY()-X860&lt;=90,"61-90 days","Over 90 days")))))))</f>
        <v/>
      </c>
      <c r="AM860" s="49">
        <f>IF(OR(AL860="",AL860="No due date"),"",MAX(TODAY()-X860,0))</f>
        <v/>
      </c>
      <c r="AN860" s="49">
        <f>IF(AL860="","",IF(COUNT(X860)=0,-100000,TODAY()-X860))</f>
        <v/>
      </c>
      <c r="AO860" s="49">
        <f>IF(AN860="","",COUNTIF(AN$11:AN$1010,"&gt;"&amp;AN860)+COUNTIF(AN$11:AN860,AN860))</f>
        <v/>
      </c>
      <c r="AP860" s="49">
        <f>IF(OR(A860="",B860=""),"",IF(COUNTIF(B$11:B860,B860)=1,MAX(AP$10:AP859)+1,""))</f>
        <v/>
      </c>
    </row>
    <row r="861">
      <c r="A861" s="20" t="n"/>
      <c r="B861" s="10" t="n"/>
      <c r="C861" s="10" t="n"/>
      <c r="D861" s="10" t="n"/>
      <c r="E861" s="10" t="n"/>
      <c r="F861" s="18" t="n"/>
      <c r="G861" s="10" t="n"/>
      <c r="H861" s="12" t="n"/>
      <c r="I861" s="12" t="n"/>
      <c r="J861" s="13">
        <f>IF(OR(A861="",COUNT(H861)=0,COUNT(Z861)=0),"",ROUND(Z861-H861,2))</f>
        <v/>
      </c>
      <c r="K861" s="15">
        <f>IF(COUNT(J861)=0,"",IF(Z861=0,"n.a.",J861/Z861))</f>
        <v/>
      </c>
      <c r="L861" s="14">
        <f>IF(OR(A861="",COUNT(H861)=0,COUNT(Y861)=0),"",ROUND(H861*(1+Y861),2))</f>
        <v/>
      </c>
      <c r="M861" s="10" t="n"/>
      <c r="N861" s="10" t="n"/>
      <c r="O861" s="10" t="n"/>
      <c r="P861" s="10" t="n"/>
      <c r="Q861" s="20" t="n"/>
      <c r="R861" s="10" t="n"/>
      <c r="S861" s="10" t="n"/>
      <c r="T861" s="18" t="n"/>
      <c r="U861" s="18" t="n"/>
      <c r="V861" s="10" t="n"/>
      <c r="W861" s="10" t="n"/>
      <c r="X861" s="19">
        <f>IF(OR(A861="",COUNT(U861)=0,COUNT(AI861)=0),"",U861+AI861)</f>
        <v/>
      </c>
      <c r="Y861" s="16" t="n"/>
      <c r="Z861" s="12" t="n"/>
      <c r="AA861" s="17">
        <f>IF(COUNT(J861)=0,"",IF(H861=0,"n.a.",J861/H861))</f>
        <v/>
      </c>
      <c r="AB861" s="12" t="n"/>
      <c r="AC861" s="12" t="n"/>
      <c r="AD861" s="12" t="n"/>
      <c r="AE861" s="13">
        <f>IF(OR(COUNT(J861)=0,COUNT(AB861:AD861)&lt;3),"",ROUND(J861-SUM(AB861:AD861),2))</f>
        <v/>
      </c>
      <c r="AF861" s="15">
        <f>IF(COUNT(AE861)=0,"",IF(Z861=0,"n.a.",AE861/Z861))</f>
        <v/>
      </c>
      <c r="AG861" s="12" t="n"/>
      <c r="AH861" s="14">
        <f>IF(OR(A861="",COUNT(Z861)=0,COUNT(AG861)=0),"",ROUND(Z861-AG861,2))</f>
        <v/>
      </c>
      <c r="AI861" s="21" t="n"/>
      <c r="AJ861" s="11">
        <f>IF(A861="","",IF(COUNT(I861)=0,"Enter approved NTE",IF(COUNT(Z861)&gt;0,IF(Z861&gt;I861,"Invoice exceeds NTE","Invoice within NTE"),IF(COUNT(L861)=0,"Enter quote inputs",IF(L861&gt;I861,"Quote exceeds NTE","Quote within NTE")))))</f>
        <v/>
      </c>
      <c r="AK861" s="11">
        <f>IF(A861="","",IF(COUNT(H861)=0,"Enter direct cost",IF(COUNT(Z861)=0,"Enter invoice revenue",IF(COUNT(AB861:AD861)&lt;3,"Enter expenses (0 if none)","Complete"))))</f>
        <v/>
      </c>
      <c r="AL861" s="11">
        <f>IF(A861="","",IF(NOT(AND(COUNT(AH861)=1,N(AH861)&gt;0.004,V861&lt;&gt;"Void",V861&lt;&gt;"Not invoiced",V861&lt;&gt;"Draft")),"",IF(COUNT(X861)=0,"No due date",IF(TODAY()-X861&lt;=0,"Not yet due",IF(TODAY()-X861&lt;=30,"1-30 days",IF(TODAY()-X861&lt;=60,"31-60 days",IF(TODAY()-X861&lt;=90,"61-90 days","Over 90 days")))))))</f>
        <v/>
      </c>
      <c r="AM861" s="49">
        <f>IF(OR(AL861="",AL861="No due date"),"",MAX(TODAY()-X861,0))</f>
        <v/>
      </c>
      <c r="AN861" s="49">
        <f>IF(AL861="","",IF(COUNT(X861)=0,-100000,TODAY()-X861))</f>
        <v/>
      </c>
      <c r="AO861" s="49">
        <f>IF(AN861="","",COUNTIF(AN$11:AN$1010,"&gt;"&amp;AN861)+COUNTIF(AN$11:AN861,AN861))</f>
        <v/>
      </c>
      <c r="AP861" s="49">
        <f>IF(OR(A861="",B861=""),"",IF(COUNTIF(B$11:B861,B861)=1,MAX(AP$10:AP860)+1,""))</f>
        <v/>
      </c>
    </row>
    <row r="862">
      <c r="A862" s="20" t="n"/>
      <c r="B862" s="10" t="n"/>
      <c r="C862" s="10" t="n"/>
      <c r="D862" s="10" t="n"/>
      <c r="E862" s="10" t="n"/>
      <c r="F862" s="18" t="n"/>
      <c r="G862" s="10" t="n"/>
      <c r="H862" s="12" t="n"/>
      <c r="I862" s="12" t="n"/>
      <c r="J862" s="13">
        <f>IF(OR(A862="",COUNT(H862)=0,COUNT(Z862)=0),"",ROUND(Z862-H862,2))</f>
        <v/>
      </c>
      <c r="K862" s="15">
        <f>IF(COUNT(J862)=0,"",IF(Z862=0,"n.a.",J862/Z862))</f>
        <v/>
      </c>
      <c r="L862" s="14">
        <f>IF(OR(A862="",COUNT(H862)=0,COUNT(Y862)=0),"",ROUND(H862*(1+Y862),2))</f>
        <v/>
      </c>
      <c r="M862" s="10" t="n"/>
      <c r="N862" s="10" t="n"/>
      <c r="O862" s="10" t="n"/>
      <c r="P862" s="10" t="n"/>
      <c r="Q862" s="20" t="n"/>
      <c r="R862" s="10" t="n"/>
      <c r="S862" s="10" t="n"/>
      <c r="T862" s="18" t="n"/>
      <c r="U862" s="18" t="n"/>
      <c r="V862" s="10" t="n"/>
      <c r="W862" s="10" t="n"/>
      <c r="X862" s="19">
        <f>IF(OR(A862="",COUNT(U862)=0,COUNT(AI862)=0),"",U862+AI862)</f>
        <v/>
      </c>
      <c r="Y862" s="16" t="n"/>
      <c r="Z862" s="12" t="n"/>
      <c r="AA862" s="17">
        <f>IF(COUNT(J862)=0,"",IF(H862=0,"n.a.",J862/H862))</f>
        <v/>
      </c>
      <c r="AB862" s="12" t="n"/>
      <c r="AC862" s="12" t="n"/>
      <c r="AD862" s="12" t="n"/>
      <c r="AE862" s="13">
        <f>IF(OR(COUNT(J862)=0,COUNT(AB862:AD862)&lt;3),"",ROUND(J862-SUM(AB862:AD862),2))</f>
        <v/>
      </c>
      <c r="AF862" s="15">
        <f>IF(COUNT(AE862)=0,"",IF(Z862=0,"n.a.",AE862/Z862))</f>
        <v/>
      </c>
      <c r="AG862" s="12" t="n"/>
      <c r="AH862" s="14">
        <f>IF(OR(A862="",COUNT(Z862)=0,COUNT(AG862)=0),"",ROUND(Z862-AG862,2))</f>
        <v/>
      </c>
      <c r="AI862" s="21" t="n"/>
      <c r="AJ862" s="11">
        <f>IF(A862="","",IF(COUNT(I862)=0,"Enter approved NTE",IF(COUNT(Z862)&gt;0,IF(Z862&gt;I862,"Invoice exceeds NTE","Invoice within NTE"),IF(COUNT(L862)=0,"Enter quote inputs",IF(L862&gt;I862,"Quote exceeds NTE","Quote within NTE")))))</f>
        <v/>
      </c>
      <c r="AK862" s="11">
        <f>IF(A862="","",IF(COUNT(H862)=0,"Enter direct cost",IF(COUNT(Z862)=0,"Enter invoice revenue",IF(COUNT(AB862:AD862)&lt;3,"Enter expenses (0 if none)","Complete"))))</f>
        <v/>
      </c>
      <c r="AL862" s="11">
        <f>IF(A862="","",IF(NOT(AND(COUNT(AH862)=1,N(AH862)&gt;0.004,V862&lt;&gt;"Void",V862&lt;&gt;"Not invoiced",V862&lt;&gt;"Draft")),"",IF(COUNT(X862)=0,"No due date",IF(TODAY()-X862&lt;=0,"Not yet due",IF(TODAY()-X862&lt;=30,"1-30 days",IF(TODAY()-X862&lt;=60,"31-60 days",IF(TODAY()-X862&lt;=90,"61-90 days","Over 90 days")))))))</f>
        <v/>
      </c>
      <c r="AM862" s="49">
        <f>IF(OR(AL862="",AL862="No due date"),"",MAX(TODAY()-X862,0))</f>
        <v/>
      </c>
      <c r="AN862" s="49">
        <f>IF(AL862="","",IF(COUNT(X862)=0,-100000,TODAY()-X862))</f>
        <v/>
      </c>
      <c r="AO862" s="49">
        <f>IF(AN862="","",COUNTIF(AN$11:AN$1010,"&gt;"&amp;AN862)+COUNTIF(AN$11:AN862,AN862))</f>
        <v/>
      </c>
      <c r="AP862" s="49">
        <f>IF(OR(A862="",B862=""),"",IF(COUNTIF(B$11:B862,B862)=1,MAX(AP$10:AP861)+1,""))</f>
        <v/>
      </c>
    </row>
    <row r="863">
      <c r="A863" s="20" t="n"/>
      <c r="B863" s="10" t="n"/>
      <c r="C863" s="10" t="n"/>
      <c r="D863" s="10" t="n"/>
      <c r="E863" s="10" t="n"/>
      <c r="F863" s="18" t="n"/>
      <c r="G863" s="10" t="n"/>
      <c r="H863" s="12" t="n"/>
      <c r="I863" s="12" t="n"/>
      <c r="J863" s="13">
        <f>IF(OR(A863="",COUNT(H863)=0,COUNT(Z863)=0),"",ROUND(Z863-H863,2))</f>
        <v/>
      </c>
      <c r="K863" s="15">
        <f>IF(COUNT(J863)=0,"",IF(Z863=0,"n.a.",J863/Z863))</f>
        <v/>
      </c>
      <c r="L863" s="14">
        <f>IF(OR(A863="",COUNT(H863)=0,COUNT(Y863)=0),"",ROUND(H863*(1+Y863),2))</f>
        <v/>
      </c>
      <c r="M863" s="10" t="n"/>
      <c r="N863" s="10" t="n"/>
      <c r="O863" s="10" t="n"/>
      <c r="P863" s="10" t="n"/>
      <c r="Q863" s="20" t="n"/>
      <c r="R863" s="10" t="n"/>
      <c r="S863" s="10" t="n"/>
      <c r="T863" s="18" t="n"/>
      <c r="U863" s="18" t="n"/>
      <c r="V863" s="10" t="n"/>
      <c r="W863" s="10" t="n"/>
      <c r="X863" s="19">
        <f>IF(OR(A863="",COUNT(U863)=0,COUNT(AI863)=0),"",U863+AI863)</f>
        <v/>
      </c>
      <c r="Y863" s="16" t="n"/>
      <c r="Z863" s="12" t="n"/>
      <c r="AA863" s="17">
        <f>IF(COUNT(J863)=0,"",IF(H863=0,"n.a.",J863/H863))</f>
        <v/>
      </c>
      <c r="AB863" s="12" t="n"/>
      <c r="AC863" s="12" t="n"/>
      <c r="AD863" s="12" t="n"/>
      <c r="AE863" s="13">
        <f>IF(OR(COUNT(J863)=0,COUNT(AB863:AD863)&lt;3),"",ROUND(J863-SUM(AB863:AD863),2))</f>
        <v/>
      </c>
      <c r="AF863" s="15">
        <f>IF(COUNT(AE863)=0,"",IF(Z863=0,"n.a.",AE863/Z863))</f>
        <v/>
      </c>
      <c r="AG863" s="12" t="n"/>
      <c r="AH863" s="14">
        <f>IF(OR(A863="",COUNT(Z863)=0,COUNT(AG863)=0),"",ROUND(Z863-AG863,2))</f>
        <v/>
      </c>
      <c r="AI863" s="21" t="n"/>
      <c r="AJ863" s="11">
        <f>IF(A863="","",IF(COUNT(I863)=0,"Enter approved NTE",IF(COUNT(Z863)&gt;0,IF(Z863&gt;I863,"Invoice exceeds NTE","Invoice within NTE"),IF(COUNT(L863)=0,"Enter quote inputs",IF(L863&gt;I863,"Quote exceeds NTE","Quote within NTE")))))</f>
        <v/>
      </c>
      <c r="AK863" s="11">
        <f>IF(A863="","",IF(COUNT(H863)=0,"Enter direct cost",IF(COUNT(Z863)=0,"Enter invoice revenue",IF(COUNT(AB863:AD863)&lt;3,"Enter expenses (0 if none)","Complete"))))</f>
        <v/>
      </c>
      <c r="AL863" s="11">
        <f>IF(A863="","",IF(NOT(AND(COUNT(AH863)=1,N(AH863)&gt;0.004,V863&lt;&gt;"Void",V863&lt;&gt;"Not invoiced",V863&lt;&gt;"Draft")),"",IF(COUNT(X863)=0,"No due date",IF(TODAY()-X863&lt;=0,"Not yet due",IF(TODAY()-X863&lt;=30,"1-30 days",IF(TODAY()-X863&lt;=60,"31-60 days",IF(TODAY()-X863&lt;=90,"61-90 days","Over 90 days")))))))</f>
        <v/>
      </c>
      <c r="AM863" s="49">
        <f>IF(OR(AL863="",AL863="No due date"),"",MAX(TODAY()-X863,0))</f>
        <v/>
      </c>
      <c r="AN863" s="49">
        <f>IF(AL863="","",IF(COUNT(X863)=0,-100000,TODAY()-X863))</f>
        <v/>
      </c>
      <c r="AO863" s="49">
        <f>IF(AN863="","",COUNTIF(AN$11:AN$1010,"&gt;"&amp;AN863)+COUNTIF(AN$11:AN863,AN863))</f>
        <v/>
      </c>
      <c r="AP863" s="49">
        <f>IF(OR(A863="",B863=""),"",IF(COUNTIF(B$11:B863,B863)=1,MAX(AP$10:AP862)+1,""))</f>
        <v/>
      </c>
    </row>
    <row r="864">
      <c r="A864" s="20" t="n"/>
      <c r="B864" s="10" t="n"/>
      <c r="C864" s="10" t="n"/>
      <c r="D864" s="10" t="n"/>
      <c r="E864" s="10" t="n"/>
      <c r="F864" s="18" t="n"/>
      <c r="G864" s="10" t="n"/>
      <c r="H864" s="12" t="n"/>
      <c r="I864" s="12" t="n"/>
      <c r="J864" s="13">
        <f>IF(OR(A864="",COUNT(H864)=0,COUNT(Z864)=0),"",ROUND(Z864-H864,2))</f>
        <v/>
      </c>
      <c r="K864" s="15">
        <f>IF(COUNT(J864)=0,"",IF(Z864=0,"n.a.",J864/Z864))</f>
        <v/>
      </c>
      <c r="L864" s="14">
        <f>IF(OR(A864="",COUNT(H864)=0,COUNT(Y864)=0),"",ROUND(H864*(1+Y864),2))</f>
        <v/>
      </c>
      <c r="M864" s="10" t="n"/>
      <c r="N864" s="10" t="n"/>
      <c r="O864" s="10" t="n"/>
      <c r="P864" s="10" t="n"/>
      <c r="Q864" s="20" t="n"/>
      <c r="R864" s="10" t="n"/>
      <c r="S864" s="10" t="n"/>
      <c r="T864" s="18" t="n"/>
      <c r="U864" s="18" t="n"/>
      <c r="V864" s="10" t="n"/>
      <c r="W864" s="10" t="n"/>
      <c r="X864" s="19">
        <f>IF(OR(A864="",COUNT(U864)=0,COUNT(AI864)=0),"",U864+AI864)</f>
        <v/>
      </c>
      <c r="Y864" s="16" t="n"/>
      <c r="Z864" s="12" t="n"/>
      <c r="AA864" s="17">
        <f>IF(COUNT(J864)=0,"",IF(H864=0,"n.a.",J864/H864))</f>
        <v/>
      </c>
      <c r="AB864" s="12" t="n"/>
      <c r="AC864" s="12" t="n"/>
      <c r="AD864" s="12" t="n"/>
      <c r="AE864" s="13">
        <f>IF(OR(COUNT(J864)=0,COUNT(AB864:AD864)&lt;3),"",ROUND(J864-SUM(AB864:AD864),2))</f>
        <v/>
      </c>
      <c r="AF864" s="15">
        <f>IF(COUNT(AE864)=0,"",IF(Z864=0,"n.a.",AE864/Z864))</f>
        <v/>
      </c>
      <c r="AG864" s="12" t="n"/>
      <c r="AH864" s="14">
        <f>IF(OR(A864="",COUNT(Z864)=0,COUNT(AG864)=0),"",ROUND(Z864-AG864,2))</f>
        <v/>
      </c>
      <c r="AI864" s="21" t="n"/>
      <c r="AJ864" s="11">
        <f>IF(A864="","",IF(COUNT(I864)=0,"Enter approved NTE",IF(COUNT(Z864)&gt;0,IF(Z864&gt;I864,"Invoice exceeds NTE","Invoice within NTE"),IF(COUNT(L864)=0,"Enter quote inputs",IF(L864&gt;I864,"Quote exceeds NTE","Quote within NTE")))))</f>
        <v/>
      </c>
      <c r="AK864" s="11">
        <f>IF(A864="","",IF(COUNT(H864)=0,"Enter direct cost",IF(COUNT(Z864)=0,"Enter invoice revenue",IF(COUNT(AB864:AD864)&lt;3,"Enter expenses (0 if none)","Complete"))))</f>
        <v/>
      </c>
      <c r="AL864" s="11">
        <f>IF(A864="","",IF(NOT(AND(COUNT(AH864)=1,N(AH864)&gt;0.004,V864&lt;&gt;"Void",V864&lt;&gt;"Not invoiced",V864&lt;&gt;"Draft")),"",IF(COUNT(X864)=0,"No due date",IF(TODAY()-X864&lt;=0,"Not yet due",IF(TODAY()-X864&lt;=30,"1-30 days",IF(TODAY()-X864&lt;=60,"31-60 days",IF(TODAY()-X864&lt;=90,"61-90 days","Over 90 days")))))))</f>
        <v/>
      </c>
      <c r="AM864" s="49">
        <f>IF(OR(AL864="",AL864="No due date"),"",MAX(TODAY()-X864,0))</f>
        <v/>
      </c>
      <c r="AN864" s="49">
        <f>IF(AL864="","",IF(COUNT(X864)=0,-100000,TODAY()-X864))</f>
        <v/>
      </c>
      <c r="AO864" s="49">
        <f>IF(AN864="","",COUNTIF(AN$11:AN$1010,"&gt;"&amp;AN864)+COUNTIF(AN$11:AN864,AN864))</f>
        <v/>
      </c>
      <c r="AP864" s="49">
        <f>IF(OR(A864="",B864=""),"",IF(COUNTIF(B$11:B864,B864)=1,MAX(AP$10:AP863)+1,""))</f>
        <v/>
      </c>
    </row>
    <row r="865">
      <c r="A865" s="20" t="n"/>
      <c r="B865" s="10" t="n"/>
      <c r="C865" s="10" t="n"/>
      <c r="D865" s="10" t="n"/>
      <c r="E865" s="10" t="n"/>
      <c r="F865" s="18" t="n"/>
      <c r="G865" s="10" t="n"/>
      <c r="H865" s="12" t="n"/>
      <c r="I865" s="12" t="n"/>
      <c r="J865" s="13">
        <f>IF(OR(A865="",COUNT(H865)=0,COUNT(Z865)=0),"",ROUND(Z865-H865,2))</f>
        <v/>
      </c>
      <c r="K865" s="15">
        <f>IF(COUNT(J865)=0,"",IF(Z865=0,"n.a.",J865/Z865))</f>
        <v/>
      </c>
      <c r="L865" s="14">
        <f>IF(OR(A865="",COUNT(H865)=0,COUNT(Y865)=0),"",ROUND(H865*(1+Y865),2))</f>
        <v/>
      </c>
      <c r="M865" s="10" t="n"/>
      <c r="N865" s="10" t="n"/>
      <c r="O865" s="10" t="n"/>
      <c r="P865" s="10" t="n"/>
      <c r="Q865" s="20" t="n"/>
      <c r="R865" s="10" t="n"/>
      <c r="S865" s="10" t="n"/>
      <c r="T865" s="18" t="n"/>
      <c r="U865" s="18" t="n"/>
      <c r="V865" s="10" t="n"/>
      <c r="W865" s="10" t="n"/>
      <c r="X865" s="19">
        <f>IF(OR(A865="",COUNT(U865)=0,COUNT(AI865)=0),"",U865+AI865)</f>
        <v/>
      </c>
      <c r="Y865" s="16" t="n"/>
      <c r="Z865" s="12" t="n"/>
      <c r="AA865" s="17">
        <f>IF(COUNT(J865)=0,"",IF(H865=0,"n.a.",J865/H865))</f>
        <v/>
      </c>
      <c r="AB865" s="12" t="n"/>
      <c r="AC865" s="12" t="n"/>
      <c r="AD865" s="12" t="n"/>
      <c r="AE865" s="13">
        <f>IF(OR(COUNT(J865)=0,COUNT(AB865:AD865)&lt;3),"",ROUND(J865-SUM(AB865:AD865),2))</f>
        <v/>
      </c>
      <c r="AF865" s="15">
        <f>IF(COUNT(AE865)=0,"",IF(Z865=0,"n.a.",AE865/Z865))</f>
        <v/>
      </c>
      <c r="AG865" s="12" t="n"/>
      <c r="AH865" s="14">
        <f>IF(OR(A865="",COUNT(Z865)=0,COUNT(AG865)=0),"",ROUND(Z865-AG865,2))</f>
        <v/>
      </c>
      <c r="AI865" s="21" t="n"/>
      <c r="AJ865" s="11">
        <f>IF(A865="","",IF(COUNT(I865)=0,"Enter approved NTE",IF(COUNT(Z865)&gt;0,IF(Z865&gt;I865,"Invoice exceeds NTE","Invoice within NTE"),IF(COUNT(L865)=0,"Enter quote inputs",IF(L865&gt;I865,"Quote exceeds NTE","Quote within NTE")))))</f>
        <v/>
      </c>
      <c r="AK865" s="11">
        <f>IF(A865="","",IF(COUNT(H865)=0,"Enter direct cost",IF(COUNT(Z865)=0,"Enter invoice revenue",IF(COUNT(AB865:AD865)&lt;3,"Enter expenses (0 if none)","Complete"))))</f>
        <v/>
      </c>
      <c r="AL865" s="11">
        <f>IF(A865="","",IF(NOT(AND(COUNT(AH865)=1,N(AH865)&gt;0.004,V865&lt;&gt;"Void",V865&lt;&gt;"Not invoiced",V865&lt;&gt;"Draft")),"",IF(COUNT(X865)=0,"No due date",IF(TODAY()-X865&lt;=0,"Not yet due",IF(TODAY()-X865&lt;=30,"1-30 days",IF(TODAY()-X865&lt;=60,"31-60 days",IF(TODAY()-X865&lt;=90,"61-90 days","Over 90 days")))))))</f>
        <v/>
      </c>
      <c r="AM865" s="49">
        <f>IF(OR(AL865="",AL865="No due date"),"",MAX(TODAY()-X865,0))</f>
        <v/>
      </c>
      <c r="AN865" s="49">
        <f>IF(AL865="","",IF(COUNT(X865)=0,-100000,TODAY()-X865))</f>
        <v/>
      </c>
      <c r="AO865" s="49">
        <f>IF(AN865="","",COUNTIF(AN$11:AN$1010,"&gt;"&amp;AN865)+COUNTIF(AN$11:AN865,AN865))</f>
        <v/>
      </c>
      <c r="AP865" s="49">
        <f>IF(OR(A865="",B865=""),"",IF(COUNTIF(B$11:B865,B865)=1,MAX(AP$10:AP864)+1,""))</f>
        <v/>
      </c>
    </row>
    <row r="866">
      <c r="A866" s="20" t="n"/>
      <c r="B866" s="10" t="n"/>
      <c r="C866" s="10" t="n"/>
      <c r="D866" s="10" t="n"/>
      <c r="E866" s="10" t="n"/>
      <c r="F866" s="18" t="n"/>
      <c r="G866" s="10" t="n"/>
      <c r="H866" s="12" t="n"/>
      <c r="I866" s="12" t="n"/>
      <c r="J866" s="13">
        <f>IF(OR(A866="",COUNT(H866)=0,COUNT(Z866)=0),"",ROUND(Z866-H866,2))</f>
        <v/>
      </c>
      <c r="K866" s="15">
        <f>IF(COUNT(J866)=0,"",IF(Z866=0,"n.a.",J866/Z866))</f>
        <v/>
      </c>
      <c r="L866" s="14">
        <f>IF(OR(A866="",COUNT(H866)=0,COUNT(Y866)=0),"",ROUND(H866*(1+Y866),2))</f>
        <v/>
      </c>
      <c r="M866" s="10" t="n"/>
      <c r="N866" s="10" t="n"/>
      <c r="O866" s="10" t="n"/>
      <c r="P866" s="10" t="n"/>
      <c r="Q866" s="20" t="n"/>
      <c r="R866" s="10" t="n"/>
      <c r="S866" s="10" t="n"/>
      <c r="T866" s="18" t="n"/>
      <c r="U866" s="18" t="n"/>
      <c r="V866" s="10" t="n"/>
      <c r="W866" s="10" t="n"/>
      <c r="X866" s="19">
        <f>IF(OR(A866="",COUNT(U866)=0,COUNT(AI866)=0),"",U866+AI866)</f>
        <v/>
      </c>
      <c r="Y866" s="16" t="n"/>
      <c r="Z866" s="12" t="n"/>
      <c r="AA866" s="17">
        <f>IF(COUNT(J866)=0,"",IF(H866=0,"n.a.",J866/H866))</f>
        <v/>
      </c>
      <c r="AB866" s="12" t="n"/>
      <c r="AC866" s="12" t="n"/>
      <c r="AD866" s="12" t="n"/>
      <c r="AE866" s="13">
        <f>IF(OR(COUNT(J866)=0,COUNT(AB866:AD866)&lt;3),"",ROUND(J866-SUM(AB866:AD866),2))</f>
        <v/>
      </c>
      <c r="AF866" s="15">
        <f>IF(COUNT(AE866)=0,"",IF(Z866=0,"n.a.",AE866/Z866))</f>
        <v/>
      </c>
      <c r="AG866" s="12" t="n"/>
      <c r="AH866" s="14">
        <f>IF(OR(A866="",COUNT(Z866)=0,COUNT(AG866)=0),"",ROUND(Z866-AG866,2))</f>
        <v/>
      </c>
      <c r="AI866" s="21" t="n"/>
      <c r="AJ866" s="11">
        <f>IF(A866="","",IF(COUNT(I866)=0,"Enter approved NTE",IF(COUNT(Z866)&gt;0,IF(Z866&gt;I866,"Invoice exceeds NTE","Invoice within NTE"),IF(COUNT(L866)=0,"Enter quote inputs",IF(L866&gt;I866,"Quote exceeds NTE","Quote within NTE")))))</f>
        <v/>
      </c>
      <c r="AK866" s="11">
        <f>IF(A866="","",IF(COUNT(H866)=0,"Enter direct cost",IF(COUNT(Z866)=0,"Enter invoice revenue",IF(COUNT(AB866:AD866)&lt;3,"Enter expenses (0 if none)","Complete"))))</f>
        <v/>
      </c>
      <c r="AL866" s="11">
        <f>IF(A866="","",IF(NOT(AND(COUNT(AH866)=1,N(AH866)&gt;0.004,V866&lt;&gt;"Void",V866&lt;&gt;"Not invoiced",V866&lt;&gt;"Draft")),"",IF(COUNT(X866)=0,"No due date",IF(TODAY()-X866&lt;=0,"Not yet due",IF(TODAY()-X866&lt;=30,"1-30 days",IF(TODAY()-X866&lt;=60,"31-60 days",IF(TODAY()-X866&lt;=90,"61-90 days","Over 90 days")))))))</f>
        <v/>
      </c>
      <c r="AM866" s="49">
        <f>IF(OR(AL866="",AL866="No due date"),"",MAX(TODAY()-X866,0))</f>
        <v/>
      </c>
      <c r="AN866" s="49">
        <f>IF(AL866="","",IF(COUNT(X866)=0,-100000,TODAY()-X866))</f>
        <v/>
      </c>
      <c r="AO866" s="49">
        <f>IF(AN866="","",COUNTIF(AN$11:AN$1010,"&gt;"&amp;AN866)+COUNTIF(AN$11:AN866,AN866))</f>
        <v/>
      </c>
      <c r="AP866" s="49">
        <f>IF(OR(A866="",B866=""),"",IF(COUNTIF(B$11:B866,B866)=1,MAX(AP$10:AP865)+1,""))</f>
        <v/>
      </c>
    </row>
    <row r="867">
      <c r="A867" s="20" t="n"/>
      <c r="B867" s="10" t="n"/>
      <c r="C867" s="10" t="n"/>
      <c r="D867" s="10" t="n"/>
      <c r="E867" s="10" t="n"/>
      <c r="F867" s="18" t="n"/>
      <c r="G867" s="10" t="n"/>
      <c r="H867" s="12" t="n"/>
      <c r="I867" s="12" t="n"/>
      <c r="J867" s="13">
        <f>IF(OR(A867="",COUNT(H867)=0,COUNT(Z867)=0),"",ROUND(Z867-H867,2))</f>
        <v/>
      </c>
      <c r="K867" s="15">
        <f>IF(COUNT(J867)=0,"",IF(Z867=0,"n.a.",J867/Z867))</f>
        <v/>
      </c>
      <c r="L867" s="14">
        <f>IF(OR(A867="",COUNT(H867)=0,COUNT(Y867)=0),"",ROUND(H867*(1+Y867),2))</f>
        <v/>
      </c>
      <c r="M867" s="10" t="n"/>
      <c r="N867" s="10" t="n"/>
      <c r="O867" s="10" t="n"/>
      <c r="P867" s="10" t="n"/>
      <c r="Q867" s="20" t="n"/>
      <c r="R867" s="10" t="n"/>
      <c r="S867" s="10" t="n"/>
      <c r="T867" s="18" t="n"/>
      <c r="U867" s="18" t="n"/>
      <c r="V867" s="10" t="n"/>
      <c r="W867" s="10" t="n"/>
      <c r="X867" s="19">
        <f>IF(OR(A867="",COUNT(U867)=0,COUNT(AI867)=0),"",U867+AI867)</f>
        <v/>
      </c>
      <c r="Y867" s="16" t="n"/>
      <c r="Z867" s="12" t="n"/>
      <c r="AA867" s="17">
        <f>IF(COUNT(J867)=0,"",IF(H867=0,"n.a.",J867/H867))</f>
        <v/>
      </c>
      <c r="AB867" s="12" t="n"/>
      <c r="AC867" s="12" t="n"/>
      <c r="AD867" s="12" t="n"/>
      <c r="AE867" s="13">
        <f>IF(OR(COUNT(J867)=0,COUNT(AB867:AD867)&lt;3),"",ROUND(J867-SUM(AB867:AD867),2))</f>
        <v/>
      </c>
      <c r="AF867" s="15">
        <f>IF(COUNT(AE867)=0,"",IF(Z867=0,"n.a.",AE867/Z867))</f>
        <v/>
      </c>
      <c r="AG867" s="12" t="n"/>
      <c r="AH867" s="14">
        <f>IF(OR(A867="",COUNT(Z867)=0,COUNT(AG867)=0),"",ROUND(Z867-AG867,2))</f>
        <v/>
      </c>
      <c r="AI867" s="21" t="n"/>
      <c r="AJ867" s="11">
        <f>IF(A867="","",IF(COUNT(I867)=0,"Enter approved NTE",IF(COUNT(Z867)&gt;0,IF(Z867&gt;I867,"Invoice exceeds NTE","Invoice within NTE"),IF(COUNT(L867)=0,"Enter quote inputs",IF(L867&gt;I867,"Quote exceeds NTE","Quote within NTE")))))</f>
        <v/>
      </c>
      <c r="AK867" s="11">
        <f>IF(A867="","",IF(COUNT(H867)=0,"Enter direct cost",IF(COUNT(Z867)=0,"Enter invoice revenue",IF(COUNT(AB867:AD867)&lt;3,"Enter expenses (0 if none)","Complete"))))</f>
        <v/>
      </c>
      <c r="AL867" s="11">
        <f>IF(A867="","",IF(NOT(AND(COUNT(AH867)=1,N(AH867)&gt;0.004,V867&lt;&gt;"Void",V867&lt;&gt;"Not invoiced",V867&lt;&gt;"Draft")),"",IF(COUNT(X867)=0,"No due date",IF(TODAY()-X867&lt;=0,"Not yet due",IF(TODAY()-X867&lt;=30,"1-30 days",IF(TODAY()-X867&lt;=60,"31-60 days",IF(TODAY()-X867&lt;=90,"61-90 days","Over 90 days")))))))</f>
        <v/>
      </c>
      <c r="AM867" s="49">
        <f>IF(OR(AL867="",AL867="No due date"),"",MAX(TODAY()-X867,0))</f>
        <v/>
      </c>
      <c r="AN867" s="49">
        <f>IF(AL867="","",IF(COUNT(X867)=0,-100000,TODAY()-X867))</f>
        <v/>
      </c>
      <c r="AO867" s="49">
        <f>IF(AN867="","",COUNTIF(AN$11:AN$1010,"&gt;"&amp;AN867)+COUNTIF(AN$11:AN867,AN867))</f>
        <v/>
      </c>
      <c r="AP867" s="49">
        <f>IF(OR(A867="",B867=""),"",IF(COUNTIF(B$11:B867,B867)=1,MAX(AP$10:AP866)+1,""))</f>
        <v/>
      </c>
    </row>
    <row r="868">
      <c r="A868" s="20" t="n"/>
      <c r="B868" s="10" t="n"/>
      <c r="C868" s="10" t="n"/>
      <c r="D868" s="10" t="n"/>
      <c r="E868" s="10" t="n"/>
      <c r="F868" s="18" t="n"/>
      <c r="G868" s="10" t="n"/>
      <c r="H868" s="12" t="n"/>
      <c r="I868" s="12" t="n"/>
      <c r="J868" s="13">
        <f>IF(OR(A868="",COUNT(H868)=0,COUNT(Z868)=0),"",ROUND(Z868-H868,2))</f>
        <v/>
      </c>
      <c r="K868" s="15">
        <f>IF(COUNT(J868)=0,"",IF(Z868=0,"n.a.",J868/Z868))</f>
        <v/>
      </c>
      <c r="L868" s="14">
        <f>IF(OR(A868="",COUNT(H868)=0,COUNT(Y868)=0),"",ROUND(H868*(1+Y868),2))</f>
        <v/>
      </c>
      <c r="M868" s="10" t="n"/>
      <c r="N868" s="10" t="n"/>
      <c r="O868" s="10" t="n"/>
      <c r="P868" s="10" t="n"/>
      <c r="Q868" s="20" t="n"/>
      <c r="R868" s="10" t="n"/>
      <c r="S868" s="10" t="n"/>
      <c r="T868" s="18" t="n"/>
      <c r="U868" s="18" t="n"/>
      <c r="V868" s="10" t="n"/>
      <c r="W868" s="10" t="n"/>
      <c r="X868" s="19">
        <f>IF(OR(A868="",COUNT(U868)=0,COUNT(AI868)=0),"",U868+AI868)</f>
        <v/>
      </c>
      <c r="Y868" s="16" t="n"/>
      <c r="Z868" s="12" t="n"/>
      <c r="AA868" s="17">
        <f>IF(COUNT(J868)=0,"",IF(H868=0,"n.a.",J868/H868))</f>
        <v/>
      </c>
      <c r="AB868" s="12" t="n"/>
      <c r="AC868" s="12" t="n"/>
      <c r="AD868" s="12" t="n"/>
      <c r="AE868" s="13">
        <f>IF(OR(COUNT(J868)=0,COUNT(AB868:AD868)&lt;3),"",ROUND(J868-SUM(AB868:AD868),2))</f>
        <v/>
      </c>
      <c r="AF868" s="15">
        <f>IF(COUNT(AE868)=0,"",IF(Z868=0,"n.a.",AE868/Z868))</f>
        <v/>
      </c>
      <c r="AG868" s="12" t="n"/>
      <c r="AH868" s="14">
        <f>IF(OR(A868="",COUNT(Z868)=0,COUNT(AG868)=0),"",ROUND(Z868-AG868,2))</f>
        <v/>
      </c>
      <c r="AI868" s="21" t="n"/>
      <c r="AJ868" s="11">
        <f>IF(A868="","",IF(COUNT(I868)=0,"Enter approved NTE",IF(COUNT(Z868)&gt;0,IF(Z868&gt;I868,"Invoice exceeds NTE","Invoice within NTE"),IF(COUNT(L868)=0,"Enter quote inputs",IF(L868&gt;I868,"Quote exceeds NTE","Quote within NTE")))))</f>
        <v/>
      </c>
      <c r="AK868" s="11">
        <f>IF(A868="","",IF(COUNT(H868)=0,"Enter direct cost",IF(COUNT(Z868)=0,"Enter invoice revenue",IF(COUNT(AB868:AD868)&lt;3,"Enter expenses (0 if none)","Complete"))))</f>
        <v/>
      </c>
      <c r="AL868" s="11">
        <f>IF(A868="","",IF(NOT(AND(COUNT(AH868)=1,N(AH868)&gt;0.004,V868&lt;&gt;"Void",V868&lt;&gt;"Not invoiced",V868&lt;&gt;"Draft")),"",IF(COUNT(X868)=0,"No due date",IF(TODAY()-X868&lt;=0,"Not yet due",IF(TODAY()-X868&lt;=30,"1-30 days",IF(TODAY()-X868&lt;=60,"31-60 days",IF(TODAY()-X868&lt;=90,"61-90 days","Over 90 days")))))))</f>
        <v/>
      </c>
      <c r="AM868" s="49">
        <f>IF(OR(AL868="",AL868="No due date"),"",MAX(TODAY()-X868,0))</f>
        <v/>
      </c>
      <c r="AN868" s="49">
        <f>IF(AL868="","",IF(COUNT(X868)=0,-100000,TODAY()-X868))</f>
        <v/>
      </c>
      <c r="AO868" s="49">
        <f>IF(AN868="","",COUNTIF(AN$11:AN$1010,"&gt;"&amp;AN868)+COUNTIF(AN$11:AN868,AN868))</f>
        <v/>
      </c>
      <c r="AP868" s="49">
        <f>IF(OR(A868="",B868=""),"",IF(COUNTIF(B$11:B868,B868)=1,MAX(AP$10:AP867)+1,""))</f>
        <v/>
      </c>
    </row>
    <row r="869">
      <c r="A869" s="20" t="n"/>
      <c r="B869" s="10" t="n"/>
      <c r="C869" s="10" t="n"/>
      <c r="D869" s="10" t="n"/>
      <c r="E869" s="10" t="n"/>
      <c r="F869" s="18" t="n"/>
      <c r="G869" s="10" t="n"/>
      <c r="H869" s="12" t="n"/>
      <c r="I869" s="12" t="n"/>
      <c r="J869" s="13">
        <f>IF(OR(A869="",COUNT(H869)=0,COUNT(Z869)=0),"",ROUND(Z869-H869,2))</f>
        <v/>
      </c>
      <c r="K869" s="15">
        <f>IF(COUNT(J869)=0,"",IF(Z869=0,"n.a.",J869/Z869))</f>
        <v/>
      </c>
      <c r="L869" s="14">
        <f>IF(OR(A869="",COUNT(H869)=0,COUNT(Y869)=0),"",ROUND(H869*(1+Y869),2))</f>
        <v/>
      </c>
      <c r="M869" s="10" t="n"/>
      <c r="N869" s="10" t="n"/>
      <c r="O869" s="10" t="n"/>
      <c r="P869" s="10" t="n"/>
      <c r="Q869" s="20" t="n"/>
      <c r="R869" s="10" t="n"/>
      <c r="S869" s="10" t="n"/>
      <c r="T869" s="18" t="n"/>
      <c r="U869" s="18" t="n"/>
      <c r="V869" s="10" t="n"/>
      <c r="W869" s="10" t="n"/>
      <c r="X869" s="19">
        <f>IF(OR(A869="",COUNT(U869)=0,COUNT(AI869)=0),"",U869+AI869)</f>
        <v/>
      </c>
      <c r="Y869" s="16" t="n"/>
      <c r="Z869" s="12" t="n"/>
      <c r="AA869" s="17">
        <f>IF(COUNT(J869)=0,"",IF(H869=0,"n.a.",J869/H869))</f>
        <v/>
      </c>
      <c r="AB869" s="12" t="n"/>
      <c r="AC869" s="12" t="n"/>
      <c r="AD869" s="12" t="n"/>
      <c r="AE869" s="13">
        <f>IF(OR(COUNT(J869)=0,COUNT(AB869:AD869)&lt;3),"",ROUND(J869-SUM(AB869:AD869),2))</f>
        <v/>
      </c>
      <c r="AF869" s="15">
        <f>IF(COUNT(AE869)=0,"",IF(Z869=0,"n.a.",AE869/Z869))</f>
        <v/>
      </c>
      <c r="AG869" s="12" t="n"/>
      <c r="AH869" s="14">
        <f>IF(OR(A869="",COUNT(Z869)=0,COUNT(AG869)=0),"",ROUND(Z869-AG869,2))</f>
        <v/>
      </c>
      <c r="AI869" s="21" t="n"/>
      <c r="AJ869" s="11">
        <f>IF(A869="","",IF(COUNT(I869)=0,"Enter approved NTE",IF(COUNT(Z869)&gt;0,IF(Z869&gt;I869,"Invoice exceeds NTE","Invoice within NTE"),IF(COUNT(L869)=0,"Enter quote inputs",IF(L869&gt;I869,"Quote exceeds NTE","Quote within NTE")))))</f>
        <v/>
      </c>
      <c r="AK869" s="11">
        <f>IF(A869="","",IF(COUNT(H869)=0,"Enter direct cost",IF(COUNT(Z869)=0,"Enter invoice revenue",IF(COUNT(AB869:AD869)&lt;3,"Enter expenses (0 if none)","Complete"))))</f>
        <v/>
      </c>
      <c r="AL869" s="11">
        <f>IF(A869="","",IF(NOT(AND(COUNT(AH869)=1,N(AH869)&gt;0.004,V869&lt;&gt;"Void",V869&lt;&gt;"Not invoiced",V869&lt;&gt;"Draft")),"",IF(COUNT(X869)=0,"No due date",IF(TODAY()-X869&lt;=0,"Not yet due",IF(TODAY()-X869&lt;=30,"1-30 days",IF(TODAY()-X869&lt;=60,"31-60 days",IF(TODAY()-X869&lt;=90,"61-90 days","Over 90 days")))))))</f>
        <v/>
      </c>
      <c r="AM869" s="49">
        <f>IF(OR(AL869="",AL869="No due date"),"",MAX(TODAY()-X869,0))</f>
        <v/>
      </c>
      <c r="AN869" s="49">
        <f>IF(AL869="","",IF(COUNT(X869)=0,-100000,TODAY()-X869))</f>
        <v/>
      </c>
      <c r="AO869" s="49">
        <f>IF(AN869="","",COUNTIF(AN$11:AN$1010,"&gt;"&amp;AN869)+COUNTIF(AN$11:AN869,AN869))</f>
        <v/>
      </c>
      <c r="AP869" s="49">
        <f>IF(OR(A869="",B869=""),"",IF(COUNTIF(B$11:B869,B869)=1,MAX(AP$10:AP868)+1,""))</f>
        <v/>
      </c>
    </row>
    <row r="870">
      <c r="A870" s="20" t="n"/>
      <c r="B870" s="10" t="n"/>
      <c r="C870" s="10" t="n"/>
      <c r="D870" s="10" t="n"/>
      <c r="E870" s="10" t="n"/>
      <c r="F870" s="18" t="n"/>
      <c r="G870" s="10" t="n"/>
      <c r="H870" s="12" t="n"/>
      <c r="I870" s="12" t="n"/>
      <c r="J870" s="13">
        <f>IF(OR(A870="",COUNT(H870)=0,COUNT(Z870)=0),"",ROUND(Z870-H870,2))</f>
        <v/>
      </c>
      <c r="K870" s="15">
        <f>IF(COUNT(J870)=0,"",IF(Z870=0,"n.a.",J870/Z870))</f>
        <v/>
      </c>
      <c r="L870" s="14">
        <f>IF(OR(A870="",COUNT(H870)=0,COUNT(Y870)=0),"",ROUND(H870*(1+Y870),2))</f>
        <v/>
      </c>
      <c r="M870" s="10" t="n"/>
      <c r="N870" s="10" t="n"/>
      <c r="O870" s="10" t="n"/>
      <c r="P870" s="10" t="n"/>
      <c r="Q870" s="20" t="n"/>
      <c r="R870" s="10" t="n"/>
      <c r="S870" s="10" t="n"/>
      <c r="T870" s="18" t="n"/>
      <c r="U870" s="18" t="n"/>
      <c r="V870" s="10" t="n"/>
      <c r="W870" s="10" t="n"/>
      <c r="X870" s="19">
        <f>IF(OR(A870="",COUNT(U870)=0,COUNT(AI870)=0),"",U870+AI870)</f>
        <v/>
      </c>
      <c r="Y870" s="16" t="n"/>
      <c r="Z870" s="12" t="n"/>
      <c r="AA870" s="17">
        <f>IF(COUNT(J870)=0,"",IF(H870=0,"n.a.",J870/H870))</f>
        <v/>
      </c>
      <c r="AB870" s="12" t="n"/>
      <c r="AC870" s="12" t="n"/>
      <c r="AD870" s="12" t="n"/>
      <c r="AE870" s="13">
        <f>IF(OR(COUNT(J870)=0,COUNT(AB870:AD870)&lt;3),"",ROUND(J870-SUM(AB870:AD870),2))</f>
        <v/>
      </c>
      <c r="AF870" s="15">
        <f>IF(COUNT(AE870)=0,"",IF(Z870=0,"n.a.",AE870/Z870))</f>
        <v/>
      </c>
      <c r="AG870" s="12" t="n"/>
      <c r="AH870" s="14">
        <f>IF(OR(A870="",COUNT(Z870)=0,COUNT(AG870)=0),"",ROUND(Z870-AG870,2))</f>
        <v/>
      </c>
      <c r="AI870" s="21" t="n"/>
      <c r="AJ870" s="11">
        <f>IF(A870="","",IF(COUNT(I870)=0,"Enter approved NTE",IF(COUNT(Z870)&gt;0,IF(Z870&gt;I870,"Invoice exceeds NTE","Invoice within NTE"),IF(COUNT(L870)=0,"Enter quote inputs",IF(L870&gt;I870,"Quote exceeds NTE","Quote within NTE")))))</f>
        <v/>
      </c>
      <c r="AK870" s="11">
        <f>IF(A870="","",IF(COUNT(H870)=0,"Enter direct cost",IF(COUNT(Z870)=0,"Enter invoice revenue",IF(COUNT(AB870:AD870)&lt;3,"Enter expenses (0 if none)","Complete"))))</f>
        <v/>
      </c>
      <c r="AL870" s="11">
        <f>IF(A870="","",IF(NOT(AND(COUNT(AH870)=1,N(AH870)&gt;0.004,V870&lt;&gt;"Void",V870&lt;&gt;"Not invoiced",V870&lt;&gt;"Draft")),"",IF(COUNT(X870)=0,"No due date",IF(TODAY()-X870&lt;=0,"Not yet due",IF(TODAY()-X870&lt;=30,"1-30 days",IF(TODAY()-X870&lt;=60,"31-60 days",IF(TODAY()-X870&lt;=90,"61-90 days","Over 90 days")))))))</f>
        <v/>
      </c>
      <c r="AM870" s="49">
        <f>IF(OR(AL870="",AL870="No due date"),"",MAX(TODAY()-X870,0))</f>
        <v/>
      </c>
      <c r="AN870" s="49">
        <f>IF(AL870="","",IF(COUNT(X870)=0,-100000,TODAY()-X870))</f>
        <v/>
      </c>
      <c r="AO870" s="49">
        <f>IF(AN870="","",COUNTIF(AN$11:AN$1010,"&gt;"&amp;AN870)+COUNTIF(AN$11:AN870,AN870))</f>
        <v/>
      </c>
      <c r="AP870" s="49">
        <f>IF(OR(A870="",B870=""),"",IF(COUNTIF(B$11:B870,B870)=1,MAX(AP$10:AP869)+1,""))</f>
        <v/>
      </c>
    </row>
    <row r="871">
      <c r="A871" s="20" t="n"/>
      <c r="B871" s="10" t="n"/>
      <c r="C871" s="10" t="n"/>
      <c r="D871" s="10" t="n"/>
      <c r="E871" s="10" t="n"/>
      <c r="F871" s="18" t="n"/>
      <c r="G871" s="10" t="n"/>
      <c r="H871" s="12" t="n"/>
      <c r="I871" s="12" t="n"/>
      <c r="J871" s="13">
        <f>IF(OR(A871="",COUNT(H871)=0,COUNT(Z871)=0),"",ROUND(Z871-H871,2))</f>
        <v/>
      </c>
      <c r="K871" s="15">
        <f>IF(COUNT(J871)=0,"",IF(Z871=0,"n.a.",J871/Z871))</f>
        <v/>
      </c>
      <c r="L871" s="14">
        <f>IF(OR(A871="",COUNT(H871)=0,COUNT(Y871)=0),"",ROUND(H871*(1+Y871),2))</f>
        <v/>
      </c>
      <c r="M871" s="10" t="n"/>
      <c r="N871" s="10" t="n"/>
      <c r="O871" s="10" t="n"/>
      <c r="P871" s="10" t="n"/>
      <c r="Q871" s="20" t="n"/>
      <c r="R871" s="10" t="n"/>
      <c r="S871" s="10" t="n"/>
      <c r="T871" s="18" t="n"/>
      <c r="U871" s="18" t="n"/>
      <c r="V871" s="10" t="n"/>
      <c r="W871" s="10" t="n"/>
      <c r="X871" s="19">
        <f>IF(OR(A871="",COUNT(U871)=0,COUNT(AI871)=0),"",U871+AI871)</f>
        <v/>
      </c>
      <c r="Y871" s="16" t="n"/>
      <c r="Z871" s="12" t="n"/>
      <c r="AA871" s="17">
        <f>IF(COUNT(J871)=0,"",IF(H871=0,"n.a.",J871/H871))</f>
        <v/>
      </c>
      <c r="AB871" s="12" t="n"/>
      <c r="AC871" s="12" t="n"/>
      <c r="AD871" s="12" t="n"/>
      <c r="AE871" s="13">
        <f>IF(OR(COUNT(J871)=0,COUNT(AB871:AD871)&lt;3),"",ROUND(J871-SUM(AB871:AD871),2))</f>
        <v/>
      </c>
      <c r="AF871" s="15">
        <f>IF(COUNT(AE871)=0,"",IF(Z871=0,"n.a.",AE871/Z871))</f>
        <v/>
      </c>
      <c r="AG871" s="12" t="n"/>
      <c r="AH871" s="14">
        <f>IF(OR(A871="",COUNT(Z871)=0,COUNT(AG871)=0),"",ROUND(Z871-AG871,2))</f>
        <v/>
      </c>
      <c r="AI871" s="21" t="n"/>
      <c r="AJ871" s="11">
        <f>IF(A871="","",IF(COUNT(I871)=0,"Enter approved NTE",IF(COUNT(Z871)&gt;0,IF(Z871&gt;I871,"Invoice exceeds NTE","Invoice within NTE"),IF(COUNT(L871)=0,"Enter quote inputs",IF(L871&gt;I871,"Quote exceeds NTE","Quote within NTE")))))</f>
        <v/>
      </c>
      <c r="AK871" s="11">
        <f>IF(A871="","",IF(COUNT(H871)=0,"Enter direct cost",IF(COUNT(Z871)=0,"Enter invoice revenue",IF(COUNT(AB871:AD871)&lt;3,"Enter expenses (0 if none)","Complete"))))</f>
        <v/>
      </c>
      <c r="AL871" s="11">
        <f>IF(A871="","",IF(NOT(AND(COUNT(AH871)=1,N(AH871)&gt;0.004,V871&lt;&gt;"Void",V871&lt;&gt;"Not invoiced",V871&lt;&gt;"Draft")),"",IF(COUNT(X871)=0,"No due date",IF(TODAY()-X871&lt;=0,"Not yet due",IF(TODAY()-X871&lt;=30,"1-30 days",IF(TODAY()-X871&lt;=60,"31-60 days",IF(TODAY()-X871&lt;=90,"61-90 days","Over 90 days")))))))</f>
        <v/>
      </c>
      <c r="AM871" s="49">
        <f>IF(OR(AL871="",AL871="No due date"),"",MAX(TODAY()-X871,0))</f>
        <v/>
      </c>
      <c r="AN871" s="49">
        <f>IF(AL871="","",IF(COUNT(X871)=0,-100000,TODAY()-X871))</f>
        <v/>
      </c>
      <c r="AO871" s="49">
        <f>IF(AN871="","",COUNTIF(AN$11:AN$1010,"&gt;"&amp;AN871)+COUNTIF(AN$11:AN871,AN871))</f>
        <v/>
      </c>
      <c r="AP871" s="49">
        <f>IF(OR(A871="",B871=""),"",IF(COUNTIF(B$11:B871,B871)=1,MAX(AP$10:AP870)+1,""))</f>
        <v/>
      </c>
    </row>
    <row r="872">
      <c r="A872" s="20" t="n"/>
      <c r="B872" s="10" t="n"/>
      <c r="C872" s="10" t="n"/>
      <c r="D872" s="10" t="n"/>
      <c r="E872" s="10" t="n"/>
      <c r="F872" s="18" t="n"/>
      <c r="G872" s="10" t="n"/>
      <c r="H872" s="12" t="n"/>
      <c r="I872" s="12" t="n"/>
      <c r="J872" s="13">
        <f>IF(OR(A872="",COUNT(H872)=0,COUNT(Z872)=0),"",ROUND(Z872-H872,2))</f>
        <v/>
      </c>
      <c r="K872" s="15">
        <f>IF(COUNT(J872)=0,"",IF(Z872=0,"n.a.",J872/Z872))</f>
        <v/>
      </c>
      <c r="L872" s="14">
        <f>IF(OR(A872="",COUNT(H872)=0,COUNT(Y872)=0),"",ROUND(H872*(1+Y872),2))</f>
        <v/>
      </c>
      <c r="M872" s="10" t="n"/>
      <c r="N872" s="10" t="n"/>
      <c r="O872" s="10" t="n"/>
      <c r="P872" s="10" t="n"/>
      <c r="Q872" s="20" t="n"/>
      <c r="R872" s="10" t="n"/>
      <c r="S872" s="10" t="n"/>
      <c r="T872" s="18" t="n"/>
      <c r="U872" s="18" t="n"/>
      <c r="V872" s="10" t="n"/>
      <c r="W872" s="10" t="n"/>
      <c r="X872" s="19">
        <f>IF(OR(A872="",COUNT(U872)=0,COUNT(AI872)=0),"",U872+AI872)</f>
        <v/>
      </c>
      <c r="Y872" s="16" t="n"/>
      <c r="Z872" s="12" t="n"/>
      <c r="AA872" s="17">
        <f>IF(COUNT(J872)=0,"",IF(H872=0,"n.a.",J872/H872))</f>
        <v/>
      </c>
      <c r="AB872" s="12" t="n"/>
      <c r="AC872" s="12" t="n"/>
      <c r="AD872" s="12" t="n"/>
      <c r="AE872" s="13">
        <f>IF(OR(COUNT(J872)=0,COUNT(AB872:AD872)&lt;3),"",ROUND(J872-SUM(AB872:AD872),2))</f>
        <v/>
      </c>
      <c r="AF872" s="15">
        <f>IF(COUNT(AE872)=0,"",IF(Z872=0,"n.a.",AE872/Z872))</f>
        <v/>
      </c>
      <c r="AG872" s="12" t="n"/>
      <c r="AH872" s="14">
        <f>IF(OR(A872="",COUNT(Z872)=0,COUNT(AG872)=0),"",ROUND(Z872-AG872,2))</f>
        <v/>
      </c>
      <c r="AI872" s="21" t="n"/>
      <c r="AJ872" s="11">
        <f>IF(A872="","",IF(COUNT(I872)=0,"Enter approved NTE",IF(COUNT(Z872)&gt;0,IF(Z872&gt;I872,"Invoice exceeds NTE","Invoice within NTE"),IF(COUNT(L872)=0,"Enter quote inputs",IF(L872&gt;I872,"Quote exceeds NTE","Quote within NTE")))))</f>
        <v/>
      </c>
      <c r="AK872" s="11">
        <f>IF(A872="","",IF(COUNT(H872)=0,"Enter direct cost",IF(COUNT(Z872)=0,"Enter invoice revenue",IF(COUNT(AB872:AD872)&lt;3,"Enter expenses (0 if none)","Complete"))))</f>
        <v/>
      </c>
      <c r="AL872" s="11">
        <f>IF(A872="","",IF(NOT(AND(COUNT(AH872)=1,N(AH872)&gt;0.004,V872&lt;&gt;"Void",V872&lt;&gt;"Not invoiced",V872&lt;&gt;"Draft")),"",IF(COUNT(X872)=0,"No due date",IF(TODAY()-X872&lt;=0,"Not yet due",IF(TODAY()-X872&lt;=30,"1-30 days",IF(TODAY()-X872&lt;=60,"31-60 days",IF(TODAY()-X872&lt;=90,"61-90 days","Over 90 days")))))))</f>
        <v/>
      </c>
      <c r="AM872" s="49">
        <f>IF(OR(AL872="",AL872="No due date"),"",MAX(TODAY()-X872,0))</f>
        <v/>
      </c>
      <c r="AN872" s="49">
        <f>IF(AL872="","",IF(COUNT(X872)=0,-100000,TODAY()-X872))</f>
        <v/>
      </c>
      <c r="AO872" s="49">
        <f>IF(AN872="","",COUNTIF(AN$11:AN$1010,"&gt;"&amp;AN872)+COUNTIF(AN$11:AN872,AN872))</f>
        <v/>
      </c>
      <c r="AP872" s="49">
        <f>IF(OR(A872="",B872=""),"",IF(COUNTIF(B$11:B872,B872)=1,MAX(AP$10:AP871)+1,""))</f>
        <v/>
      </c>
    </row>
    <row r="873">
      <c r="A873" s="20" t="n"/>
      <c r="B873" s="10" t="n"/>
      <c r="C873" s="10" t="n"/>
      <c r="D873" s="10" t="n"/>
      <c r="E873" s="10" t="n"/>
      <c r="F873" s="18" t="n"/>
      <c r="G873" s="10" t="n"/>
      <c r="H873" s="12" t="n"/>
      <c r="I873" s="12" t="n"/>
      <c r="J873" s="13">
        <f>IF(OR(A873="",COUNT(H873)=0,COUNT(Z873)=0),"",ROUND(Z873-H873,2))</f>
        <v/>
      </c>
      <c r="K873" s="15">
        <f>IF(COUNT(J873)=0,"",IF(Z873=0,"n.a.",J873/Z873))</f>
        <v/>
      </c>
      <c r="L873" s="14">
        <f>IF(OR(A873="",COUNT(H873)=0,COUNT(Y873)=0),"",ROUND(H873*(1+Y873),2))</f>
        <v/>
      </c>
      <c r="M873" s="10" t="n"/>
      <c r="N873" s="10" t="n"/>
      <c r="O873" s="10" t="n"/>
      <c r="P873" s="10" t="n"/>
      <c r="Q873" s="20" t="n"/>
      <c r="R873" s="10" t="n"/>
      <c r="S873" s="10" t="n"/>
      <c r="T873" s="18" t="n"/>
      <c r="U873" s="18" t="n"/>
      <c r="V873" s="10" t="n"/>
      <c r="W873" s="10" t="n"/>
      <c r="X873" s="19">
        <f>IF(OR(A873="",COUNT(U873)=0,COUNT(AI873)=0),"",U873+AI873)</f>
        <v/>
      </c>
      <c r="Y873" s="16" t="n"/>
      <c r="Z873" s="12" t="n"/>
      <c r="AA873" s="17">
        <f>IF(COUNT(J873)=0,"",IF(H873=0,"n.a.",J873/H873))</f>
        <v/>
      </c>
      <c r="AB873" s="12" t="n"/>
      <c r="AC873" s="12" t="n"/>
      <c r="AD873" s="12" t="n"/>
      <c r="AE873" s="13">
        <f>IF(OR(COUNT(J873)=0,COUNT(AB873:AD873)&lt;3),"",ROUND(J873-SUM(AB873:AD873),2))</f>
        <v/>
      </c>
      <c r="AF873" s="15">
        <f>IF(COUNT(AE873)=0,"",IF(Z873=0,"n.a.",AE873/Z873))</f>
        <v/>
      </c>
      <c r="AG873" s="12" t="n"/>
      <c r="AH873" s="14">
        <f>IF(OR(A873="",COUNT(Z873)=0,COUNT(AG873)=0),"",ROUND(Z873-AG873,2))</f>
        <v/>
      </c>
      <c r="AI873" s="21" t="n"/>
      <c r="AJ873" s="11">
        <f>IF(A873="","",IF(COUNT(I873)=0,"Enter approved NTE",IF(COUNT(Z873)&gt;0,IF(Z873&gt;I873,"Invoice exceeds NTE","Invoice within NTE"),IF(COUNT(L873)=0,"Enter quote inputs",IF(L873&gt;I873,"Quote exceeds NTE","Quote within NTE")))))</f>
        <v/>
      </c>
      <c r="AK873" s="11">
        <f>IF(A873="","",IF(COUNT(H873)=0,"Enter direct cost",IF(COUNT(Z873)=0,"Enter invoice revenue",IF(COUNT(AB873:AD873)&lt;3,"Enter expenses (0 if none)","Complete"))))</f>
        <v/>
      </c>
      <c r="AL873" s="11">
        <f>IF(A873="","",IF(NOT(AND(COUNT(AH873)=1,N(AH873)&gt;0.004,V873&lt;&gt;"Void",V873&lt;&gt;"Not invoiced",V873&lt;&gt;"Draft")),"",IF(COUNT(X873)=0,"No due date",IF(TODAY()-X873&lt;=0,"Not yet due",IF(TODAY()-X873&lt;=30,"1-30 days",IF(TODAY()-X873&lt;=60,"31-60 days",IF(TODAY()-X873&lt;=90,"61-90 days","Over 90 days")))))))</f>
        <v/>
      </c>
      <c r="AM873" s="49">
        <f>IF(OR(AL873="",AL873="No due date"),"",MAX(TODAY()-X873,0))</f>
        <v/>
      </c>
      <c r="AN873" s="49">
        <f>IF(AL873="","",IF(COUNT(X873)=0,-100000,TODAY()-X873))</f>
        <v/>
      </c>
      <c r="AO873" s="49">
        <f>IF(AN873="","",COUNTIF(AN$11:AN$1010,"&gt;"&amp;AN873)+COUNTIF(AN$11:AN873,AN873))</f>
        <v/>
      </c>
      <c r="AP873" s="49">
        <f>IF(OR(A873="",B873=""),"",IF(COUNTIF(B$11:B873,B873)=1,MAX(AP$10:AP872)+1,""))</f>
        <v/>
      </c>
    </row>
    <row r="874">
      <c r="A874" s="20" t="n"/>
      <c r="B874" s="10" t="n"/>
      <c r="C874" s="10" t="n"/>
      <c r="D874" s="10" t="n"/>
      <c r="E874" s="10" t="n"/>
      <c r="F874" s="18" t="n"/>
      <c r="G874" s="10" t="n"/>
      <c r="H874" s="12" t="n"/>
      <c r="I874" s="12" t="n"/>
      <c r="J874" s="13">
        <f>IF(OR(A874="",COUNT(H874)=0,COUNT(Z874)=0),"",ROUND(Z874-H874,2))</f>
        <v/>
      </c>
      <c r="K874" s="15">
        <f>IF(COUNT(J874)=0,"",IF(Z874=0,"n.a.",J874/Z874))</f>
        <v/>
      </c>
      <c r="L874" s="14">
        <f>IF(OR(A874="",COUNT(H874)=0,COUNT(Y874)=0),"",ROUND(H874*(1+Y874),2))</f>
        <v/>
      </c>
      <c r="M874" s="10" t="n"/>
      <c r="N874" s="10" t="n"/>
      <c r="O874" s="10" t="n"/>
      <c r="P874" s="10" t="n"/>
      <c r="Q874" s="20" t="n"/>
      <c r="R874" s="10" t="n"/>
      <c r="S874" s="10" t="n"/>
      <c r="T874" s="18" t="n"/>
      <c r="U874" s="18" t="n"/>
      <c r="V874" s="10" t="n"/>
      <c r="W874" s="10" t="n"/>
      <c r="X874" s="19">
        <f>IF(OR(A874="",COUNT(U874)=0,COUNT(AI874)=0),"",U874+AI874)</f>
        <v/>
      </c>
      <c r="Y874" s="16" t="n"/>
      <c r="Z874" s="12" t="n"/>
      <c r="AA874" s="17">
        <f>IF(COUNT(J874)=0,"",IF(H874=0,"n.a.",J874/H874))</f>
        <v/>
      </c>
      <c r="AB874" s="12" t="n"/>
      <c r="AC874" s="12" t="n"/>
      <c r="AD874" s="12" t="n"/>
      <c r="AE874" s="13">
        <f>IF(OR(COUNT(J874)=0,COUNT(AB874:AD874)&lt;3),"",ROUND(J874-SUM(AB874:AD874),2))</f>
        <v/>
      </c>
      <c r="AF874" s="15">
        <f>IF(COUNT(AE874)=0,"",IF(Z874=0,"n.a.",AE874/Z874))</f>
        <v/>
      </c>
      <c r="AG874" s="12" t="n"/>
      <c r="AH874" s="14">
        <f>IF(OR(A874="",COUNT(Z874)=0,COUNT(AG874)=0),"",ROUND(Z874-AG874,2))</f>
        <v/>
      </c>
      <c r="AI874" s="21" t="n"/>
      <c r="AJ874" s="11">
        <f>IF(A874="","",IF(COUNT(I874)=0,"Enter approved NTE",IF(COUNT(Z874)&gt;0,IF(Z874&gt;I874,"Invoice exceeds NTE","Invoice within NTE"),IF(COUNT(L874)=0,"Enter quote inputs",IF(L874&gt;I874,"Quote exceeds NTE","Quote within NTE")))))</f>
        <v/>
      </c>
      <c r="AK874" s="11">
        <f>IF(A874="","",IF(COUNT(H874)=0,"Enter direct cost",IF(COUNT(Z874)=0,"Enter invoice revenue",IF(COUNT(AB874:AD874)&lt;3,"Enter expenses (0 if none)","Complete"))))</f>
        <v/>
      </c>
      <c r="AL874" s="11">
        <f>IF(A874="","",IF(NOT(AND(COUNT(AH874)=1,N(AH874)&gt;0.004,V874&lt;&gt;"Void",V874&lt;&gt;"Not invoiced",V874&lt;&gt;"Draft")),"",IF(COUNT(X874)=0,"No due date",IF(TODAY()-X874&lt;=0,"Not yet due",IF(TODAY()-X874&lt;=30,"1-30 days",IF(TODAY()-X874&lt;=60,"31-60 days",IF(TODAY()-X874&lt;=90,"61-90 days","Over 90 days")))))))</f>
        <v/>
      </c>
      <c r="AM874" s="49">
        <f>IF(OR(AL874="",AL874="No due date"),"",MAX(TODAY()-X874,0))</f>
        <v/>
      </c>
      <c r="AN874" s="49">
        <f>IF(AL874="","",IF(COUNT(X874)=0,-100000,TODAY()-X874))</f>
        <v/>
      </c>
      <c r="AO874" s="49">
        <f>IF(AN874="","",COUNTIF(AN$11:AN$1010,"&gt;"&amp;AN874)+COUNTIF(AN$11:AN874,AN874))</f>
        <v/>
      </c>
      <c r="AP874" s="49">
        <f>IF(OR(A874="",B874=""),"",IF(COUNTIF(B$11:B874,B874)=1,MAX(AP$10:AP873)+1,""))</f>
        <v/>
      </c>
    </row>
    <row r="875">
      <c r="A875" s="20" t="n"/>
      <c r="B875" s="10" t="n"/>
      <c r="C875" s="10" t="n"/>
      <c r="D875" s="10" t="n"/>
      <c r="E875" s="10" t="n"/>
      <c r="F875" s="18" t="n"/>
      <c r="G875" s="10" t="n"/>
      <c r="H875" s="12" t="n"/>
      <c r="I875" s="12" t="n"/>
      <c r="J875" s="13">
        <f>IF(OR(A875="",COUNT(H875)=0,COUNT(Z875)=0),"",ROUND(Z875-H875,2))</f>
        <v/>
      </c>
      <c r="K875" s="15">
        <f>IF(COUNT(J875)=0,"",IF(Z875=0,"n.a.",J875/Z875))</f>
        <v/>
      </c>
      <c r="L875" s="14">
        <f>IF(OR(A875="",COUNT(H875)=0,COUNT(Y875)=0),"",ROUND(H875*(1+Y875),2))</f>
        <v/>
      </c>
      <c r="M875" s="10" t="n"/>
      <c r="N875" s="10" t="n"/>
      <c r="O875" s="10" t="n"/>
      <c r="P875" s="10" t="n"/>
      <c r="Q875" s="20" t="n"/>
      <c r="R875" s="10" t="n"/>
      <c r="S875" s="10" t="n"/>
      <c r="T875" s="18" t="n"/>
      <c r="U875" s="18" t="n"/>
      <c r="V875" s="10" t="n"/>
      <c r="W875" s="10" t="n"/>
      <c r="X875" s="19">
        <f>IF(OR(A875="",COUNT(U875)=0,COUNT(AI875)=0),"",U875+AI875)</f>
        <v/>
      </c>
      <c r="Y875" s="16" t="n"/>
      <c r="Z875" s="12" t="n"/>
      <c r="AA875" s="17">
        <f>IF(COUNT(J875)=0,"",IF(H875=0,"n.a.",J875/H875))</f>
        <v/>
      </c>
      <c r="AB875" s="12" t="n"/>
      <c r="AC875" s="12" t="n"/>
      <c r="AD875" s="12" t="n"/>
      <c r="AE875" s="13">
        <f>IF(OR(COUNT(J875)=0,COUNT(AB875:AD875)&lt;3),"",ROUND(J875-SUM(AB875:AD875),2))</f>
        <v/>
      </c>
      <c r="AF875" s="15">
        <f>IF(COUNT(AE875)=0,"",IF(Z875=0,"n.a.",AE875/Z875))</f>
        <v/>
      </c>
      <c r="AG875" s="12" t="n"/>
      <c r="AH875" s="14">
        <f>IF(OR(A875="",COUNT(Z875)=0,COUNT(AG875)=0),"",ROUND(Z875-AG875,2))</f>
        <v/>
      </c>
      <c r="AI875" s="21" t="n"/>
      <c r="AJ875" s="11">
        <f>IF(A875="","",IF(COUNT(I875)=0,"Enter approved NTE",IF(COUNT(Z875)&gt;0,IF(Z875&gt;I875,"Invoice exceeds NTE","Invoice within NTE"),IF(COUNT(L875)=0,"Enter quote inputs",IF(L875&gt;I875,"Quote exceeds NTE","Quote within NTE")))))</f>
        <v/>
      </c>
      <c r="AK875" s="11">
        <f>IF(A875="","",IF(COUNT(H875)=0,"Enter direct cost",IF(COUNT(Z875)=0,"Enter invoice revenue",IF(COUNT(AB875:AD875)&lt;3,"Enter expenses (0 if none)","Complete"))))</f>
        <v/>
      </c>
      <c r="AL875" s="11">
        <f>IF(A875="","",IF(NOT(AND(COUNT(AH875)=1,N(AH875)&gt;0.004,V875&lt;&gt;"Void",V875&lt;&gt;"Not invoiced",V875&lt;&gt;"Draft")),"",IF(COUNT(X875)=0,"No due date",IF(TODAY()-X875&lt;=0,"Not yet due",IF(TODAY()-X875&lt;=30,"1-30 days",IF(TODAY()-X875&lt;=60,"31-60 days",IF(TODAY()-X875&lt;=90,"61-90 days","Over 90 days")))))))</f>
        <v/>
      </c>
      <c r="AM875" s="49">
        <f>IF(OR(AL875="",AL875="No due date"),"",MAX(TODAY()-X875,0))</f>
        <v/>
      </c>
      <c r="AN875" s="49">
        <f>IF(AL875="","",IF(COUNT(X875)=0,-100000,TODAY()-X875))</f>
        <v/>
      </c>
      <c r="AO875" s="49">
        <f>IF(AN875="","",COUNTIF(AN$11:AN$1010,"&gt;"&amp;AN875)+COUNTIF(AN$11:AN875,AN875))</f>
        <v/>
      </c>
      <c r="AP875" s="49">
        <f>IF(OR(A875="",B875=""),"",IF(COUNTIF(B$11:B875,B875)=1,MAX(AP$10:AP874)+1,""))</f>
        <v/>
      </c>
    </row>
    <row r="876">
      <c r="A876" s="20" t="n"/>
      <c r="B876" s="10" t="n"/>
      <c r="C876" s="10" t="n"/>
      <c r="D876" s="10" t="n"/>
      <c r="E876" s="10" t="n"/>
      <c r="F876" s="18" t="n"/>
      <c r="G876" s="10" t="n"/>
      <c r="H876" s="12" t="n"/>
      <c r="I876" s="12" t="n"/>
      <c r="J876" s="13">
        <f>IF(OR(A876="",COUNT(H876)=0,COUNT(Z876)=0),"",ROUND(Z876-H876,2))</f>
        <v/>
      </c>
      <c r="K876" s="15">
        <f>IF(COUNT(J876)=0,"",IF(Z876=0,"n.a.",J876/Z876))</f>
        <v/>
      </c>
      <c r="L876" s="14">
        <f>IF(OR(A876="",COUNT(H876)=0,COUNT(Y876)=0),"",ROUND(H876*(1+Y876),2))</f>
        <v/>
      </c>
      <c r="M876" s="10" t="n"/>
      <c r="N876" s="10" t="n"/>
      <c r="O876" s="10" t="n"/>
      <c r="P876" s="10" t="n"/>
      <c r="Q876" s="20" t="n"/>
      <c r="R876" s="10" t="n"/>
      <c r="S876" s="10" t="n"/>
      <c r="T876" s="18" t="n"/>
      <c r="U876" s="18" t="n"/>
      <c r="V876" s="10" t="n"/>
      <c r="W876" s="10" t="n"/>
      <c r="X876" s="19">
        <f>IF(OR(A876="",COUNT(U876)=0,COUNT(AI876)=0),"",U876+AI876)</f>
        <v/>
      </c>
      <c r="Y876" s="16" t="n"/>
      <c r="Z876" s="12" t="n"/>
      <c r="AA876" s="17">
        <f>IF(COUNT(J876)=0,"",IF(H876=0,"n.a.",J876/H876))</f>
        <v/>
      </c>
      <c r="AB876" s="12" t="n"/>
      <c r="AC876" s="12" t="n"/>
      <c r="AD876" s="12" t="n"/>
      <c r="AE876" s="13">
        <f>IF(OR(COUNT(J876)=0,COUNT(AB876:AD876)&lt;3),"",ROUND(J876-SUM(AB876:AD876),2))</f>
        <v/>
      </c>
      <c r="AF876" s="15">
        <f>IF(COUNT(AE876)=0,"",IF(Z876=0,"n.a.",AE876/Z876))</f>
        <v/>
      </c>
      <c r="AG876" s="12" t="n"/>
      <c r="AH876" s="14">
        <f>IF(OR(A876="",COUNT(Z876)=0,COUNT(AG876)=0),"",ROUND(Z876-AG876,2))</f>
        <v/>
      </c>
      <c r="AI876" s="21" t="n"/>
      <c r="AJ876" s="11">
        <f>IF(A876="","",IF(COUNT(I876)=0,"Enter approved NTE",IF(COUNT(Z876)&gt;0,IF(Z876&gt;I876,"Invoice exceeds NTE","Invoice within NTE"),IF(COUNT(L876)=0,"Enter quote inputs",IF(L876&gt;I876,"Quote exceeds NTE","Quote within NTE")))))</f>
        <v/>
      </c>
      <c r="AK876" s="11">
        <f>IF(A876="","",IF(COUNT(H876)=0,"Enter direct cost",IF(COUNT(Z876)=0,"Enter invoice revenue",IF(COUNT(AB876:AD876)&lt;3,"Enter expenses (0 if none)","Complete"))))</f>
        <v/>
      </c>
      <c r="AL876" s="11">
        <f>IF(A876="","",IF(NOT(AND(COUNT(AH876)=1,N(AH876)&gt;0.004,V876&lt;&gt;"Void",V876&lt;&gt;"Not invoiced",V876&lt;&gt;"Draft")),"",IF(COUNT(X876)=0,"No due date",IF(TODAY()-X876&lt;=0,"Not yet due",IF(TODAY()-X876&lt;=30,"1-30 days",IF(TODAY()-X876&lt;=60,"31-60 days",IF(TODAY()-X876&lt;=90,"61-90 days","Over 90 days")))))))</f>
        <v/>
      </c>
      <c r="AM876" s="49">
        <f>IF(OR(AL876="",AL876="No due date"),"",MAX(TODAY()-X876,0))</f>
        <v/>
      </c>
      <c r="AN876" s="49">
        <f>IF(AL876="","",IF(COUNT(X876)=0,-100000,TODAY()-X876))</f>
        <v/>
      </c>
      <c r="AO876" s="49">
        <f>IF(AN876="","",COUNTIF(AN$11:AN$1010,"&gt;"&amp;AN876)+COUNTIF(AN$11:AN876,AN876))</f>
        <v/>
      </c>
      <c r="AP876" s="49">
        <f>IF(OR(A876="",B876=""),"",IF(COUNTIF(B$11:B876,B876)=1,MAX(AP$10:AP875)+1,""))</f>
        <v/>
      </c>
    </row>
    <row r="877">
      <c r="A877" s="20" t="n"/>
      <c r="B877" s="10" t="n"/>
      <c r="C877" s="10" t="n"/>
      <c r="D877" s="10" t="n"/>
      <c r="E877" s="10" t="n"/>
      <c r="F877" s="18" t="n"/>
      <c r="G877" s="10" t="n"/>
      <c r="H877" s="12" t="n"/>
      <c r="I877" s="12" t="n"/>
      <c r="J877" s="13">
        <f>IF(OR(A877="",COUNT(H877)=0,COUNT(Z877)=0),"",ROUND(Z877-H877,2))</f>
        <v/>
      </c>
      <c r="K877" s="15">
        <f>IF(COUNT(J877)=0,"",IF(Z877=0,"n.a.",J877/Z877))</f>
        <v/>
      </c>
      <c r="L877" s="14">
        <f>IF(OR(A877="",COUNT(H877)=0,COUNT(Y877)=0),"",ROUND(H877*(1+Y877),2))</f>
        <v/>
      </c>
      <c r="M877" s="10" t="n"/>
      <c r="N877" s="10" t="n"/>
      <c r="O877" s="10" t="n"/>
      <c r="P877" s="10" t="n"/>
      <c r="Q877" s="20" t="n"/>
      <c r="R877" s="10" t="n"/>
      <c r="S877" s="10" t="n"/>
      <c r="T877" s="18" t="n"/>
      <c r="U877" s="18" t="n"/>
      <c r="V877" s="10" t="n"/>
      <c r="W877" s="10" t="n"/>
      <c r="X877" s="19">
        <f>IF(OR(A877="",COUNT(U877)=0,COUNT(AI877)=0),"",U877+AI877)</f>
        <v/>
      </c>
      <c r="Y877" s="16" t="n"/>
      <c r="Z877" s="12" t="n"/>
      <c r="AA877" s="17">
        <f>IF(COUNT(J877)=0,"",IF(H877=0,"n.a.",J877/H877))</f>
        <v/>
      </c>
      <c r="AB877" s="12" t="n"/>
      <c r="AC877" s="12" t="n"/>
      <c r="AD877" s="12" t="n"/>
      <c r="AE877" s="13">
        <f>IF(OR(COUNT(J877)=0,COUNT(AB877:AD877)&lt;3),"",ROUND(J877-SUM(AB877:AD877),2))</f>
        <v/>
      </c>
      <c r="AF877" s="15">
        <f>IF(COUNT(AE877)=0,"",IF(Z877=0,"n.a.",AE877/Z877))</f>
        <v/>
      </c>
      <c r="AG877" s="12" t="n"/>
      <c r="AH877" s="14">
        <f>IF(OR(A877="",COUNT(Z877)=0,COUNT(AG877)=0),"",ROUND(Z877-AG877,2))</f>
        <v/>
      </c>
      <c r="AI877" s="21" t="n"/>
      <c r="AJ877" s="11">
        <f>IF(A877="","",IF(COUNT(I877)=0,"Enter approved NTE",IF(COUNT(Z877)&gt;0,IF(Z877&gt;I877,"Invoice exceeds NTE","Invoice within NTE"),IF(COUNT(L877)=0,"Enter quote inputs",IF(L877&gt;I877,"Quote exceeds NTE","Quote within NTE")))))</f>
        <v/>
      </c>
      <c r="AK877" s="11">
        <f>IF(A877="","",IF(COUNT(H877)=0,"Enter direct cost",IF(COUNT(Z877)=0,"Enter invoice revenue",IF(COUNT(AB877:AD877)&lt;3,"Enter expenses (0 if none)","Complete"))))</f>
        <v/>
      </c>
      <c r="AL877" s="11">
        <f>IF(A877="","",IF(NOT(AND(COUNT(AH877)=1,N(AH877)&gt;0.004,V877&lt;&gt;"Void",V877&lt;&gt;"Not invoiced",V877&lt;&gt;"Draft")),"",IF(COUNT(X877)=0,"No due date",IF(TODAY()-X877&lt;=0,"Not yet due",IF(TODAY()-X877&lt;=30,"1-30 days",IF(TODAY()-X877&lt;=60,"31-60 days",IF(TODAY()-X877&lt;=90,"61-90 days","Over 90 days")))))))</f>
        <v/>
      </c>
      <c r="AM877" s="49">
        <f>IF(OR(AL877="",AL877="No due date"),"",MAX(TODAY()-X877,0))</f>
        <v/>
      </c>
      <c r="AN877" s="49">
        <f>IF(AL877="","",IF(COUNT(X877)=0,-100000,TODAY()-X877))</f>
        <v/>
      </c>
      <c r="AO877" s="49">
        <f>IF(AN877="","",COUNTIF(AN$11:AN$1010,"&gt;"&amp;AN877)+COUNTIF(AN$11:AN877,AN877))</f>
        <v/>
      </c>
      <c r="AP877" s="49">
        <f>IF(OR(A877="",B877=""),"",IF(COUNTIF(B$11:B877,B877)=1,MAX(AP$10:AP876)+1,""))</f>
        <v/>
      </c>
    </row>
    <row r="878">
      <c r="A878" s="20" t="n"/>
      <c r="B878" s="10" t="n"/>
      <c r="C878" s="10" t="n"/>
      <c r="D878" s="10" t="n"/>
      <c r="E878" s="10" t="n"/>
      <c r="F878" s="18" t="n"/>
      <c r="G878" s="10" t="n"/>
      <c r="H878" s="12" t="n"/>
      <c r="I878" s="12" t="n"/>
      <c r="J878" s="13">
        <f>IF(OR(A878="",COUNT(H878)=0,COUNT(Z878)=0),"",ROUND(Z878-H878,2))</f>
        <v/>
      </c>
      <c r="K878" s="15">
        <f>IF(COUNT(J878)=0,"",IF(Z878=0,"n.a.",J878/Z878))</f>
        <v/>
      </c>
      <c r="L878" s="14">
        <f>IF(OR(A878="",COUNT(H878)=0,COUNT(Y878)=0),"",ROUND(H878*(1+Y878),2))</f>
        <v/>
      </c>
      <c r="M878" s="10" t="n"/>
      <c r="N878" s="10" t="n"/>
      <c r="O878" s="10" t="n"/>
      <c r="P878" s="10" t="n"/>
      <c r="Q878" s="20" t="n"/>
      <c r="R878" s="10" t="n"/>
      <c r="S878" s="10" t="n"/>
      <c r="T878" s="18" t="n"/>
      <c r="U878" s="18" t="n"/>
      <c r="V878" s="10" t="n"/>
      <c r="W878" s="10" t="n"/>
      <c r="X878" s="19">
        <f>IF(OR(A878="",COUNT(U878)=0,COUNT(AI878)=0),"",U878+AI878)</f>
        <v/>
      </c>
      <c r="Y878" s="16" t="n"/>
      <c r="Z878" s="12" t="n"/>
      <c r="AA878" s="17">
        <f>IF(COUNT(J878)=0,"",IF(H878=0,"n.a.",J878/H878))</f>
        <v/>
      </c>
      <c r="AB878" s="12" t="n"/>
      <c r="AC878" s="12" t="n"/>
      <c r="AD878" s="12" t="n"/>
      <c r="AE878" s="13">
        <f>IF(OR(COUNT(J878)=0,COUNT(AB878:AD878)&lt;3),"",ROUND(J878-SUM(AB878:AD878),2))</f>
        <v/>
      </c>
      <c r="AF878" s="15">
        <f>IF(COUNT(AE878)=0,"",IF(Z878=0,"n.a.",AE878/Z878))</f>
        <v/>
      </c>
      <c r="AG878" s="12" t="n"/>
      <c r="AH878" s="14">
        <f>IF(OR(A878="",COUNT(Z878)=0,COUNT(AG878)=0),"",ROUND(Z878-AG878,2))</f>
        <v/>
      </c>
      <c r="AI878" s="21" t="n"/>
      <c r="AJ878" s="11">
        <f>IF(A878="","",IF(COUNT(I878)=0,"Enter approved NTE",IF(COUNT(Z878)&gt;0,IF(Z878&gt;I878,"Invoice exceeds NTE","Invoice within NTE"),IF(COUNT(L878)=0,"Enter quote inputs",IF(L878&gt;I878,"Quote exceeds NTE","Quote within NTE")))))</f>
        <v/>
      </c>
      <c r="AK878" s="11">
        <f>IF(A878="","",IF(COUNT(H878)=0,"Enter direct cost",IF(COUNT(Z878)=0,"Enter invoice revenue",IF(COUNT(AB878:AD878)&lt;3,"Enter expenses (0 if none)","Complete"))))</f>
        <v/>
      </c>
      <c r="AL878" s="11">
        <f>IF(A878="","",IF(NOT(AND(COUNT(AH878)=1,N(AH878)&gt;0.004,V878&lt;&gt;"Void",V878&lt;&gt;"Not invoiced",V878&lt;&gt;"Draft")),"",IF(COUNT(X878)=0,"No due date",IF(TODAY()-X878&lt;=0,"Not yet due",IF(TODAY()-X878&lt;=30,"1-30 days",IF(TODAY()-X878&lt;=60,"31-60 days",IF(TODAY()-X878&lt;=90,"61-90 days","Over 90 days")))))))</f>
        <v/>
      </c>
      <c r="AM878" s="49">
        <f>IF(OR(AL878="",AL878="No due date"),"",MAX(TODAY()-X878,0))</f>
        <v/>
      </c>
      <c r="AN878" s="49">
        <f>IF(AL878="","",IF(COUNT(X878)=0,-100000,TODAY()-X878))</f>
        <v/>
      </c>
      <c r="AO878" s="49">
        <f>IF(AN878="","",COUNTIF(AN$11:AN$1010,"&gt;"&amp;AN878)+COUNTIF(AN$11:AN878,AN878))</f>
        <v/>
      </c>
      <c r="AP878" s="49">
        <f>IF(OR(A878="",B878=""),"",IF(COUNTIF(B$11:B878,B878)=1,MAX(AP$10:AP877)+1,""))</f>
        <v/>
      </c>
    </row>
    <row r="879">
      <c r="A879" s="20" t="n"/>
      <c r="B879" s="10" t="n"/>
      <c r="C879" s="10" t="n"/>
      <c r="D879" s="10" t="n"/>
      <c r="E879" s="10" t="n"/>
      <c r="F879" s="18" t="n"/>
      <c r="G879" s="10" t="n"/>
      <c r="H879" s="12" t="n"/>
      <c r="I879" s="12" t="n"/>
      <c r="J879" s="13">
        <f>IF(OR(A879="",COUNT(H879)=0,COUNT(Z879)=0),"",ROUND(Z879-H879,2))</f>
        <v/>
      </c>
      <c r="K879" s="15">
        <f>IF(COUNT(J879)=0,"",IF(Z879=0,"n.a.",J879/Z879))</f>
        <v/>
      </c>
      <c r="L879" s="14">
        <f>IF(OR(A879="",COUNT(H879)=0,COUNT(Y879)=0),"",ROUND(H879*(1+Y879),2))</f>
        <v/>
      </c>
      <c r="M879" s="10" t="n"/>
      <c r="N879" s="10" t="n"/>
      <c r="O879" s="10" t="n"/>
      <c r="P879" s="10" t="n"/>
      <c r="Q879" s="20" t="n"/>
      <c r="R879" s="10" t="n"/>
      <c r="S879" s="10" t="n"/>
      <c r="T879" s="18" t="n"/>
      <c r="U879" s="18" t="n"/>
      <c r="V879" s="10" t="n"/>
      <c r="W879" s="10" t="n"/>
      <c r="X879" s="19">
        <f>IF(OR(A879="",COUNT(U879)=0,COUNT(AI879)=0),"",U879+AI879)</f>
        <v/>
      </c>
      <c r="Y879" s="16" t="n"/>
      <c r="Z879" s="12" t="n"/>
      <c r="AA879" s="17">
        <f>IF(COUNT(J879)=0,"",IF(H879=0,"n.a.",J879/H879))</f>
        <v/>
      </c>
      <c r="AB879" s="12" t="n"/>
      <c r="AC879" s="12" t="n"/>
      <c r="AD879" s="12" t="n"/>
      <c r="AE879" s="13">
        <f>IF(OR(COUNT(J879)=0,COUNT(AB879:AD879)&lt;3),"",ROUND(J879-SUM(AB879:AD879),2))</f>
        <v/>
      </c>
      <c r="AF879" s="15">
        <f>IF(COUNT(AE879)=0,"",IF(Z879=0,"n.a.",AE879/Z879))</f>
        <v/>
      </c>
      <c r="AG879" s="12" t="n"/>
      <c r="AH879" s="14">
        <f>IF(OR(A879="",COUNT(Z879)=0,COUNT(AG879)=0),"",ROUND(Z879-AG879,2))</f>
        <v/>
      </c>
      <c r="AI879" s="21" t="n"/>
      <c r="AJ879" s="11">
        <f>IF(A879="","",IF(COUNT(I879)=0,"Enter approved NTE",IF(COUNT(Z879)&gt;0,IF(Z879&gt;I879,"Invoice exceeds NTE","Invoice within NTE"),IF(COUNT(L879)=0,"Enter quote inputs",IF(L879&gt;I879,"Quote exceeds NTE","Quote within NTE")))))</f>
        <v/>
      </c>
      <c r="AK879" s="11">
        <f>IF(A879="","",IF(COUNT(H879)=0,"Enter direct cost",IF(COUNT(Z879)=0,"Enter invoice revenue",IF(COUNT(AB879:AD879)&lt;3,"Enter expenses (0 if none)","Complete"))))</f>
        <v/>
      </c>
      <c r="AL879" s="11">
        <f>IF(A879="","",IF(NOT(AND(COUNT(AH879)=1,N(AH879)&gt;0.004,V879&lt;&gt;"Void",V879&lt;&gt;"Not invoiced",V879&lt;&gt;"Draft")),"",IF(COUNT(X879)=0,"No due date",IF(TODAY()-X879&lt;=0,"Not yet due",IF(TODAY()-X879&lt;=30,"1-30 days",IF(TODAY()-X879&lt;=60,"31-60 days",IF(TODAY()-X879&lt;=90,"61-90 days","Over 90 days")))))))</f>
        <v/>
      </c>
      <c r="AM879" s="49">
        <f>IF(OR(AL879="",AL879="No due date"),"",MAX(TODAY()-X879,0))</f>
        <v/>
      </c>
      <c r="AN879" s="49">
        <f>IF(AL879="","",IF(COUNT(X879)=0,-100000,TODAY()-X879))</f>
        <v/>
      </c>
      <c r="AO879" s="49">
        <f>IF(AN879="","",COUNTIF(AN$11:AN$1010,"&gt;"&amp;AN879)+COUNTIF(AN$11:AN879,AN879))</f>
        <v/>
      </c>
      <c r="AP879" s="49">
        <f>IF(OR(A879="",B879=""),"",IF(COUNTIF(B$11:B879,B879)=1,MAX(AP$10:AP878)+1,""))</f>
        <v/>
      </c>
    </row>
    <row r="880">
      <c r="A880" s="20" t="n"/>
      <c r="B880" s="10" t="n"/>
      <c r="C880" s="10" t="n"/>
      <c r="D880" s="10" t="n"/>
      <c r="E880" s="10" t="n"/>
      <c r="F880" s="18" t="n"/>
      <c r="G880" s="10" t="n"/>
      <c r="H880" s="12" t="n"/>
      <c r="I880" s="12" t="n"/>
      <c r="J880" s="13">
        <f>IF(OR(A880="",COUNT(H880)=0,COUNT(Z880)=0),"",ROUND(Z880-H880,2))</f>
        <v/>
      </c>
      <c r="K880" s="15">
        <f>IF(COUNT(J880)=0,"",IF(Z880=0,"n.a.",J880/Z880))</f>
        <v/>
      </c>
      <c r="L880" s="14">
        <f>IF(OR(A880="",COUNT(H880)=0,COUNT(Y880)=0),"",ROUND(H880*(1+Y880),2))</f>
        <v/>
      </c>
      <c r="M880" s="10" t="n"/>
      <c r="N880" s="10" t="n"/>
      <c r="O880" s="10" t="n"/>
      <c r="P880" s="10" t="n"/>
      <c r="Q880" s="20" t="n"/>
      <c r="R880" s="10" t="n"/>
      <c r="S880" s="10" t="n"/>
      <c r="T880" s="18" t="n"/>
      <c r="U880" s="18" t="n"/>
      <c r="V880" s="10" t="n"/>
      <c r="W880" s="10" t="n"/>
      <c r="X880" s="19">
        <f>IF(OR(A880="",COUNT(U880)=0,COUNT(AI880)=0),"",U880+AI880)</f>
        <v/>
      </c>
      <c r="Y880" s="16" t="n"/>
      <c r="Z880" s="12" t="n"/>
      <c r="AA880" s="17">
        <f>IF(COUNT(J880)=0,"",IF(H880=0,"n.a.",J880/H880))</f>
        <v/>
      </c>
      <c r="AB880" s="12" t="n"/>
      <c r="AC880" s="12" t="n"/>
      <c r="AD880" s="12" t="n"/>
      <c r="AE880" s="13">
        <f>IF(OR(COUNT(J880)=0,COUNT(AB880:AD880)&lt;3),"",ROUND(J880-SUM(AB880:AD880),2))</f>
        <v/>
      </c>
      <c r="AF880" s="15">
        <f>IF(COUNT(AE880)=0,"",IF(Z880=0,"n.a.",AE880/Z880))</f>
        <v/>
      </c>
      <c r="AG880" s="12" t="n"/>
      <c r="AH880" s="14">
        <f>IF(OR(A880="",COUNT(Z880)=0,COUNT(AG880)=0),"",ROUND(Z880-AG880,2))</f>
        <v/>
      </c>
      <c r="AI880" s="21" t="n"/>
      <c r="AJ880" s="11">
        <f>IF(A880="","",IF(COUNT(I880)=0,"Enter approved NTE",IF(COUNT(Z880)&gt;0,IF(Z880&gt;I880,"Invoice exceeds NTE","Invoice within NTE"),IF(COUNT(L880)=0,"Enter quote inputs",IF(L880&gt;I880,"Quote exceeds NTE","Quote within NTE")))))</f>
        <v/>
      </c>
      <c r="AK880" s="11">
        <f>IF(A880="","",IF(COUNT(H880)=0,"Enter direct cost",IF(COUNT(Z880)=0,"Enter invoice revenue",IF(COUNT(AB880:AD880)&lt;3,"Enter expenses (0 if none)","Complete"))))</f>
        <v/>
      </c>
      <c r="AL880" s="11">
        <f>IF(A880="","",IF(NOT(AND(COUNT(AH880)=1,N(AH880)&gt;0.004,V880&lt;&gt;"Void",V880&lt;&gt;"Not invoiced",V880&lt;&gt;"Draft")),"",IF(COUNT(X880)=0,"No due date",IF(TODAY()-X880&lt;=0,"Not yet due",IF(TODAY()-X880&lt;=30,"1-30 days",IF(TODAY()-X880&lt;=60,"31-60 days",IF(TODAY()-X880&lt;=90,"61-90 days","Over 90 days")))))))</f>
        <v/>
      </c>
      <c r="AM880" s="49">
        <f>IF(OR(AL880="",AL880="No due date"),"",MAX(TODAY()-X880,0))</f>
        <v/>
      </c>
      <c r="AN880" s="49">
        <f>IF(AL880="","",IF(COUNT(X880)=0,-100000,TODAY()-X880))</f>
        <v/>
      </c>
      <c r="AO880" s="49">
        <f>IF(AN880="","",COUNTIF(AN$11:AN$1010,"&gt;"&amp;AN880)+COUNTIF(AN$11:AN880,AN880))</f>
        <v/>
      </c>
      <c r="AP880" s="49">
        <f>IF(OR(A880="",B880=""),"",IF(COUNTIF(B$11:B880,B880)=1,MAX(AP$10:AP879)+1,""))</f>
        <v/>
      </c>
    </row>
    <row r="881">
      <c r="A881" s="20" t="n"/>
      <c r="B881" s="10" t="n"/>
      <c r="C881" s="10" t="n"/>
      <c r="D881" s="10" t="n"/>
      <c r="E881" s="10" t="n"/>
      <c r="F881" s="18" t="n"/>
      <c r="G881" s="10" t="n"/>
      <c r="H881" s="12" t="n"/>
      <c r="I881" s="12" t="n"/>
      <c r="J881" s="13">
        <f>IF(OR(A881="",COUNT(H881)=0,COUNT(Z881)=0),"",ROUND(Z881-H881,2))</f>
        <v/>
      </c>
      <c r="K881" s="15">
        <f>IF(COUNT(J881)=0,"",IF(Z881=0,"n.a.",J881/Z881))</f>
        <v/>
      </c>
      <c r="L881" s="14">
        <f>IF(OR(A881="",COUNT(H881)=0,COUNT(Y881)=0),"",ROUND(H881*(1+Y881),2))</f>
        <v/>
      </c>
      <c r="M881" s="10" t="n"/>
      <c r="N881" s="10" t="n"/>
      <c r="O881" s="10" t="n"/>
      <c r="P881" s="10" t="n"/>
      <c r="Q881" s="20" t="n"/>
      <c r="R881" s="10" t="n"/>
      <c r="S881" s="10" t="n"/>
      <c r="T881" s="18" t="n"/>
      <c r="U881" s="18" t="n"/>
      <c r="V881" s="10" t="n"/>
      <c r="W881" s="10" t="n"/>
      <c r="X881" s="19">
        <f>IF(OR(A881="",COUNT(U881)=0,COUNT(AI881)=0),"",U881+AI881)</f>
        <v/>
      </c>
      <c r="Y881" s="16" t="n"/>
      <c r="Z881" s="12" t="n"/>
      <c r="AA881" s="17">
        <f>IF(COUNT(J881)=0,"",IF(H881=0,"n.a.",J881/H881))</f>
        <v/>
      </c>
      <c r="AB881" s="12" t="n"/>
      <c r="AC881" s="12" t="n"/>
      <c r="AD881" s="12" t="n"/>
      <c r="AE881" s="13">
        <f>IF(OR(COUNT(J881)=0,COUNT(AB881:AD881)&lt;3),"",ROUND(J881-SUM(AB881:AD881),2))</f>
        <v/>
      </c>
      <c r="AF881" s="15">
        <f>IF(COUNT(AE881)=0,"",IF(Z881=0,"n.a.",AE881/Z881))</f>
        <v/>
      </c>
      <c r="AG881" s="12" t="n"/>
      <c r="AH881" s="14">
        <f>IF(OR(A881="",COUNT(Z881)=0,COUNT(AG881)=0),"",ROUND(Z881-AG881,2))</f>
        <v/>
      </c>
      <c r="AI881" s="21" t="n"/>
      <c r="AJ881" s="11">
        <f>IF(A881="","",IF(COUNT(I881)=0,"Enter approved NTE",IF(COUNT(Z881)&gt;0,IF(Z881&gt;I881,"Invoice exceeds NTE","Invoice within NTE"),IF(COUNT(L881)=0,"Enter quote inputs",IF(L881&gt;I881,"Quote exceeds NTE","Quote within NTE")))))</f>
        <v/>
      </c>
      <c r="AK881" s="11">
        <f>IF(A881="","",IF(COUNT(H881)=0,"Enter direct cost",IF(COUNT(Z881)=0,"Enter invoice revenue",IF(COUNT(AB881:AD881)&lt;3,"Enter expenses (0 if none)","Complete"))))</f>
        <v/>
      </c>
      <c r="AL881" s="11">
        <f>IF(A881="","",IF(NOT(AND(COUNT(AH881)=1,N(AH881)&gt;0.004,V881&lt;&gt;"Void",V881&lt;&gt;"Not invoiced",V881&lt;&gt;"Draft")),"",IF(COUNT(X881)=0,"No due date",IF(TODAY()-X881&lt;=0,"Not yet due",IF(TODAY()-X881&lt;=30,"1-30 days",IF(TODAY()-X881&lt;=60,"31-60 days",IF(TODAY()-X881&lt;=90,"61-90 days","Over 90 days")))))))</f>
        <v/>
      </c>
      <c r="AM881" s="49">
        <f>IF(OR(AL881="",AL881="No due date"),"",MAX(TODAY()-X881,0))</f>
        <v/>
      </c>
      <c r="AN881" s="49">
        <f>IF(AL881="","",IF(COUNT(X881)=0,-100000,TODAY()-X881))</f>
        <v/>
      </c>
      <c r="AO881" s="49">
        <f>IF(AN881="","",COUNTIF(AN$11:AN$1010,"&gt;"&amp;AN881)+COUNTIF(AN$11:AN881,AN881))</f>
        <v/>
      </c>
      <c r="AP881" s="49">
        <f>IF(OR(A881="",B881=""),"",IF(COUNTIF(B$11:B881,B881)=1,MAX(AP$10:AP880)+1,""))</f>
        <v/>
      </c>
    </row>
    <row r="882">
      <c r="A882" s="20" t="n"/>
      <c r="B882" s="10" t="n"/>
      <c r="C882" s="10" t="n"/>
      <c r="D882" s="10" t="n"/>
      <c r="E882" s="10" t="n"/>
      <c r="F882" s="18" t="n"/>
      <c r="G882" s="10" t="n"/>
      <c r="H882" s="12" t="n"/>
      <c r="I882" s="12" t="n"/>
      <c r="J882" s="13">
        <f>IF(OR(A882="",COUNT(H882)=0,COUNT(Z882)=0),"",ROUND(Z882-H882,2))</f>
        <v/>
      </c>
      <c r="K882" s="15">
        <f>IF(COUNT(J882)=0,"",IF(Z882=0,"n.a.",J882/Z882))</f>
        <v/>
      </c>
      <c r="L882" s="14">
        <f>IF(OR(A882="",COUNT(H882)=0,COUNT(Y882)=0),"",ROUND(H882*(1+Y882),2))</f>
        <v/>
      </c>
      <c r="M882" s="10" t="n"/>
      <c r="N882" s="10" t="n"/>
      <c r="O882" s="10" t="n"/>
      <c r="P882" s="10" t="n"/>
      <c r="Q882" s="20" t="n"/>
      <c r="R882" s="10" t="n"/>
      <c r="S882" s="10" t="n"/>
      <c r="T882" s="18" t="n"/>
      <c r="U882" s="18" t="n"/>
      <c r="V882" s="10" t="n"/>
      <c r="W882" s="10" t="n"/>
      <c r="X882" s="19">
        <f>IF(OR(A882="",COUNT(U882)=0,COUNT(AI882)=0),"",U882+AI882)</f>
        <v/>
      </c>
      <c r="Y882" s="16" t="n"/>
      <c r="Z882" s="12" t="n"/>
      <c r="AA882" s="17">
        <f>IF(COUNT(J882)=0,"",IF(H882=0,"n.a.",J882/H882))</f>
        <v/>
      </c>
      <c r="AB882" s="12" t="n"/>
      <c r="AC882" s="12" t="n"/>
      <c r="AD882" s="12" t="n"/>
      <c r="AE882" s="13">
        <f>IF(OR(COUNT(J882)=0,COUNT(AB882:AD882)&lt;3),"",ROUND(J882-SUM(AB882:AD882),2))</f>
        <v/>
      </c>
      <c r="AF882" s="15">
        <f>IF(COUNT(AE882)=0,"",IF(Z882=0,"n.a.",AE882/Z882))</f>
        <v/>
      </c>
      <c r="AG882" s="12" t="n"/>
      <c r="AH882" s="14">
        <f>IF(OR(A882="",COUNT(Z882)=0,COUNT(AG882)=0),"",ROUND(Z882-AG882,2))</f>
        <v/>
      </c>
      <c r="AI882" s="21" t="n"/>
      <c r="AJ882" s="11">
        <f>IF(A882="","",IF(COUNT(I882)=0,"Enter approved NTE",IF(COUNT(Z882)&gt;0,IF(Z882&gt;I882,"Invoice exceeds NTE","Invoice within NTE"),IF(COUNT(L882)=0,"Enter quote inputs",IF(L882&gt;I882,"Quote exceeds NTE","Quote within NTE")))))</f>
        <v/>
      </c>
      <c r="AK882" s="11">
        <f>IF(A882="","",IF(COUNT(H882)=0,"Enter direct cost",IF(COUNT(Z882)=0,"Enter invoice revenue",IF(COUNT(AB882:AD882)&lt;3,"Enter expenses (0 if none)","Complete"))))</f>
        <v/>
      </c>
      <c r="AL882" s="11">
        <f>IF(A882="","",IF(NOT(AND(COUNT(AH882)=1,N(AH882)&gt;0.004,V882&lt;&gt;"Void",V882&lt;&gt;"Not invoiced",V882&lt;&gt;"Draft")),"",IF(COUNT(X882)=0,"No due date",IF(TODAY()-X882&lt;=0,"Not yet due",IF(TODAY()-X882&lt;=30,"1-30 days",IF(TODAY()-X882&lt;=60,"31-60 days",IF(TODAY()-X882&lt;=90,"61-90 days","Over 90 days")))))))</f>
        <v/>
      </c>
      <c r="AM882" s="49">
        <f>IF(OR(AL882="",AL882="No due date"),"",MAX(TODAY()-X882,0))</f>
        <v/>
      </c>
      <c r="AN882" s="49">
        <f>IF(AL882="","",IF(COUNT(X882)=0,-100000,TODAY()-X882))</f>
        <v/>
      </c>
      <c r="AO882" s="49">
        <f>IF(AN882="","",COUNTIF(AN$11:AN$1010,"&gt;"&amp;AN882)+COUNTIF(AN$11:AN882,AN882))</f>
        <v/>
      </c>
      <c r="AP882" s="49">
        <f>IF(OR(A882="",B882=""),"",IF(COUNTIF(B$11:B882,B882)=1,MAX(AP$10:AP881)+1,""))</f>
        <v/>
      </c>
    </row>
    <row r="883">
      <c r="A883" s="20" t="n"/>
      <c r="B883" s="10" t="n"/>
      <c r="C883" s="10" t="n"/>
      <c r="D883" s="10" t="n"/>
      <c r="E883" s="10" t="n"/>
      <c r="F883" s="18" t="n"/>
      <c r="G883" s="10" t="n"/>
      <c r="H883" s="12" t="n"/>
      <c r="I883" s="12" t="n"/>
      <c r="J883" s="13">
        <f>IF(OR(A883="",COUNT(H883)=0,COUNT(Z883)=0),"",ROUND(Z883-H883,2))</f>
        <v/>
      </c>
      <c r="K883" s="15">
        <f>IF(COUNT(J883)=0,"",IF(Z883=0,"n.a.",J883/Z883))</f>
        <v/>
      </c>
      <c r="L883" s="14">
        <f>IF(OR(A883="",COUNT(H883)=0,COUNT(Y883)=0),"",ROUND(H883*(1+Y883),2))</f>
        <v/>
      </c>
      <c r="M883" s="10" t="n"/>
      <c r="N883" s="10" t="n"/>
      <c r="O883" s="10" t="n"/>
      <c r="P883" s="10" t="n"/>
      <c r="Q883" s="20" t="n"/>
      <c r="R883" s="10" t="n"/>
      <c r="S883" s="10" t="n"/>
      <c r="T883" s="18" t="n"/>
      <c r="U883" s="18" t="n"/>
      <c r="V883" s="10" t="n"/>
      <c r="W883" s="10" t="n"/>
      <c r="X883" s="19">
        <f>IF(OR(A883="",COUNT(U883)=0,COUNT(AI883)=0),"",U883+AI883)</f>
        <v/>
      </c>
      <c r="Y883" s="16" t="n"/>
      <c r="Z883" s="12" t="n"/>
      <c r="AA883" s="17">
        <f>IF(COUNT(J883)=0,"",IF(H883=0,"n.a.",J883/H883))</f>
        <v/>
      </c>
      <c r="AB883" s="12" t="n"/>
      <c r="AC883" s="12" t="n"/>
      <c r="AD883" s="12" t="n"/>
      <c r="AE883" s="13">
        <f>IF(OR(COUNT(J883)=0,COUNT(AB883:AD883)&lt;3),"",ROUND(J883-SUM(AB883:AD883),2))</f>
        <v/>
      </c>
      <c r="AF883" s="15">
        <f>IF(COUNT(AE883)=0,"",IF(Z883=0,"n.a.",AE883/Z883))</f>
        <v/>
      </c>
      <c r="AG883" s="12" t="n"/>
      <c r="AH883" s="14">
        <f>IF(OR(A883="",COUNT(Z883)=0,COUNT(AG883)=0),"",ROUND(Z883-AG883,2))</f>
        <v/>
      </c>
      <c r="AI883" s="21" t="n"/>
      <c r="AJ883" s="11">
        <f>IF(A883="","",IF(COUNT(I883)=0,"Enter approved NTE",IF(COUNT(Z883)&gt;0,IF(Z883&gt;I883,"Invoice exceeds NTE","Invoice within NTE"),IF(COUNT(L883)=0,"Enter quote inputs",IF(L883&gt;I883,"Quote exceeds NTE","Quote within NTE")))))</f>
        <v/>
      </c>
      <c r="AK883" s="11">
        <f>IF(A883="","",IF(COUNT(H883)=0,"Enter direct cost",IF(COUNT(Z883)=0,"Enter invoice revenue",IF(COUNT(AB883:AD883)&lt;3,"Enter expenses (0 if none)","Complete"))))</f>
        <v/>
      </c>
      <c r="AL883" s="11">
        <f>IF(A883="","",IF(NOT(AND(COUNT(AH883)=1,N(AH883)&gt;0.004,V883&lt;&gt;"Void",V883&lt;&gt;"Not invoiced",V883&lt;&gt;"Draft")),"",IF(COUNT(X883)=0,"No due date",IF(TODAY()-X883&lt;=0,"Not yet due",IF(TODAY()-X883&lt;=30,"1-30 days",IF(TODAY()-X883&lt;=60,"31-60 days",IF(TODAY()-X883&lt;=90,"61-90 days","Over 90 days")))))))</f>
        <v/>
      </c>
      <c r="AM883" s="49">
        <f>IF(OR(AL883="",AL883="No due date"),"",MAX(TODAY()-X883,0))</f>
        <v/>
      </c>
      <c r="AN883" s="49">
        <f>IF(AL883="","",IF(COUNT(X883)=0,-100000,TODAY()-X883))</f>
        <v/>
      </c>
      <c r="AO883" s="49">
        <f>IF(AN883="","",COUNTIF(AN$11:AN$1010,"&gt;"&amp;AN883)+COUNTIF(AN$11:AN883,AN883))</f>
        <v/>
      </c>
      <c r="AP883" s="49">
        <f>IF(OR(A883="",B883=""),"",IF(COUNTIF(B$11:B883,B883)=1,MAX(AP$10:AP882)+1,""))</f>
        <v/>
      </c>
    </row>
    <row r="884">
      <c r="A884" s="20" t="n"/>
      <c r="B884" s="10" t="n"/>
      <c r="C884" s="10" t="n"/>
      <c r="D884" s="10" t="n"/>
      <c r="E884" s="10" t="n"/>
      <c r="F884" s="18" t="n"/>
      <c r="G884" s="10" t="n"/>
      <c r="H884" s="12" t="n"/>
      <c r="I884" s="12" t="n"/>
      <c r="J884" s="13">
        <f>IF(OR(A884="",COUNT(H884)=0,COUNT(Z884)=0),"",ROUND(Z884-H884,2))</f>
        <v/>
      </c>
      <c r="K884" s="15">
        <f>IF(COUNT(J884)=0,"",IF(Z884=0,"n.a.",J884/Z884))</f>
        <v/>
      </c>
      <c r="L884" s="14">
        <f>IF(OR(A884="",COUNT(H884)=0,COUNT(Y884)=0),"",ROUND(H884*(1+Y884),2))</f>
        <v/>
      </c>
      <c r="M884" s="10" t="n"/>
      <c r="N884" s="10" t="n"/>
      <c r="O884" s="10" t="n"/>
      <c r="P884" s="10" t="n"/>
      <c r="Q884" s="20" t="n"/>
      <c r="R884" s="10" t="n"/>
      <c r="S884" s="10" t="n"/>
      <c r="T884" s="18" t="n"/>
      <c r="U884" s="18" t="n"/>
      <c r="V884" s="10" t="n"/>
      <c r="W884" s="10" t="n"/>
      <c r="X884" s="19">
        <f>IF(OR(A884="",COUNT(U884)=0,COUNT(AI884)=0),"",U884+AI884)</f>
        <v/>
      </c>
      <c r="Y884" s="16" t="n"/>
      <c r="Z884" s="12" t="n"/>
      <c r="AA884" s="17">
        <f>IF(COUNT(J884)=0,"",IF(H884=0,"n.a.",J884/H884))</f>
        <v/>
      </c>
      <c r="AB884" s="12" t="n"/>
      <c r="AC884" s="12" t="n"/>
      <c r="AD884" s="12" t="n"/>
      <c r="AE884" s="13">
        <f>IF(OR(COUNT(J884)=0,COUNT(AB884:AD884)&lt;3),"",ROUND(J884-SUM(AB884:AD884),2))</f>
        <v/>
      </c>
      <c r="AF884" s="15">
        <f>IF(COUNT(AE884)=0,"",IF(Z884=0,"n.a.",AE884/Z884))</f>
        <v/>
      </c>
      <c r="AG884" s="12" t="n"/>
      <c r="AH884" s="14">
        <f>IF(OR(A884="",COUNT(Z884)=0,COUNT(AG884)=0),"",ROUND(Z884-AG884,2))</f>
        <v/>
      </c>
      <c r="AI884" s="21" t="n"/>
      <c r="AJ884" s="11">
        <f>IF(A884="","",IF(COUNT(I884)=0,"Enter approved NTE",IF(COUNT(Z884)&gt;0,IF(Z884&gt;I884,"Invoice exceeds NTE","Invoice within NTE"),IF(COUNT(L884)=0,"Enter quote inputs",IF(L884&gt;I884,"Quote exceeds NTE","Quote within NTE")))))</f>
        <v/>
      </c>
      <c r="AK884" s="11">
        <f>IF(A884="","",IF(COUNT(H884)=0,"Enter direct cost",IF(COUNT(Z884)=0,"Enter invoice revenue",IF(COUNT(AB884:AD884)&lt;3,"Enter expenses (0 if none)","Complete"))))</f>
        <v/>
      </c>
      <c r="AL884" s="11">
        <f>IF(A884="","",IF(NOT(AND(COUNT(AH884)=1,N(AH884)&gt;0.004,V884&lt;&gt;"Void",V884&lt;&gt;"Not invoiced",V884&lt;&gt;"Draft")),"",IF(COUNT(X884)=0,"No due date",IF(TODAY()-X884&lt;=0,"Not yet due",IF(TODAY()-X884&lt;=30,"1-30 days",IF(TODAY()-X884&lt;=60,"31-60 days",IF(TODAY()-X884&lt;=90,"61-90 days","Over 90 days")))))))</f>
        <v/>
      </c>
      <c r="AM884" s="49">
        <f>IF(OR(AL884="",AL884="No due date"),"",MAX(TODAY()-X884,0))</f>
        <v/>
      </c>
      <c r="AN884" s="49">
        <f>IF(AL884="","",IF(COUNT(X884)=0,-100000,TODAY()-X884))</f>
        <v/>
      </c>
      <c r="AO884" s="49">
        <f>IF(AN884="","",COUNTIF(AN$11:AN$1010,"&gt;"&amp;AN884)+COUNTIF(AN$11:AN884,AN884))</f>
        <v/>
      </c>
      <c r="AP884" s="49">
        <f>IF(OR(A884="",B884=""),"",IF(COUNTIF(B$11:B884,B884)=1,MAX(AP$10:AP883)+1,""))</f>
        <v/>
      </c>
    </row>
    <row r="885">
      <c r="A885" s="20" t="n"/>
      <c r="B885" s="10" t="n"/>
      <c r="C885" s="10" t="n"/>
      <c r="D885" s="10" t="n"/>
      <c r="E885" s="10" t="n"/>
      <c r="F885" s="18" t="n"/>
      <c r="G885" s="10" t="n"/>
      <c r="H885" s="12" t="n"/>
      <c r="I885" s="12" t="n"/>
      <c r="J885" s="13">
        <f>IF(OR(A885="",COUNT(H885)=0,COUNT(Z885)=0),"",ROUND(Z885-H885,2))</f>
        <v/>
      </c>
      <c r="K885" s="15">
        <f>IF(COUNT(J885)=0,"",IF(Z885=0,"n.a.",J885/Z885))</f>
        <v/>
      </c>
      <c r="L885" s="14">
        <f>IF(OR(A885="",COUNT(H885)=0,COUNT(Y885)=0),"",ROUND(H885*(1+Y885),2))</f>
        <v/>
      </c>
      <c r="M885" s="10" t="n"/>
      <c r="N885" s="10" t="n"/>
      <c r="O885" s="10" t="n"/>
      <c r="P885" s="10" t="n"/>
      <c r="Q885" s="20" t="n"/>
      <c r="R885" s="10" t="n"/>
      <c r="S885" s="10" t="n"/>
      <c r="T885" s="18" t="n"/>
      <c r="U885" s="18" t="n"/>
      <c r="V885" s="10" t="n"/>
      <c r="W885" s="10" t="n"/>
      <c r="X885" s="19">
        <f>IF(OR(A885="",COUNT(U885)=0,COUNT(AI885)=0),"",U885+AI885)</f>
        <v/>
      </c>
      <c r="Y885" s="16" t="n"/>
      <c r="Z885" s="12" t="n"/>
      <c r="AA885" s="17">
        <f>IF(COUNT(J885)=0,"",IF(H885=0,"n.a.",J885/H885))</f>
        <v/>
      </c>
      <c r="AB885" s="12" t="n"/>
      <c r="AC885" s="12" t="n"/>
      <c r="AD885" s="12" t="n"/>
      <c r="AE885" s="13">
        <f>IF(OR(COUNT(J885)=0,COUNT(AB885:AD885)&lt;3),"",ROUND(J885-SUM(AB885:AD885),2))</f>
        <v/>
      </c>
      <c r="AF885" s="15">
        <f>IF(COUNT(AE885)=0,"",IF(Z885=0,"n.a.",AE885/Z885))</f>
        <v/>
      </c>
      <c r="AG885" s="12" t="n"/>
      <c r="AH885" s="14">
        <f>IF(OR(A885="",COUNT(Z885)=0,COUNT(AG885)=0),"",ROUND(Z885-AG885,2))</f>
        <v/>
      </c>
      <c r="AI885" s="21" t="n"/>
      <c r="AJ885" s="11">
        <f>IF(A885="","",IF(COUNT(I885)=0,"Enter approved NTE",IF(COUNT(Z885)&gt;0,IF(Z885&gt;I885,"Invoice exceeds NTE","Invoice within NTE"),IF(COUNT(L885)=0,"Enter quote inputs",IF(L885&gt;I885,"Quote exceeds NTE","Quote within NTE")))))</f>
        <v/>
      </c>
      <c r="AK885" s="11">
        <f>IF(A885="","",IF(COUNT(H885)=0,"Enter direct cost",IF(COUNT(Z885)=0,"Enter invoice revenue",IF(COUNT(AB885:AD885)&lt;3,"Enter expenses (0 if none)","Complete"))))</f>
        <v/>
      </c>
      <c r="AL885" s="11">
        <f>IF(A885="","",IF(NOT(AND(COUNT(AH885)=1,N(AH885)&gt;0.004,V885&lt;&gt;"Void",V885&lt;&gt;"Not invoiced",V885&lt;&gt;"Draft")),"",IF(COUNT(X885)=0,"No due date",IF(TODAY()-X885&lt;=0,"Not yet due",IF(TODAY()-X885&lt;=30,"1-30 days",IF(TODAY()-X885&lt;=60,"31-60 days",IF(TODAY()-X885&lt;=90,"61-90 days","Over 90 days")))))))</f>
        <v/>
      </c>
      <c r="AM885" s="49">
        <f>IF(OR(AL885="",AL885="No due date"),"",MAX(TODAY()-X885,0))</f>
        <v/>
      </c>
      <c r="AN885" s="49">
        <f>IF(AL885="","",IF(COUNT(X885)=0,-100000,TODAY()-X885))</f>
        <v/>
      </c>
      <c r="AO885" s="49">
        <f>IF(AN885="","",COUNTIF(AN$11:AN$1010,"&gt;"&amp;AN885)+COUNTIF(AN$11:AN885,AN885))</f>
        <v/>
      </c>
      <c r="AP885" s="49">
        <f>IF(OR(A885="",B885=""),"",IF(COUNTIF(B$11:B885,B885)=1,MAX(AP$10:AP884)+1,""))</f>
        <v/>
      </c>
    </row>
    <row r="886">
      <c r="A886" s="20" t="n"/>
      <c r="B886" s="10" t="n"/>
      <c r="C886" s="10" t="n"/>
      <c r="D886" s="10" t="n"/>
      <c r="E886" s="10" t="n"/>
      <c r="F886" s="18" t="n"/>
      <c r="G886" s="10" t="n"/>
      <c r="H886" s="12" t="n"/>
      <c r="I886" s="12" t="n"/>
      <c r="J886" s="13">
        <f>IF(OR(A886="",COUNT(H886)=0,COUNT(Z886)=0),"",ROUND(Z886-H886,2))</f>
        <v/>
      </c>
      <c r="K886" s="15">
        <f>IF(COUNT(J886)=0,"",IF(Z886=0,"n.a.",J886/Z886))</f>
        <v/>
      </c>
      <c r="L886" s="14">
        <f>IF(OR(A886="",COUNT(H886)=0,COUNT(Y886)=0),"",ROUND(H886*(1+Y886),2))</f>
        <v/>
      </c>
      <c r="M886" s="10" t="n"/>
      <c r="N886" s="10" t="n"/>
      <c r="O886" s="10" t="n"/>
      <c r="P886" s="10" t="n"/>
      <c r="Q886" s="20" t="n"/>
      <c r="R886" s="10" t="n"/>
      <c r="S886" s="10" t="n"/>
      <c r="T886" s="18" t="n"/>
      <c r="U886" s="18" t="n"/>
      <c r="V886" s="10" t="n"/>
      <c r="W886" s="10" t="n"/>
      <c r="X886" s="19">
        <f>IF(OR(A886="",COUNT(U886)=0,COUNT(AI886)=0),"",U886+AI886)</f>
        <v/>
      </c>
      <c r="Y886" s="16" t="n"/>
      <c r="Z886" s="12" t="n"/>
      <c r="AA886" s="17">
        <f>IF(COUNT(J886)=0,"",IF(H886=0,"n.a.",J886/H886))</f>
        <v/>
      </c>
      <c r="AB886" s="12" t="n"/>
      <c r="AC886" s="12" t="n"/>
      <c r="AD886" s="12" t="n"/>
      <c r="AE886" s="13">
        <f>IF(OR(COUNT(J886)=0,COUNT(AB886:AD886)&lt;3),"",ROUND(J886-SUM(AB886:AD886),2))</f>
        <v/>
      </c>
      <c r="AF886" s="15">
        <f>IF(COUNT(AE886)=0,"",IF(Z886=0,"n.a.",AE886/Z886))</f>
        <v/>
      </c>
      <c r="AG886" s="12" t="n"/>
      <c r="AH886" s="14">
        <f>IF(OR(A886="",COUNT(Z886)=0,COUNT(AG886)=0),"",ROUND(Z886-AG886,2))</f>
        <v/>
      </c>
      <c r="AI886" s="21" t="n"/>
      <c r="AJ886" s="11">
        <f>IF(A886="","",IF(COUNT(I886)=0,"Enter approved NTE",IF(COUNT(Z886)&gt;0,IF(Z886&gt;I886,"Invoice exceeds NTE","Invoice within NTE"),IF(COUNT(L886)=0,"Enter quote inputs",IF(L886&gt;I886,"Quote exceeds NTE","Quote within NTE")))))</f>
        <v/>
      </c>
      <c r="AK886" s="11">
        <f>IF(A886="","",IF(COUNT(H886)=0,"Enter direct cost",IF(COUNT(Z886)=0,"Enter invoice revenue",IF(COUNT(AB886:AD886)&lt;3,"Enter expenses (0 if none)","Complete"))))</f>
        <v/>
      </c>
      <c r="AL886" s="11">
        <f>IF(A886="","",IF(NOT(AND(COUNT(AH886)=1,N(AH886)&gt;0.004,V886&lt;&gt;"Void",V886&lt;&gt;"Not invoiced",V886&lt;&gt;"Draft")),"",IF(COUNT(X886)=0,"No due date",IF(TODAY()-X886&lt;=0,"Not yet due",IF(TODAY()-X886&lt;=30,"1-30 days",IF(TODAY()-X886&lt;=60,"31-60 days",IF(TODAY()-X886&lt;=90,"61-90 days","Over 90 days")))))))</f>
        <v/>
      </c>
      <c r="AM886" s="49">
        <f>IF(OR(AL886="",AL886="No due date"),"",MAX(TODAY()-X886,0))</f>
        <v/>
      </c>
      <c r="AN886" s="49">
        <f>IF(AL886="","",IF(COUNT(X886)=0,-100000,TODAY()-X886))</f>
        <v/>
      </c>
      <c r="AO886" s="49">
        <f>IF(AN886="","",COUNTIF(AN$11:AN$1010,"&gt;"&amp;AN886)+COUNTIF(AN$11:AN886,AN886))</f>
        <v/>
      </c>
      <c r="AP886" s="49">
        <f>IF(OR(A886="",B886=""),"",IF(COUNTIF(B$11:B886,B886)=1,MAX(AP$10:AP885)+1,""))</f>
        <v/>
      </c>
    </row>
    <row r="887">
      <c r="A887" s="20" t="n"/>
      <c r="B887" s="10" t="n"/>
      <c r="C887" s="10" t="n"/>
      <c r="D887" s="10" t="n"/>
      <c r="E887" s="10" t="n"/>
      <c r="F887" s="18" t="n"/>
      <c r="G887" s="10" t="n"/>
      <c r="H887" s="12" t="n"/>
      <c r="I887" s="12" t="n"/>
      <c r="J887" s="13">
        <f>IF(OR(A887="",COUNT(H887)=0,COUNT(Z887)=0),"",ROUND(Z887-H887,2))</f>
        <v/>
      </c>
      <c r="K887" s="15">
        <f>IF(COUNT(J887)=0,"",IF(Z887=0,"n.a.",J887/Z887))</f>
        <v/>
      </c>
      <c r="L887" s="14">
        <f>IF(OR(A887="",COUNT(H887)=0,COUNT(Y887)=0),"",ROUND(H887*(1+Y887),2))</f>
        <v/>
      </c>
      <c r="M887" s="10" t="n"/>
      <c r="N887" s="10" t="n"/>
      <c r="O887" s="10" t="n"/>
      <c r="P887" s="10" t="n"/>
      <c r="Q887" s="20" t="n"/>
      <c r="R887" s="10" t="n"/>
      <c r="S887" s="10" t="n"/>
      <c r="T887" s="18" t="n"/>
      <c r="U887" s="18" t="n"/>
      <c r="V887" s="10" t="n"/>
      <c r="W887" s="10" t="n"/>
      <c r="X887" s="19">
        <f>IF(OR(A887="",COUNT(U887)=0,COUNT(AI887)=0),"",U887+AI887)</f>
        <v/>
      </c>
      <c r="Y887" s="16" t="n"/>
      <c r="Z887" s="12" t="n"/>
      <c r="AA887" s="17">
        <f>IF(COUNT(J887)=0,"",IF(H887=0,"n.a.",J887/H887))</f>
        <v/>
      </c>
      <c r="AB887" s="12" t="n"/>
      <c r="AC887" s="12" t="n"/>
      <c r="AD887" s="12" t="n"/>
      <c r="AE887" s="13">
        <f>IF(OR(COUNT(J887)=0,COUNT(AB887:AD887)&lt;3),"",ROUND(J887-SUM(AB887:AD887),2))</f>
        <v/>
      </c>
      <c r="AF887" s="15">
        <f>IF(COUNT(AE887)=0,"",IF(Z887=0,"n.a.",AE887/Z887))</f>
        <v/>
      </c>
      <c r="AG887" s="12" t="n"/>
      <c r="AH887" s="14">
        <f>IF(OR(A887="",COUNT(Z887)=0,COUNT(AG887)=0),"",ROUND(Z887-AG887,2))</f>
        <v/>
      </c>
      <c r="AI887" s="21" t="n"/>
      <c r="AJ887" s="11">
        <f>IF(A887="","",IF(COUNT(I887)=0,"Enter approved NTE",IF(COUNT(Z887)&gt;0,IF(Z887&gt;I887,"Invoice exceeds NTE","Invoice within NTE"),IF(COUNT(L887)=0,"Enter quote inputs",IF(L887&gt;I887,"Quote exceeds NTE","Quote within NTE")))))</f>
        <v/>
      </c>
      <c r="AK887" s="11">
        <f>IF(A887="","",IF(COUNT(H887)=0,"Enter direct cost",IF(COUNT(Z887)=0,"Enter invoice revenue",IF(COUNT(AB887:AD887)&lt;3,"Enter expenses (0 if none)","Complete"))))</f>
        <v/>
      </c>
      <c r="AL887" s="11">
        <f>IF(A887="","",IF(NOT(AND(COUNT(AH887)=1,N(AH887)&gt;0.004,V887&lt;&gt;"Void",V887&lt;&gt;"Not invoiced",V887&lt;&gt;"Draft")),"",IF(COUNT(X887)=0,"No due date",IF(TODAY()-X887&lt;=0,"Not yet due",IF(TODAY()-X887&lt;=30,"1-30 days",IF(TODAY()-X887&lt;=60,"31-60 days",IF(TODAY()-X887&lt;=90,"61-90 days","Over 90 days")))))))</f>
        <v/>
      </c>
      <c r="AM887" s="49">
        <f>IF(OR(AL887="",AL887="No due date"),"",MAX(TODAY()-X887,0))</f>
        <v/>
      </c>
      <c r="AN887" s="49">
        <f>IF(AL887="","",IF(COUNT(X887)=0,-100000,TODAY()-X887))</f>
        <v/>
      </c>
      <c r="AO887" s="49">
        <f>IF(AN887="","",COUNTIF(AN$11:AN$1010,"&gt;"&amp;AN887)+COUNTIF(AN$11:AN887,AN887))</f>
        <v/>
      </c>
      <c r="AP887" s="49">
        <f>IF(OR(A887="",B887=""),"",IF(COUNTIF(B$11:B887,B887)=1,MAX(AP$10:AP886)+1,""))</f>
        <v/>
      </c>
    </row>
    <row r="888">
      <c r="A888" s="20" t="n"/>
      <c r="B888" s="10" t="n"/>
      <c r="C888" s="10" t="n"/>
      <c r="D888" s="10" t="n"/>
      <c r="E888" s="10" t="n"/>
      <c r="F888" s="18" t="n"/>
      <c r="G888" s="10" t="n"/>
      <c r="H888" s="12" t="n"/>
      <c r="I888" s="12" t="n"/>
      <c r="J888" s="13">
        <f>IF(OR(A888="",COUNT(H888)=0,COUNT(Z888)=0),"",ROUND(Z888-H888,2))</f>
        <v/>
      </c>
      <c r="K888" s="15">
        <f>IF(COUNT(J888)=0,"",IF(Z888=0,"n.a.",J888/Z888))</f>
        <v/>
      </c>
      <c r="L888" s="14">
        <f>IF(OR(A888="",COUNT(H888)=0,COUNT(Y888)=0),"",ROUND(H888*(1+Y888),2))</f>
        <v/>
      </c>
      <c r="M888" s="10" t="n"/>
      <c r="N888" s="10" t="n"/>
      <c r="O888" s="10" t="n"/>
      <c r="P888" s="10" t="n"/>
      <c r="Q888" s="20" t="n"/>
      <c r="R888" s="10" t="n"/>
      <c r="S888" s="10" t="n"/>
      <c r="T888" s="18" t="n"/>
      <c r="U888" s="18" t="n"/>
      <c r="V888" s="10" t="n"/>
      <c r="W888" s="10" t="n"/>
      <c r="X888" s="19">
        <f>IF(OR(A888="",COUNT(U888)=0,COUNT(AI888)=0),"",U888+AI888)</f>
        <v/>
      </c>
      <c r="Y888" s="16" t="n"/>
      <c r="Z888" s="12" t="n"/>
      <c r="AA888" s="17">
        <f>IF(COUNT(J888)=0,"",IF(H888=0,"n.a.",J888/H888))</f>
        <v/>
      </c>
      <c r="AB888" s="12" t="n"/>
      <c r="AC888" s="12" t="n"/>
      <c r="AD888" s="12" t="n"/>
      <c r="AE888" s="13">
        <f>IF(OR(COUNT(J888)=0,COUNT(AB888:AD888)&lt;3),"",ROUND(J888-SUM(AB888:AD888),2))</f>
        <v/>
      </c>
      <c r="AF888" s="15">
        <f>IF(COUNT(AE888)=0,"",IF(Z888=0,"n.a.",AE888/Z888))</f>
        <v/>
      </c>
      <c r="AG888" s="12" t="n"/>
      <c r="AH888" s="14">
        <f>IF(OR(A888="",COUNT(Z888)=0,COUNT(AG888)=0),"",ROUND(Z888-AG888,2))</f>
        <v/>
      </c>
      <c r="AI888" s="21" t="n"/>
      <c r="AJ888" s="11">
        <f>IF(A888="","",IF(COUNT(I888)=0,"Enter approved NTE",IF(COUNT(Z888)&gt;0,IF(Z888&gt;I888,"Invoice exceeds NTE","Invoice within NTE"),IF(COUNT(L888)=0,"Enter quote inputs",IF(L888&gt;I888,"Quote exceeds NTE","Quote within NTE")))))</f>
        <v/>
      </c>
      <c r="AK888" s="11">
        <f>IF(A888="","",IF(COUNT(H888)=0,"Enter direct cost",IF(COUNT(Z888)=0,"Enter invoice revenue",IF(COUNT(AB888:AD888)&lt;3,"Enter expenses (0 if none)","Complete"))))</f>
        <v/>
      </c>
      <c r="AL888" s="11">
        <f>IF(A888="","",IF(NOT(AND(COUNT(AH888)=1,N(AH888)&gt;0.004,V888&lt;&gt;"Void",V888&lt;&gt;"Not invoiced",V888&lt;&gt;"Draft")),"",IF(COUNT(X888)=0,"No due date",IF(TODAY()-X888&lt;=0,"Not yet due",IF(TODAY()-X888&lt;=30,"1-30 days",IF(TODAY()-X888&lt;=60,"31-60 days",IF(TODAY()-X888&lt;=90,"61-90 days","Over 90 days")))))))</f>
        <v/>
      </c>
      <c r="AM888" s="49">
        <f>IF(OR(AL888="",AL888="No due date"),"",MAX(TODAY()-X888,0))</f>
        <v/>
      </c>
      <c r="AN888" s="49">
        <f>IF(AL888="","",IF(COUNT(X888)=0,-100000,TODAY()-X888))</f>
        <v/>
      </c>
      <c r="AO888" s="49">
        <f>IF(AN888="","",COUNTIF(AN$11:AN$1010,"&gt;"&amp;AN888)+COUNTIF(AN$11:AN888,AN888))</f>
        <v/>
      </c>
      <c r="AP888" s="49">
        <f>IF(OR(A888="",B888=""),"",IF(COUNTIF(B$11:B888,B888)=1,MAX(AP$10:AP887)+1,""))</f>
        <v/>
      </c>
    </row>
    <row r="889">
      <c r="A889" s="20" t="n"/>
      <c r="B889" s="10" t="n"/>
      <c r="C889" s="10" t="n"/>
      <c r="D889" s="10" t="n"/>
      <c r="E889" s="10" t="n"/>
      <c r="F889" s="18" t="n"/>
      <c r="G889" s="10" t="n"/>
      <c r="H889" s="12" t="n"/>
      <c r="I889" s="12" t="n"/>
      <c r="J889" s="13">
        <f>IF(OR(A889="",COUNT(H889)=0,COUNT(Z889)=0),"",ROUND(Z889-H889,2))</f>
        <v/>
      </c>
      <c r="K889" s="15">
        <f>IF(COUNT(J889)=0,"",IF(Z889=0,"n.a.",J889/Z889))</f>
        <v/>
      </c>
      <c r="L889" s="14">
        <f>IF(OR(A889="",COUNT(H889)=0,COUNT(Y889)=0),"",ROUND(H889*(1+Y889),2))</f>
        <v/>
      </c>
      <c r="M889" s="10" t="n"/>
      <c r="N889" s="10" t="n"/>
      <c r="O889" s="10" t="n"/>
      <c r="P889" s="10" t="n"/>
      <c r="Q889" s="20" t="n"/>
      <c r="R889" s="10" t="n"/>
      <c r="S889" s="10" t="n"/>
      <c r="T889" s="18" t="n"/>
      <c r="U889" s="18" t="n"/>
      <c r="V889" s="10" t="n"/>
      <c r="W889" s="10" t="n"/>
      <c r="X889" s="19">
        <f>IF(OR(A889="",COUNT(U889)=0,COUNT(AI889)=0),"",U889+AI889)</f>
        <v/>
      </c>
      <c r="Y889" s="16" t="n"/>
      <c r="Z889" s="12" t="n"/>
      <c r="AA889" s="17">
        <f>IF(COUNT(J889)=0,"",IF(H889=0,"n.a.",J889/H889))</f>
        <v/>
      </c>
      <c r="AB889" s="12" t="n"/>
      <c r="AC889" s="12" t="n"/>
      <c r="AD889" s="12" t="n"/>
      <c r="AE889" s="13">
        <f>IF(OR(COUNT(J889)=0,COUNT(AB889:AD889)&lt;3),"",ROUND(J889-SUM(AB889:AD889),2))</f>
        <v/>
      </c>
      <c r="AF889" s="15">
        <f>IF(COUNT(AE889)=0,"",IF(Z889=0,"n.a.",AE889/Z889))</f>
        <v/>
      </c>
      <c r="AG889" s="12" t="n"/>
      <c r="AH889" s="14">
        <f>IF(OR(A889="",COUNT(Z889)=0,COUNT(AG889)=0),"",ROUND(Z889-AG889,2))</f>
        <v/>
      </c>
      <c r="AI889" s="21" t="n"/>
      <c r="AJ889" s="11">
        <f>IF(A889="","",IF(COUNT(I889)=0,"Enter approved NTE",IF(COUNT(Z889)&gt;0,IF(Z889&gt;I889,"Invoice exceeds NTE","Invoice within NTE"),IF(COUNT(L889)=0,"Enter quote inputs",IF(L889&gt;I889,"Quote exceeds NTE","Quote within NTE")))))</f>
        <v/>
      </c>
      <c r="AK889" s="11">
        <f>IF(A889="","",IF(COUNT(H889)=0,"Enter direct cost",IF(COUNT(Z889)=0,"Enter invoice revenue",IF(COUNT(AB889:AD889)&lt;3,"Enter expenses (0 if none)","Complete"))))</f>
        <v/>
      </c>
      <c r="AL889" s="11">
        <f>IF(A889="","",IF(NOT(AND(COUNT(AH889)=1,N(AH889)&gt;0.004,V889&lt;&gt;"Void",V889&lt;&gt;"Not invoiced",V889&lt;&gt;"Draft")),"",IF(COUNT(X889)=0,"No due date",IF(TODAY()-X889&lt;=0,"Not yet due",IF(TODAY()-X889&lt;=30,"1-30 days",IF(TODAY()-X889&lt;=60,"31-60 days",IF(TODAY()-X889&lt;=90,"61-90 days","Over 90 days")))))))</f>
        <v/>
      </c>
      <c r="AM889" s="49">
        <f>IF(OR(AL889="",AL889="No due date"),"",MAX(TODAY()-X889,0))</f>
        <v/>
      </c>
      <c r="AN889" s="49">
        <f>IF(AL889="","",IF(COUNT(X889)=0,-100000,TODAY()-X889))</f>
        <v/>
      </c>
      <c r="AO889" s="49">
        <f>IF(AN889="","",COUNTIF(AN$11:AN$1010,"&gt;"&amp;AN889)+COUNTIF(AN$11:AN889,AN889))</f>
        <v/>
      </c>
      <c r="AP889" s="49">
        <f>IF(OR(A889="",B889=""),"",IF(COUNTIF(B$11:B889,B889)=1,MAX(AP$10:AP888)+1,""))</f>
        <v/>
      </c>
    </row>
    <row r="890">
      <c r="A890" s="20" t="n"/>
      <c r="B890" s="10" t="n"/>
      <c r="C890" s="10" t="n"/>
      <c r="D890" s="10" t="n"/>
      <c r="E890" s="10" t="n"/>
      <c r="F890" s="18" t="n"/>
      <c r="G890" s="10" t="n"/>
      <c r="H890" s="12" t="n"/>
      <c r="I890" s="12" t="n"/>
      <c r="J890" s="13">
        <f>IF(OR(A890="",COUNT(H890)=0,COUNT(Z890)=0),"",ROUND(Z890-H890,2))</f>
        <v/>
      </c>
      <c r="K890" s="15">
        <f>IF(COUNT(J890)=0,"",IF(Z890=0,"n.a.",J890/Z890))</f>
        <v/>
      </c>
      <c r="L890" s="14">
        <f>IF(OR(A890="",COUNT(H890)=0,COUNT(Y890)=0),"",ROUND(H890*(1+Y890),2))</f>
        <v/>
      </c>
      <c r="M890" s="10" t="n"/>
      <c r="N890" s="10" t="n"/>
      <c r="O890" s="10" t="n"/>
      <c r="P890" s="10" t="n"/>
      <c r="Q890" s="20" t="n"/>
      <c r="R890" s="10" t="n"/>
      <c r="S890" s="10" t="n"/>
      <c r="T890" s="18" t="n"/>
      <c r="U890" s="18" t="n"/>
      <c r="V890" s="10" t="n"/>
      <c r="W890" s="10" t="n"/>
      <c r="X890" s="19">
        <f>IF(OR(A890="",COUNT(U890)=0,COUNT(AI890)=0),"",U890+AI890)</f>
        <v/>
      </c>
      <c r="Y890" s="16" t="n"/>
      <c r="Z890" s="12" t="n"/>
      <c r="AA890" s="17">
        <f>IF(COUNT(J890)=0,"",IF(H890=0,"n.a.",J890/H890))</f>
        <v/>
      </c>
      <c r="AB890" s="12" t="n"/>
      <c r="AC890" s="12" t="n"/>
      <c r="AD890" s="12" t="n"/>
      <c r="AE890" s="13">
        <f>IF(OR(COUNT(J890)=0,COUNT(AB890:AD890)&lt;3),"",ROUND(J890-SUM(AB890:AD890),2))</f>
        <v/>
      </c>
      <c r="AF890" s="15">
        <f>IF(COUNT(AE890)=0,"",IF(Z890=0,"n.a.",AE890/Z890))</f>
        <v/>
      </c>
      <c r="AG890" s="12" t="n"/>
      <c r="AH890" s="14">
        <f>IF(OR(A890="",COUNT(Z890)=0,COUNT(AG890)=0),"",ROUND(Z890-AG890,2))</f>
        <v/>
      </c>
      <c r="AI890" s="21" t="n"/>
      <c r="AJ890" s="11">
        <f>IF(A890="","",IF(COUNT(I890)=0,"Enter approved NTE",IF(COUNT(Z890)&gt;0,IF(Z890&gt;I890,"Invoice exceeds NTE","Invoice within NTE"),IF(COUNT(L890)=0,"Enter quote inputs",IF(L890&gt;I890,"Quote exceeds NTE","Quote within NTE")))))</f>
        <v/>
      </c>
      <c r="AK890" s="11">
        <f>IF(A890="","",IF(COUNT(H890)=0,"Enter direct cost",IF(COUNT(Z890)=0,"Enter invoice revenue",IF(COUNT(AB890:AD890)&lt;3,"Enter expenses (0 if none)","Complete"))))</f>
        <v/>
      </c>
      <c r="AL890" s="11">
        <f>IF(A890="","",IF(NOT(AND(COUNT(AH890)=1,N(AH890)&gt;0.004,V890&lt;&gt;"Void",V890&lt;&gt;"Not invoiced",V890&lt;&gt;"Draft")),"",IF(COUNT(X890)=0,"No due date",IF(TODAY()-X890&lt;=0,"Not yet due",IF(TODAY()-X890&lt;=30,"1-30 days",IF(TODAY()-X890&lt;=60,"31-60 days",IF(TODAY()-X890&lt;=90,"61-90 days","Over 90 days")))))))</f>
        <v/>
      </c>
      <c r="AM890" s="49">
        <f>IF(OR(AL890="",AL890="No due date"),"",MAX(TODAY()-X890,0))</f>
        <v/>
      </c>
      <c r="AN890" s="49">
        <f>IF(AL890="","",IF(COUNT(X890)=0,-100000,TODAY()-X890))</f>
        <v/>
      </c>
      <c r="AO890" s="49">
        <f>IF(AN890="","",COUNTIF(AN$11:AN$1010,"&gt;"&amp;AN890)+COUNTIF(AN$11:AN890,AN890))</f>
        <v/>
      </c>
      <c r="AP890" s="49">
        <f>IF(OR(A890="",B890=""),"",IF(COUNTIF(B$11:B890,B890)=1,MAX(AP$10:AP889)+1,""))</f>
        <v/>
      </c>
    </row>
    <row r="891">
      <c r="A891" s="20" t="n"/>
      <c r="B891" s="10" t="n"/>
      <c r="C891" s="10" t="n"/>
      <c r="D891" s="10" t="n"/>
      <c r="E891" s="10" t="n"/>
      <c r="F891" s="18" t="n"/>
      <c r="G891" s="10" t="n"/>
      <c r="H891" s="12" t="n"/>
      <c r="I891" s="12" t="n"/>
      <c r="J891" s="13">
        <f>IF(OR(A891="",COUNT(H891)=0,COUNT(Z891)=0),"",ROUND(Z891-H891,2))</f>
        <v/>
      </c>
      <c r="K891" s="15">
        <f>IF(COUNT(J891)=0,"",IF(Z891=0,"n.a.",J891/Z891))</f>
        <v/>
      </c>
      <c r="L891" s="14">
        <f>IF(OR(A891="",COUNT(H891)=0,COUNT(Y891)=0),"",ROUND(H891*(1+Y891),2))</f>
        <v/>
      </c>
      <c r="M891" s="10" t="n"/>
      <c r="N891" s="10" t="n"/>
      <c r="O891" s="10" t="n"/>
      <c r="P891" s="10" t="n"/>
      <c r="Q891" s="20" t="n"/>
      <c r="R891" s="10" t="n"/>
      <c r="S891" s="10" t="n"/>
      <c r="T891" s="18" t="n"/>
      <c r="U891" s="18" t="n"/>
      <c r="V891" s="10" t="n"/>
      <c r="W891" s="10" t="n"/>
      <c r="X891" s="19">
        <f>IF(OR(A891="",COUNT(U891)=0,COUNT(AI891)=0),"",U891+AI891)</f>
        <v/>
      </c>
      <c r="Y891" s="16" t="n"/>
      <c r="Z891" s="12" t="n"/>
      <c r="AA891" s="17">
        <f>IF(COUNT(J891)=0,"",IF(H891=0,"n.a.",J891/H891))</f>
        <v/>
      </c>
      <c r="AB891" s="12" t="n"/>
      <c r="AC891" s="12" t="n"/>
      <c r="AD891" s="12" t="n"/>
      <c r="AE891" s="13">
        <f>IF(OR(COUNT(J891)=0,COUNT(AB891:AD891)&lt;3),"",ROUND(J891-SUM(AB891:AD891),2))</f>
        <v/>
      </c>
      <c r="AF891" s="15">
        <f>IF(COUNT(AE891)=0,"",IF(Z891=0,"n.a.",AE891/Z891))</f>
        <v/>
      </c>
      <c r="AG891" s="12" t="n"/>
      <c r="AH891" s="14">
        <f>IF(OR(A891="",COUNT(Z891)=0,COUNT(AG891)=0),"",ROUND(Z891-AG891,2))</f>
        <v/>
      </c>
      <c r="AI891" s="21" t="n"/>
      <c r="AJ891" s="11">
        <f>IF(A891="","",IF(COUNT(I891)=0,"Enter approved NTE",IF(COUNT(Z891)&gt;0,IF(Z891&gt;I891,"Invoice exceeds NTE","Invoice within NTE"),IF(COUNT(L891)=0,"Enter quote inputs",IF(L891&gt;I891,"Quote exceeds NTE","Quote within NTE")))))</f>
        <v/>
      </c>
      <c r="AK891" s="11">
        <f>IF(A891="","",IF(COUNT(H891)=0,"Enter direct cost",IF(COUNT(Z891)=0,"Enter invoice revenue",IF(COUNT(AB891:AD891)&lt;3,"Enter expenses (0 if none)","Complete"))))</f>
        <v/>
      </c>
      <c r="AL891" s="11">
        <f>IF(A891="","",IF(NOT(AND(COUNT(AH891)=1,N(AH891)&gt;0.004,V891&lt;&gt;"Void",V891&lt;&gt;"Not invoiced",V891&lt;&gt;"Draft")),"",IF(COUNT(X891)=0,"No due date",IF(TODAY()-X891&lt;=0,"Not yet due",IF(TODAY()-X891&lt;=30,"1-30 days",IF(TODAY()-X891&lt;=60,"31-60 days",IF(TODAY()-X891&lt;=90,"61-90 days","Over 90 days")))))))</f>
        <v/>
      </c>
      <c r="AM891" s="49">
        <f>IF(OR(AL891="",AL891="No due date"),"",MAX(TODAY()-X891,0))</f>
        <v/>
      </c>
      <c r="AN891" s="49">
        <f>IF(AL891="","",IF(COUNT(X891)=0,-100000,TODAY()-X891))</f>
        <v/>
      </c>
      <c r="AO891" s="49">
        <f>IF(AN891="","",COUNTIF(AN$11:AN$1010,"&gt;"&amp;AN891)+COUNTIF(AN$11:AN891,AN891))</f>
        <v/>
      </c>
      <c r="AP891" s="49">
        <f>IF(OR(A891="",B891=""),"",IF(COUNTIF(B$11:B891,B891)=1,MAX(AP$10:AP890)+1,""))</f>
        <v/>
      </c>
    </row>
    <row r="892">
      <c r="A892" s="20" t="n"/>
      <c r="B892" s="10" t="n"/>
      <c r="C892" s="10" t="n"/>
      <c r="D892" s="10" t="n"/>
      <c r="E892" s="10" t="n"/>
      <c r="F892" s="18" t="n"/>
      <c r="G892" s="10" t="n"/>
      <c r="H892" s="12" t="n"/>
      <c r="I892" s="12" t="n"/>
      <c r="J892" s="13">
        <f>IF(OR(A892="",COUNT(H892)=0,COUNT(Z892)=0),"",ROUND(Z892-H892,2))</f>
        <v/>
      </c>
      <c r="K892" s="15">
        <f>IF(COUNT(J892)=0,"",IF(Z892=0,"n.a.",J892/Z892))</f>
        <v/>
      </c>
      <c r="L892" s="14">
        <f>IF(OR(A892="",COUNT(H892)=0,COUNT(Y892)=0),"",ROUND(H892*(1+Y892),2))</f>
        <v/>
      </c>
      <c r="M892" s="10" t="n"/>
      <c r="N892" s="10" t="n"/>
      <c r="O892" s="10" t="n"/>
      <c r="P892" s="10" t="n"/>
      <c r="Q892" s="20" t="n"/>
      <c r="R892" s="10" t="n"/>
      <c r="S892" s="10" t="n"/>
      <c r="T892" s="18" t="n"/>
      <c r="U892" s="18" t="n"/>
      <c r="V892" s="10" t="n"/>
      <c r="W892" s="10" t="n"/>
      <c r="X892" s="19">
        <f>IF(OR(A892="",COUNT(U892)=0,COUNT(AI892)=0),"",U892+AI892)</f>
        <v/>
      </c>
      <c r="Y892" s="16" t="n"/>
      <c r="Z892" s="12" t="n"/>
      <c r="AA892" s="17">
        <f>IF(COUNT(J892)=0,"",IF(H892=0,"n.a.",J892/H892))</f>
        <v/>
      </c>
      <c r="AB892" s="12" t="n"/>
      <c r="AC892" s="12" t="n"/>
      <c r="AD892" s="12" t="n"/>
      <c r="AE892" s="13">
        <f>IF(OR(COUNT(J892)=0,COUNT(AB892:AD892)&lt;3),"",ROUND(J892-SUM(AB892:AD892),2))</f>
        <v/>
      </c>
      <c r="AF892" s="15">
        <f>IF(COUNT(AE892)=0,"",IF(Z892=0,"n.a.",AE892/Z892))</f>
        <v/>
      </c>
      <c r="AG892" s="12" t="n"/>
      <c r="AH892" s="14">
        <f>IF(OR(A892="",COUNT(Z892)=0,COUNT(AG892)=0),"",ROUND(Z892-AG892,2))</f>
        <v/>
      </c>
      <c r="AI892" s="21" t="n"/>
      <c r="AJ892" s="11">
        <f>IF(A892="","",IF(COUNT(I892)=0,"Enter approved NTE",IF(COUNT(Z892)&gt;0,IF(Z892&gt;I892,"Invoice exceeds NTE","Invoice within NTE"),IF(COUNT(L892)=0,"Enter quote inputs",IF(L892&gt;I892,"Quote exceeds NTE","Quote within NTE")))))</f>
        <v/>
      </c>
      <c r="AK892" s="11">
        <f>IF(A892="","",IF(COUNT(H892)=0,"Enter direct cost",IF(COUNT(Z892)=0,"Enter invoice revenue",IF(COUNT(AB892:AD892)&lt;3,"Enter expenses (0 if none)","Complete"))))</f>
        <v/>
      </c>
      <c r="AL892" s="11">
        <f>IF(A892="","",IF(NOT(AND(COUNT(AH892)=1,N(AH892)&gt;0.004,V892&lt;&gt;"Void",V892&lt;&gt;"Not invoiced",V892&lt;&gt;"Draft")),"",IF(COUNT(X892)=0,"No due date",IF(TODAY()-X892&lt;=0,"Not yet due",IF(TODAY()-X892&lt;=30,"1-30 days",IF(TODAY()-X892&lt;=60,"31-60 days",IF(TODAY()-X892&lt;=90,"61-90 days","Over 90 days")))))))</f>
        <v/>
      </c>
      <c r="AM892" s="49">
        <f>IF(OR(AL892="",AL892="No due date"),"",MAX(TODAY()-X892,0))</f>
        <v/>
      </c>
      <c r="AN892" s="49">
        <f>IF(AL892="","",IF(COUNT(X892)=0,-100000,TODAY()-X892))</f>
        <v/>
      </c>
      <c r="AO892" s="49">
        <f>IF(AN892="","",COUNTIF(AN$11:AN$1010,"&gt;"&amp;AN892)+COUNTIF(AN$11:AN892,AN892))</f>
        <v/>
      </c>
      <c r="AP892" s="49">
        <f>IF(OR(A892="",B892=""),"",IF(COUNTIF(B$11:B892,B892)=1,MAX(AP$10:AP891)+1,""))</f>
        <v/>
      </c>
    </row>
    <row r="893">
      <c r="A893" s="20" t="n"/>
      <c r="B893" s="10" t="n"/>
      <c r="C893" s="10" t="n"/>
      <c r="D893" s="10" t="n"/>
      <c r="E893" s="10" t="n"/>
      <c r="F893" s="18" t="n"/>
      <c r="G893" s="10" t="n"/>
      <c r="H893" s="12" t="n"/>
      <c r="I893" s="12" t="n"/>
      <c r="J893" s="13">
        <f>IF(OR(A893="",COUNT(H893)=0,COUNT(Z893)=0),"",ROUND(Z893-H893,2))</f>
        <v/>
      </c>
      <c r="K893" s="15">
        <f>IF(COUNT(J893)=0,"",IF(Z893=0,"n.a.",J893/Z893))</f>
        <v/>
      </c>
      <c r="L893" s="14">
        <f>IF(OR(A893="",COUNT(H893)=0,COUNT(Y893)=0),"",ROUND(H893*(1+Y893),2))</f>
        <v/>
      </c>
      <c r="M893" s="10" t="n"/>
      <c r="N893" s="10" t="n"/>
      <c r="O893" s="10" t="n"/>
      <c r="P893" s="10" t="n"/>
      <c r="Q893" s="20" t="n"/>
      <c r="R893" s="10" t="n"/>
      <c r="S893" s="10" t="n"/>
      <c r="T893" s="18" t="n"/>
      <c r="U893" s="18" t="n"/>
      <c r="V893" s="10" t="n"/>
      <c r="W893" s="10" t="n"/>
      <c r="X893" s="19">
        <f>IF(OR(A893="",COUNT(U893)=0,COUNT(AI893)=0),"",U893+AI893)</f>
        <v/>
      </c>
      <c r="Y893" s="16" t="n"/>
      <c r="Z893" s="12" t="n"/>
      <c r="AA893" s="17">
        <f>IF(COUNT(J893)=0,"",IF(H893=0,"n.a.",J893/H893))</f>
        <v/>
      </c>
      <c r="AB893" s="12" t="n"/>
      <c r="AC893" s="12" t="n"/>
      <c r="AD893" s="12" t="n"/>
      <c r="AE893" s="13">
        <f>IF(OR(COUNT(J893)=0,COUNT(AB893:AD893)&lt;3),"",ROUND(J893-SUM(AB893:AD893),2))</f>
        <v/>
      </c>
      <c r="AF893" s="15">
        <f>IF(COUNT(AE893)=0,"",IF(Z893=0,"n.a.",AE893/Z893))</f>
        <v/>
      </c>
      <c r="AG893" s="12" t="n"/>
      <c r="AH893" s="14">
        <f>IF(OR(A893="",COUNT(Z893)=0,COUNT(AG893)=0),"",ROUND(Z893-AG893,2))</f>
        <v/>
      </c>
      <c r="AI893" s="21" t="n"/>
      <c r="AJ893" s="11">
        <f>IF(A893="","",IF(COUNT(I893)=0,"Enter approved NTE",IF(COUNT(Z893)&gt;0,IF(Z893&gt;I893,"Invoice exceeds NTE","Invoice within NTE"),IF(COUNT(L893)=0,"Enter quote inputs",IF(L893&gt;I893,"Quote exceeds NTE","Quote within NTE")))))</f>
        <v/>
      </c>
      <c r="AK893" s="11">
        <f>IF(A893="","",IF(COUNT(H893)=0,"Enter direct cost",IF(COUNT(Z893)=0,"Enter invoice revenue",IF(COUNT(AB893:AD893)&lt;3,"Enter expenses (0 if none)","Complete"))))</f>
        <v/>
      </c>
      <c r="AL893" s="11">
        <f>IF(A893="","",IF(NOT(AND(COUNT(AH893)=1,N(AH893)&gt;0.004,V893&lt;&gt;"Void",V893&lt;&gt;"Not invoiced",V893&lt;&gt;"Draft")),"",IF(COUNT(X893)=0,"No due date",IF(TODAY()-X893&lt;=0,"Not yet due",IF(TODAY()-X893&lt;=30,"1-30 days",IF(TODAY()-X893&lt;=60,"31-60 days",IF(TODAY()-X893&lt;=90,"61-90 days","Over 90 days")))))))</f>
        <v/>
      </c>
      <c r="AM893" s="49">
        <f>IF(OR(AL893="",AL893="No due date"),"",MAX(TODAY()-X893,0))</f>
        <v/>
      </c>
      <c r="AN893" s="49">
        <f>IF(AL893="","",IF(COUNT(X893)=0,-100000,TODAY()-X893))</f>
        <v/>
      </c>
      <c r="AO893" s="49">
        <f>IF(AN893="","",COUNTIF(AN$11:AN$1010,"&gt;"&amp;AN893)+COUNTIF(AN$11:AN893,AN893))</f>
        <v/>
      </c>
      <c r="AP893" s="49">
        <f>IF(OR(A893="",B893=""),"",IF(COUNTIF(B$11:B893,B893)=1,MAX(AP$10:AP892)+1,""))</f>
        <v/>
      </c>
    </row>
    <row r="894">
      <c r="A894" s="20" t="n"/>
      <c r="B894" s="10" t="n"/>
      <c r="C894" s="10" t="n"/>
      <c r="D894" s="10" t="n"/>
      <c r="E894" s="10" t="n"/>
      <c r="F894" s="18" t="n"/>
      <c r="G894" s="10" t="n"/>
      <c r="H894" s="12" t="n"/>
      <c r="I894" s="12" t="n"/>
      <c r="J894" s="13">
        <f>IF(OR(A894="",COUNT(H894)=0,COUNT(Z894)=0),"",ROUND(Z894-H894,2))</f>
        <v/>
      </c>
      <c r="K894" s="15">
        <f>IF(COUNT(J894)=0,"",IF(Z894=0,"n.a.",J894/Z894))</f>
        <v/>
      </c>
      <c r="L894" s="14">
        <f>IF(OR(A894="",COUNT(H894)=0,COUNT(Y894)=0),"",ROUND(H894*(1+Y894),2))</f>
        <v/>
      </c>
      <c r="M894" s="10" t="n"/>
      <c r="N894" s="10" t="n"/>
      <c r="O894" s="10" t="n"/>
      <c r="P894" s="10" t="n"/>
      <c r="Q894" s="20" t="n"/>
      <c r="R894" s="10" t="n"/>
      <c r="S894" s="10" t="n"/>
      <c r="T894" s="18" t="n"/>
      <c r="U894" s="18" t="n"/>
      <c r="V894" s="10" t="n"/>
      <c r="W894" s="10" t="n"/>
      <c r="X894" s="19">
        <f>IF(OR(A894="",COUNT(U894)=0,COUNT(AI894)=0),"",U894+AI894)</f>
        <v/>
      </c>
      <c r="Y894" s="16" t="n"/>
      <c r="Z894" s="12" t="n"/>
      <c r="AA894" s="17">
        <f>IF(COUNT(J894)=0,"",IF(H894=0,"n.a.",J894/H894))</f>
        <v/>
      </c>
      <c r="AB894" s="12" t="n"/>
      <c r="AC894" s="12" t="n"/>
      <c r="AD894" s="12" t="n"/>
      <c r="AE894" s="13">
        <f>IF(OR(COUNT(J894)=0,COUNT(AB894:AD894)&lt;3),"",ROUND(J894-SUM(AB894:AD894),2))</f>
        <v/>
      </c>
      <c r="AF894" s="15">
        <f>IF(COUNT(AE894)=0,"",IF(Z894=0,"n.a.",AE894/Z894))</f>
        <v/>
      </c>
      <c r="AG894" s="12" t="n"/>
      <c r="AH894" s="14">
        <f>IF(OR(A894="",COUNT(Z894)=0,COUNT(AG894)=0),"",ROUND(Z894-AG894,2))</f>
        <v/>
      </c>
      <c r="AI894" s="21" t="n"/>
      <c r="AJ894" s="11">
        <f>IF(A894="","",IF(COUNT(I894)=0,"Enter approved NTE",IF(COUNT(Z894)&gt;0,IF(Z894&gt;I894,"Invoice exceeds NTE","Invoice within NTE"),IF(COUNT(L894)=0,"Enter quote inputs",IF(L894&gt;I894,"Quote exceeds NTE","Quote within NTE")))))</f>
        <v/>
      </c>
      <c r="AK894" s="11">
        <f>IF(A894="","",IF(COUNT(H894)=0,"Enter direct cost",IF(COUNT(Z894)=0,"Enter invoice revenue",IF(COUNT(AB894:AD894)&lt;3,"Enter expenses (0 if none)","Complete"))))</f>
        <v/>
      </c>
      <c r="AL894" s="11">
        <f>IF(A894="","",IF(NOT(AND(COUNT(AH894)=1,N(AH894)&gt;0.004,V894&lt;&gt;"Void",V894&lt;&gt;"Not invoiced",V894&lt;&gt;"Draft")),"",IF(COUNT(X894)=0,"No due date",IF(TODAY()-X894&lt;=0,"Not yet due",IF(TODAY()-X894&lt;=30,"1-30 days",IF(TODAY()-X894&lt;=60,"31-60 days",IF(TODAY()-X894&lt;=90,"61-90 days","Over 90 days")))))))</f>
        <v/>
      </c>
      <c r="AM894" s="49">
        <f>IF(OR(AL894="",AL894="No due date"),"",MAX(TODAY()-X894,0))</f>
        <v/>
      </c>
      <c r="AN894" s="49">
        <f>IF(AL894="","",IF(COUNT(X894)=0,-100000,TODAY()-X894))</f>
        <v/>
      </c>
      <c r="AO894" s="49">
        <f>IF(AN894="","",COUNTIF(AN$11:AN$1010,"&gt;"&amp;AN894)+COUNTIF(AN$11:AN894,AN894))</f>
        <v/>
      </c>
      <c r="AP894" s="49">
        <f>IF(OR(A894="",B894=""),"",IF(COUNTIF(B$11:B894,B894)=1,MAX(AP$10:AP893)+1,""))</f>
        <v/>
      </c>
    </row>
    <row r="895">
      <c r="A895" s="20" t="n"/>
      <c r="B895" s="10" t="n"/>
      <c r="C895" s="10" t="n"/>
      <c r="D895" s="10" t="n"/>
      <c r="E895" s="10" t="n"/>
      <c r="F895" s="18" t="n"/>
      <c r="G895" s="10" t="n"/>
      <c r="H895" s="12" t="n"/>
      <c r="I895" s="12" t="n"/>
      <c r="J895" s="13">
        <f>IF(OR(A895="",COUNT(H895)=0,COUNT(Z895)=0),"",ROUND(Z895-H895,2))</f>
        <v/>
      </c>
      <c r="K895" s="15">
        <f>IF(COUNT(J895)=0,"",IF(Z895=0,"n.a.",J895/Z895))</f>
        <v/>
      </c>
      <c r="L895" s="14">
        <f>IF(OR(A895="",COUNT(H895)=0,COUNT(Y895)=0),"",ROUND(H895*(1+Y895),2))</f>
        <v/>
      </c>
      <c r="M895" s="10" t="n"/>
      <c r="N895" s="10" t="n"/>
      <c r="O895" s="10" t="n"/>
      <c r="P895" s="10" t="n"/>
      <c r="Q895" s="20" t="n"/>
      <c r="R895" s="10" t="n"/>
      <c r="S895" s="10" t="n"/>
      <c r="T895" s="18" t="n"/>
      <c r="U895" s="18" t="n"/>
      <c r="V895" s="10" t="n"/>
      <c r="W895" s="10" t="n"/>
      <c r="X895" s="19">
        <f>IF(OR(A895="",COUNT(U895)=0,COUNT(AI895)=0),"",U895+AI895)</f>
        <v/>
      </c>
      <c r="Y895" s="16" t="n"/>
      <c r="Z895" s="12" t="n"/>
      <c r="AA895" s="17">
        <f>IF(COUNT(J895)=0,"",IF(H895=0,"n.a.",J895/H895))</f>
        <v/>
      </c>
      <c r="AB895" s="12" t="n"/>
      <c r="AC895" s="12" t="n"/>
      <c r="AD895" s="12" t="n"/>
      <c r="AE895" s="13">
        <f>IF(OR(COUNT(J895)=0,COUNT(AB895:AD895)&lt;3),"",ROUND(J895-SUM(AB895:AD895),2))</f>
        <v/>
      </c>
      <c r="AF895" s="15">
        <f>IF(COUNT(AE895)=0,"",IF(Z895=0,"n.a.",AE895/Z895))</f>
        <v/>
      </c>
      <c r="AG895" s="12" t="n"/>
      <c r="AH895" s="14">
        <f>IF(OR(A895="",COUNT(Z895)=0,COUNT(AG895)=0),"",ROUND(Z895-AG895,2))</f>
        <v/>
      </c>
      <c r="AI895" s="21" t="n"/>
      <c r="AJ895" s="11">
        <f>IF(A895="","",IF(COUNT(I895)=0,"Enter approved NTE",IF(COUNT(Z895)&gt;0,IF(Z895&gt;I895,"Invoice exceeds NTE","Invoice within NTE"),IF(COUNT(L895)=0,"Enter quote inputs",IF(L895&gt;I895,"Quote exceeds NTE","Quote within NTE")))))</f>
        <v/>
      </c>
      <c r="AK895" s="11">
        <f>IF(A895="","",IF(COUNT(H895)=0,"Enter direct cost",IF(COUNT(Z895)=0,"Enter invoice revenue",IF(COUNT(AB895:AD895)&lt;3,"Enter expenses (0 if none)","Complete"))))</f>
        <v/>
      </c>
      <c r="AL895" s="11">
        <f>IF(A895="","",IF(NOT(AND(COUNT(AH895)=1,N(AH895)&gt;0.004,V895&lt;&gt;"Void",V895&lt;&gt;"Not invoiced",V895&lt;&gt;"Draft")),"",IF(COUNT(X895)=0,"No due date",IF(TODAY()-X895&lt;=0,"Not yet due",IF(TODAY()-X895&lt;=30,"1-30 days",IF(TODAY()-X895&lt;=60,"31-60 days",IF(TODAY()-X895&lt;=90,"61-90 days","Over 90 days")))))))</f>
        <v/>
      </c>
      <c r="AM895" s="49">
        <f>IF(OR(AL895="",AL895="No due date"),"",MAX(TODAY()-X895,0))</f>
        <v/>
      </c>
      <c r="AN895" s="49">
        <f>IF(AL895="","",IF(COUNT(X895)=0,-100000,TODAY()-X895))</f>
        <v/>
      </c>
      <c r="AO895" s="49">
        <f>IF(AN895="","",COUNTIF(AN$11:AN$1010,"&gt;"&amp;AN895)+COUNTIF(AN$11:AN895,AN895))</f>
        <v/>
      </c>
      <c r="AP895" s="49">
        <f>IF(OR(A895="",B895=""),"",IF(COUNTIF(B$11:B895,B895)=1,MAX(AP$10:AP894)+1,""))</f>
        <v/>
      </c>
    </row>
    <row r="896">
      <c r="A896" s="20" t="n"/>
      <c r="B896" s="10" t="n"/>
      <c r="C896" s="10" t="n"/>
      <c r="D896" s="10" t="n"/>
      <c r="E896" s="10" t="n"/>
      <c r="F896" s="18" t="n"/>
      <c r="G896" s="10" t="n"/>
      <c r="H896" s="12" t="n"/>
      <c r="I896" s="12" t="n"/>
      <c r="J896" s="13">
        <f>IF(OR(A896="",COUNT(H896)=0,COUNT(Z896)=0),"",ROUND(Z896-H896,2))</f>
        <v/>
      </c>
      <c r="K896" s="15">
        <f>IF(COUNT(J896)=0,"",IF(Z896=0,"n.a.",J896/Z896))</f>
        <v/>
      </c>
      <c r="L896" s="14">
        <f>IF(OR(A896="",COUNT(H896)=0,COUNT(Y896)=0),"",ROUND(H896*(1+Y896),2))</f>
        <v/>
      </c>
      <c r="M896" s="10" t="n"/>
      <c r="N896" s="10" t="n"/>
      <c r="O896" s="10" t="n"/>
      <c r="P896" s="10" t="n"/>
      <c r="Q896" s="20" t="n"/>
      <c r="R896" s="10" t="n"/>
      <c r="S896" s="10" t="n"/>
      <c r="T896" s="18" t="n"/>
      <c r="U896" s="18" t="n"/>
      <c r="V896" s="10" t="n"/>
      <c r="W896" s="10" t="n"/>
      <c r="X896" s="19">
        <f>IF(OR(A896="",COUNT(U896)=0,COUNT(AI896)=0),"",U896+AI896)</f>
        <v/>
      </c>
      <c r="Y896" s="16" t="n"/>
      <c r="Z896" s="12" t="n"/>
      <c r="AA896" s="17">
        <f>IF(COUNT(J896)=0,"",IF(H896=0,"n.a.",J896/H896))</f>
        <v/>
      </c>
      <c r="AB896" s="12" t="n"/>
      <c r="AC896" s="12" t="n"/>
      <c r="AD896" s="12" t="n"/>
      <c r="AE896" s="13">
        <f>IF(OR(COUNT(J896)=0,COUNT(AB896:AD896)&lt;3),"",ROUND(J896-SUM(AB896:AD896),2))</f>
        <v/>
      </c>
      <c r="AF896" s="15">
        <f>IF(COUNT(AE896)=0,"",IF(Z896=0,"n.a.",AE896/Z896))</f>
        <v/>
      </c>
      <c r="AG896" s="12" t="n"/>
      <c r="AH896" s="14">
        <f>IF(OR(A896="",COUNT(Z896)=0,COUNT(AG896)=0),"",ROUND(Z896-AG896,2))</f>
        <v/>
      </c>
      <c r="AI896" s="21" t="n"/>
      <c r="AJ896" s="11">
        <f>IF(A896="","",IF(COUNT(I896)=0,"Enter approved NTE",IF(COUNT(Z896)&gt;0,IF(Z896&gt;I896,"Invoice exceeds NTE","Invoice within NTE"),IF(COUNT(L896)=0,"Enter quote inputs",IF(L896&gt;I896,"Quote exceeds NTE","Quote within NTE")))))</f>
        <v/>
      </c>
      <c r="AK896" s="11">
        <f>IF(A896="","",IF(COUNT(H896)=0,"Enter direct cost",IF(COUNT(Z896)=0,"Enter invoice revenue",IF(COUNT(AB896:AD896)&lt;3,"Enter expenses (0 if none)","Complete"))))</f>
        <v/>
      </c>
      <c r="AL896" s="11">
        <f>IF(A896="","",IF(NOT(AND(COUNT(AH896)=1,N(AH896)&gt;0.004,V896&lt;&gt;"Void",V896&lt;&gt;"Not invoiced",V896&lt;&gt;"Draft")),"",IF(COUNT(X896)=0,"No due date",IF(TODAY()-X896&lt;=0,"Not yet due",IF(TODAY()-X896&lt;=30,"1-30 days",IF(TODAY()-X896&lt;=60,"31-60 days",IF(TODAY()-X896&lt;=90,"61-90 days","Over 90 days")))))))</f>
        <v/>
      </c>
      <c r="AM896" s="49">
        <f>IF(OR(AL896="",AL896="No due date"),"",MAX(TODAY()-X896,0))</f>
        <v/>
      </c>
      <c r="AN896" s="49">
        <f>IF(AL896="","",IF(COUNT(X896)=0,-100000,TODAY()-X896))</f>
        <v/>
      </c>
      <c r="AO896" s="49">
        <f>IF(AN896="","",COUNTIF(AN$11:AN$1010,"&gt;"&amp;AN896)+COUNTIF(AN$11:AN896,AN896))</f>
        <v/>
      </c>
      <c r="AP896" s="49">
        <f>IF(OR(A896="",B896=""),"",IF(COUNTIF(B$11:B896,B896)=1,MAX(AP$10:AP895)+1,""))</f>
        <v/>
      </c>
    </row>
    <row r="897">
      <c r="A897" s="20" t="n"/>
      <c r="B897" s="10" t="n"/>
      <c r="C897" s="10" t="n"/>
      <c r="D897" s="10" t="n"/>
      <c r="E897" s="10" t="n"/>
      <c r="F897" s="18" t="n"/>
      <c r="G897" s="10" t="n"/>
      <c r="H897" s="12" t="n"/>
      <c r="I897" s="12" t="n"/>
      <c r="J897" s="13">
        <f>IF(OR(A897="",COUNT(H897)=0,COUNT(Z897)=0),"",ROUND(Z897-H897,2))</f>
        <v/>
      </c>
      <c r="K897" s="15">
        <f>IF(COUNT(J897)=0,"",IF(Z897=0,"n.a.",J897/Z897))</f>
        <v/>
      </c>
      <c r="L897" s="14">
        <f>IF(OR(A897="",COUNT(H897)=0,COUNT(Y897)=0),"",ROUND(H897*(1+Y897),2))</f>
        <v/>
      </c>
      <c r="M897" s="10" t="n"/>
      <c r="N897" s="10" t="n"/>
      <c r="O897" s="10" t="n"/>
      <c r="P897" s="10" t="n"/>
      <c r="Q897" s="20" t="n"/>
      <c r="R897" s="10" t="n"/>
      <c r="S897" s="10" t="n"/>
      <c r="T897" s="18" t="n"/>
      <c r="U897" s="18" t="n"/>
      <c r="V897" s="10" t="n"/>
      <c r="W897" s="10" t="n"/>
      <c r="X897" s="19">
        <f>IF(OR(A897="",COUNT(U897)=0,COUNT(AI897)=0),"",U897+AI897)</f>
        <v/>
      </c>
      <c r="Y897" s="16" t="n"/>
      <c r="Z897" s="12" t="n"/>
      <c r="AA897" s="17">
        <f>IF(COUNT(J897)=0,"",IF(H897=0,"n.a.",J897/H897))</f>
        <v/>
      </c>
      <c r="AB897" s="12" t="n"/>
      <c r="AC897" s="12" t="n"/>
      <c r="AD897" s="12" t="n"/>
      <c r="AE897" s="13">
        <f>IF(OR(COUNT(J897)=0,COUNT(AB897:AD897)&lt;3),"",ROUND(J897-SUM(AB897:AD897),2))</f>
        <v/>
      </c>
      <c r="AF897" s="15">
        <f>IF(COUNT(AE897)=0,"",IF(Z897=0,"n.a.",AE897/Z897))</f>
        <v/>
      </c>
      <c r="AG897" s="12" t="n"/>
      <c r="AH897" s="14">
        <f>IF(OR(A897="",COUNT(Z897)=0,COUNT(AG897)=0),"",ROUND(Z897-AG897,2))</f>
        <v/>
      </c>
      <c r="AI897" s="21" t="n"/>
      <c r="AJ897" s="11">
        <f>IF(A897="","",IF(COUNT(I897)=0,"Enter approved NTE",IF(COUNT(Z897)&gt;0,IF(Z897&gt;I897,"Invoice exceeds NTE","Invoice within NTE"),IF(COUNT(L897)=0,"Enter quote inputs",IF(L897&gt;I897,"Quote exceeds NTE","Quote within NTE")))))</f>
        <v/>
      </c>
      <c r="AK897" s="11">
        <f>IF(A897="","",IF(COUNT(H897)=0,"Enter direct cost",IF(COUNT(Z897)=0,"Enter invoice revenue",IF(COUNT(AB897:AD897)&lt;3,"Enter expenses (0 if none)","Complete"))))</f>
        <v/>
      </c>
      <c r="AL897" s="11">
        <f>IF(A897="","",IF(NOT(AND(COUNT(AH897)=1,N(AH897)&gt;0.004,V897&lt;&gt;"Void",V897&lt;&gt;"Not invoiced",V897&lt;&gt;"Draft")),"",IF(COUNT(X897)=0,"No due date",IF(TODAY()-X897&lt;=0,"Not yet due",IF(TODAY()-X897&lt;=30,"1-30 days",IF(TODAY()-X897&lt;=60,"31-60 days",IF(TODAY()-X897&lt;=90,"61-90 days","Over 90 days")))))))</f>
        <v/>
      </c>
      <c r="AM897" s="49">
        <f>IF(OR(AL897="",AL897="No due date"),"",MAX(TODAY()-X897,0))</f>
        <v/>
      </c>
      <c r="AN897" s="49">
        <f>IF(AL897="","",IF(COUNT(X897)=0,-100000,TODAY()-X897))</f>
        <v/>
      </c>
      <c r="AO897" s="49">
        <f>IF(AN897="","",COUNTIF(AN$11:AN$1010,"&gt;"&amp;AN897)+COUNTIF(AN$11:AN897,AN897))</f>
        <v/>
      </c>
      <c r="AP897" s="49">
        <f>IF(OR(A897="",B897=""),"",IF(COUNTIF(B$11:B897,B897)=1,MAX(AP$10:AP896)+1,""))</f>
        <v/>
      </c>
    </row>
    <row r="898">
      <c r="A898" s="20" t="n"/>
      <c r="B898" s="10" t="n"/>
      <c r="C898" s="10" t="n"/>
      <c r="D898" s="10" t="n"/>
      <c r="E898" s="10" t="n"/>
      <c r="F898" s="18" t="n"/>
      <c r="G898" s="10" t="n"/>
      <c r="H898" s="12" t="n"/>
      <c r="I898" s="12" t="n"/>
      <c r="J898" s="13">
        <f>IF(OR(A898="",COUNT(H898)=0,COUNT(Z898)=0),"",ROUND(Z898-H898,2))</f>
        <v/>
      </c>
      <c r="K898" s="15">
        <f>IF(COUNT(J898)=0,"",IF(Z898=0,"n.a.",J898/Z898))</f>
        <v/>
      </c>
      <c r="L898" s="14">
        <f>IF(OR(A898="",COUNT(H898)=0,COUNT(Y898)=0),"",ROUND(H898*(1+Y898),2))</f>
        <v/>
      </c>
      <c r="M898" s="10" t="n"/>
      <c r="N898" s="10" t="n"/>
      <c r="O898" s="10" t="n"/>
      <c r="P898" s="10" t="n"/>
      <c r="Q898" s="20" t="n"/>
      <c r="R898" s="10" t="n"/>
      <c r="S898" s="10" t="n"/>
      <c r="T898" s="18" t="n"/>
      <c r="U898" s="18" t="n"/>
      <c r="V898" s="10" t="n"/>
      <c r="W898" s="10" t="n"/>
      <c r="X898" s="19">
        <f>IF(OR(A898="",COUNT(U898)=0,COUNT(AI898)=0),"",U898+AI898)</f>
        <v/>
      </c>
      <c r="Y898" s="16" t="n"/>
      <c r="Z898" s="12" t="n"/>
      <c r="AA898" s="17">
        <f>IF(COUNT(J898)=0,"",IF(H898=0,"n.a.",J898/H898))</f>
        <v/>
      </c>
      <c r="AB898" s="12" t="n"/>
      <c r="AC898" s="12" t="n"/>
      <c r="AD898" s="12" t="n"/>
      <c r="AE898" s="13">
        <f>IF(OR(COUNT(J898)=0,COUNT(AB898:AD898)&lt;3),"",ROUND(J898-SUM(AB898:AD898),2))</f>
        <v/>
      </c>
      <c r="AF898" s="15">
        <f>IF(COUNT(AE898)=0,"",IF(Z898=0,"n.a.",AE898/Z898))</f>
        <v/>
      </c>
      <c r="AG898" s="12" t="n"/>
      <c r="AH898" s="14">
        <f>IF(OR(A898="",COUNT(Z898)=0,COUNT(AG898)=0),"",ROUND(Z898-AG898,2))</f>
        <v/>
      </c>
      <c r="AI898" s="21" t="n"/>
      <c r="AJ898" s="11">
        <f>IF(A898="","",IF(COUNT(I898)=0,"Enter approved NTE",IF(COUNT(Z898)&gt;0,IF(Z898&gt;I898,"Invoice exceeds NTE","Invoice within NTE"),IF(COUNT(L898)=0,"Enter quote inputs",IF(L898&gt;I898,"Quote exceeds NTE","Quote within NTE")))))</f>
        <v/>
      </c>
      <c r="AK898" s="11">
        <f>IF(A898="","",IF(COUNT(H898)=0,"Enter direct cost",IF(COUNT(Z898)=0,"Enter invoice revenue",IF(COUNT(AB898:AD898)&lt;3,"Enter expenses (0 if none)","Complete"))))</f>
        <v/>
      </c>
      <c r="AL898" s="11">
        <f>IF(A898="","",IF(NOT(AND(COUNT(AH898)=1,N(AH898)&gt;0.004,V898&lt;&gt;"Void",V898&lt;&gt;"Not invoiced",V898&lt;&gt;"Draft")),"",IF(COUNT(X898)=0,"No due date",IF(TODAY()-X898&lt;=0,"Not yet due",IF(TODAY()-X898&lt;=30,"1-30 days",IF(TODAY()-X898&lt;=60,"31-60 days",IF(TODAY()-X898&lt;=90,"61-90 days","Over 90 days")))))))</f>
        <v/>
      </c>
      <c r="AM898" s="49">
        <f>IF(OR(AL898="",AL898="No due date"),"",MAX(TODAY()-X898,0))</f>
        <v/>
      </c>
      <c r="AN898" s="49">
        <f>IF(AL898="","",IF(COUNT(X898)=0,-100000,TODAY()-X898))</f>
        <v/>
      </c>
      <c r="AO898" s="49">
        <f>IF(AN898="","",COUNTIF(AN$11:AN$1010,"&gt;"&amp;AN898)+COUNTIF(AN$11:AN898,AN898))</f>
        <v/>
      </c>
      <c r="AP898" s="49">
        <f>IF(OR(A898="",B898=""),"",IF(COUNTIF(B$11:B898,B898)=1,MAX(AP$10:AP897)+1,""))</f>
        <v/>
      </c>
    </row>
    <row r="899">
      <c r="A899" s="20" t="n"/>
      <c r="B899" s="10" t="n"/>
      <c r="C899" s="10" t="n"/>
      <c r="D899" s="10" t="n"/>
      <c r="E899" s="10" t="n"/>
      <c r="F899" s="18" t="n"/>
      <c r="G899" s="10" t="n"/>
      <c r="H899" s="12" t="n"/>
      <c r="I899" s="12" t="n"/>
      <c r="J899" s="13">
        <f>IF(OR(A899="",COUNT(H899)=0,COUNT(Z899)=0),"",ROUND(Z899-H899,2))</f>
        <v/>
      </c>
      <c r="K899" s="15">
        <f>IF(COUNT(J899)=0,"",IF(Z899=0,"n.a.",J899/Z899))</f>
        <v/>
      </c>
      <c r="L899" s="14">
        <f>IF(OR(A899="",COUNT(H899)=0,COUNT(Y899)=0),"",ROUND(H899*(1+Y899),2))</f>
        <v/>
      </c>
      <c r="M899" s="10" t="n"/>
      <c r="N899" s="10" t="n"/>
      <c r="O899" s="10" t="n"/>
      <c r="P899" s="10" t="n"/>
      <c r="Q899" s="20" t="n"/>
      <c r="R899" s="10" t="n"/>
      <c r="S899" s="10" t="n"/>
      <c r="T899" s="18" t="n"/>
      <c r="U899" s="18" t="n"/>
      <c r="V899" s="10" t="n"/>
      <c r="W899" s="10" t="n"/>
      <c r="X899" s="19">
        <f>IF(OR(A899="",COUNT(U899)=0,COUNT(AI899)=0),"",U899+AI899)</f>
        <v/>
      </c>
      <c r="Y899" s="16" t="n"/>
      <c r="Z899" s="12" t="n"/>
      <c r="AA899" s="17">
        <f>IF(COUNT(J899)=0,"",IF(H899=0,"n.a.",J899/H899))</f>
        <v/>
      </c>
      <c r="AB899" s="12" t="n"/>
      <c r="AC899" s="12" t="n"/>
      <c r="AD899" s="12" t="n"/>
      <c r="AE899" s="13">
        <f>IF(OR(COUNT(J899)=0,COUNT(AB899:AD899)&lt;3),"",ROUND(J899-SUM(AB899:AD899),2))</f>
        <v/>
      </c>
      <c r="AF899" s="15">
        <f>IF(COUNT(AE899)=0,"",IF(Z899=0,"n.a.",AE899/Z899))</f>
        <v/>
      </c>
      <c r="AG899" s="12" t="n"/>
      <c r="AH899" s="14">
        <f>IF(OR(A899="",COUNT(Z899)=0,COUNT(AG899)=0),"",ROUND(Z899-AG899,2))</f>
        <v/>
      </c>
      <c r="AI899" s="21" t="n"/>
      <c r="AJ899" s="11">
        <f>IF(A899="","",IF(COUNT(I899)=0,"Enter approved NTE",IF(COUNT(Z899)&gt;0,IF(Z899&gt;I899,"Invoice exceeds NTE","Invoice within NTE"),IF(COUNT(L899)=0,"Enter quote inputs",IF(L899&gt;I899,"Quote exceeds NTE","Quote within NTE")))))</f>
        <v/>
      </c>
      <c r="AK899" s="11">
        <f>IF(A899="","",IF(COUNT(H899)=0,"Enter direct cost",IF(COUNT(Z899)=0,"Enter invoice revenue",IF(COUNT(AB899:AD899)&lt;3,"Enter expenses (0 if none)","Complete"))))</f>
        <v/>
      </c>
      <c r="AL899" s="11">
        <f>IF(A899="","",IF(NOT(AND(COUNT(AH899)=1,N(AH899)&gt;0.004,V899&lt;&gt;"Void",V899&lt;&gt;"Not invoiced",V899&lt;&gt;"Draft")),"",IF(COUNT(X899)=0,"No due date",IF(TODAY()-X899&lt;=0,"Not yet due",IF(TODAY()-X899&lt;=30,"1-30 days",IF(TODAY()-X899&lt;=60,"31-60 days",IF(TODAY()-X899&lt;=90,"61-90 days","Over 90 days")))))))</f>
        <v/>
      </c>
      <c r="AM899" s="49">
        <f>IF(OR(AL899="",AL899="No due date"),"",MAX(TODAY()-X899,0))</f>
        <v/>
      </c>
      <c r="AN899" s="49">
        <f>IF(AL899="","",IF(COUNT(X899)=0,-100000,TODAY()-X899))</f>
        <v/>
      </c>
      <c r="AO899" s="49">
        <f>IF(AN899="","",COUNTIF(AN$11:AN$1010,"&gt;"&amp;AN899)+COUNTIF(AN$11:AN899,AN899))</f>
        <v/>
      </c>
      <c r="AP899" s="49">
        <f>IF(OR(A899="",B899=""),"",IF(COUNTIF(B$11:B899,B899)=1,MAX(AP$10:AP898)+1,""))</f>
        <v/>
      </c>
    </row>
    <row r="900">
      <c r="A900" s="20" t="n"/>
      <c r="B900" s="10" t="n"/>
      <c r="C900" s="10" t="n"/>
      <c r="D900" s="10" t="n"/>
      <c r="E900" s="10" t="n"/>
      <c r="F900" s="18" t="n"/>
      <c r="G900" s="10" t="n"/>
      <c r="H900" s="12" t="n"/>
      <c r="I900" s="12" t="n"/>
      <c r="J900" s="13">
        <f>IF(OR(A900="",COUNT(H900)=0,COUNT(Z900)=0),"",ROUND(Z900-H900,2))</f>
        <v/>
      </c>
      <c r="K900" s="15">
        <f>IF(COUNT(J900)=0,"",IF(Z900=0,"n.a.",J900/Z900))</f>
        <v/>
      </c>
      <c r="L900" s="14">
        <f>IF(OR(A900="",COUNT(H900)=0,COUNT(Y900)=0),"",ROUND(H900*(1+Y900),2))</f>
        <v/>
      </c>
      <c r="M900" s="10" t="n"/>
      <c r="N900" s="10" t="n"/>
      <c r="O900" s="10" t="n"/>
      <c r="P900" s="10" t="n"/>
      <c r="Q900" s="20" t="n"/>
      <c r="R900" s="10" t="n"/>
      <c r="S900" s="10" t="n"/>
      <c r="T900" s="18" t="n"/>
      <c r="U900" s="18" t="n"/>
      <c r="V900" s="10" t="n"/>
      <c r="W900" s="10" t="n"/>
      <c r="X900" s="19">
        <f>IF(OR(A900="",COUNT(U900)=0,COUNT(AI900)=0),"",U900+AI900)</f>
        <v/>
      </c>
      <c r="Y900" s="16" t="n"/>
      <c r="Z900" s="12" t="n"/>
      <c r="AA900" s="17">
        <f>IF(COUNT(J900)=0,"",IF(H900=0,"n.a.",J900/H900))</f>
        <v/>
      </c>
      <c r="AB900" s="12" t="n"/>
      <c r="AC900" s="12" t="n"/>
      <c r="AD900" s="12" t="n"/>
      <c r="AE900" s="13">
        <f>IF(OR(COUNT(J900)=0,COUNT(AB900:AD900)&lt;3),"",ROUND(J900-SUM(AB900:AD900),2))</f>
        <v/>
      </c>
      <c r="AF900" s="15">
        <f>IF(COUNT(AE900)=0,"",IF(Z900=0,"n.a.",AE900/Z900))</f>
        <v/>
      </c>
      <c r="AG900" s="12" t="n"/>
      <c r="AH900" s="14">
        <f>IF(OR(A900="",COUNT(Z900)=0,COUNT(AG900)=0),"",ROUND(Z900-AG900,2))</f>
        <v/>
      </c>
      <c r="AI900" s="21" t="n"/>
      <c r="AJ900" s="11">
        <f>IF(A900="","",IF(COUNT(I900)=0,"Enter approved NTE",IF(COUNT(Z900)&gt;0,IF(Z900&gt;I900,"Invoice exceeds NTE","Invoice within NTE"),IF(COUNT(L900)=0,"Enter quote inputs",IF(L900&gt;I900,"Quote exceeds NTE","Quote within NTE")))))</f>
        <v/>
      </c>
      <c r="AK900" s="11">
        <f>IF(A900="","",IF(COUNT(H900)=0,"Enter direct cost",IF(COUNT(Z900)=0,"Enter invoice revenue",IF(COUNT(AB900:AD900)&lt;3,"Enter expenses (0 if none)","Complete"))))</f>
        <v/>
      </c>
      <c r="AL900" s="11">
        <f>IF(A900="","",IF(NOT(AND(COUNT(AH900)=1,N(AH900)&gt;0.004,V900&lt;&gt;"Void",V900&lt;&gt;"Not invoiced",V900&lt;&gt;"Draft")),"",IF(COUNT(X900)=0,"No due date",IF(TODAY()-X900&lt;=0,"Not yet due",IF(TODAY()-X900&lt;=30,"1-30 days",IF(TODAY()-X900&lt;=60,"31-60 days",IF(TODAY()-X900&lt;=90,"61-90 days","Over 90 days")))))))</f>
        <v/>
      </c>
      <c r="AM900" s="49">
        <f>IF(OR(AL900="",AL900="No due date"),"",MAX(TODAY()-X900,0))</f>
        <v/>
      </c>
      <c r="AN900" s="49">
        <f>IF(AL900="","",IF(COUNT(X900)=0,-100000,TODAY()-X900))</f>
        <v/>
      </c>
      <c r="AO900" s="49">
        <f>IF(AN900="","",COUNTIF(AN$11:AN$1010,"&gt;"&amp;AN900)+COUNTIF(AN$11:AN900,AN900))</f>
        <v/>
      </c>
      <c r="AP900" s="49">
        <f>IF(OR(A900="",B900=""),"",IF(COUNTIF(B$11:B900,B900)=1,MAX(AP$10:AP899)+1,""))</f>
        <v/>
      </c>
    </row>
    <row r="901">
      <c r="A901" s="20" t="n"/>
      <c r="B901" s="10" t="n"/>
      <c r="C901" s="10" t="n"/>
      <c r="D901" s="10" t="n"/>
      <c r="E901" s="10" t="n"/>
      <c r="F901" s="18" t="n"/>
      <c r="G901" s="10" t="n"/>
      <c r="H901" s="12" t="n"/>
      <c r="I901" s="12" t="n"/>
      <c r="J901" s="13">
        <f>IF(OR(A901="",COUNT(H901)=0,COUNT(Z901)=0),"",ROUND(Z901-H901,2))</f>
        <v/>
      </c>
      <c r="K901" s="15">
        <f>IF(COUNT(J901)=0,"",IF(Z901=0,"n.a.",J901/Z901))</f>
        <v/>
      </c>
      <c r="L901" s="14">
        <f>IF(OR(A901="",COUNT(H901)=0,COUNT(Y901)=0),"",ROUND(H901*(1+Y901),2))</f>
        <v/>
      </c>
      <c r="M901" s="10" t="n"/>
      <c r="N901" s="10" t="n"/>
      <c r="O901" s="10" t="n"/>
      <c r="P901" s="10" t="n"/>
      <c r="Q901" s="20" t="n"/>
      <c r="R901" s="10" t="n"/>
      <c r="S901" s="10" t="n"/>
      <c r="T901" s="18" t="n"/>
      <c r="U901" s="18" t="n"/>
      <c r="V901" s="10" t="n"/>
      <c r="W901" s="10" t="n"/>
      <c r="X901" s="19">
        <f>IF(OR(A901="",COUNT(U901)=0,COUNT(AI901)=0),"",U901+AI901)</f>
        <v/>
      </c>
      <c r="Y901" s="16" t="n"/>
      <c r="Z901" s="12" t="n"/>
      <c r="AA901" s="17">
        <f>IF(COUNT(J901)=0,"",IF(H901=0,"n.a.",J901/H901))</f>
        <v/>
      </c>
      <c r="AB901" s="12" t="n"/>
      <c r="AC901" s="12" t="n"/>
      <c r="AD901" s="12" t="n"/>
      <c r="AE901" s="13">
        <f>IF(OR(COUNT(J901)=0,COUNT(AB901:AD901)&lt;3),"",ROUND(J901-SUM(AB901:AD901),2))</f>
        <v/>
      </c>
      <c r="AF901" s="15">
        <f>IF(COUNT(AE901)=0,"",IF(Z901=0,"n.a.",AE901/Z901))</f>
        <v/>
      </c>
      <c r="AG901" s="12" t="n"/>
      <c r="AH901" s="14">
        <f>IF(OR(A901="",COUNT(Z901)=0,COUNT(AG901)=0),"",ROUND(Z901-AG901,2))</f>
        <v/>
      </c>
      <c r="AI901" s="21" t="n"/>
      <c r="AJ901" s="11">
        <f>IF(A901="","",IF(COUNT(I901)=0,"Enter approved NTE",IF(COUNT(Z901)&gt;0,IF(Z901&gt;I901,"Invoice exceeds NTE","Invoice within NTE"),IF(COUNT(L901)=0,"Enter quote inputs",IF(L901&gt;I901,"Quote exceeds NTE","Quote within NTE")))))</f>
        <v/>
      </c>
      <c r="AK901" s="11">
        <f>IF(A901="","",IF(COUNT(H901)=0,"Enter direct cost",IF(COUNT(Z901)=0,"Enter invoice revenue",IF(COUNT(AB901:AD901)&lt;3,"Enter expenses (0 if none)","Complete"))))</f>
        <v/>
      </c>
      <c r="AL901" s="11">
        <f>IF(A901="","",IF(NOT(AND(COUNT(AH901)=1,N(AH901)&gt;0.004,V901&lt;&gt;"Void",V901&lt;&gt;"Not invoiced",V901&lt;&gt;"Draft")),"",IF(COUNT(X901)=0,"No due date",IF(TODAY()-X901&lt;=0,"Not yet due",IF(TODAY()-X901&lt;=30,"1-30 days",IF(TODAY()-X901&lt;=60,"31-60 days",IF(TODAY()-X901&lt;=90,"61-90 days","Over 90 days")))))))</f>
        <v/>
      </c>
      <c r="AM901" s="49">
        <f>IF(OR(AL901="",AL901="No due date"),"",MAX(TODAY()-X901,0))</f>
        <v/>
      </c>
      <c r="AN901" s="49">
        <f>IF(AL901="","",IF(COUNT(X901)=0,-100000,TODAY()-X901))</f>
        <v/>
      </c>
      <c r="AO901" s="49">
        <f>IF(AN901="","",COUNTIF(AN$11:AN$1010,"&gt;"&amp;AN901)+COUNTIF(AN$11:AN901,AN901))</f>
        <v/>
      </c>
      <c r="AP901" s="49">
        <f>IF(OR(A901="",B901=""),"",IF(COUNTIF(B$11:B901,B901)=1,MAX(AP$10:AP900)+1,""))</f>
        <v/>
      </c>
    </row>
    <row r="902">
      <c r="A902" s="20" t="n"/>
      <c r="B902" s="10" t="n"/>
      <c r="C902" s="10" t="n"/>
      <c r="D902" s="10" t="n"/>
      <c r="E902" s="10" t="n"/>
      <c r="F902" s="18" t="n"/>
      <c r="G902" s="10" t="n"/>
      <c r="H902" s="12" t="n"/>
      <c r="I902" s="12" t="n"/>
      <c r="J902" s="13">
        <f>IF(OR(A902="",COUNT(H902)=0,COUNT(Z902)=0),"",ROUND(Z902-H902,2))</f>
        <v/>
      </c>
      <c r="K902" s="15">
        <f>IF(COUNT(J902)=0,"",IF(Z902=0,"n.a.",J902/Z902))</f>
        <v/>
      </c>
      <c r="L902" s="14">
        <f>IF(OR(A902="",COUNT(H902)=0,COUNT(Y902)=0),"",ROUND(H902*(1+Y902),2))</f>
        <v/>
      </c>
      <c r="M902" s="10" t="n"/>
      <c r="N902" s="10" t="n"/>
      <c r="O902" s="10" t="n"/>
      <c r="P902" s="10" t="n"/>
      <c r="Q902" s="20" t="n"/>
      <c r="R902" s="10" t="n"/>
      <c r="S902" s="10" t="n"/>
      <c r="T902" s="18" t="n"/>
      <c r="U902" s="18" t="n"/>
      <c r="V902" s="10" t="n"/>
      <c r="W902" s="10" t="n"/>
      <c r="X902" s="19">
        <f>IF(OR(A902="",COUNT(U902)=0,COUNT(AI902)=0),"",U902+AI902)</f>
        <v/>
      </c>
      <c r="Y902" s="16" t="n"/>
      <c r="Z902" s="12" t="n"/>
      <c r="AA902" s="17">
        <f>IF(COUNT(J902)=0,"",IF(H902=0,"n.a.",J902/H902))</f>
        <v/>
      </c>
      <c r="AB902" s="12" t="n"/>
      <c r="AC902" s="12" t="n"/>
      <c r="AD902" s="12" t="n"/>
      <c r="AE902" s="13">
        <f>IF(OR(COUNT(J902)=0,COUNT(AB902:AD902)&lt;3),"",ROUND(J902-SUM(AB902:AD902),2))</f>
        <v/>
      </c>
      <c r="AF902" s="15">
        <f>IF(COUNT(AE902)=0,"",IF(Z902=0,"n.a.",AE902/Z902))</f>
        <v/>
      </c>
      <c r="AG902" s="12" t="n"/>
      <c r="AH902" s="14">
        <f>IF(OR(A902="",COUNT(Z902)=0,COUNT(AG902)=0),"",ROUND(Z902-AG902,2))</f>
        <v/>
      </c>
      <c r="AI902" s="21" t="n"/>
      <c r="AJ902" s="11">
        <f>IF(A902="","",IF(COUNT(I902)=0,"Enter approved NTE",IF(COUNT(Z902)&gt;0,IF(Z902&gt;I902,"Invoice exceeds NTE","Invoice within NTE"),IF(COUNT(L902)=0,"Enter quote inputs",IF(L902&gt;I902,"Quote exceeds NTE","Quote within NTE")))))</f>
        <v/>
      </c>
      <c r="AK902" s="11">
        <f>IF(A902="","",IF(COUNT(H902)=0,"Enter direct cost",IF(COUNT(Z902)=0,"Enter invoice revenue",IF(COUNT(AB902:AD902)&lt;3,"Enter expenses (0 if none)","Complete"))))</f>
        <v/>
      </c>
      <c r="AL902" s="11">
        <f>IF(A902="","",IF(NOT(AND(COUNT(AH902)=1,N(AH902)&gt;0.004,V902&lt;&gt;"Void",V902&lt;&gt;"Not invoiced",V902&lt;&gt;"Draft")),"",IF(COUNT(X902)=0,"No due date",IF(TODAY()-X902&lt;=0,"Not yet due",IF(TODAY()-X902&lt;=30,"1-30 days",IF(TODAY()-X902&lt;=60,"31-60 days",IF(TODAY()-X902&lt;=90,"61-90 days","Over 90 days")))))))</f>
        <v/>
      </c>
      <c r="AM902" s="49">
        <f>IF(OR(AL902="",AL902="No due date"),"",MAX(TODAY()-X902,0))</f>
        <v/>
      </c>
      <c r="AN902" s="49">
        <f>IF(AL902="","",IF(COUNT(X902)=0,-100000,TODAY()-X902))</f>
        <v/>
      </c>
      <c r="AO902" s="49">
        <f>IF(AN902="","",COUNTIF(AN$11:AN$1010,"&gt;"&amp;AN902)+COUNTIF(AN$11:AN902,AN902))</f>
        <v/>
      </c>
      <c r="AP902" s="49">
        <f>IF(OR(A902="",B902=""),"",IF(COUNTIF(B$11:B902,B902)=1,MAX(AP$10:AP901)+1,""))</f>
        <v/>
      </c>
    </row>
    <row r="903">
      <c r="A903" s="20" t="n"/>
      <c r="B903" s="10" t="n"/>
      <c r="C903" s="10" t="n"/>
      <c r="D903" s="10" t="n"/>
      <c r="E903" s="10" t="n"/>
      <c r="F903" s="18" t="n"/>
      <c r="G903" s="10" t="n"/>
      <c r="H903" s="12" t="n"/>
      <c r="I903" s="12" t="n"/>
      <c r="J903" s="13">
        <f>IF(OR(A903="",COUNT(H903)=0,COUNT(Z903)=0),"",ROUND(Z903-H903,2))</f>
        <v/>
      </c>
      <c r="K903" s="15">
        <f>IF(COUNT(J903)=0,"",IF(Z903=0,"n.a.",J903/Z903))</f>
        <v/>
      </c>
      <c r="L903" s="14">
        <f>IF(OR(A903="",COUNT(H903)=0,COUNT(Y903)=0),"",ROUND(H903*(1+Y903),2))</f>
        <v/>
      </c>
      <c r="M903" s="10" t="n"/>
      <c r="N903" s="10" t="n"/>
      <c r="O903" s="10" t="n"/>
      <c r="P903" s="10" t="n"/>
      <c r="Q903" s="20" t="n"/>
      <c r="R903" s="10" t="n"/>
      <c r="S903" s="10" t="n"/>
      <c r="T903" s="18" t="n"/>
      <c r="U903" s="18" t="n"/>
      <c r="V903" s="10" t="n"/>
      <c r="W903" s="10" t="n"/>
      <c r="X903" s="19">
        <f>IF(OR(A903="",COUNT(U903)=0,COUNT(AI903)=0),"",U903+AI903)</f>
        <v/>
      </c>
      <c r="Y903" s="16" t="n"/>
      <c r="Z903" s="12" t="n"/>
      <c r="AA903" s="17">
        <f>IF(COUNT(J903)=0,"",IF(H903=0,"n.a.",J903/H903))</f>
        <v/>
      </c>
      <c r="AB903" s="12" t="n"/>
      <c r="AC903" s="12" t="n"/>
      <c r="AD903" s="12" t="n"/>
      <c r="AE903" s="13">
        <f>IF(OR(COUNT(J903)=0,COUNT(AB903:AD903)&lt;3),"",ROUND(J903-SUM(AB903:AD903),2))</f>
        <v/>
      </c>
      <c r="AF903" s="15">
        <f>IF(COUNT(AE903)=0,"",IF(Z903=0,"n.a.",AE903/Z903))</f>
        <v/>
      </c>
      <c r="AG903" s="12" t="n"/>
      <c r="AH903" s="14">
        <f>IF(OR(A903="",COUNT(Z903)=0,COUNT(AG903)=0),"",ROUND(Z903-AG903,2))</f>
        <v/>
      </c>
      <c r="AI903" s="21" t="n"/>
      <c r="AJ903" s="11">
        <f>IF(A903="","",IF(COUNT(I903)=0,"Enter approved NTE",IF(COUNT(Z903)&gt;0,IF(Z903&gt;I903,"Invoice exceeds NTE","Invoice within NTE"),IF(COUNT(L903)=0,"Enter quote inputs",IF(L903&gt;I903,"Quote exceeds NTE","Quote within NTE")))))</f>
        <v/>
      </c>
      <c r="AK903" s="11">
        <f>IF(A903="","",IF(COUNT(H903)=0,"Enter direct cost",IF(COUNT(Z903)=0,"Enter invoice revenue",IF(COUNT(AB903:AD903)&lt;3,"Enter expenses (0 if none)","Complete"))))</f>
        <v/>
      </c>
      <c r="AL903" s="11">
        <f>IF(A903="","",IF(NOT(AND(COUNT(AH903)=1,N(AH903)&gt;0.004,V903&lt;&gt;"Void",V903&lt;&gt;"Not invoiced",V903&lt;&gt;"Draft")),"",IF(COUNT(X903)=0,"No due date",IF(TODAY()-X903&lt;=0,"Not yet due",IF(TODAY()-X903&lt;=30,"1-30 days",IF(TODAY()-X903&lt;=60,"31-60 days",IF(TODAY()-X903&lt;=90,"61-90 days","Over 90 days")))))))</f>
        <v/>
      </c>
      <c r="AM903" s="49">
        <f>IF(OR(AL903="",AL903="No due date"),"",MAX(TODAY()-X903,0))</f>
        <v/>
      </c>
      <c r="AN903" s="49">
        <f>IF(AL903="","",IF(COUNT(X903)=0,-100000,TODAY()-X903))</f>
        <v/>
      </c>
      <c r="AO903" s="49">
        <f>IF(AN903="","",COUNTIF(AN$11:AN$1010,"&gt;"&amp;AN903)+COUNTIF(AN$11:AN903,AN903))</f>
        <v/>
      </c>
      <c r="AP903" s="49">
        <f>IF(OR(A903="",B903=""),"",IF(COUNTIF(B$11:B903,B903)=1,MAX(AP$10:AP902)+1,""))</f>
        <v/>
      </c>
    </row>
    <row r="904">
      <c r="A904" s="20" t="n"/>
      <c r="B904" s="10" t="n"/>
      <c r="C904" s="10" t="n"/>
      <c r="D904" s="10" t="n"/>
      <c r="E904" s="10" t="n"/>
      <c r="F904" s="18" t="n"/>
      <c r="G904" s="10" t="n"/>
      <c r="H904" s="12" t="n"/>
      <c r="I904" s="12" t="n"/>
      <c r="J904" s="13">
        <f>IF(OR(A904="",COUNT(H904)=0,COUNT(Z904)=0),"",ROUND(Z904-H904,2))</f>
        <v/>
      </c>
      <c r="K904" s="15">
        <f>IF(COUNT(J904)=0,"",IF(Z904=0,"n.a.",J904/Z904))</f>
        <v/>
      </c>
      <c r="L904" s="14">
        <f>IF(OR(A904="",COUNT(H904)=0,COUNT(Y904)=0),"",ROUND(H904*(1+Y904),2))</f>
        <v/>
      </c>
      <c r="M904" s="10" t="n"/>
      <c r="N904" s="10" t="n"/>
      <c r="O904" s="10" t="n"/>
      <c r="P904" s="10" t="n"/>
      <c r="Q904" s="20" t="n"/>
      <c r="R904" s="10" t="n"/>
      <c r="S904" s="10" t="n"/>
      <c r="T904" s="18" t="n"/>
      <c r="U904" s="18" t="n"/>
      <c r="V904" s="10" t="n"/>
      <c r="W904" s="10" t="n"/>
      <c r="X904" s="19">
        <f>IF(OR(A904="",COUNT(U904)=0,COUNT(AI904)=0),"",U904+AI904)</f>
        <v/>
      </c>
      <c r="Y904" s="16" t="n"/>
      <c r="Z904" s="12" t="n"/>
      <c r="AA904" s="17">
        <f>IF(COUNT(J904)=0,"",IF(H904=0,"n.a.",J904/H904))</f>
        <v/>
      </c>
      <c r="AB904" s="12" t="n"/>
      <c r="AC904" s="12" t="n"/>
      <c r="AD904" s="12" t="n"/>
      <c r="AE904" s="13">
        <f>IF(OR(COUNT(J904)=0,COUNT(AB904:AD904)&lt;3),"",ROUND(J904-SUM(AB904:AD904),2))</f>
        <v/>
      </c>
      <c r="AF904" s="15">
        <f>IF(COUNT(AE904)=0,"",IF(Z904=0,"n.a.",AE904/Z904))</f>
        <v/>
      </c>
      <c r="AG904" s="12" t="n"/>
      <c r="AH904" s="14">
        <f>IF(OR(A904="",COUNT(Z904)=0,COUNT(AG904)=0),"",ROUND(Z904-AG904,2))</f>
        <v/>
      </c>
      <c r="AI904" s="21" t="n"/>
      <c r="AJ904" s="11">
        <f>IF(A904="","",IF(COUNT(I904)=0,"Enter approved NTE",IF(COUNT(Z904)&gt;0,IF(Z904&gt;I904,"Invoice exceeds NTE","Invoice within NTE"),IF(COUNT(L904)=0,"Enter quote inputs",IF(L904&gt;I904,"Quote exceeds NTE","Quote within NTE")))))</f>
        <v/>
      </c>
      <c r="AK904" s="11">
        <f>IF(A904="","",IF(COUNT(H904)=0,"Enter direct cost",IF(COUNT(Z904)=0,"Enter invoice revenue",IF(COUNT(AB904:AD904)&lt;3,"Enter expenses (0 if none)","Complete"))))</f>
        <v/>
      </c>
      <c r="AL904" s="11">
        <f>IF(A904="","",IF(NOT(AND(COUNT(AH904)=1,N(AH904)&gt;0.004,V904&lt;&gt;"Void",V904&lt;&gt;"Not invoiced",V904&lt;&gt;"Draft")),"",IF(COUNT(X904)=0,"No due date",IF(TODAY()-X904&lt;=0,"Not yet due",IF(TODAY()-X904&lt;=30,"1-30 days",IF(TODAY()-X904&lt;=60,"31-60 days",IF(TODAY()-X904&lt;=90,"61-90 days","Over 90 days")))))))</f>
        <v/>
      </c>
      <c r="AM904" s="49">
        <f>IF(OR(AL904="",AL904="No due date"),"",MAX(TODAY()-X904,0))</f>
        <v/>
      </c>
      <c r="AN904" s="49">
        <f>IF(AL904="","",IF(COUNT(X904)=0,-100000,TODAY()-X904))</f>
        <v/>
      </c>
      <c r="AO904" s="49">
        <f>IF(AN904="","",COUNTIF(AN$11:AN$1010,"&gt;"&amp;AN904)+COUNTIF(AN$11:AN904,AN904))</f>
        <v/>
      </c>
      <c r="AP904" s="49">
        <f>IF(OR(A904="",B904=""),"",IF(COUNTIF(B$11:B904,B904)=1,MAX(AP$10:AP903)+1,""))</f>
        <v/>
      </c>
    </row>
    <row r="905">
      <c r="A905" s="20" t="n"/>
      <c r="B905" s="10" t="n"/>
      <c r="C905" s="10" t="n"/>
      <c r="D905" s="10" t="n"/>
      <c r="E905" s="10" t="n"/>
      <c r="F905" s="18" t="n"/>
      <c r="G905" s="10" t="n"/>
      <c r="H905" s="12" t="n"/>
      <c r="I905" s="12" t="n"/>
      <c r="J905" s="13">
        <f>IF(OR(A905="",COUNT(H905)=0,COUNT(Z905)=0),"",ROUND(Z905-H905,2))</f>
        <v/>
      </c>
      <c r="K905" s="15">
        <f>IF(COUNT(J905)=0,"",IF(Z905=0,"n.a.",J905/Z905))</f>
        <v/>
      </c>
      <c r="L905" s="14">
        <f>IF(OR(A905="",COUNT(H905)=0,COUNT(Y905)=0),"",ROUND(H905*(1+Y905),2))</f>
        <v/>
      </c>
      <c r="M905" s="10" t="n"/>
      <c r="N905" s="10" t="n"/>
      <c r="O905" s="10" t="n"/>
      <c r="P905" s="10" t="n"/>
      <c r="Q905" s="20" t="n"/>
      <c r="R905" s="10" t="n"/>
      <c r="S905" s="10" t="n"/>
      <c r="T905" s="18" t="n"/>
      <c r="U905" s="18" t="n"/>
      <c r="V905" s="10" t="n"/>
      <c r="W905" s="10" t="n"/>
      <c r="X905" s="19">
        <f>IF(OR(A905="",COUNT(U905)=0,COUNT(AI905)=0),"",U905+AI905)</f>
        <v/>
      </c>
      <c r="Y905" s="16" t="n"/>
      <c r="Z905" s="12" t="n"/>
      <c r="AA905" s="17">
        <f>IF(COUNT(J905)=0,"",IF(H905=0,"n.a.",J905/H905))</f>
        <v/>
      </c>
      <c r="AB905" s="12" t="n"/>
      <c r="AC905" s="12" t="n"/>
      <c r="AD905" s="12" t="n"/>
      <c r="AE905" s="13">
        <f>IF(OR(COUNT(J905)=0,COUNT(AB905:AD905)&lt;3),"",ROUND(J905-SUM(AB905:AD905),2))</f>
        <v/>
      </c>
      <c r="AF905" s="15">
        <f>IF(COUNT(AE905)=0,"",IF(Z905=0,"n.a.",AE905/Z905))</f>
        <v/>
      </c>
      <c r="AG905" s="12" t="n"/>
      <c r="AH905" s="14">
        <f>IF(OR(A905="",COUNT(Z905)=0,COUNT(AG905)=0),"",ROUND(Z905-AG905,2))</f>
        <v/>
      </c>
      <c r="AI905" s="21" t="n"/>
      <c r="AJ905" s="11">
        <f>IF(A905="","",IF(COUNT(I905)=0,"Enter approved NTE",IF(COUNT(Z905)&gt;0,IF(Z905&gt;I905,"Invoice exceeds NTE","Invoice within NTE"),IF(COUNT(L905)=0,"Enter quote inputs",IF(L905&gt;I905,"Quote exceeds NTE","Quote within NTE")))))</f>
        <v/>
      </c>
      <c r="AK905" s="11">
        <f>IF(A905="","",IF(COUNT(H905)=0,"Enter direct cost",IF(COUNT(Z905)=0,"Enter invoice revenue",IF(COUNT(AB905:AD905)&lt;3,"Enter expenses (0 if none)","Complete"))))</f>
        <v/>
      </c>
      <c r="AL905" s="11">
        <f>IF(A905="","",IF(NOT(AND(COUNT(AH905)=1,N(AH905)&gt;0.004,V905&lt;&gt;"Void",V905&lt;&gt;"Not invoiced",V905&lt;&gt;"Draft")),"",IF(COUNT(X905)=0,"No due date",IF(TODAY()-X905&lt;=0,"Not yet due",IF(TODAY()-X905&lt;=30,"1-30 days",IF(TODAY()-X905&lt;=60,"31-60 days",IF(TODAY()-X905&lt;=90,"61-90 days","Over 90 days")))))))</f>
        <v/>
      </c>
      <c r="AM905" s="49">
        <f>IF(OR(AL905="",AL905="No due date"),"",MAX(TODAY()-X905,0))</f>
        <v/>
      </c>
      <c r="AN905" s="49">
        <f>IF(AL905="","",IF(COUNT(X905)=0,-100000,TODAY()-X905))</f>
        <v/>
      </c>
      <c r="AO905" s="49">
        <f>IF(AN905="","",COUNTIF(AN$11:AN$1010,"&gt;"&amp;AN905)+COUNTIF(AN$11:AN905,AN905))</f>
        <v/>
      </c>
      <c r="AP905" s="49">
        <f>IF(OR(A905="",B905=""),"",IF(COUNTIF(B$11:B905,B905)=1,MAX(AP$10:AP904)+1,""))</f>
        <v/>
      </c>
    </row>
    <row r="906">
      <c r="A906" s="20" t="n"/>
      <c r="B906" s="10" t="n"/>
      <c r="C906" s="10" t="n"/>
      <c r="D906" s="10" t="n"/>
      <c r="E906" s="10" t="n"/>
      <c r="F906" s="18" t="n"/>
      <c r="G906" s="10" t="n"/>
      <c r="H906" s="12" t="n"/>
      <c r="I906" s="12" t="n"/>
      <c r="J906" s="13">
        <f>IF(OR(A906="",COUNT(H906)=0,COUNT(Z906)=0),"",ROUND(Z906-H906,2))</f>
        <v/>
      </c>
      <c r="K906" s="15">
        <f>IF(COUNT(J906)=0,"",IF(Z906=0,"n.a.",J906/Z906))</f>
        <v/>
      </c>
      <c r="L906" s="14">
        <f>IF(OR(A906="",COUNT(H906)=0,COUNT(Y906)=0),"",ROUND(H906*(1+Y906),2))</f>
        <v/>
      </c>
      <c r="M906" s="10" t="n"/>
      <c r="N906" s="10" t="n"/>
      <c r="O906" s="10" t="n"/>
      <c r="P906" s="10" t="n"/>
      <c r="Q906" s="20" t="n"/>
      <c r="R906" s="10" t="n"/>
      <c r="S906" s="10" t="n"/>
      <c r="T906" s="18" t="n"/>
      <c r="U906" s="18" t="n"/>
      <c r="V906" s="10" t="n"/>
      <c r="W906" s="10" t="n"/>
      <c r="X906" s="19">
        <f>IF(OR(A906="",COUNT(U906)=0,COUNT(AI906)=0),"",U906+AI906)</f>
        <v/>
      </c>
      <c r="Y906" s="16" t="n"/>
      <c r="Z906" s="12" t="n"/>
      <c r="AA906" s="17">
        <f>IF(COUNT(J906)=0,"",IF(H906=0,"n.a.",J906/H906))</f>
        <v/>
      </c>
      <c r="AB906" s="12" t="n"/>
      <c r="AC906" s="12" t="n"/>
      <c r="AD906" s="12" t="n"/>
      <c r="AE906" s="13">
        <f>IF(OR(COUNT(J906)=0,COUNT(AB906:AD906)&lt;3),"",ROUND(J906-SUM(AB906:AD906),2))</f>
        <v/>
      </c>
      <c r="AF906" s="15">
        <f>IF(COUNT(AE906)=0,"",IF(Z906=0,"n.a.",AE906/Z906))</f>
        <v/>
      </c>
      <c r="AG906" s="12" t="n"/>
      <c r="AH906" s="14">
        <f>IF(OR(A906="",COUNT(Z906)=0,COUNT(AG906)=0),"",ROUND(Z906-AG906,2))</f>
        <v/>
      </c>
      <c r="AI906" s="21" t="n"/>
      <c r="AJ906" s="11">
        <f>IF(A906="","",IF(COUNT(I906)=0,"Enter approved NTE",IF(COUNT(Z906)&gt;0,IF(Z906&gt;I906,"Invoice exceeds NTE","Invoice within NTE"),IF(COUNT(L906)=0,"Enter quote inputs",IF(L906&gt;I906,"Quote exceeds NTE","Quote within NTE")))))</f>
        <v/>
      </c>
      <c r="AK906" s="11">
        <f>IF(A906="","",IF(COUNT(H906)=0,"Enter direct cost",IF(COUNT(Z906)=0,"Enter invoice revenue",IF(COUNT(AB906:AD906)&lt;3,"Enter expenses (0 if none)","Complete"))))</f>
        <v/>
      </c>
      <c r="AL906" s="11">
        <f>IF(A906="","",IF(NOT(AND(COUNT(AH906)=1,N(AH906)&gt;0.004,V906&lt;&gt;"Void",V906&lt;&gt;"Not invoiced",V906&lt;&gt;"Draft")),"",IF(COUNT(X906)=0,"No due date",IF(TODAY()-X906&lt;=0,"Not yet due",IF(TODAY()-X906&lt;=30,"1-30 days",IF(TODAY()-X906&lt;=60,"31-60 days",IF(TODAY()-X906&lt;=90,"61-90 days","Over 90 days")))))))</f>
        <v/>
      </c>
      <c r="AM906" s="49">
        <f>IF(OR(AL906="",AL906="No due date"),"",MAX(TODAY()-X906,0))</f>
        <v/>
      </c>
      <c r="AN906" s="49">
        <f>IF(AL906="","",IF(COUNT(X906)=0,-100000,TODAY()-X906))</f>
        <v/>
      </c>
      <c r="AO906" s="49">
        <f>IF(AN906="","",COUNTIF(AN$11:AN$1010,"&gt;"&amp;AN906)+COUNTIF(AN$11:AN906,AN906))</f>
        <v/>
      </c>
      <c r="AP906" s="49">
        <f>IF(OR(A906="",B906=""),"",IF(COUNTIF(B$11:B906,B906)=1,MAX(AP$10:AP905)+1,""))</f>
        <v/>
      </c>
    </row>
    <row r="907">
      <c r="A907" s="20" t="n"/>
      <c r="B907" s="10" t="n"/>
      <c r="C907" s="10" t="n"/>
      <c r="D907" s="10" t="n"/>
      <c r="E907" s="10" t="n"/>
      <c r="F907" s="18" t="n"/>
      <c r="G907" s="10" t="n"/>
      <c r="H907" s="12" t="n"/>
      <c r="I907" s="12" t="n"/>
      <c r="J907" s="13">
        <f>IF(OR(A907="",COUNT(H907)=0,COUNT(Z907)=0),"",ROUND(Z907-H907,2))</f>
        <v/>
      </c>
      <c r="K907" s="15">
        <f>IF(COUNT(J907)=0,"",IF(Z907=0,"n.a.",J907/Z907))</f>
        <v/>
      </c>
      <c r="L907" s="14">
        <f>IF(OR(A907="",COUNT(H907)=0,COUNT(Y907)=0),"",ROUND(H907*(1+Y907),2))</f>
        <v/>
      </c>
      <c r="M907" s="10" t="n"/>
      <c r="N907" s="10" t="n"/>
      <c r="O907" s="10" t="n"/>
      <c r="P907" s="10" t="n"/>
      <c r="Q907" s="20" t="n"/>
      <c r="R907" s="10" t="n"/>
      <c r="S907" s="10" t="n"/>
      <c r="T907" s="18" t="n"/>
      <c r="U907" s="18" t="n"/>
      <c r="V907" s="10" t="n"/>
      <c r="W907" s="10" t="n"/>
      <c r="X907" s="19">
        <f>IF(OR(A907="",COUNT(U907)=0,COUNT(AI907)=0),"",U907+AI907)</f>
        <v/>
      </c>
      <c r="Y907" s="16" t="n"/>
      <c r="Z907" s="12" t="n"/>
      <c r="AA907" s="17">
        <f>IF(COUNT(J907)=0,"",IF(H907=0,"n.a.",J907/H907))</f>
        <v/>
      </c>
      <c r="AB907" s="12" t="n"/>
      <c r="AC907" s="12" t="n"/>
      <c r="AD907" s="12" t="n"/>
      <c r="AE907" s="13">
        <f>IF(OR(COUNT(J907)=0,COUNT(AB907:AD907)&lt;3),"",ROUND(J907-SUM(AB907:AD907),2))</f>
        <v/>
      </c>
      <c r="AF907" s="15">
        <f>IF(COUNT(AE907)=0,"",IF(Z907=0,"n.a.",AE907/Z907))</f>
        <v/>
      </c>
      <c r="AG907" s="12" t="n"/>
      <c r="AH907" s="14">
        <f>IF(OR(A907="",COUNT(Z907)=0,COUNT(AG907)=0),"",ROUND(Z907-AG907,2))</f>
        <v/>
      </c>
      <c r="AI907" s="21" t="n"/>
      <c r="AJ907" s="11">
        <f>IF(A907="","",IF(COUNT(I907)=0,"Enter approved NTE",IF(COUNT(Z907)&gt;0,IF(Z907&gt;I907,"Invoice exceeds NTE","Invoice within NTE"),IF(COUNT(L907)=0,"Enter quote inputs",IF(L907&gt;I907,"Quote exceeds NTE","Quote within NTE")))))</f>
        <v/>
      </c>
      <c r="AK907" s="11">
        <f>IF(A907="","",IF(COUNT(H907)=0,"Enter direct cost",IF(COUNT(Z907)=0,"Enter invoice revenue",IF(COUNT(AB907:AD907)&lt;3,"Enter expenses (0 if none)","Complete"))))</f>
        <v/>
      </c>
      <c r="AL907" s="11">
        <f>IF(A907="","",IF(NOT(AND(COUNT(AH907)=1,N(AH907)&gt;0.004,V907&lt;&gt;"Void",V907&lt;&gt;"Not invoiced",V907&lt;&gt;"Draft")),"",IF(COUNT(X907)=0,"No due date",IF(TODAY()-X907&lt;=0,"Not yet due",IF(TODAY()-X907&lt;=30,"1-30 days",IF(TODAY()-X907&lt;=60,"31-60 days",IF(TODAY()-X907&lt;=90,"61-90 days","Over 90 days")))))))</f>
        <v/>
      </c>
      <c r="AM907" s="49">
        <f>IF(OR(AL907="",AL907="No due date"),"",MAX(TODAY()-X907,0))</f>
        <v/>
      </c>
      <c r="AN907" s="49">
        <f>IF(AL907="","",IF(COUNT(X907)=0,-100000,TODAY()-X907))</f>
        <v/>
      </c>
      <c r="AO907" s="49">
        <f>IF(AN907="","",COUNTIF(AN$11:AN$1010,"&gt;"&amp;AN907)+COUNTIF(AN$11:AN907,AN907))</f>
        <v/>
      </c>
      <c r="AP907" s="49">
        <f>IF(OR(A907="",B907=""),"",IF(COUNTIF(B$11:B907,B907)=1,MAX(AP$10:AP906)+1,""))</f>
        <v/>
      </c>
    </row>
    <row r="908">
      <c r="A908" s="20" t="n"/>
      <c r="B908" s="10" t="n"/>
      <c r="C908" s="10" t="n"/>
      <c r="D908" s="10" t="n"/>
      <c r="E908" s="10" t="n"/>
      <c r="F908" s="18" t="n"/>
      <c r="G908" s="10" t="n"/>
      <c r="H908" s="12" t="n"/>
      <c r="I908" s="12" t="n"/>
      <c r="J908" s="13">
        <f>IF(OR(A908="",COUNT(H908)=0,COUNT(Z908)=0),"",ROUND(Z908-H908,2))</f>
        <v/>
      </c>
      <c r="K908" s="15">
        <f>IF(COUNT(J908)=0,"",IF(Z908=0,"n.a.",J908/Z908))</f>
        <v/>
      </c>
      <c r="L908" s="14">
        <f>IF(OR(A908="",COUNT(H908)=0,COUNT(Y908)=0),"",ROUND(H908*(1+Y908),2))</f>
        <v/>
      </c>
      <c r="M908" s="10" t="n"/>
      <c r="N908" s="10" t="n"/>
      <c r="O908" s="10" t="n"/>
      <c r="P908" s="10" t="n"/>
      <c r="Q908" s="20" t="n"/>
      <c r="R908" s="10" t="n"/>
      <c r="S908" s="10" t="n"/>
      <c r="T908" s="18" t="n"/>
      <c r="U908" s="18" t="n"/>
      <c r="V908" s="10" t="n"/>
      <c r="W908" s="10" t="n"/>
      <c r="X908" s="19">
        <f>IF(OR(A908="",COUNT(U908)=0,COUNT(AI908)=0),"",U908+AI908)</f>
        <v/>
      </c>
      <c r="Y908" s="16" t="n"/>
      <c r="Z908" s="12" t="n"/>
      <c r="AA908" s="17">
        <f>IF(COUNT(J908)=0,"",IF(H908=0,"n.a.",J908/H908))</f>
        <v/>
      </c>
      <c r="AB908" s="12" t="n"/>
      <c r="AC908" s="12" t="n"/>
      <c r="AD908" s="12" t="n"/>
      <c r="AE908" s="13">
        <f>IF(OR(COUNT(J908)=0,COUNT(AB908:AD908)&lt;3),"",ROUND(J908-SUM(AB908:AD908),2))</f>
        <v/>
      </c>
      <c r="AF908" s="15">
        <f>IF(COUNT(AE908)=0,"",IF(Z908=0,"n.a.",AE908/Z908))</f>
        <v/>
      </c>
      <c r="AG908" s="12" t="n"/>
      <c r="AH908" s="14">
        <f>IF(OR(A908="",COUNT(Z908)=0,COUNT(AG908)=0),"",ROUND(Z908-AG908,2))</f>
        <v/>
      </c>
      <c r="AI908" s="21" t="n"/>
      <c r="AJ908" s="11">
        <f>IF(A908="","",IF(COUNT(I908)=0,"Enter approved NTE",IF(COUNT(Z908)&gt;0,IF(Z908&gt;I908,"Invoice exceeds NTE","Invoice within NTE"),IF(COUNT(L908)=0,"Enter quote inputs",IF(L908&gt;I908,"Quote exceeds NTE","Quote within NTE")))))</f>
        <v/>
      </c>
      <c r="AK908" s="11">
        <f>IF(A908="","",IF(COUNT(H908)=0,"Enter direct cost",IF(COUNT(Z908)=0,"Enter invoice revenue",IF(COUNT(AB908:AD908)&lt;3,"Enter expenses (0 if none)","Complete"))))</f>
        <v/>
      </c>
      <c r="AL908" s="11">
        <f>IF(A908="","",IF(NOT(AND(COUNT(AH908)=1,N(AH908)&gt;0.004,V908&lt;&gt;"Void",V908&lt;&gt;"Not invoiced",V908&lt;&gt;"Draft")),"",IF(COUNT(X908)=0,"No due date",IF(TODAY()-X908&lt;=0,"Not yet due",IF(TODAY()-X908&lt;=30,"1-30 days",IF(TODAY()-X908&lt;=60,"31-60 days",IF(TODAY()-X908&lt;=90,"61-90 days","Over 90 days")))))))</f>
        <v/>
      </c>
      <c r="AM908" s="49">
        <f>IF(OR(AL908="",AL908="No due date"),"",MAX(TODAY()-X908,0))</f>
        <v/>
      </c>
      <c r="AN908" s="49">
        <f>IF(AL908="","",IF(COUNT(X908)=0,-100000,TODAY()-X908))</f>
        <v/>
      </c>
      <c r="AO908" s="49">
        <f>IF(AN908="","",COUNTIF(AN$11:AN$1010,"&gt;"&amp;AN908)+COUNTIF(AN$11:AN908,AN908))</f>
        <v/>
      </c>
      <c r="AP908" s="49">
        <f>IF(OR(A908="",B908=""),"",IF(COUNTIF(B$11:B908,B908)=1,MAX(AP$10:AP907)+1,""))</f>
        <v/>
      </c>
    </row>
    <row r="909">
      <c r="A909" s="20" t="n"/>
      <c r="B909" s="10" t="n"/>
      <c r="C909" s="10" t="n"/>
      <c r="D909" s="10" t="n"/>
      <c r="E909" s="10" t="n"/>
      <c r="F909" s="18" t="n"/>
      <c r="G909" s="10" t="n"/>
      <c r="H909" s="12" t="n"/>
      <c r="I909" s="12" t="n"/>
      <c r="J909" s="13">
        <f>IF(OR(A909="",COUNT(H909)=0,COUNT(Z909)=0),"",ROUND(Z909-H909,2))</f>
        <v/>
      </c>
      <c r="K909" s="15">
        <f>IF(COUNT(J909)=0,"",IF(Z909=0,"n.a.",J909/Z909))</f>
        <v/>
      </c>
      <c r="L909" s="14">
        <f>IF(OR(A909="",COUNT(H909)=0,COUNT(Y909)=0),"",ROUND(H909*(1+Y909),2))</f>
        <v/>
      </c>
      <c r="M909" s="10" t="n"/>
      <c r="N909" s="10" t="n"/>
      <c r="O909" s="10" t="n"/>
      <c r="P909" s="10" t="n"/>
      <c r="Q909" s="20" t="n"/>
      <c r="R909" s="10" t="n"/>
      <c r="S909" s="10" t="n"/>
      <c r="T909" s="18" t="n"/>
      <c r="U909" s="18" t="n"/>
      <c r="V909" s="10" t="n"/>
      <c r="W909" s="10" t="n"/>
      <c r="X909" s="19">
        <f>IF(OR(A909="",COUNT(U909)=0,COUNT(AI909)=0),"",U909+AI909)</f>
        <v/>
      </c>
      <c r="Y909" s="16" t="n"/>
      <c r="Z909" s="12" t="n"/>
      <c r="AA909" s="17">
        <f>IF(COUNT(J909)=0,"",IF(H909=0,"n.a.",J909/H909))</f>
        <v/>
      </c>
      <c r="AB909" s="12" t="n"/>
      <c r="AC909" s="12" t="n"/>
      <c r="AD909" s="12" t="n"/>
      <c r="AE909" s="13">
        <f>IF(OR(COUNT(J909)=0,COUNT(AB909:AD909)&lt;3),"",ROUND(J909-SUM(AB909:AD909),2))</f>
        <v/>
      </c>
      <c r="AF909" s="15">
        <f>IF(COUNT(AE909)=0,"",IF(Z909=0,"n.a.",AE909/Z909))</f>
        <v/>
      </c>
      <c r="AG909" s="12" t="n"/>
      <c r="AH909" s="14">
        <f>IF(OR(A909="",COUNT(Z909)=0,COUNT(AG909)=0),"",ROUND(Z909-AG909,2))</f>
        <v/>
      </c>
      <c r="AI909" s="21" t="n"/>
      <c r="AJ909" s="11">
        <f>IF(A909="","",IF(COUNT(I909)=0,"Enter approved NTE",IF(COUNT(Z909)&gt;0,IF(Z909&gt;I909,"Invoice exceeds NTE","Invoice within NTE"),IF(COUNT(L909)=0,"Enter quote inputs",IF(L909&gt;I909,"Quote exceeds NTE","Quote within NTE")))))</f>
        <v/>
      </c>
      <c r="AK909" s="11">
        <f>IF(A909="","",IF(COUNT(H909)=0,"Enter direct cost",IF(COUNT(Z909)=0,"Enter invoice revenue",IF(COUNT(AB909:AD909)&lt;3,"Enter expenses (0 if none)","Complete"))))</f>
        <v/>
      </c>
      <c r="AL909" s="11">
        <f>IF(A909="","",IF(NOT(AND(COUNT(AH909)=1,N(AH909)&gt;0.004,V909&lt;&gt;"Void",V909&lt;&gt;"Not invoiced",V909&lt;&gt;"Draft")),"",IF(COUNT(X909)=0,"No due date",IF(TODAY()-X909&lt;=0,"Not yet due",IF(TODAY()-X909&lt;=30,"1-30 days",IF(TODAY()-X909&lt;=60,"31-60 days",IF(TODAY()-X909&lt;=90,"61-90 days","Over 90 days")))))))</f>
        <v/>
      </c>
      <c r="AM909" s="49">
        <f>IF(OR(AL909="",AL909="No due date"),"",MAX(TODAY()-X909,0))</f>
        <v/>
      </c>
      <c r="AN909" s="49">
        <f>IF(AL909="","",IF(COUNT(X909)=0,-100000,TODAY()-X909))</f>
        <v/>
      </c>
      <c r="AO909" s="49">
        <f>IF(AN909="","",COUNTIF(AN$11:AN$1010,"&gt;"&amp;AN909)+COUNTIF(AN$11:AN909,AN909))</f>
        <v/>
      </c>
      <c r="AP909" s="49">
        <f>IF(OR(A909="",B909=""),"",IF(COUNTIF(B$11:B909,B909)=1,MAX(AP$10:AP908)+1,""))</f>
        <v/>
      </c>
    </row>
    <row r="910">
      <c r="A910" s="20" t="n"/>
      <c r="B910" s="10" t="n"/>
      <c r="C910" s="10" t="n"/>
      <c r="D910" s="10" t="n"/>
      <c r="E910" s="10" t="n"/>
      <c r="F910" s="18" t="n"/>
      <c r="G910" s="10" t="n"/>
      <c r="H910" s="12" t="n"/>
      <c r="I910" s="12" t="n"/>
      <c r="J910" s="13">
        <f>IF(OR(A910="",COUNT(H910)=0,COUNT(Z910)=0),"",ROUND(Z910-H910,2))</f>
        <v/>
      </c>
      <c r="K910" s="15">
        <f>IF(COUNT(J910)=0,"",IF(Z910=0,"n.a.",J910/Z910))</f>
        <v/>
      </c>
      <c r="L910" s="14">
        <f>IF(OR(A910="",COUNT(H910)=0,COUNT(Y910)=0),"",ROUND(H910*(1+Y910),2))</f>
        <v/>
      </c>
      <c r="M910" s="10" t="n"/>
      <c r="N910" s="10" t="n"/>
      <c r="O910" s="10" t="n"/>
      <c r="P910" s="10" t="n"/>
      <c r="Q910" s="20" t="n"/>
      <c r="R910" s="10" t="n"/>
      <c r="S910" s="10" t="n"/>
      <c r="T910" s="18" t="n"/>
      <c r="U910" s="18" t="n"/>
      <c r="V910" s="10" t="n"/>
      <c r="W910" s="10" t="n"/>
      <c r="X910" s="19">
        <f>IF(OR(A910="",COUNT(U910)=0,COUNT(AI910)=0),"",U910+AI910)</f>
        <v/>
      </c>
      <c r="Y910" s="16" t="n"/>
      <c r="Z910" s="12" t="n"/>
      <c r="AA910" s="17">
        <f>IF(COUNT(J910)=0,"",IF(H910=0,"n.a.",J910/H910))</f>
        <v/>
      </c>
      <c r="AB910" s="12" t="n"/>
      <c r="AC910" s="12" t="n"/>
      <c r="AD910" s="12" t="n"/>
      <c r="AE910" s="13">
        <f>IF(OR(COUNT(J910)=0,COUNT(AB910:AD910)&lt;3),"",ROUND(J910-SUM(AB910:AD910),2))</f>
        <v/>
      </c>
      <c r="AF910" s="15">
        <f>IF(COUNT(AE910)=0,"",IF(Z910=0,"n.a.",AE910/Z910))</f>
        <v/>
      </c>
      <c r="AG910" s="12" t="n"/>
      <c r="AH910" s="14">
        <f>IF(OR(A910="",COUNT(Z910)=0,COUNT(AG910)=0),"",ROUND(Z910-AG910,2))</f>
        <v/>
      </c>
      <c r="AI910" s="21" t="n"/>
      <c r="AJ910" s="11">
        <f>IF(A910="","",IF(COUNT(I910)=0,"Enter approved NTE",IF(COUNT(Z910)&gt;0,IF(Z910&gt;I910,"Invoice exceeds NTE","Invoice within NTE"),IF(COUNT(L910)=0,"Enter quote inputs",IF(L910&gt;I910,"Quote exceeds NTE","Quote within NTE")))))</f>
        <v/>
      </c>
      <c r="AK910" s="11">
        <f>IF(A910="","",IF(COUNT(H910)=0,"Enter direct cost",IF(COUNT(Z910)=0,"Enter invoice revenue",IF(COUNT(AB910:AD910)&lt;3,"Enter expenses (0 if none)","Complete"))))</f>
        <v/>
      </c>
      <c r="AL910" s="11">
        <f>IF(A910="","",IF(NOT(AND(COUNT(AH910)=1,N(AH910)&gt;0.004,V910&lt;&gt;"Void",V910&lt;&gt;"Not invoiced",V910&lt;&gt;"Draft")),"",IF(COUNT(X910)=0,"No due date",IF(TODAY()-X910&lt;=0,"Not yet due",IF(TODAY()-X910&lt;=30,"1-30 days",IF(TODAY()-X910&lt;=60,"31-60 days",IF(TODAY()-X910&lt;=90,"61-90 days","Over 90 days")))))))</f>
        <v/>
      </c>
      <c r="AM910" s="49">
        <f>IF(OR(AL910="",AL910="No due date"),"",MAX(TODAY()-X910,0))</f>
        <v/>
      </c>
      <c r="AN910" s="49">
        <f>IF(AL910="","",IF(COUNT(X910)=0,-100000,TODAY()-X910))</f>
        <v/>
      </c>
      <c r="AO910" s="49">
        <f>IF(AN910="","",COUNTIF(AN$11:AN$1010,"&gt;"&amp;AN910)+COUNTIF(AN$11:AN910,AN910))</f>
        <v/>
      </c>
      <c r="AP910" s="49">
        <f>IF(OR(A910="",B910=""),"",IF(COUNTIF(B$11:B910,B910)=1,MAX(AP$10:AP909)+1,""))</f>
        <v/>
      </c>
    </row>
    <row r="911">
      <c r="A911" s="20" t="n"/>
      <c r="B911" s="10" t="n"/>
      <c r="C911" s="10" t="n"/>
      <c r="D911" s="10" t="n"/>
      <c r="E911" s="10" t="n"/>
      <c r="F911" s="18" t="n"/>
      <c r="G911" s="10" t="n"/>
      <c r="H911" s="12" t="n"/>
      <c r="I911" s="12" t="n"/>
      <c r="J911" s="13">
        <f>IF(OR(A911="",COUNT(H911)=0,COUNT(Z911)=0),"",ROUND(Z911-H911,2))</f>
        <v/>
      </c>
      <c r="K911" s="15">
        <f>IF(COUNT(J911)=0,"",IF(Z911=0,"n.a.",J911/Z911))</f>
        <v/>
      </c>
      <c r="L911" s="14">
        <f>IF(OR(A911="",COUNT(H911)=0,COUNT(Y911)=0),"",ROUND(H911*(1+Y911),2))</f>
        <v/>
      </c>
      <c r="M911" s="10" t="n"/>
      <c r="N911" s="10" t="n"/>
      <c r="O911" s="10" t="n"/>
      <c r="P911" s="10" t="n"/>
      <c r="Q911" s="20" t="n"/>
      <c r="R911" s="10" t="n"/>
      <c r="S911" s="10" t="n"/>
      <c r="T911" s="18" t="n"/>
      <c r="U911" s="18" t="n"/>
      <c r="V911" s="10" t="n"/>
      <c r="W911" s="10" t="n"/>
      <c r="X911" s="19">
        <f>IF(OR(A911="",COUNT(U911)=0,COUNT(AI911)=0),"",U911+AI911)</f>
        <v/>
      </c>
      <c r="Y911" s="16" t="n"/>
      <c r="Z911" s="12" t="n"/>
      <c r="AA911" s="17">
        <f>IF(COUNT(J911)=0,"",IF(H911=0,"n.a.",J911/H911))</f>
        <v/>
      </c>
      <c r="AB911" s="12" t="n"/>
      <c r="AC911" s="12" t="n"/>
      <c r="AD911" s="12" t="n"/>
      <c r="AE911" s="13">
        <f>IF(OR(COUNT(J911)=0,COUNT(AB911:AD911)&lt;3),"",ROUND(J911-SUM(AB911:AD911),2))</f>
        <v/>
      </c>
      <c r="AF911" s="15">
        <f>IF(COUNT(AE911)=0,"",IF(Z911=0,"n.a.",AE911/Z911))</f>
        <v/>
      </c>
      <c r="AG911" s="12" t="n"/>
      <c r="AH911" s="14">
        <f>IF(OR(A911="",COUNT(Z911)=0,COUNT(AG911)=0),"",ROUND(Z911-AG911,2))</f>
        <v/>
      </c>
      <c r="AI911" s="21" t="n"/>
      <c r="AJ911" s="11">
        <f>IF(A911="","",IF(COUNT(I911)=0,"Enter approved NTE",IF(COUNT(Z911)&gt;0,IF(Z911&gt;I911,"Invoice exceeds NTE","Invoice within NTE"),IF(COUNT(L911)=0,"Enter quote inputs",IF(L911&gt;I911,"Quote exceeds NTE","Quote within NTE")))))</f>
        <v/>
      </c>
      <c r="AK911" s="11">
        <f>IF(A911="","",IF(COUNT(H911)=0,"Enter direct cost",IF(COUNT(Z911)=0,"Enter invoice revenue",IF(COUNT(AB911:AD911)&lt;3,"Enter expenses (0 if none)","Complete"))))</f>
        <v/>
      </c>
      <c r="AL911" s="11">
        <f>IF(A911="","",IF(NOT(AND(COUNT(AH911)=1,N(AH911)&gt;0.004,V911&lt;&gt;"Void",V911&lt;&gt;"Not invoiced",V911&lt;&gt;"Draft")),"",IF(COUNT(X911)=0,"No due date",IF(TODAY()-X911&lt;=0,"Not yet due",IF(TODAY()-X911&lt;=30,"1-30 days",IF(TODAY()-X911&lt;=60,"31-60 days",IF(TODAY()-X911&lt;=90,"61-90 days","Over 90 days")))))))</f>
        <v/>
      </c>
      <c r="AM911" s="49">
        <f>IF(OR(AL911="",AL911="No due date"),"",MAX(TODAY()-X911,0))</f>
        <v/>
      </c>
      <c r="AN911" s="49">
        <f>IF(AL911="","",IF(COUNT(X911)=0,-100000,TODAY()-X911))</f>
        <v/>
      </c>
      <c r="AO911" s="49">
        <f>IF(AN911="","",COUNTIF(AN$11:AN$1010,"&gt;"&amp;AN911)+COUNTIF(AN$11:AN911,AN911))</f>
        <v/>
      </c>
      <c r="AP911" s="49">
        <f>IF(OR(A911="",B911=""),"",IF(COUNTIF(B$11:B911,B911)=1,MAX(AP$10:AP910)+1,""))</f>
        <v/>
      </c>
    </row>
    <row r="912">
      <c r="A912" s="20" t="n"/>
      <c r="B912" s="10" t="n"/>
      <c r="C912" s="10" t="n"/>
      <c r="D912" s="10" t="n"/>
      <c r="E912" s="10" t="n"/>
      <c r="F912" s="18" t="n"/>
      <c r="G912" s="10" t="n"/>
      <c r="H912" s="12" t="n"/>
      <c r="I912" s="12" t="n"/>
      <c r="J912" s="13">
        <f>IF(OR(A912="",COUNT(H912)=0,COUNT(Z912)=0),"",ROUND(Z912-H912,2))</f>
        <v/>
      </c>
      <c r="K912" s="15">
        <f>IF(COUNT(J912)=0,"",IF(Z912=0,"n.a.",J912/Z912))</f>
        <v/>
      </c>
      <c r="L912" s="14">
        <f>IF(OR(A912="",COUNT(H912)=0,COUNT(Y912)=0),"",ROUND(H912*(1+Y912),2))</f>
        <v/>
      </c>
      <c r="M912" s="10" t="n"/>
      <c r="N912" s="10" t="n"/>
      <c r="O912" s="10" t="n"/>
      <c r="P912" s="10" t="n"/>
      <c r="Q912" s="20" t="n"/>
      <c r="R912" s="10" t="n"/>
      <c r="S912" s="10" t="n"/>
      <c r="T912" s="18" t="n"/>
      <c r="U912" s="18" t="n"/>
      <c r="V912" s="10" t="n"/>
      <c r="W912" s="10" t="n"/>
      <c r="X912" s="19">
        <f>IF(OR(A912="",COUNT(U912)=0,COUNT(AI912)=0),"",U912+AI912)</f>
        <v/>
      </c>
      <c r="Y912" s="16" t="n"/>
      <c r="Z912" s="12" t="n"/>
      <c r="AA912" s="17">
        <f>IF(COUNT(J912)=0,"",IF(H912=0,"n.a.",J912/H912))</f>
        <v/>
      </c>
      <c r="AB912" s="12" t="n"/>
      <c r="AC912" s="12" t="n"/>
      <c r="AD912" s="12" t="n"/>
      <c r="AE912" s="13">
        <f>IF(OR(COUNT(J912)=0,COUNT(AB912:AD912)&lt;3),"",ROUND(J912-SUM(AB912:AD912),2))</f>
        <v/>
      </c>
      <c r="AF912" s="15">
        <f>IF(COUNT(AE912)=0,"",IF(Z912=0,"n.a.",AE912/Z912))</f>
        <v/>
      </c>
      <c r="AG912" s="12" t="n"/>
      <c r="AH912" s="14">
        <f>IF(OR(A912="",COUNT(Z912)=0,COUNT(AG912)=0),"",ROUND(Z912-AG912,2))</f>
        <v/>
      </c>
      <c r="AI912" s="21" t="n"/>
      <c r="AJ912" s="11">
        <f>IF(A912="","",IF(COUNT(I912)=0,"Enter approved NTE",IF(COUNT(Z912)&gt;0,IF(Z912&gt;I912,"Invoice exceeds NTE","Invoice within NTE"),IF(COUNT(L912)=0,"Enter quote inputs",IF(L912&gt;I912,"Quote exceeds NTE","Quote within NTE")))))</f>
        <v/>
      </c>
      <c r="AK912" s="11">
        <f>IF(A912="","",IF(COUNT(H912)=0,"Enter direct cost",IF(COUNT(Z912)=0,"Enter invoice revenue",IF(COUNT(AB912:AD912)&lt;3,"Enter expenses (0 if none)","Complete"))))</f>
        <v/>
      </c>
      <c r="AL912" s="11">
        <f>IF(A912="","",IF(NOT(AND(COUNT(AH912)=1,N(AH912)&gt;0.004,V912&lt;&gt;"Void",V912&lt;&gt;"Not invoiced",V912&lt;&gt;"Draft")),"",IF(COUNT(X912)=0,"No due date",IF(TODAY()-X912&lt;=0,"Not yet due",IF(TODAY()-X912&lt;=30,"1-30 days",IF(TODAY()-X912&lt;=60,"31-60 days",IF(TODAY()-X912&lt;=90,"61-90 days","Over 90 days")))))))</f>
        <v/>
      </c>
      <c r="AM912" s="49">
        <f>IF(OR(AL912="",AL912="No due date"),"",MAX(TODAY()-X912,0))</f>
        <v/>
      </c>
      <c r="AN912" s="49">
        <f>IF(AL912="","",IF(COUNT(X912)=0,-100000,TODAY()-X912))</f>
        <v/>
      </c>
      <c r="AO912" s="49">
        <f>IF(AN912="","",COUNTIF(AN$11:AN$1010,"&gt;"&amp;AN912)+COUNTIF(AN$11:AN912,AN912))</f>
        <v/>
      </c>
      <c r="AP912" s="49">
        <f>IF(OR(A912="",B912=""),"",IF(COUNTIF(B$11:B912,B912)=1,MAX(AP$10:AP911)+1,""))</f>
        <v/>
      </c>
    </row>
    <row r="913">
      <c r="A913" s="20" t="n"/>
      <c r="B913" s="10" t="n"/>
      <c r="C913" s="10" t="n"/>
      <c r="D913" s="10" t="n"/>
      <c r="E913" s="10" t="n"/>
      <c r="F913" s="18" t="n"/>
      <c r="G913" s="10" t="n"/>
      <c r="H913" s="12" t="n"/>
      <c r="I913" s="12" t="n"/>
      <c r="J913" s="13">
        <f>IF(OR(A913="",COUNT(H913)=0,COUNT(Z913)=0),"",ROUND(Z913-H913,2))</f>
        <v/>
      </c>
      <c r="K913" s="15">
        <f>IF(COUNT(J913)=0,"",IF(Z913=0,"n.a.",J913/Z913))</f>
        <v/>
      </c>
      <c r="L913" s="14">
        <f>IF(OR(A913="",COUNT(H913)=0,COUNT(Y913)=0),"",ROUND(H913*(1+Y913),2))</f>
        <v/>
      </c>
      <c r="M913" s="10" t="n"/>
      <c r="N913" s="10" t="n"/>
      <c r="O913" s="10" t="n"/>
      <c r="P913" s="10" t="n"/>
      <c r="Q913" s="20" t="n"/>
      <c r="R913" s="10" t="n"/>
      <c r="S913" s="10" t="n"/>
      <c r="T913" s="18" t="n"/>
      <c r="U913" s="18" t="n"/>
      <c r="V913" s="10" t="n"/>
      <c r="W913" s="10" t="n"/>
      <c r="X913" s="19">
        <f>IF(OR(A913="",COUNT(U913)=0,COUNT(AI913)=0),"",U913+AI913)</f>
        <v/>
      </c>
      <c r="Y913" s="16" t="n"/>
      <c r="Z913" s="12" t="n"/>
      <c r="AA913" s="17">
        <f>IF(COUNT(J913)=0,"",IF(H913=0,"n.a.",J913/H913))</f>
        <v/>
      </c>
      <c r="AB913" s="12" t="n"/>
      <c r="AC913" s="12" t="n"/>
      <c r="AD913" s="12" t="n"/>
      <c r="AE913" s="13">
        <f>IF(OR(COUNT(J913)=0,COUNT(AB913:AD913)&lt;3),"",ROUND(J913-SUM(AB913:AD913),2))</f>
        <v/>
      </c>
      <c r="AF913" s="15">
        <f>IF(COUNT(AE913)=0,"",IF(Z913=0,"n.a.",AE913/Z913))</f>
        <v/>
      </c>
      <c r="AG913" s="12" t="n"/>
      <c r="AH913" s="14">
        <f>IF(OR(A913="",COUNT(Z913)=0,COUNT(AG913)=0),"",ROUND(Z913-AG913,2))</f>
        <v/>
      </c>
      <c r="AI913" s="21" t="n"/>
      <c r="AJ913" s="11">
        <f>IF(A913="","",IF(COUNT(I913)=0,"Enter approved NTE",IF(COUNT(Z913)&gt;0,IF(Z913&gt;I913,"Invoice exceeds NTE","Invoice within NTE"),IF(COUNT(L913)=0,"Enter quote inputs",IF(L913&gt;I913,"Quote exceeds NTE","Quote within NTE")))))</f>
        <v/>
      </c>
      <c r="AK913" s="11">
        <f>IF(A913="","",IF(COUNT(H913)=0,"Enter direct cost",IF(COUNT(Z913)=0,"Enter invoice revenue",IF(COUNT(AB913:AD913)&lt;3,"Enter expenses (0 if none)","Complete"))))</f>
        <v/>
      </c>
      <c r="AL913" s="11">
        <f>IF(A913="","",IF(NOT(AND(COUNT(AH913)=1,N(AH913)&gt;0.004,V913&lt;&gt;"Void",V913&lt;&gt;"Not invoiced",V913&lt;&gt;"Draft")),"",IF(COUNT(X913)=0,"No due date",IF(TODAY()-X913&lt;=0,"Not yet due",IF(TODAY()-X913&lt;=30,"1-30 days",IF(TODAY()-X913&lt;=60,"31-60 days",IF(TODAY()-X913&lt;=90,"61-90 days","Over 90 days")))))))</f>
        <v/>
      </c>
      <c r="AM913" s="49">
        <f>IF(OR(AL913="",AL913="No due date"),"",MAX(TODAY()-X913,0))</f>
        <v/>
      </c>
      <c r="AN913" s="49">
        <f>IF(AL913="","",IF(COUNT(X913)=0,-100000,TODAY()-X913))</f>
        <v/>
      </c>
      <c r="AO913" s="49">
        <f>IF(AN913="","",COUNTIF(AN$11:AN$1010,"&gt;"&amp;AN913)+COUNTIF(AN$11:AN913,AN913))</f>
        <v/>
      </c>
      <c r="AP913" s="49">
        <f>IF(OR(A913="",B913=""),"",IF(COUNTIF(B$11:B913,B913)=1,MAX(AP$10:AP912)+1,""))</f>
        <v/>
      </c>
    </row>
    <row r="914">
      <c r="A914" s="20" t="n"/>
      <c r="B914" s="10" t="n"/>
      <c r="C914" s="10" t="n"/>
      <c r="D914" s="10" t="n"/>
      <c r="E914" s="10" t="n"/>
      <c r="F914" s="18" t="n"/>
      <c r="G914" s="10" t="n"/>
      <c r="H914" s="12" t="n"/>
      <c r="I914" s="12" t="n"/>
      <c r="J914" s="13">
        <f>IF(OR(A914="",COUNT(H914)=0,COUNT(Z914)=0),"",ROUND(Z914-H914,2))</f>
        <v/>
      </c>
      <c r="K914" s="15">
        <f>IF(COUNT(J914)=0,"",IF(Z914=0,"n.a.",J914/Z914))</f>
        <v/>
      </c>
      <c r="L914" s="14">
        <f>IF(OR(A914="",COUNT(H914)=0,COUNT(Y914)=0),"",ROUND(H914*(1+Y914),2))</f>
        <v/>
      </c>
      <c r="M914" s="10" t="n"/>
      <c r="N914" s="10" t="n"/>
      <c r="O914" s="10" t="n"/>
      <c r="P914" s="10" t="n"/>
      <c r="Q914" s="20" t="n"/>
      <c r="R914" s="10" t="n"/>
      <c r="S914" s="10" t="n"/>
      <c r="T914" s="18" t="n"/>
      <c r="U914" s="18" t="n"/>
      <c r="V914" s="10" t="n"/>
      <c r="W914" s="10" t="n"/>
      <c r="X914" s="19">
        <f>IF(OR(A914="",COUNT(U914)=0,COUNT(AI914)=0),"",U914+AI914)</f>
        <v/>
      </c>
      <c r="Y914" s="16" t="n"/>
      <c r="Z914" s="12" t="n"/>
      <c r="AA914" s="17">
        <f>IF(COUNT(J914)=0,"",IF(H914=0,"n.a.",J914/H914))</f>
        <v/>
      </c>
      <c r="AB914" s="12" t="n"/>
      <c r="AC914" s="12" t="n"/>
      <c r="AD914" s="12" t="n"/>
      <c r="AE914" s="13">
        <f>IF(OR(COUNT(J914)=0,COUNT(AB914:AD914)&lt;3),"",ROUND(J914-SUM(AB914:AD914),2))</f>
        <v/>
      </c>
      <c r="AF914" s="15">
        <f>IF(COUNT(AE914)=0,"",IF(Z914=0,"n.a.",AE914/Z914))</f>
        <v/>
      </c>
      <c r="AG914" s="12" t="n"/>
      <c r="AH914" s="14">
        <f>IF(OR(A914="",COUNT(Z914)=0,COUNT(AG914)=0),"",ROUND(Z914-AG914,2))</f>
        <v/>
      </c>
      <c r="AI914" s="21" t="n"/>
      <c r="AJ914" s="11">
        <f>IF(A914="","",IF(COUNT(I914)=0,"Enter approved NTE",IF(COUNT(Z914)&gt;0,IF(Z914&gt;I914,"Invoice exceeds NTE","Invoice within NTE"),IF(COUNT(L914)=0,"Enter quote inputs",IF(L914&gt;I914,"Quote exceeds NTE","Quote within NTE")))))</f>
        <v/>
      </c>
      <c r="AK914" s="11">
        <f>IF(A914="","",IF(COUNT(H914)=0,"Enter direct cost",IF(COUNT(Z914)=0,"Enter invoice revenue",IF(COUNT(AB914:AD914)&lt;3,"Enter expenses (0 if none)","Complete"))))</f>
        <v/>
      </c>
      <c r="AL914" s="11">
        <f>IF(A914="","",IF(NOT(AND(COUNT(AH914)=1,N(AH914)&gt;0.004,V914&lt;&gt;"Void",V914&lt;&gt;"Not invoiced",V914&lt;&gt;"Draft")),"",IF(COUNT(X914)=0,"No due date",IF(TODAY()-X914&lt;=0,"Not yet due",IF(TODAY()-X914&lt;=30,"1-30 days",IF(TODAY()-X914&lt;=60,"31-60 days",IF(TODAY()-X914&lt;=90,"61-90 days","Over 90 days")))))))</f>
        <v/>
      </c>
      <c r="AM914" s="49">
        <f>IF(OR(AL914="",AL914="No due date"),"",MAX(TODAY()-X914,0))</f>
        <v/>
      </c>
      <c r="AN914" s="49">
        <f>IF(AL914="","",IF(COUNT(X914)=0,-100000,TODAY()-X914))</f>
        <v/>
      </c>
      <c r="AO914" s="49">
        <f>IF(AN914="","",COUNTIF(AN$11:AN$1010,"&gt;"&amp;AN914)+COUNTIF(AN$11:AN914,AN914))</f>
        <v/>
      </c>
      <c r="AP914" s="49">
        <f>IF(OR(A914="",B914=""),"",IF(COUNTIF(B$11:B914,B914)=1,MAX(AP$10:AP913)+1,""))</f>
        <v/>
      </c>
    </row>
    <row r="915">
      <c r="A915" s="20" t="n"/>
      <c r="B915" s="10" t="n"/>
      <c r="C915" s="10" t="n"/>
      <c r="D915" s="10" t="n"/>
      <c r="E915" s="10" t="n"/>
      <c r="F915" s="18" t="n"/>
      <c r="G915" s="10" t="n"/>
      <c r="H915" s="12" t="n"/>
      <c r="I915" s="12" t="n"/>
      <c r="J915" s="13">
        <f>IF(OR(A915="",COUNT(H915)=0,COUNT(Z915)=0),"",ROUND(Z915-H915,2))</f>
        <v/>
      </c>
      <c r="K915" s="15">
        <f>IF(COUNT(J915)=0,"",IF(Z915=0,"n.a.",J915/Z915))</f>
        <v/>
      </c>
      <c r="L915" s="14">
        <f>IF(OR(A915="",COUNT(H915)=0,COUNT(Y915)=0),"",ROUND(H915*(1+Y915),2))</f>
        <v/>
      </c>
      <c r="M915" s="10" t="n"/>
      <c r="N915" s="10" t="n"/>
      <c r="O915" s="10" t="n"/>
      <c r="P915" s="10" t="n"/>
      <c r="Q915" s="20" t="n"/>
      <c r="R915" s="10" t="n"/>
      <c r="S915" s="10" t="n"/>
      <c r="T915" s="18" t="n"/>
      <c r="U915" s="18" t="n"/>
      <c r="V915" s="10" t="n"/>
      <c r="W915" s="10" t="n"/>
      <c r="X915" s="19">
        <f>IF(OR(A915="",COUNT(U915)=0,COUNT(AI915)=0),"",U915+AI915)</f>
        <v/>
      </c>
      <c r="Y915" s="16" t="n"/>
      <c r="Z915" s="12" t="n"/>
      <c r="AA915" s="17">
        <f>IF(COUNT(J915)=0,"",IF(H915=0,"n.a.",J915/H915))</f>
        <v/>
      </c>
      <c r="AB915" s="12" t="n"/>
      <c r="AC915" s="12" t="n"/>
      <c r="AD915" s="12" t="n"/>
      <c r="AE915" s="13">
        <f>IF(OR(COUNT(J915)=0,COUNT(AB915:AD915)&lt;3),"",ROUND(J915-SUM(AB915:AD915),2))</f>
        <v/>
      </c>
      <c r="AF915" s="15">
        <f>IF(COUNT(AE915)=0,"",IF(Z915=0,"n.a.",AE915/Z915))</f>
        <v/>
      </c>
      <c r="AG915" s="12" t="n"/>
      <c r="AH915" s="14">
        <f>IF(OR(A915="",COUNT(Z915)=0,COUNT(AG915)=0),"",ROUND(Z915-AG915,2))</f>
        <v/>
      </c>
      <c r="AI915" s="21" t="n"/>
      <c r="AJ915" s="11">
        <f>IF(A915="","",IF(COUNT(I915)=0,"Enter approved NTE",IF(COUNT(Z915)&gt;0,IF(Z915&gt;I915,"Invoice exceeds NTE","Invoice within NTE"),IF(COUNT(L915)=0,"Enter quote inputs",IF(L915&gt;I915,"Quote exceeds NTE","Quote within NTE")))))</f>
        <v/>
      </c>
      <c r="AK915" s="11">
        <f>IF(A915="","",IF(COUNT(H915)=0,"Enter direct cost",IF(COUNT(Z915)=0,"Enter invoice revenue",IF(COUNT(AB915:AD915)&lt;3,"Enter expenses (0 if none)","Complete"))))</f>
        <v/>
      </c>
      <c r="AL915" s="11">
        <f>IF(A915="","",IF(NOT(AND(COUNT(AH915)=1,N(AH915)&gt;0.004,V915&lt;&gt;"Void",V915&lt;&gt;"Not invoiced",V915&lt;&gt;"Draft")),"",IF(COUNT(X915)=0,"No due date",IF(TODAY()-X915&lt;=0,"Not yet due",IF(TODAY()-X915&lt;=30,"1-30 days",IF(TODAY()-X915&lt;=60,"31-60 days",IF(TODAY()-X915&lt;=90,"61-90 days","Over 90 days")))))))</f>
        <v/>
      </c>
      <c r="AM915" s="49">
        <f>IF(OR(AL915="",AL915="No due date"),"",MAX(TODAY()-X915,0))</f>
        <v/>
      </c>
      <c r="AN915" s="49">
        <f>IF(AL915="","",IF(COUNT(X915)=0,-100000,TODAY()-X915))</f>
        <v/>
      </c>
      <c r="AO915" s="49">
        <f>IF(AN915="","",COUNTIF(AN$11:AN$1010,"&gt;"&amp;AN915)+COUNTIF(AN$11:AN915,AN915))</f>
        <v/>
      </c>
      <c r="AP915" s="49">
        <f>IF(OR(A915="",B915=""),"",IF(COUNTIF(B$11:B915,B915)=1,MAX(AP$10:AP914)+1,""))</f>
        <v/>
      </c>
    </row>
    <row r="916">
      <c r="A916" s="20" t="n"/>
      <c r="B916" s="10" t="n"/>
      <c r="C916" s="10" t="n"/>
      <c r="D916" s="10" t="n"/>
      <c r="E916" s="10" t="n"/>
      <c r="F916" s="18" t="n"/>
      <c r="G916" s="10" t="n"/>
      <c r="H916" s="12" t="n"/>
      <c r="I916" s="12" t="n"/>
      <c r="J916" s="13">
        <f>IF(OR(A916="",COUNT(H916)=0,COUNT(Z916)=0),"",ROUND(Z916-H916,2))</f>
        <v/>
      </c>
      <c r="K916" s="15">
        <f>IF(COUNT(J916)=0,"",IF(Z916=0,"n.a.",J916/Z916))</f>
        <v/>
      </c>
      <c r="L916" s="14">
        <f>IF(OR(A916="",COUNT(H916)=0,COUNT(Y916)=0),"",ROUND(H916*(1+Y916),2))</f>
        <v/>
      </c>
      <c r="M916" s="10" t="n"/>
      <c r="N916" s="10" t="n"/>
      <c r="O916" s="10" t="n"/>
      <c r="P916" s="10" t="n"/>
      <c r="Q916" s="20" t="n"/>
      <c r="R916" s="10" t="n"/>
      <c r="S916" s="10" t="n"/>
      <c r="T916" s="18" t="n"/>
      <c r="U916" s="18" t="n"/>
      <c r="V916" s="10" t="n"/>
      <c r="W916" s="10" t="n"/>
      <c r="X916" s="19">
        <f>IF(OR(A916="",COUNT(U916)=0,COUNT(AI916)=0),"",U916+AI916)</f>
        <v/>
      </c>
      <c r="Y916" s="16" t="n"/>
      <c r="Z916" s="12" t="n"/>
      <c r="AA916" s="17">
        <f>IF(COUNT(J916)=0,"",IF(H916=0,"n.a.",J916/H916))</f>
        <v/>
      </c>
      <c r="AB916" s="12" t="n"/>
      <c r="AC916" s="12" t="n"/>
      <c r="AD916" s="12" t="n"/>
      <c r="AE916" s="13">
        <f>IF(OR(COUNT(J916)=0,COUNT(AB916:AD916)&lt;3),"",ROUND(J916-SUM(AB916:AD916),2))</f>
        <v/>
      </c>
      <c r="AF916" s="15">
        <f>IF(COUNT(AE916)=0,"",IF(Z916=0,"n.a.",AE916/Z916))</f>
        <v/>
      </c>
      <c r="AG916" s="12" t="n"/>
      <c r="AH916" s="14">
        <f>IF(OR(A916="",COUNT(Z916)=0,COUNT(AG916)=0),"",ROUND(Z916-AG916,2))</f>
        <v/>
      </c>
      <c r="AI916" s="21" t="n"/>
      <c r="AJ916" s="11">
        <f>IF(A916="","",IF(COUNT(I916)=0,"Enter approved NTE",IF(COUNT(Z916)&gt;0,IF(Z916&gt;I916,"Invoice exceeds NTE","Invoice within NTE"),IF(COUNT(L916)=0,"Enter quote inputs",IF(L916&gt;I916,"Quote exceeds NTE","Quote within NTE")))))</f>
        <v/>
      </c>
      <c r="AK916" s="11">
        <f>IF(A916="","",IF(COUNT(H916)=0,"Enter direct cost",IF(COUNT(Z916)=0,"Enter invoice revenue",IF(COUNT(AB916:AD916)&lt;3,"Enter expenses (0 if none)","Complete"))))</f>
        <v/>
      </c>
      <c r="AL916" s="11">
        <f>IF(A916="","",IF(NOT(AND(COUNT(AH916)=1,N(AH916)&gt;0.004,V916&lt;&gt;"Void",V916&lt;&gt;"Not invoiced",V916&lt;&gt;"Draft")),"",IF(COUNT(X916)=0,"No due date",IF(TODAY()-X916&lt;=0,"Not yet due",IF(TODAY()-X916&lt;=30,"1-30 days",IF(TODAY()-X916&lt;=60,"31-60 days",IF(TODAY()-X916&lt;=90,"61-90 days","Over 90 days")))))))</f>
        <v/>
      </c>
      <c r="AM916" s="49">
        <f>IF(OR(AL916="",AL916="No due date"),"",MAX(TODAY()-X916,0))</f>
        <v/>
      </c>
      <c r="AN916" s="49">
        <f>IF(AL916="","",IF(COUNT(X916)=0,-100000,TODAY()-X916))</f>
        <v/>
      </c>
      <c r="AO916" s="49">
        <f>IF(AN916="","",COUNTIF(AN$11:AN$1010,"&gt;"&amp;AN916)+COUNTIF(AN$11:AN916,AN916))</f>
        <v/>
      </c>
      <c r="AP916" s="49">
        <f>IF(OR(A916="",B916=""),"",IF(COUNTIF(B$11:B916,B916)=1,MAX(AP$10:AP915)+1,""))</f>
        <v/>
      </c>
    </row>
    <row r="917">
      <c r="A917" s="20" t="n"/>
      <c r="B917" s="10" t="n"/>
      <c r="C917" s="10" t="n"/>
      <c r="D917" s="10" t="n"/>
      <c r="E917" s="10" t="n"/>
      <c r="F917" s="18" t="n"/>
      <c r="G917" s="10" t="n"/>
      <c r="H917" s="12" t="n"/>
      <c r="I917" s="12" t="n"/>
      <c r="J917" s="13">
        <f>IF(OR(A917="",COUNT(H917)=0,COUNT(Z917)=0),"",ROUND(Z917-H917,2))</f>
        <v/>
      </c>
      <c r="K917" s="15">
        <f>IF(COUNT(J917)=0,"",IF(Z917=0,"n.a.",J917/Z917))</f>
        <v/>
      </c>
      <c r="L917" s="14">
        <f>IF(OR(A917="",COUNT(H917)=0,COUNT(Y917)=0),"",ROUND(H917*(1+Y917),2))</f>
        <v/>
      </c>
      <c r="M917" s="10" t="n"/>
      <c r="N917" s="10" t="n"/>
      <c r="O917" s="10" t="n"/>
      <c r="P917" s="10" t="n"/>
      <c r="Q917" s="20" t="n"/>
      <c r="R917" s="10" t="n"/>
      <c r="S917" s="10" t="n"/>
      <c r="T917" s="18" t="n"/>
      <c r="U917" s="18" t="n"/>
      <c r="V917" s="10" t="n"/>
      <c r="W917" s="10" t="n"/>
      <c r="X917" s="19">
        <f>IF(OR(A917="",COUNT(U917)=0,COUNT(AI917)=0),"",U917+AI917)</f>
        <v/>
      </c>
      <c r="Y917" s="16" t="n"/>
      <c r="Z917" s="12" t="n"/>
      <c r="AA917" s="17">
        <f>IF(COUNT(J917)=0,"",IF(H917=0,"n.a.",J917/H917))</f>
        <v/>
      </c>
      <c r="AB917" s="12" t="n"/>
      <c r="AC917" s="12" t="n"/>
      <c r="AD917" s="12" t="n"/>
      <c r="AE917" s="13">
        <f>IF(OR(COUNT(J917)=0,COUNT(AB917:AD917)&lt;3),"",ROUND(J917-SUM(AB917:AD917),2))</f>
        <v/>
      </c>
      <c r="AF917" s="15">
        <f>IF(COUNT(AE917)=0,"",IF(Z917=0,"n.a.",AE917/Z917))</f>
        <v/>
      </c>
      <c r="AG917" s="12" t="n"/>
      <c r="AH917" s="14">
        <f>IF(OR(A917="",COUNT(Z917)=0,COUNT(AG917)=0),"",ROUND(Z917-AG917,2))</f>
        <v/>
      </c>
      <c r="AI917" s="21" t="n"/>
      <c r="AJ917" s="11">
        <f>IF(A917="","",IF(COUNT(I917)=0,"Enter approved NTE",IF(COUNT(Z917)&gt;0,IF(Z917&gt;I917,"Invoice exceeds NTE","Invoice within NTE"),IF(COUNT(L917)=0,"Enter quote inputs",IF(L917&gt;I917,"Quote exceeds NTE","Quote within NTE")))))</f>
        <v/>
      </c>
      <c r="AK917" s="11">
        <f>IF(A917="","",IF(COUNT(H917)=0,"Enter direct cost",IF(COUNT(Z917)=0,"Enter invoice revenue",IF(COUNT(AB917:AD917)&lt;3,"Enter expenses (0 if none)","Complete"))))</f>
        <v/>
      </c>
      <c r="AL917" s="11">
        <f>IF(A917="","",IF(NOT(AND(COUNT(AH917)=1,N(AH917)&gt;0.004,V917&lt;&gt;"Void",V917&lt;&gt;"Not invoiced",V917&lt;&gt;"Draft")),"",IF(COUNT(X917)=0,"No due date",IF(TODAY()-X917&lt;=0,"Not yet due",IF(TODAY()-X917&lt;=30,"1-30 days",IF(TODAY()-X917&lt;=60,"31-60 days",IF(TODAY()-X917&lt;=90,"61-90 days","Over 90 days")))))))</f>
        <v/>
      </c>
      <c r="AM917" s="49">
        <f>IF(OR(AL917="",AL917="No due date"),"",MAX(TODAY()-X917,0))</f>
        <v/>
      </c>
      <c r="AN917" s="49">
        <f>IF(AL917="","",IF(COUNT(X917)=0,-100000,TODAY()-X917))</f>
        <v/>
      </c>
      <c r="AO917" s="49">
        <f>IF(AN917="","",COUNTIF(AN$11:AN$1010,"&gt;"&amp;AN917)+COUNTIF(AN$11:AN917,AN917))</f>
        <v/>
      </c>
      <c r="AP917" s="49">
        <f>IF(OR(A917="",B917=""),"",IF(COUNTIF(B$11:B917,B917)=1,MAX(AP$10:AP916)+1,""))</f>
        <v/>
      </c>
    </row>
    <row r="918">
      <c r="A918" s="20" t="n"/>
      <c r="B918" s="10" t="n"/>
      <c r="C918" s="10" t="n"/>
      <c r="D918" s="10" t="n"/>
      <c r="E918" s="10" t="n"/>
      <c r="F918" s="18" t="n"/>
      <c r="G918" s="10" t="n"/>
      <c r="H918" s="12" t="n"/>
      <c r="I918" s="12" t="n"/>
      <c r="J918" s="13">
        <f>IF(OR(A918="",COUNT(H918)=0,COUNT(Z918)=0),"",ROUND(Z918-H918,2))</f>
        <v/>
      </c>
      <c r="K918" s="15">
        <f>IF(COUNT(J918)=0,"",IF(Z918=0,"n.a.",J918/Z918))</f>
        <v/>
      </c>
      <c r="L918" s="14">
        <f>IF(OR(A918="",COUNT(H918)=0,COUNT(Y918)=0),"",ROUND(H918*(1+Y918),2))</f>
        <v/>
      </c>
      <c r="M918" s="10" t="n"/>
      <c r="N918" s="10" t="n"/>
      <c r="O918" s="10" t="n"/>
      <c r="P918" s="10" t="n"/>
      <c r="Q918" s="20" t="n"/>
      <c r="R918" s="10" t="n"/>
      <c r="S918" s="10" t="n"/>
      <c r="T918" s="18" t="n"/>
      <c r="U918" s="18" t="n"/>
      <c r="V918" s="10" t="n"/>
      <c r="W918" s="10" t="n"/>
      <c r="X918" s="19">
        <f>IF(OR(A918="",COUNT(U918)=0,COUNT(AI918)=0),"",U918+AI918)</f>
        <v/>
      </c>
      <c r="Y918" s="16" t="n"/>
      <c r="Z918" s="12" t="n"/>
      <c r="AA918" s="17">
        <f>IF(COUNT(J918)=0,"",IF(H918=0,"n.a.",J918/H918))</f>
        <v/>
      </c>
      <c r="AB918" s="12" t="n"/>
      <c r="AC918" s="12" t="n"/>
      <c r="AD918" s="12" t="n"/>
      <c r="AE918" s="13">
        <f>IF(OR(COUNT(J918)=0,COUNT(AB918:AD918)&lt;3),"",ROUND(J918-SUM(AB918:AD918),2))</f>
        <v/>
      </c>
      <c r="AF918" s="15">
        <f>IF(COUNT(AE918)=0,"",IF(Z918=0,"n.a.",AE918/Z918))</f>
        <v/>
      </c>
      <c r="AG918" s="12" t="n"/>
      <c r="AH918" s="14">
        <f>IF(OR(A918="",COUNT(Z918)=0,COUNT(AG918)=0),"",ROUND(Z918-AG918,2))</f>
        <v/>
      </c>
      <c r="AI918" s="21" t="n"/>
      <c r="AJ918" s="11">
        <f>IF(A918="","",IF(COUNT(I918)=0,"Enter approved NTE",IF(COUNT(Z918)&gt;0,IF(Z918&gt;I918,"Invoice exceeds NTE","Invoice within NTE"),IF(COUNT(L918)=0,"Enter quote inputs",IF(L918&gt;I918,"Quote exceeds NTE","Quote within NTE")))))</f>
        <v/>
      </c>
      <c r="AK918" s="11">
        <f>IF(A918="","",IF(COUNT(H918)=0,"Enter direct cost",IF(COUNT(Z918)=0,"Enter invoice revenue",IF(COUNT(AB918:AD918)&lt;3,"Enter expenses (0 if none)","Complete"))))</f>
        <v/>
      </c>
      <c r="AL918" s="11">
        <f>IF(A918="","",IF(NOT(AND(COUNT(AH918)=1,N(AH918)&gt;0.004,V918&lt;&gt;"Void",V918&lt;&gt;"Not invoiced",V918&lt;&gt;"Draft")),"",IF(COUNT(X918)=0,"No due date",IF(TODAY()-X918&lt;=0,"Not yet due",IF(TODAY()-X918&lt;=30,"1-30 days",IF(TODAY()-X918&lt;=60,"31-60 days",IF(TODAY()-X918&lt;=90,"61-90 days","Over 90 days")))))))</f>
        <v/>
      </c>
      <c r="AM918" s="49">
        <f>IF(OR(AL918="",AL918="No due date"),"",MAX(TODAY()-X918,0))</f>
        <v/>
      </c>
      <c r="AN918" s="49">
        <f>IF(AL918="","",IF(COUNT(X918)=0,-100000,TODAY()-X918))</f>
        <v/>
      </c>
      <c r="AO918" s="49">
        <f>IF(AN918="","",COUNTIF(AN$11:AN$1010,"&gt;"&amp;AN918)+COUNTIF(AN$11:AN918,AN918))</f>
        <v/>
      </c>
      <c r="AP918" s="49">
        <f>IF(OR(A918="",B918=""),"",IF(COUNTIF(B$11:B918,B918)=1,MAX(AP$10:AP917)+1,""))</f>
        <v/>
      </c>
    </row>
    <row r="919">
      <c r="A919" s="20" t="n"/>
      <c r="B919" s="10" t="n"/>
      <c r="C919" s="10" t="n"/>
      <c r="D919" s="10" t="n"/>
      <c r="E919" s="10" t="n"/>
      <c r="F919" s="18" t="n"/>
      <c r="G919" s="10" t="n"/>
      <c r="H919" s="12" t="n"/>
      <c r="I919" s="12" t="n"/>
      <c r="J919" s="13">
        <f>IF(OR(A919="",COUNT(H919)=0,COUNT(Z919)=0),"",ROUND(Z919-H919,2))</f>
        <v/>
      </c>
      <c r="K919" s="15">
        <f>IF(COUNT(J919)=0,"",IF(Z919=0,"n.a.",J919/Z919))</f>
        <v/>
      </c>
      <c r="L919" s="14">
        <f>IF(OR(A919="",COUNT(H919)=0,COUNT(Y919)=0),"",ROUND(H919*(1+Y919),2))</f>
        <v/>
      </c>
      <c r="M919" s="10" t="n"/>
      <c r="N919" s="10" t="n"/>
      <c r="O919" s="10" t="n"/>
      <c r="P919" s="10" t="n"/>
      <c r="Q919" s="20" t="n"/>
      <c r="R919" s="10" t="n"/>
      <c r="S919" s="10" t="n"/>
      <c r="T919" s="18" t="n"/>
      <c r="U919" s="18" t="n"/>
      <c r="V919" s="10" t="n"/>
      <c r="W919" s="10" t="n"/>
      <c r="X919" s="19">
        <f>IF(OR(A919="",COUNT(U919)=0,COUNT(AI919)=0),"",U919+AI919)</f>
        <v/>
      </c>
      <c r="Y919" s="16" t="n"/>
      <c r="Z919" s="12" t="n"/>
      <c r="AA919" s="17">
        <f>IF(COUNT(J919)=0,"",IF(H919=0,"n.a.",J919/H919))</f>
        <v/>
      </c>
      <c r="AB919" s="12" t="n"/>
      <c r="AC919" s="12" t="n"/>
      <c r="AD919" s="12" t="n"/>
      <c r="AE919" s="13">
        <f>IF(OR(COUNT(J919)=0,COUNT(AB919:AD919)&lt;3),"",ROUND(J919-SUM(AB919:AD919),2))</f>
        <v/>
      </c>
      <c r="AF919" s="15">
        <f>IF(COUNT(AE919)=0,"",IF(Z919=0,"n.a.",AE919/Z919))</f>
        <v/>
      </c>
      <c r="AG919" s="12" t="n"/>
      <c r="AH919" s="14">
        <f>IF(OR(A919="",COUNT(Z919)=0,COUNT(AG919)=0),"",ROUND(Z919-AG919,2))</f>
        <v/>
      </c>
      <c r="AI919" s="21" t="n"/>
      <c r="AJ919" s="11">
        <f>IF(A919="","",IF(COUNT(I919)=0,"Enter approved NTE",IF(COUNT(Z919)&gt;0,IF(Z919&gt;I919,"Invoice exceeds NTE","Invoice within NTE"),IF(COUNT(L919)=0,"Enter quote inputs",IF(L919&gt;I919,"Quote exceeds NTE","Quote within NTE")))))</f>
        <v/>
      </c>
      <c r="AK919" s="11">
        <f>IF(A919="","",IF(COUNT(H919)=0,"Enter direct cost",IF(COUNT(Z919)=0,"Enter invoice revenue",IF(COUNT(AB919:AD919)&lt;3,"Enter expenses (0 if none)","Complete"))))</f>
        <v/>
      </c>
      <c r="AL919" s="11">
        <f>IF(A919="","",IF(NOT(AND(COUNT(AH919)=1,N(AH919)&gt;0.004,V919&lt;&gt;"Void",V919&lt;&gt;"Not invoiced",V919&lt;&gt;"Draft")),"",IF(COUNT(X919)=0,"No due date",IF(TODAY()-X919&lt;=0,"Not yet due",IF(TODAY()-X919&lt;=30,"1-30 days",IF(TODAY()-X919&lt;=60,"31-60 days",IF(TODAY()-X919&lt;=90,"61-90 days","Over 90 days")))))))</f>
        <v/>
      </c>
      <c r="AM919" s="49">
        <f>IF(OR(AL919="",AL919="No due date"),"",MAX(TODAY()-X919,0))</f>
        <v/>
      </c>
      <c r="AN919" s="49">
        <f>IF(AL919="","",IF(COUNT(X919)=0,-100000,TODAY()-X919))</f>
        <v/>
      </c>
      <c r="AO919" s="49">
        <f>IF(AN919="","",COUNTIF(AN$11:AN$1010,"&gt;"&amp;AN919)+COUNTIF(AN$11:AN919,AN919))</f>
        <v/>
      </c>
      <c r="AP919" s="49">
        <f>IF(OR(A919="",B919=""),"",IF(COUNTIF(B$11:B919,B919)=1,MAX(AP$10:AP918)+1,""))</f>
        <v/>
      </c>
    </row>
    <row r="920">
      <c r="A920" s="20" t="n"/>
      <c r="B920" s="10" t="n"/>
      <c r="C920" s="10" t="n"/>
      <c r="D920" s="10" t="n"/>
      <c r="E920" s="10" t="n"/>
      <c r="F920" s="18" t="n"/>
      <c r="G920" s="10" t="n"/>
      <c r="H920" s="12" t="n"/>
      <c r="I920" s="12" t="n"/>
      <c r="J920" s="13">
        <f>IF(OR(A920="",COUNT(H920)=0,COUNT(Z920)=0),"",ROUND(Z920-H920,2))</f>
        <v/>
      </c>
      <c r="K920" s="15">
        <f>IF(COUNT(J920)=0,"",IF(Z920=0,"n.a.",J920/Z920))</f>
        <v/>
      </c>
      <c r="L920" s="14">
        <f>IF(OR(A920="",COUNT(H920)=0,COUNT(Y920)=0),"",ROUND(H920*(1+Y920),2))</f>
        <v/>
      </c>
      <c r="M920" s="10" t="n"/>
      <c r="N920" s="10" t="n"/>
      <c r="O920" s="10" t="n"/>
      <c r="P920" s="10" t="n"/>
      <c r="Q920" s="20" t="n"/>
      <c r="R920" s="10" t="n"/>
      <c r="S920" s="10" t="n"/>
      <c r="T920" s="18" t="n"/>
      <c r="U920" s="18" t="n"/>
      <c r="V920" s="10" t="n"/>
      <c r="W920" s="10" t="n"/>
      <c r="X920" s="19">
        <f>IF(OR(A920="",COUNT(U920)=0,COUNT(AI920)=0),"",U920+AI920)</f>
        <v/>
      </c>
      <c r="Y920" s="16" t="n"/>
      <c r="Z920" s="12" t="n"/>
      <c r="AA920" s="17">
        <f>IF(COUNT(J920)=0,"",IF(H920=0,"n.a.",J920/H920))</f>
        <v/>
      </c>
      <c r="AB920" s="12" t="n"/>
      <c r="AC920" s="12" t="n"/>
      <c r="AD920" s="12" t="n"/>
      <c r="AE920" s="13">
        <f>IF(OR(COUNT(J920)=0,COUNT(AB920:AD920)&lt;3),"",ROUND(J920-SUM(AB920:AD920),2))</f>
        <v/>
      </c>
      <c r="AF920" s="15">
        <f>IF(COUNT(AE920)=0,"",IF(Z920=0,"n.a.",AE920/Z920))</f>
        <v/>
      </c>
      <c r="AG920" s="12" t="n"/>
      <c r="AH920" s="14">
        <f>IF(OR(A920="",COUNT(Z920)=0,COUNT(AG920)=0),"",ROUND(Z920-AG920,2))</f>
        <v/>
      </c>
      <c r="AI920" s="21" t="n"/>
      <c r="AJ920" s="11">
        <f>IF(A920="","",IF(COUNT(I920)=0,"Enter approved NTE",IF(COUNT(Z920)&gt;0,IF(Z920&gt;I920,"Invoice exceeds NTE","Invoice within NTE"),IF(COUNT(L920)=0,"Enter quote inputs",IF(L920&gt;I920,"Quote exceeds NTE","Quote within NTE")))))</f>
        <v/>
      </c>
      <c r="AK920" s="11">
        <f>IF(A920="","",IF(COUNT(H920)=0,"Enter direct cost",IF(COUNT(Z920)=0,"Enter invoice revenue",IF(COUNT(AB920:AD920)&lt;3,"Enter expenses (0 if none)","Complete"))))</f>
        <v/>
      </c>
      <c r="AL920" s="11">
        <f>IF(A920="","",IF(NOT(AND(COUNT(AH920)=1,N(AH920)&gt;0.004,V920&lt;&gt;"Void",V920&lt;&gt;"Not invoiced",V920&lt;&gt;"Draft")),"",IF(COUNT(X920)=0,"No due date",IF(TODAY()-X920&lt;=0,"Not yet due",IF(TODAY()-X920&lt;=30,"1-30 days",IF(TODAY()-X920&lt;=60,"31-60 days",IF(TODAY()-X920&lt;=90,"61-90 days","Over 90 days")))))))</f>
        <v/>
      </c>
      <c r="AM920" s="49">
        <f>IF(OR(AL920="",AL920="No due date"),"",MAX(TODAY()-X920,0))</f>
        <v/>
      </c>
      <c r="AN920" s="49">
        <f>IF(AL920="","",IF(COUNT(X920)=0,-100000,TODAY()-X920))</f>
        <v/>
      </c>
      <c r="AO920" s="49">
        <f>IF(AN920="","",COUNTIF(AN$11:AN$1010,"&gt;"&amp;AN920)+COUNTIF(AN$11:AN920,AN920))</f>
        <v/>
      </c>
      <c r="AP920" s="49">
        <f>IF(OR(A920="",B920=""),"",IF(COUNTIF(B$11:B920,B920)=1,MAX(AP$10:AP919)+1,""))</f>
        <v/>
      </c>
    </row>
    <row r="921">
      <c r="A921" s="20" t="n"/>
      <c r="B921" s="10" t="n"/>
      <c r="C921" s="10" t="n"/>
      <c r="D921" s="10" t="n"/>
      <c r="E921" s="10" t="n"/>
      <c r="F921" s="18" t="n"/>
      <c r="G921" s="10" t="n"/>
      <c r="H921" s="12" t="n"/>
      <c r="I921" s="12" t="n"/>
      <c r="J921" s="13">
        <f>IF(OR(A921="",COUNT(H921)=0,COUNT(Z921)=0),"",ROUND(Z921-H921,2))</f>
        <v/>
      </c>
      <c r="K921" s="15">
        <f>IF(COUNT(J921)=0,"",IF(Z921=0,"n.a.",J921/Z921))</f>
        <v/>
      </c>
      <c r="L921" s="14">
        <f>IF(OR(A921="",COUNT(H921)=0,COUNT(Y921)=0),"",ROUND(H921*(1+Y921),2))</f>
        <v/>
      </c>
      <c r="M921" s="10" t="n"/>
      <c r="N921" s="10" t="n"/>
      <c r="O921" s="10" t="n"/>
      <c r="P921" s="10" t="n"/>
      <c r="Q921" s="20" t="n"/>
      <c r="R921" s="10" t="n"/>
      <c r="S921" s="10" t="n"/>
      <c r="T921" s="18" t="n"/>
      <c r="U921" s="18" t="n"/>
      <c r="V921" s="10" t="n"/>
      <c r="W921" s="10" t="n"/>
      <c r="X921" s="19">
        <f>IF(OR(A921="",COUNT(U921)=0,COUNT(AI921)=0),"",U921+AI921)</f>
        <v/>
      </c>
      <c r="Y921" s="16" t="n"/>
      <c r="Z921" s="12" t="n"/>
      <c r="AA921" s="17">
        <f>IF(COUNT(J921)=0,"",IF(H921=0,"n.a.",J921/H921))</f>
        <v/>
      </c>
      <c r="AB921" s="12" t="n"/>
      <c r="AC921" s="12" t="n"/>
      <c r="AD921" s="12" t="n"/>
      <c r="AE921" s="13">
        <f>IF(OR(COUNT(J921)=0,COUNT(AB921:AD921)&lt;3),"",ROUND(J921-SUM(AB921:AD921),2))</f>
        <v/>
      </c>
      <c r="AF921" s="15">
        <f>IF(COUNT(AE921)=0,"",IF(Z921=0,"n.a.",AE921/Z921))</f>
        <v/>
      </c>
      <c r="AG921" s="12" t="n"/>
      <c r="AH921" s="14">
        <f>IF(OR(A921="",COUNT(Z921)=0,COUNT(AG921)=0),"",ROUND(Z921-AG921,2))</f>
        <v/>
      </c>
      <c r="AI921" s="21" t="n"/>
      <c r="AJ921" s="11">
        <f>IF(A921="","",IF(COUNT(I921)=0,"Enter approved NTE",IF(COUNT(Z921)&gt;0,IF(Z921&gt;I921,"Invoice exceeds NTE","Invoice within NTE"),IF(COUNT(L921)=0,"Enter quote inputs",IF(L921&gt;I921,"Quote exceeds NTE","Quote within NTE")))))</f>
        <v/>
      </c>
      <c r="AK921" s="11">
        <f>IF(A921="","",IF(COUNT(H921)=0,"Enter direct cost",IF(COUNT(Z921)=0,"Enter invoice revenue",IF(COUNT(AB921:AD921)&lt;3,"Enter expenses (0 if none)","Complete"))))</f>
        <v/>
      </c>
      <c r="AL921" s="11">
        <f>IF(A921="","",IF(NOT(AND(COUNT(AH921)=1,N(AH921)&gt;0.004,V921&lt;&gt;"Void",V921&lt;&gt;"Not invoiced",V921&lt;&gt;"Draft")),"",IF(COUNT(X921)=0,"No due date",IF(TODAY()-X921&lt;=0,"Not yet due",IF(TODAY()-X921&lt;=30,"1-30 days",IF(TODAY()-X921&lt;=60,"31-60 days",IF(TODAY()-X921&lt;=90,"61-90 days","Over 90 days")))))))</f>
        <v/>
      </c>
      <c r="AM921" s="49">
        <f>IF(OR(AL921="",AL921="No due date"),"",MAX(TODAY()-X921,0))</f>
        <v/>
      </c>
      <c r="AN921" s="49">
        <f>IF(AL921="","",IF(COUNT(X921)=0,-100000,TODAY()-X921))</f>
        <v/>
      </c>
      <c r="AO921" s="49">
        <f>IF(AN921="","",COUNTIF(AN$11:AN$1010,"&gt;"&amp;AN921)+COUNTIF(AN$11:AN921,AN921))</f>
        <v/>
      </c>
      <c r="AP921" s="49">
        <f>IF(OR(A921="",B921=""),"",IF(COUNTIF(B$11:B921,B921)=1,MAX(AP$10:AP920)+1,""))</f>
        <v/>
      </c>
    </row>
    <row r="922">
      <c r="A922" s="20" t="n"/>
      <c r="B922" s="10" t="n"/>
      <c r="C922" s="10" t="n"/>
      <c r="D922" s="10" t="n"/>
      <c r="E922" s="10" t="n"/>
      <c r="F922" s="18" t="n"/>
      <c r="G922" s="10" t="n"/>
      <c r="H922" s="12" t="n"/>
      <c r="I922" s="12" t="n"/>
      <c r="J922" s="13">
        <f>IF(OR(A922="",COUNT(H922)=0,COUNT(Z922)=0),"",ROUND(Z922-H922,2))</f>
        <v/>
      </c>
      <c r="K922" s="15">
        <f>IF(COUNT(J922)=0,"",IF(Z922=0,"n.a.",J922/Z922))</f>
        <v/>
      </c>
      <c r="L922" s="14">
        <f>IF(OR(A922="",COUNT(H922)=0,COUNT(Y922)=0),"",ROUND(H922*(1+Y922),2))</f>
        <v/>
      </c>
      <c r="M922" s="10" t="n"/>
      <c r="N922" s="10" t="n"/>
      <c r="O922" s="10" t="n"/>
      <c r="P922" s="10" t="n"/>
      <c r="Q922" s="20" t="n"/>
      <c r="R922" s="10" t="n"/>
      <c r="S922" s="10" t="n"/>
      <c r="T922" s="18" t="n"/>
      <c r="U922" s="18" t="n"/>
      <c r="V922" s="10" t="n"/>
      <c r="W922" s="10" t="n"/>
      <c r="X922" s="19">
        <f>IF(OR(A922="",COUNT(U922)=0,COUNT(AI922)=0),"",U922+AI922)</f>
        <v/>
      </c>
      <c r="Y922" s="16" t="n"/>
      <c r="Z922" s="12" t="n"/>
      <c r="AA922" s="17">
        <f>IF(COUNT(J922)=0,"",IF(H922=0,"n.a.",J922/H922))</f>
        <v/>
      </c>
      <c r="AB922" s="12" t="n"/>
      <c r="AC922" s="12" t="n"/>
      <c r="AD922" s="12" t="n"/>
      <c r="AE922" s="13">
        <f>IF(OR(COUNT(J922)=0,COUNT(AB922:AD922)&lt;3),"",ROUND(J922-SUM(AB922:AD922),2))</f>
        <v/>
      </c>
      <c r="AF922" s="15">
        <f>IF(COUNT(AE922)=0,"",IF(Z922=0,"n.a.",AE922/Z922))</f>
        <v/>
      </c>
      <c r="AG922" s="12" t="n"/>
      <c r="AH922" s="14">
        <f>IF(OR(A922="",COUNT(Z922)=0,COUNT(AG922)=0),"",ROUND(Z922-AG922,2))</f>
        <v/>
      </c>
      <c r="AI922" s="21" t="n"/>
      <c r="AJ922" s="11">
        <f>IF(A922="","",IF(COUNT(I922)=0,"Enter approved NTE",IF(COUNT(Z922)&gt;0,IF(Z922&gt;I922,"Invoice exceeds NTE","Invoice within NTE"),IF(COUNT(L922)=0,"Enter quote inputs",IF(L922&gt;I922,"Quote exceeds NTE","Quote within NTE")))))</f>
        <v/>
      </c>
      <c r="AK922" s="11">
        <f>IF(A922="","",IF(COUNT(H922)=0,"Enter direct cost",IF(COUNT(Z922)=0,"Enter invoice revenue",IF(COUNT(AB922:AD922)&lt;3,"Enter expenses (0 if none)","Complete"))))</f>
        <v/>
      </c>
      <c r="AL922" s="11">
        <f>IF(A922="","",IF(NOT(AND(COUNT(AH922)=1,N(AH922)&gt;0.004,V922&lt;&gt;"Void",V922&lt;&gt;"Not invoiced",V922&lt;&gt;"Draft")),"",IF(COUNT(X922)=0,"No due date",IF(TODAY()-X922&lt;=0,"Not yet due",IF(TODAY()-X922&lt;=30,"1-30 days",IF(TODAY()-X922&lt;=60,"31-60 days",IF(TODAY()-X922&lt;=90,"61-90 days","Over 90 days")))))))</f>
        <v/>
      </c>
      <c r="AM922" s="49">
        <f>IF(OR(AL922="",AL922="No due date"),"",MAX(TODAY()-X922,0))</f>
        <v/>
      </c>
      <c r="AN922" s="49">
        <f>IF(AL922="","",IF(COUNT(X922)=0,-100000,TODAY()-X922))</f>
        <v/>
      </c>
      <c r="AO922" s="49">
        <f>IF(AN922="","",COUNTIF(AN$11:AN$1010,"&gt;"&amp;AN922)+COUNTIF(AN$11:AN922,AN922))</f>
        <v/>
      </c>
      <c r="AP922" s="49">
        <f>IF(OR(A922="",B922=""),"",IF(COUNTIF(B$11:B922,B922)=1,MAX(AP$10:AP921)+1,""))</f>
        <v/>
      </c>
    </row>
    <row r="923">
      <c r="A923" s="20" t="n"/>
      <c r="B923" s="10" t="n"/>
      <c r="C923" s="10" t="n"/>
      <c r="D923" s="10" t="n"/>
      <c r="E923" s="10" t="n"/>
      <c r="F923" s="18" t="n"/>
      <c r="G923" s="10" t="n"/>
      <c r="H923" s="12" t="n"/>
      <c r="I923" s="12" t="n"/>
      <c r="J923" s="13">
        <f>IF(OR(A923="",COUNT(H923)=0,COUNT(Z923)=0),"",ROUND(Z923-H923,2))</f>
        <v/>
      </c>
      <c r="K923" s="15">
        <f>IF(COUNT(J923)=0,"",IF(Z923=0,"n.a.",J923/Z923))</f>
        <v/>
      </c>
      <c r="L923" s="14">
        <f>IF(OR(A923="",COUNT(H923)=0,COUNT(Y923)=0),"",ROUND(H923*(1+Y923),2))</f>
        <v/>
      </c>
      <c r="M923" s="10" t="n"/>
      <c r="N923" s="10" t="n"/>
      <c r="O923" s="10" t="n"/>
      <c r="P923" s="10" t="n"/>
      <c r="Q923" s="20" t="n"/>
      <c r="R923" s="10" t="n"/>
      <c r="S923" s="10" t="n"/>
      <c r="T923" s="18" t="n"/>
      <c r="U923" s="18" t="n"/>
      <c r="V923" s="10" t="n"/>
      <c r="W923" s="10" t="n"/>
      <c r="X923" s="19">
        <f>IF(OR(A923="",COUNT(U923)=0,COUNT(AI923)=0),"",U923+AI923)</f>
        <v/>
      </c>
      <c r="Y923" s="16" t="n"/>
      <c r="Z923" s="12" t="n"/>
      <c r="AA923" s="17">
        <f>IF(COUNT(J923)=0,"",IF(H923=0,"n.a.",J923/H923))</f>
        <v/>
      </c>
      <c r="AB923" s="12" t="n"/>
      <c r="AC923" s="12" t="n"/>
      <c r="AD923" s="12" t="n"/>
      <c r="AE923" s="13">
        <f>IF(OR(COUNT(J923)=0,COUNT(AB923:AD923)&lt;3),"",ROUND(J923-SUM(AB923:AD923),2))</f>
        <v/>
      </c>
      <c r="AF923" s="15">
        <f>IF(COUNT(AE923)=0,"",IF(Z923=0,"n.a.",AE923/Z923))</f>
        <v/>
      </c>
      <c r="AG923" s="12" t="n"/>
      <c r="AH923" s="14">
        <f>IF(OR(A923="",COUNT(Z923)=0,COUNT(AG923)=0),"",ROUND(Z923-AG923,2))</f>
        <v/>
      </c>
      <c r="AI923" s="21" t="n"/>
      <c r="AJ923" s="11">
        <f>IF(A923="","",IF(COUNT(I923)=0,"Enter approved NTE",IF(COUNT(Z923)&gt;0,IF(Z923&gt;I923,"Invoice exceeds NTE","Invoice within NTE"),IF(COUNT(L923)=0,"Enter quote inputs",IF(L923&gt;I923,"Quote exceeds NTE","Quote within NTE")))))</f>
        <v/>
      </c>
      <c r="AK923" s="11">
        <f>IF(A923="","",IF(COUNT(H923)=0,"Enter direct cost",IF(COUNT(Z923)=0,"Enter invoice revenue",IF(COUNT(AB923:AD923)&lt;3,"Enter expenses (0 if none)","Complete"))))</f>
        <v/>
      </c>
      <c r="AL923" s="11">
        <f>IF(A923="","",IF(NOT(AND(COUNT(AH923)=1,N(AH923)&gt;0.004,V923&lt;&gt;"Void",V923&lt;&gt;"Not invoiced",V923&lt;&gt;"Draft")),"",IF(COUNT(X923)=0,"No due date",IF(TODAY()-X923&lt;=0,"Not yet due",IF(TODAY()-X923&lt;=30,"1-30 days",IF(TODAY()-X923&lt;=60,"31-60 days",IF(TODAY()-X923&lt;=90,"61-90 days","Over 90 days")))))))</f>
        <v/>
      </c>
      <c r="AM923" s="49">
        <f>IF(OR(AL923="",AL923="No due date"),"",MAX(TODAY()-X923,0))</f>
        <v/>
      </c>
      <c r="AN923" s="49">
        <f>IF(AL923="","",IF(COUNT(X923)=0,-100000,TODAY()-X923))</f>
        <v/>
      </c>
      <c r="AO923" s="49">
        <f>IF(AN923="","",COUNTIF(AN$11:AN$1010,"&gt;"&amp;AN923)+COUNTIF(AN$11:AN923,AN923))</f>
        <v/>
      </c>
      <c r="AP923" s="49">
        <f>IF(OR(A923="",B923=""),"",IF(COUNTIF(B$11:B923,B923)=1,MAX(AP$10:AP922)+1,""))</f>
        <v/>
      </c>
    </row>
    <row r="924">
      <c r="A924" s="20" t="n"/>
      <c r="B924" s="10" t="n"/>
      <c r="C924" s="10" t="n"/>
      <c r="D924" s="10" t="n"/>
      <c r="E924" s="10" t="n"/>
      <c r="F924" s="18" t="n"/>
      <c r="G924" s="10" t="n"/>
      <c r="H924" s="12" t="n"/>
      <c r="I924" s="12" t="n"/>
      <c r="J924" s="13">
        <f>IF(OR(A924="",COUNT(H924)=0,COUNT(Z924)=0),"",ROUND(Z924-H924,2))</f>
        <v/>
      </c>
      <c r="K924" s="15">
        <f>IF(COUNT(J924)=0,"",IF(Z924=0,"n.a.",J924/Z924))</f>
        <v/>
      </c>
      <c r="L924" s="14">
        <f>IF(OR(A924="",COUNT(H924)=0,COUNT(Y924)=0),"",ROUND(H924*(1+Y924),2))</f>
        <v/>
      </c>
      <c r="M924" s="10" t="n"/>
      <c r="N924" s="10" t="n"/>
      <c r="O924" s="10" t="n"/>
      <c r="P924" s="10" t="n"/>
      <c r="Q924" s="20" t="n"/>
      <c r="R924" s="10" t="n"/>
      <c r="S924" s="10" t="n"/>
      <c r="T924" s="18" t="n"/>
      <c r="U924" s="18" t="n"/>
      <c r="V924" s="10" t="n"/>
      <c r="W924" s="10" t="n"/>
      <c r="X924" s="19">
        <f>IF(OR(A924="",COUNT(U924)=0,COUNT(AI924)=0),"",U924+AI924)</f>
        <v/>
      </c>
      <c r="Y924" s="16" t="n"/>
      <c r="Z924" s="12" t="n"/>
      <c r="AA924" s="17">
        <f>IF(COUNT(J924)=0,"",IF(H924=0,"n.a.",J924/H924))</f>
        <v/>
      </c>
      <c r="AB924" s="12" t="n"/>
      <c r="AC924" s="12" t="n"/>
      <c r="AD924" s="12" t="n"/>
      <c r="AE924" s="13">
        <f>IF(OR(COUNT(J924)=0,COUNT(AB924:AD924)&lt;3),"",ROUND(J924-SUM(AB924:AD924),2))</f>
        <v/>
      </c>
      <c r="AF924" s="15">
        <f>IF(COUNT(AE924)=0,"",IF(Z924=0,"n.a.",AE924/Z924))</f>
        <v/>
      </c>
      <c r="AG924" s="12" t="n"/>
      <c r="AH924" s="14">
        <f>IF(OR(A924="",COUNT(Z924)=0,COUNT(AG924)=0),"",ROUND(Z924-AG924,2))</f>
        <v/>
      </c>
      <c r="AI924" s="21" t="n"/>
      <c r="AJ924" s="11">
        <f>IF(A924="","",IF(COUNT(I924)=0,"Enter approved NTE",IF(COUNT(Z924)&gt;0,IF(Z924&gt;I924,"Invoice exceeds NTE","Invoice within NTE"),IF(COUNT(L924)=0,"Enter quote inputs",IF(L924&gt;I924,"Quote exceeds NTE","Quote within NTE")))))</f>
        <v/>
      </c>
      <c r="AK924" s="11">
        <f>IF(A924="","",IF(COUNT(H924)=0,"Enter direct cost",IF(COUNT(Z924)=0,"Enter invoice revenue",IF(COUNT(AB924:AD924)&lt;3,"Enter expenses (0 if none)","Complete"))))</f>
        <v/>
      </c>
      <c r="AL924" s="11">
        <f>IF(A924="","",IF(NOT(AND(COUNT(AH924)=1,N(AH924)&gt;0.004,V924&lt;&gt;"Void",V924&lt;&gt;"Not invoiced",V924&lt;&gt;"Draft")),"",IF(COUNT(X924)=0,"No due date",IF(TODAY()-X924&lt;=0,"Not yet due",IF(TODAY()-X924&lt;=30,"1-30 days",IF(TODAY()-X924&lt;=60,"31-60 days",IF(TODAY()-X924&lt;=90,"61-90 days","Over 90 days")))))))</f>
        <v/>
      </c>
      <c r="AM924" s="49">
        <f>IF(OR(AL924="",AL924="No due date"),"",MAX(TODAY()-X924,0))</f>
        <v/>
      </c>
      <c r="AN924" s="49">
        <f>IF(AL924="","",IF(COUNT(X924)=0,-100000,TODAY()-X924))</f>
        <v/>
      </c>
      <c r="AO924" s="49">
        <f>IF(AN924="","",COUNTIF(AN$11:AN$1010,"&gt;"&amp;AN924)+COUNTIF(AN$11:AN924,AN924))</f>
        <v/>
      </c>
      <c r="AP924" s="49">
        <f>IF(OR(A924="",B924=""),"",IF(COUNTIF(B$11:B924,B924)=1,MAX(AP$10:AP923)+1,""))</f>
        <v/>
      </c>
    </row>
    <row r="925">
      <c r="A925" s="20" t="n"/>
      <c r="B925" s="10" t="n"/>
      <c r="C925" s="10" t="n"/>
      <c r="D925" s="10" t="n"/>
      <c r="E925" s="10" t="n"/>
      <c r="F925" s="18" t="n"/>
      <c r="G925" s="10" t="n"/>
      <c r="H925" s="12" t="n"/>
      <c r="I925" s="12" t="n"/>
      <c r="J925" s="13">
        <f>IF(OR(A925="",COUNT(H925)=0,COUNT(Z925)=0),"",ROUND(Z925-H925,2))</f>
        <v/>
      </c>
      <c r="K925" s="15">
        <f>IF(COUNT(J925)=0,"",IF(Z925=0,"n.a.",J925/Z925))</f>
        <v/>
      </c>
      <c r="L925" s="14">
        <f>IF(OR(A925="",COUNT(H925)=0,COUNT(Y925)=0),"",ROUND(H925*(1+Y925),2))</f>
        <v/>
      </c>
      <c r="M925" s="10" t="n"/>
      <c r="N925" s="10" t="n"/>
      <c r="O925" s="10" t="n"/>
      <c r="P925" s="10" t="n"/>
      <c r="Q925" s="20" t="n"/>
      <c r="R925" s="10" t="n"/>
      <c r="S925" s="10" t="n"/>
      <c r="T925" s="18" t="n"/>
      <c r="U925" s="18" t="n"/>
      <c r="V925" s="10" t="n"/>
      <c r="W925" s="10" t="n"/>
      <c r="X925" s="19">
        <f>IF(OR(A925="",COUNT(U925)=0,COUNT(AI925)=0),"",U925+AI925)</f>
        <v/>
      </c>
      <c r="Y925" s="16" t="n"/>
      <c r="Z925" s="12" t="n"/>
      <c r="AA925" s="17">
        <f>IF(COUNT(J925)=0,"",IF(H925=0,"n.a.",J925/H925))</f>
        <v/>
      </c>
      <c r="AB925" s="12" t="n"/>
      <c r="AC925" s="12" t="n"/>
      <c r="AD925" s="12" t="n"/>
      <c r="AE925" s="13">
        <f>IF(OR(COUNT(J925)=0,COUNT(AB925:AD925)&lt;3),"",ROUND(J925-SUM(AB925:AD925),2))</f>
        <v/>
      </c>
      <c r="AF925" s="15">
        <f>IF(COUNT(AE925)=0,"",IF(Z925=0,"n.a.",AE925/Z925))</f>
        <v/>
      </c>
      <c r="AG925" s="12" t="n"/>
      <c r="AH925" s="14">
        <f>IF(OR(A925="",COUNT(Z925)=0,COUNT(AG925)=0),"",ROUND(Z925-AG925,2))</f>
        <v/>
      </c>
      <c r="AI925" s="21" t="n"/>
      <c r="AJ925" s="11">
        <f>IF(A925="","",IF(COUNT(I925)=0,"Enter approved NTE",IF(COUNT(Z925)&gt;0,IF(Z925&gt;I925,"Invoice exceeds NTE","Invoice within NTE"),IF(COUNT(L925)=0,"Enter quote inputs",IF(L925&gt;I925,"Quote exceeds NTE","Quote within NTE")))))</f>
        <v/>
      </c>
      <c r="AK925" s="11">
        <f>IF(A925="","",IF(COUNT(H925)=0,"Enter direct cost",IF(COUNT(Z925)=0,"Enter invoice revenue",IF(COUNT(AB925:AD925)&lt;3,"Enter expenses (0 if none)","Complete"))))</f>
        <v/>
      </c>
      <c r="AL925" s="11">
        <f>IF(A925="","",IF(NOT(AND(COUNT(AH925)=1,N(AH925)&gt;0.004,V925&lt;&gt;"Void",V925&lt;&gt;"Not invoiced",V925&lt;&gt;"Draft")),"",IF(COUNT(X925)=0,"No due date",IF(TODAY()-X925&lt;=0,"Not yet due",IF(TODAY()-X925&lt;=30,"1-30 days",IF(TODAY()-X925&lt;=60,"31-60 days",IF(TODAY()-X925&lt;=90,"61-90 days","Over 90 days")))))))</f>
        <v/>
      </c>
      <c r="AM925" s="49">
        <f>IF(OR(AL925="",AL925="No due date"),"",MAX(TODAY()-X925,0))</f>
        <v/>
      </c>
      <c r="AN925" s="49">
        <f>IF(AL925="","",IF(COUNT(X925)=0,-100000,TODAY()-X925))</f>
        <v/>
      </c>
      <c r="AO925" s="49">
        <f>IF(AN925="","",COUNTIF(AN$11:AN$1010,"&gt;"&amp;AN925)+COUNTIF(AN$11:AN925,AN925))</f>
        <v/>
      </c>
      <c r="AP925" s="49">
        <f>IF(OR(A925="",B925=""),"",IF(COUNTIF(B$11:B925,B925)=1,MAX(AP$10:AP924)+1,""))</f>
        <v/>
      </c>
    </row>
    <row r="926">
      <c r="A926" s="20" t="n"/>
      <c r="B926" s="10" t="n"/>
      <c r="C926" s="10" t="n"/>
      <c r="D926" s="10" t="n"/>
      <c r="E926" s="10" t="n"/>
      <c r="F926" s="18" t="n"/>
      <c r="G926" s="10" t="n"/>
      <c r="H926" s="12" t="n"/>
      <c r="I926" s="12" t="n"/>
      <c r="J926" s="13">
        <f>IF(OR(A926="",COUNT(H926)=0,COUNT(Z926)=0),"",ROUND(Z926-H926,2))</f>
        <v/>
      </c>
      <c r="K926" s="15">
        <f>IF(COUNT(J926)=0,"",IF(Z926=0,"n.a.",J926/Z926))</f>
        <v/>
      </c>
      <c r="L926" s="14">
        <f>IF(OR(A926="",COUNT(H926)=0,COUNT(Y926)=0),"",ROUND(H926*(1+Y926),2))</f>
        <v/>
      </c>
      <c r="M926" s="10" t="n"/>
      <c r="N926" s="10" t="n"/>
      <c r="O926" s="10" t="n"/>
      <c r="P926" s="10" t="n"/>
      <c r="Q926" s="20" t="n"/>
      <c r="R926" s="10" t="n"/>
      <c r="S926" s="10" t="n"/>
      <c r="T926" s="18" t="n"/>
      <c r="U926" s="18" t="n"/>
      <c r="V926" s="10" t="n"/>
      <c r="W926" s="10" t="n"/>
      <c r="X926" s="19">
        <f>IF(OR(A926="",COUNT(U926)=0,COUNT(AI926)=0),"",U926+AI926)</f>
        <v/>
      </c>
      <c r="Y926" s="16" t="n"/>
      <c r="Z926" s="12" t="n"/>
      <c r="AA926" s="17">
        <f>IF(COUNT(J926)=0,"",IF(H926=0,"n.a.",J926/H926))</f>
        <v/>
      </c>
      <c r="AB926" s="12" t="n"/>
      <c r="AC926" s="12" t="n"/>
      <c r="AD926" s="12" t="n"/>
      <c r="AE926" s="13">
        <f>IF(OR(COUNT(J926)=0,COUNT(AB926:AD926)&lt;3),"",ROUND(J926-SUM(AB926:AD926),2))</f>
        <v/>
      </c>
      <c r="AF926" s="15">
        <f>IF(COUNT(AE926)=0,"",IF(Z926=0,"n.a.",AE926/Z926))</f>
        <v/>
      </c>
      <c r="AG926" s="12" t="n"/>
      <c r="AH926" s="14">
        <f>IF(OR(A926="",COUNT(Z926)=0,COUNT(AG926)=0),"",ROUND(Z926-AG926,2))</f>
        <v/>
      </c>
      <c r="AI926" s="21" t="n"/>
      <c r="AJ926" s="11">
        <f>IF(A926="","",IF(COUNT(I926)=0,"Enter approved NTE",IF(COUNT(Z926)&gt;0,IF(Z926&gt;I926,"Invoice exceeds NTE","Invoice within NTE"),IF(COUNT(L926)=0,"Enter quote inputs",IF(L926&gt;I926,"Quote exceeds NTE","Quote within NTE")))))</f>
        <v/>
      </c>
      <c r="AK926" s="11">
        <f>IF(A926="","",IF(COUNT(H926)=0,"Enter direct cost",IF(COUNT(Z926)=0,"Enter invoice revenue",IF(COUNT(AB926:AD926)&lt;3,"Enter expenses (0 if none)","Complete"))))</f>
        <v/>
      </c>
      <c r="AL926" s="11">
        <f>IF(A926="","",IF(NOT(AND(COUNT(AH926)=1,N(AH926)&gt;0.004,V926&lt;&gt;"Void",V926&lt;&gt;"Not invoiced",V926&lt;&gt;"Draft")),"",IF(COUNT(X926)=0,"No due date",IF(TODAY()-X926&lt;=0,"Not yet due",IF(TODAY()-X926&lt;=30,"1-30 days",IF(TODAY()-X926&lt;=60,"31-60 days",IF(TODAY()-X926&lt;=90,"61-90 days","Over 90 days")))))))</f>
        <v/>
      </c>
      <c r="AM926" s="49">
        <f>IF(OR(AL926="",AL926="No due date"),"",MAX(TODAY()-X926,0))</f>
        <v/>
      </c>
      <c r="AN926" s="49">
        <f>IF(AL926="","",IF(COUNT(X926)=0,-100000,TODAY()-X926))</f>
        <v/>
      </c>
      <c r="AO926" s="49">
        <f>IF(AN926="","",COUNTIF(AN$11:AN$1010,"&gt;"&amp;AN926)+COUNTIF(AN$11:AN926,AN926))</f>
        <v/>
      </c>
      <c r="AP926" s="49">
        <f>IF(OR(A926="",B926=""),"",IF(COUNTIF(B$11:B926,B926)=1,MAX(AP$10:AP925)+1,""))</f>
        <v/>
      </c>
    </row>
    <row r="927">
      <c r="A927" s="20" t="n"/>
      <c r="B927" s="10" t="n"/>
      <c r="C927" s="10" t="n"/>
      <c r="D927" s="10" t="n"/>
      <c r="E927" s="10" t="n"/>
      <c r="F927" s="18" t="n"/>
      <c r="G927" s="10" t="n"/>
      <c r="H927" s="12" t="n"/>
      <c r="I927" s="12" t="n"/>
      <c r="J927" s="13">
        <f>IF(OR(A927="",COUNT(H927)=0,COUNT(Z927)=0),"",ROUND(Z927-H927,2))</f>
        <v/>
      </c>
      <c r="K927" s="15">
        <f>IF(COUNT(J927)=0,"",IF(Z927=0,"n.a.",J927/Z927))</f>
        <v/>
      </c>
      <c r="L927" s="14">
        <f>IF(OR(A927="",COUNT(H927)=0,COUNT(Y927)=0),"",ROUND(H927*(1+Y927),2))</f>
        <v/>
      </c>
      <c r="M927" s="10" t="n"/>
      <c r="N927" s="10" t="n"/>
      <c r="O927" s="10" t="n"/>
      <c r="P927" s="10" t="n"/>
      <c r="Q927" s="20" t="n"/>
      <c r="R927" s="10" t="n"/>
      <c r="S927" s="10" t="n"/>
      <c r="T927" s="18" t="n"/>
      <c r="U927" s="18" t="n"/>
      <c r="V927" s="10" t="n"/>
      <c r="W927" s="10" t="n"/>
      <c r="X927" s="19">
        <f>IF(OR(A927="",COUNT(U927)=0,COUNT(AI927)=0),"",U927+AI927)</f>
        <v/>
      </c>
      <c r="Y927" s="16" t="n"/>
      <c r="Z927" s="12" t="n"/>
      <c r="AA927" s="17">
        <f>IF(COUNT(J927)=0,"",IF(H927=0,"n.a.",J927/H927))</f>
        <v/>
      </c>
      <c r="AB927" s="12" t="n"/>
      <c r="AC927" s="12" t="n"/>
      <c r="AD927" s="12" t="n"/>
      <c r="AE927" s="13">
        <f>IF(OR(COUNT(J927)=0,COUNT(AB927:AD927)&lt;3),"",ROUND(J927-SUM(AB927:AD927),2))</f>
        <v/>
      </c>
      <c r="AF927" s="15">
        <f>IF(COUNT(AE927)=0,"",IF(Z927=0,"n.a.",AE927/Z927))</f>
        <v/>
      </c>
      <c r="AG927" s="12" t="n"/>
      <c r="AH927" s="14">
        <f>IF(OR(A927="",COUNT(Z927)=0,COUNT(AG927)=0),"",ROUND(Z927-AG927,2))</f>
        <v/>
      </c>
      <c r="AI927" s="21" t="n"/>
      <c r="AJ927" s="11">
        <f>IF(A927="","",IF(COUNT(I927)=0,"Enter approved NTE",IF(COUNT(Z927)&gt;0,IF(Z927&gt;I927,"Invoice exceeds NTE","Invoice within NTE"),IF(COUNT(L927)=0,"Enter quote inputs",IF(L927&gt;I927,"Quote exceeds NTE","Quote within NTE")))))</f>
        <v/>
      </c>
      <c r="AK927" s="11">
        <f>IF(A927="","",IF(COUNT(H927)=0,"Enter direct cost",IF(COUNT(Z927)=0,"Enter invoice revenue",IF(COUNT(AB927:AD927)&lt;3,"Enter expenses (0 if none)","Complete"))))</f>
        <v/>
      </c>
      <c r="AL927" s="11">
        <f>IF(A927="","",IF(NOT(AND(COUNT(AH927)=1,N(AH927)&gt;0.004,V927&lt;&gt;"Void",V927&lt;&gt;"Not invoiced",V927&lt;&gt;"Draft")),"",IF(COUNT(X927)=0,"No due date",IF(TODAY()-X927&lt;=0,"Not yet due",IF(TODAY()-X927&lt;=30,"1-30 days",IF(TODAY()-X927&lt;=60,"31-60 days",IF(TODAY()-X927&lt;=90,"61-90 days","Over 90 days")))))))</f>
        <v/>
      </c>
      <c r="AM927" s="49">
        <f>IF(OR(AL927="",AL927="No due date"),"",MAX(TODAY()-X927,0))</f>
        <v/>
      </c>
      <c r="AN927" s="49">
        <f>IF(AL927="","",IF(COUNT(X927)=0,-100000,TODAY()-X927))</f>
        <v/>
      </c>
      <c r="AO927" s="49">
        <f>IF(AN927="","",COUNTIF(AN$11:AN$1010,"&gt;"&amp;AN927)+COUNTIF(AN$11:AN927,AN927))</f>
        <v/>
      </c>
      <c r="AP927" s="49">
        <f>IF(OR(A927="",B927=""),"",IF(COUNTIF(B$11:B927,B927)=1,MAX(AP$10:AP926)+1,""))</f>
        <v/>
      </c>
    </row>
    <row r="928">
      <c r="A928" s="20" t="n"/>
      <c r="B928" s="10" t="n"/>
      <c r="C928" s="10" t="n"/>
      <c r="D928" s="10" t="n"/>
      <c r="E928" s="10" t="n"/>
      <c r="F928" s="18" t="n"/>
      <c r="G928" s="10" t="n"/>
      <c r="H928" s="12" t="n"/>
      <c r="I928" s="12" t="n"/>
      <c r="J928" s="13">
        <f>IF(OR(A928="",COUNT(H928)=0,COUNT(Z928)=0),"",ROUND(Z928-H928,2))</f>
        <v/>
      </c>
      <c r="K928" s="15">
        <f>IF(COUNT(J928)=0,"",IF(Z928=0,"n.a.",J928/Z928))</f>
        <v/>
      </c>
      <c r="L928" s="14">
        <f>IF(OR(A928="",COUNT(H928)=0,COUNT(Y928)=0),"",ROUND(H928*(1+Y928),2))</f>
        <v/>
      </c>
      <c r="M928" s="10" t="n"/>
      <c r="N928" s="10" t="n"/>
      <c r="O928" s="10" t="n"/>
      <c r="P928" s="10" t="n"/>
      <c r="Q928" s="20" t="n"/>
      <c r="R928" s="10" t="n"/>
      <c r="S928" s="10" t="n"/>
      <c r="T928" s="18" t="n"/>
      <c r="U928" s="18" t="n"/>
      <c r="V928" s="10" t="n"/>
      <c r="W928" s="10" t="n"/>
      <c r="X928" s="19">
        <f>IF(OR(A928="",COUNT(U928)=0,COUNT(AI928)=0),"",U928+AI928)</f>
        <v/>
      </c>
      <c r="Y928" s="16" t="n"/>
      <c r="Z928" s="12" t="n"/>
      <c r="AA928" s="17">
        <f>IF(COUNT(J928)=0,"",IF(H928=0,"n.a.",J928/H928))</f>
        <v/>
      </c>
      <c r="AB928" s="12" t="n"/>
      <c r="AC928" s="12" t="n"/>
      <c r="AD928" s="12" t="n"/>
      <c r="AE928" s="13">
        <f>IF(OR(COUNT(J928)=0,COUNT(AB928:AD928)&lt;3),"",ROUND(J928-SUM(AB928:AD928),2))</f>
        <v/>
      </c>
      <c r="AF928" s="15">
        <f>IF(COUNT(AE928)=0,"",IF(Z928=0,"n.a.",AE928/Z928))</f>
        <v/>
      </c>
      <c r="AG928" s="12" t="n"/>
      <c r="AH928" s="14">
        <f>IF(OR(A928="",COUNT(Z928)=0,COUNT(AG928)=0),"",ROUND(Z928-AG928,2))</f>
        <v/>
      </c>
      <c r="AI928" s="21" t="n"/>
      <c r="AJ928" s="11">
        <f>IF(A928="","",IF(COUNT(I928)=0,"Enter approved NTE",IF(COUNT(Z928)&gt;0,IF(Z928&gt;I928,"Invoice exceeds NTE","Invoice within NTE"),IF(COUNT(L928)=0,"Enter quote inputs",IF(L928&gt;I928,"Quote exceeds NTE","Quote within NTE")))))</f>
        <v/>
      </c>
      <c r="AK928" s="11">
        <f>IF(A928="","",IF(COUNT(H928)=0,"Enter direct cost",IF(COUNT(Z928)=0,"Enter invoice revenue",IF(COUNT(AB928:AD928)&lt;3,"Enter expenses (0 if none)","Complete"))))</f>
        <v/>
      </c>
      <c r="AL928" s="11">
        <f>IF(A928="","",IF(NOT(AND(COUNT(AH928)=1,N(AH928)&gt;0.004,V928&lt;&gt;"Void",V928&lt;&gt;"Not invoiced",V928&lt;&gt;"Draft")),"",IF(COUNT(X928)=0,"No due date",IF(TODAY()-X928&lt;=0,"Not yet due",IF(TODAY()-X928&lt;=30,"1-30 days",IF(TODAY()-X928&lt;=60,"31-60 days",IF(TODAY()-X928&lt;=90,"61-90 days","Over 90 days")))))))</f>
        <v/>
      </c>
      <c r="AM928" s="49">
        <f>IF(OR(AL928="",AL928="No due date"),"",MAX(TODAY()-X928,0))</f>
        <v/>
      </c>
      <c r="AN928" s="49">
        <f>IF(AL928="","",IF(COUNT(X928)=0,-100000,TODAY()-X928))</f>
        <v/>
      </c>
      <c r="AO928" s="49">
        <f>IF(AN928="","",COUNTIF(AN$11:AN$1010,"&gt;"&amp;AN928)+COUNTIF(AN$11:AN928,AN928))</f>
        <v/>
      </c>
      <c r="AP928" s="49">
        <f>IF(OR(A928="",B928=""),"",IF(COUNTIF(B$11:B928,B928)=1,MAX(AP$10:AP927)+1,""))</f>
        <v/>
      </c>
    </row>
    <row r="929">
      <c r="A929" s="20" t="n"/>
      <c r="B929" s="10" t="n"/>
      <c r="C929" s="10" t="n"/>
      <c r="D929" s="10" t="n"/>
      <c r="E929" s="10" t="n"/>
      <c r="F929" s="18" t="n"/>
      <c r="G929" s="10" t="n"/>
      <c r="H929" s="12" t="n"/>
      <c r="I929" s="12" t="n"/>
      <c r="J929" s="13">
        <f>IF(OR(A929="",COUNT(H929)=0,COUNT(Z929)=0),"",ROUND(Z929-H929,2))</f>
        <v/>
      </c>
      <c r="K929" s="15">
        <f>IF(COUNT(J929)=0,"",IF(Z929=0,"n.a.",J929/Z929))</f>
        <v/>
      </c>
      <c r="L929" s="14">
        <f>IF(OR(A929="",COUNT(H929)=0,COUNT(Y929)=0),"",ROUND(H929*(1+Y929),2))</f>
        <v/>
      </c>
      <c r="M929" s="10" t="n"/>
      <c r="N929" s="10" t="n"/>
      <c r="O929" s="10" t="n"/>
      <c r="P929" s="10" t="n"/>
      <c r="Q929" s="20" t="n"/>
      <c r="R929" s="10" t="n"/>
      <c r="S929" s="10" t="n"/>
      <c r="T929" s="18" t="n"/>
      <c r="U929" s="18" t="n"/>
      <c r="V929" s="10" t="n"/>
      <c r="W929" s="10" t="n"/>
      <c r="X929" s="19">
        <f>IF(OR(A929="",COUNT(U929)=0,COUNT(AI929)=0),"",U929+AI929)</f>
        <v/>
      </c>
      <c r="Y929" s="16" t="n"/>
      <c r="Z929" s="12" t="n"/>
      <c r="AA929" s="17">
        <f>IF(COUNT(J929)=0,"",IF(H929=0,"n.a.",J929/H929))</f>
        <v/>
      </c>
      <c r="AB929" s="12" t="n"/>
      <c r="AC929" s="12" t="n"/>
      <c r="AD929" s="12" t="n"/>
      <c r="AE929" s="13">
        <f>IF(OR(COUNT(J929)=0,COUNT(AB929:AD929)&lt;3),"",ROUND(J929-SUM(AB929:AD929),2))</f>
        <v/>
      </c>
      <c r="AF929" s="15">
        <f>IF(COUNT(AE929)=0,"",IF(Z929=0,"n.a.",AE929/Z929))</f>
        <v/>
      </c>
      <c r="AG929" s="12" t="n"/>
      <c r="AH929" s="14">
        <f>IF(OR(A929="",COUNT(Z929)=0,COUNT(AG929)=0),"",ROUND(Z929-AG929,2))</f>
        <v/>
      </c>
      <c r="AI929" s="21" t="n"/>
      <c r="AJ929" s="11">
        <f>IF(A929="","",IF(COUNT(I929)=0,"Enter approved NTE",IF(COUNT(Z929)&gt;0,IF(Z929&gt;I929,"Invoice exceeds NTE","Invoice within NTE"),IF(COUNT(L929)=0,"Enter quote inputs",IF(L929&gt;I929,"Quote exceeds NTE","Quote within NTE")))))</f>
        <v/>
      </c>
      <c r="AK929" s="11">
        <f>IF(A929="","",IF(COUNT(H929)=0,"Enter direct cost",IF(COUNT(Z929)=0,"Enter invoice revenue",IF(COUNT(AB929:AD929)&lt;3,"Enter expenses (0 if none)","Complete"))))</f>
        <v/>
      </c>
      <c r="AL929" s="11">
        <f>IF(A929="","",IF(NOT(AND(COUNT(AH929)=1,N(AH929)&gt;0.004,V929&lt;&gt;"Void",V929&lt;&gt;"Not invoiced",V929&lt;&gt;"Draft")),"",IF(COUNT(X929)=0,"No due date",IF(TODAY()-X929&lt;=0,"Not yet due",IF(TODAY()-X929&lt;=30,"1-30 days",IF(TODAY()-X929&lt;=60,"31-60 days",IF(TODAY()-X929&lt;=90,"61-90 days","Over 90 days")))))))</f>
        <v/>
      </c>
      <c r="AM929" s="49">
        <f>IF(OR(AL929="",AL929="No due date"),"",MAX(TODAY()-X929,0))</f>
        <v/>
      </c>
      <c r="AN929" s="49">
        <f>IF(AL929="","",IF(COUNT(X929)=0,-100000,TODAY()-X929))</f>
        <v/>
      </c>
      <c r="AO929" s="49">
        <f>IF(AN929="","",COUNTIF(AN$11:AN$1010,"&gt;"&amp;AN929)+COUNTIF(AN$11:AN929,AN929))</f>
        <v/>
      </c>
      <c r="AP929" s="49">
        <f>IF(OR(A929="",B929=""),"",IF(COUNTIF(B$11:B929,B929)=1,MAX(AP$10:AP928)+1,""))</f>
        <v/>
      </c>
    </row>
    <row r="930">
      <c r="A930" s="20" t="n"/>
      <c r="B930" s="10" t="n"/>
      <c r="C930" s="10" t="n"/>
      <c r="D930" s="10" t="n"/>
      <c r="E930" s="10" t="n"/>
      <c r="F930" s="18" t="n"/>
      <c r="G930" s="10" t="n"/>
      <c r="H930" s="12" t="n"/>
      <c r="I930" s="12" t="n"/>
      <c r="J930" s="13">
        <f>IF(OR(A930="",COUNT(H930)=0,COUNT(Z930)=0),"",ROUND(Z930-H930,2))</f>
        <v/>
      </c>
      <c r="K930" s="15">
        <f>IF(COUNT(J930)=0,"",IF(Z930=0,"n.a.",J930/Z930))</f>
        <v/>
      </c>
      <c r="L930" s="14">
        <f>IF(OR(A930="",COUNT(H930)=0,COUNT(Y930)=0),"",ROUND(H930*(1+Y930),2))</f>
        <v/>
      </c>
      <c r="M930" s="10" t="n"/>
      <c r="N930" s="10" t="n"/>
      <c r="O930" s="10" t="n"/>
      <c r="P930" s="10" t="n"/>
      <c r="Q930" s="20" t="n"/>
      <c r="R930" s="10" t="n"/>
      <c r="S930" s="10" t="n"/>
      <c r="T930" s="18" t="n"/>
      <c r="U930" s="18" t="n"/>
      <c r="V930" s="10" t="n"/>
      <c r="W930" s="10" t="n"/>
      <c r="X930" s="19">
        <f>IF(OR(A930="",COUNT(U930)=0,COUNT(AI930)=0),"",U930+AI930)</f>
        <v/>
      </c>
      <c r="Y930" s="16" t="n"/>
      <c r="Z930" s="12" t="n"/>
      <c r="AA930" s="17">
        <f>IF(COUNT(J930)=0,"",IF(H930=0,"n.a.",J930/H930))</f>
        <v/>
      </c>
      <c r="AB930" s="12" t="n"/>
      <c r="AC930" s="12" t="n"/>
      <c r="AD930" s="12" t="n"/>
      <c r="AE930" s="13">
        <f>IF(OR(COUNT(J930)=0,COUNT(AB930:AD930)&lt;3),"",ROUND(J930-SUM(AB930:AD930),2))</f>
        <v/>
      </c>
      <c r="AF930" s="15">
        <f>IF(COUNT(AE930)=0,"",IF(Z930=0,"n.a.",AE930/Z930))</f>
        <v/>
      </c>
      <c r="AG930" s="12" t="n"/>
      <c r="AH930" s="14">
        <f>IF(OR(A930="",COUNT(Z930)=0,COUNT(AG930)=0),"",ROUND(Z930-AG930,2))</f>
        <v/>
      </c>
      <c r="AI930" s="21" t="n"/>
      <c r="AJ930" s="11">
        <f>IF(A930="","",IF(COUNT(I930)=0,"Enter approved NTE",IF(COUNT(Z930)&gt;0,IF(Z930&gt;I930,"Invoice exceeds NTE","Invoice within NTE"),IF(COUNT(L930)=0,"Enter quote inputs",IF(L930&gt;I930,"Quote exceeds NTE","Quote within NTE")))))</f>
        <v/>
      </c>
      <c r="AK930" s="11">
        <f>IF(A930="","",IF(COUNT(H930)=0,"Enter direct cost",IF(COUNT(Z930)=0,"Enter invoice revenue",IF(COUNT(AB930:AD930)&lt;3,"Enter expenses (0 if none)","Complete"))))</f>
        <v/>
      </c>
      <c r="AL930" s="11">
        <f>IF(A930="","",IF(NOT(AND(COUNT(AH930)=1,N(AH930)&gt;0.004,V930&lt;&gt;"Void",V930&lt;&gt;"Not invoiced",V930&lt;&gt;"Draft")),"",IF(COUNT(X930)=0,"No due date",IF(TODAY()-X930&lt;=0,"Not yet due",IF(TODAY()-X930&lt;=30,"1-30 days",IF(TODAY()-X930&lt;=60,"31-60 days",IF(TODAY()-X930&lt;=90,"61-90 days","Over 90 days")))))))</f>
        <v/>
      </c>
      <c r="AM930" s="49">
        <f>IF(OR(AL930="",AL930="No due date"),"",MAX(TODAY()-X930,0))</f>
        <v/>
      </c>
      <c r="AN930" s="49">
        <f>IF(AL930="","",IF(COUNT(X930)=0,-100000,TODAY()-X930))</f>
        <v/>
      </c>
      <c r="AO930" s="49">
        <f>IF(AN930="","",COUNTIF(AN$11:AN$1010,"&gt;"&amp;AN930)+COUNTIF(AN$11:AN930,AN930))</f>
        <v/>
      </c>
      <c r="AP930" s="49">
        <f>IF(OR(A930="",B930=""),"",IF(COUNTIF(B$11:B930,B930)=1,MAX(AP$10:AP929)+1,""))</f>
        <v/>
      </c>
    </row>
    <row r="931">
      <c r="A931" s="20" t="n"/>
      <c r="B931" s="10" t="n"/>
      <c r="C931" s="10" t="n"/>
      <c r="D931" s="10" t="n"/>
      <c r="E931" s="10" t="n"/>
      <c r="F931" s="18" t="n"/>
      <c r="G931" s="10" t="n"/>
      <c r="H931" s="12" t="n"/>
      <c r="I931" s="12" t="n"/>
      <c r="J931" s="13">
        <f>IF(OR(A931="",COUNT(H931)=0,COUNT(Z931)=0),"",ROUND(Z931-H931,2))</f>
        <v/>
      </c>
      <c r="K931" s="15">
        <f>IF(COUNT(J931)=0,"",IF(Z931=0,"n.a.",J931/Z931))</f>
        <v/>
      </c>
      <c r="L931" s="14">
        <f>IF(OR(A931="",COUNT(H931)=0,COUNT(Y931)=0),"",ROUND(H931*(1+Y931),2))</f>
        <v/>
      </c>
      <c r="M931" s="10" t="n"/>
      <c r="N931" s="10" t="n"/>
      <c r="O931" s="10" t="n"/>
      <c r="P931" s="10" t="n"/>
      <c r="Q931" s="20" t="n"/>
      <c r="R931" s="10" t="n"/>
      <c r="S931" s="10" t="n"/>
      <c r="T931" s="18" t="n"/>
      <c r="U931" s="18" t="n"/>
      <c r="V931" s="10" t="n"/>
      <c r="W931" s="10" t="n"/>
      <c r="X931" s="19">
        <f>IF(OR(A931="",COUNT(U931)=0,COUNT(AI931)=0),"",U931+AI931)</f>
        <v/>
      </c>
      <c r="Y931" s="16" t="n"/>
      <c r="Z931" s="12" t="n"/>
      <c r="AA931" s="17">
        <f>IF(COUNT(J931)=0,"",IF(H931=0,"n.a.",J931/H931))</f>
        <v/>
      </c>
      <c r="AB931" s="12" t="n"/>
      <c r="AC931" s="12" t="n"/>
      <c r="AD931" s="12" t="n"/>
      <c r="AE931" s="13">
        <f>IF(OR(COUNT(J931)=0,COUNT(AB931:AD931)&lt;3),"",ROUND(J931-SUM(AB931:AD931),2))</f>
        <v/>
      </c>
      <c r="AF931" s="15">
        <f>IF(COUNT(AE931)=0,"",IF(Z931=0,"n.a.",AE931/Z931))</f>
        <v/>
      </c>
      <c r="AG931" s="12" t="n"/>
      <c r="AH931" s="14">
        <f>IF(OR(A931="",COUNT(Z931)=0,COUNT(AG931)=0),"",ROUND(Z931-AG931,2))</f>
        <v/>
      </c>
      <c r="AI931" s="21" t="n"/>
      <c r="AJ931" s="11">
        <f>IF(A931="","",IF(COUNT(I931)=0,"Enter approved NTE",IF(COUNT(Z931)&gt;0,IF(Z931&gt;I931,"Invoice exceeds NTE","Invoice within NTE"),IF(COUNT(L931)=0,"Enter quote inputs",IF(L931&gt;I931,"Quote exceeds NTE","Quote within NTE")))))</f>
        <v/>
      </c>
      <c r="AK931" s="11">
        <f>IF(A931="","",IF(COUNT(H931)=0,"Enter direct cost",IF(COUNT(Z931)=0,"Enter invoice revenue",IF(COUNT(AB931:AD931)&lt;3,"Enter expenses (0 if none)","Complete"))))</f>
        <v/>
      </c>
      <c r="AL931" s="11">
        <f>IF(A931="","",IF(NOT(AND(COUNT(AH931)=1,N(AH931)&gt;0.004,V931&lt;&gt;"Void",V931&lt;&gt;"Not invoiced",V931&lt;&gt;"Draft")),"",IF(COUNT(X931)=0,"No due date",IF(TODAY()-X931&lt;=0,"Not yet due",IF(TODAY()-X931&lt;=30,"1-30 days",IF(TODAY()-X931&lt;=60,"31-60 days",IF(TODAY()-X931&lt;=90,"61-90 days","Over 90 days")))))))</f>
        <v/>
      </c>
      <c r="AM931" s="49">
        <f>IF(OR(AL931="",AL931="No due date"),"",MAX(TODAY()-X931,0))</f>
        <v/>
      </c>
      <c r="AN931" s="49">
        <f>IF(AL931="","",IF(COUNT(X931)=0,-100000,TODAY()-X931))</f>
        <v/>
      </c>
      <c r="AO931" s="49">
        <f>IF(AN931="","",COUNTIF(AN$11:AN$1010,"&gt;"&amp;AN931)+COUNTIF(AN$11:AN931,AN931))</f>
        <v/>
      </c>
      <c r="AP931" s="49">
        <f>IF(OR(A931="",B931=""),"",IF(COUNTIF(B$11:B931,B931)=1,MAX(AP$10:AP930)+1,""))</f>
        <v/>
      </c>
    </row>
    <row r="932">
      <c r="A932" s="20" t="n"/>
      <c r="B932" s="10" t="n"/>
      <c r="C932" s="10" t="n"/>
      <c r="D932" s="10" t="n"/>
      <c r="E932" s="10" t="n"/>
      <c r="F932" s="18" t="n"/>
      <c r="G932" s="10" t="n"/>
      <c r="H932" s="12" t="n"/>
      <c r="I932" s="12" t="n"/>
      <c r="J932" s="13">
        <f>IF(OR(A932="",COUNT(H932)=0,COUNT(Z932)=0),"",ROUND(Z932-H932,2))</f>
        <v/>
      </c>
      <c r="K932" s="15">
        <f>IF(COUNT(J932)=0,"",IF(Z932=0,"n.a.",J932/Z932))</f>
        <v/>
      </c>
      <c r="L932" s="14">
        <f>IF(OR(A932="",COUNT(H932)=0,COUNT(Y932)=0),"",ROUND(H932*(1+Y932),2))</f>
        <v/>
      </c>
      <c r="M932" s="10" t="n"/>
      <c r="N932" s="10" t="n"/>
      <c r="O932" s="10" t="n"/>
      <c r="P932" s="10" t="n"/>
      <c r="Q932" s="20" t="n"/>
      <c r="R932" s="10" t="n"/>
      <c r="S932" s="10" t="n"/>
      <c r="T932" s="18" t="n"/>
      <c r="U932" s="18" t="n"/>
      <c r="V932" s="10" t="n"/>
      <c r="W932" s="10" t="n"/>
      <c r="X932" s="19">
        <f>IF(OR(A932="",COUNT(U932)=0,COUNT(AI932)=0),"",U932+AI932)</f>
        <v/>
      </c>
      <c r="Y932" s="16" t="n"/>
      <c r="Z932" s="12" t="n"/>
      <c r="AA932" s="17">
        <f>IF(COUNT(J932)=0,"",IF(H932=0,"n.a.",J932/H932))</f>
        <v/>
      </c>
      <c r="AB932" s="12" t="n"/>
      <c r="AC932" s="12" t="n"/>
      <c r="AD932" s="12" t="n"/>
      <c r="AE932" s="13">
        <f>IF(OR(COUNT(J932)=0,COUNT(AB932:AD932)&lt;3),"",ROUND(J932-SUM(AB932:AD932),2))</f>
        <v/>
      </c>
      <c r="AF932" s="15">
        <f>IF(COUNT(AE932)=0,"",IF(Z932=0,"n.a.",AE932/Z932))</f>
        <v/>
      </c>
      <c r="AG932" s="12" t="n"/>
      <c r="AH932" s="14">
        <f>IF(OR(A932="",COUNT(Z932)=0,COUNT(AG932)=0),"",ROUND(Z932-AG932,2))</f>
        <v/>
      </c>
      <c r="AI932" s="21" t="n"/>
      <c r="AJ932" s="11">
        <f>IF(A932="","",IF(COUNT(I932)=0,"Enter approved NTE",IF(COUNT(Z932)&gt;0,IF(Z932&gt;I932,"Invoice exceeds NTE","Invoice within NTE"),IF(COUNT(L932)=0,"Enter quote inputs",IF(L932&gt;I932,"Quote exceeds NTE","Quote within NTE")))))</f>
        <v/>
      </c>
      <c r="AK932" s="11">
        <f>IF(A932="","",IF(COUNT(H932)=0,"Enter direct cost",IF(COUNT(Z932)=0,"Enter invoice revenue",IF(COUNT(AB932:AD932)&lt;3,"Enter expenses (0 if none)","Complete"))))</f>
        <v/>
      </c>
      <c r="AL932" s="11">
        <f>IF(A932="","",IF(NOT(AND(COUNT(AH932)=1,N(AH932)&gt;0.004,V932&lt;&gt;"Void",V932&lt;&gt;"Not invoiced",V932&lt;&gt;"Draft")),"",IF(COUNT(X932)=0,"No due date",IF(TODAY()-X932&lt;=0,"Not yet due",IF(TODAY()-X932&lt;=30,"1-30 days",IF(TODAY()-X932&lt;=60,"31-60 days",IF(TODAY()-X932&lt;=90,"61-90 days","Over 90 days")))))))</f>
        <v/>
      </c>
      <c r="AM932" s="49">
        <f>IF(OR(AL932="",AL932="No due date"),"",MAX(TODAY()-X932,0))</f>
        <v/>
      </c>
      <c r="AN932" s="49">
        <f>IF(AL932="","",IF(COUNT(X932)=0,-100000,TODAY()-X932))</f>
        <v/>
      </c>
      <c r="AO932" s="49">
        <f>IF(AN932="","",COUNTIF(AN$11:AN$1010,"&gt;"&amp;AN932)+COUNTIF(AN$11:AN932,AN932))</f>
        <v/>
      </c>
      <c r="AP932" s="49">
        <f>IF(OR(A932="",B932=""),"",IF(COUNTIF(B$11:B932,B932)=1,MAX(AP$10:AP931)+1,""))</f>
        <v/>
      </c>
    </row>
    <row r="933">
      <c r="A933" s="20" t="n"/>
      <c r="B933" s="10" t="n"/>
      <c r="C933" s="10" t="n"/>
      <c r="D933" s="10" t="n"/>
      <c r="E933" s="10" t="n"/>
      <c r="F933" s="18" t="n"/>
      <c r="G933" s="10" t="n"/>
      <c r="H933" s="12" t="n"/>
      <c r="I933" s="12" t="n"/>
      <c r="J933" s="13">
        <f>IF(OR(A933="",COUNT(H933)=0,COUNT(Z933)=0),"",ROUND(Z933-H933,2))</f>
        <v/>
      </c>
      <c r="K933" s="15">
        <f>IF(COUNT(J933)=0,"",IF(Z933=0,"n.a.",J933/Z933))</f>
        <v/>
      </c>
      <c r="L933" s="14">
        <f>IF(OR(A933="",COUNT(H933)=0,COUNT(Y933)=0),"",ROUND(H933*(1+Y933),2))</f>
        <v/>
      </c>
      <c r="M933" s="10" t="n"/>
      <c r="N933" s="10" t="n"/>
      <c r="O933" s="10" t="n"/>
      <c r="P933" s="10" t="n"/>
      <c r="Q933" s="20" t="n"/>
      <c r="R933" s="10" t="n"/>
      <c r="S933" s="10" t="n"/>
      <c r="T933" s="18" t="n"/>
      <c r="U933" s="18" t="n"/>
      <c r="V933" s="10" t="n"/>
      <c r="W933" s="10" t="n"/>
      <c r="X933" s="19">
        <f>IF(OR(A933="",COUNT(U933)=0,COUNT(AI933)=0),"",U933+AI933)</f>
        <v/>
      </c>
      <c r="Y933" s="16" t="n"/>
      <c r="Z933" s="12" t="n"/>
      <c r="AA933" s="17">
        <f>IF(COUNT(J933)=0,"",IF(H933=0,"n.a.",J933/H933))</f>
        <v/>
      </c>
      <c r="AB933" s="12" t="n"/>
      <c r="AC933" s="12" t="n"/>
      <c r="AD933" s="12" t="n"/>
      <c r="AE933" s="13">
        <f>IF(OR(COUNT(J933)=0,COUNT(AB933:AD933)&lt;3),"",ROUND(J933-SUM(AB933:AD933),2))</f>
        <v/>
      </c>
      <c r="AF933" s="15">
        <f>IF(COUNT(AE933)=0,"",IF(Z933=0,"n.a.",AE933/Z933))</f>
        <v/>
      </c>
      <c r="AG933" s="12" t="n"/>
      <c r="AH933" s="14">
        <f>IF(OR(A933="",COUNT(Z933)=0,COUNT(AG933)=0),"",ROUND(Z933-AG933,2))</f>
        <v/>
      </c>
      <c r="AI933" s="21" t="n"/>
      <c r="AJ933" s="11">
        <f>IF(A933="","",IF(COUNT(I933)=0,"Enter approved NTE",IF(COUNT(Z933)&gt;0,IF(Z933&gt;I933,"Invoice exceeds NTE","Invoice within NTE"),IF(COUNT(L933)=0,"Enter quote inputs",IF(L933&gt;I933,"Quote exceeds NTE","Quote within NTE")))))</f>
        <v/>
      </c>
      <c r="AK933" s="11">
        <f>IF(A933="","",IF(COUNT(H933)=0,"Enter direct cost",IF(COUNT(Z933)=0,"Enter invoice revenue",IF(COUNT(AB933:AD933)&lt;3,"Enter expenses (0 if none)","Complete"))))</f>
        <v/>
      </c>
      <c r="AL933" s="11">
        <f>IF(A933="","",IF(NOT(AND(COUNT(AH933)=1,N(AH933)&gt;0.004,V933&lt;&gt;"Void",V933&lt;&gt;"Not invoiced",V933&lt;&gt;"Draft")),"",IF(COUNT(X933)=0,"No due date",IF(TODAY()-X933&lt;=0,"Not yet due",IF(TODAY()-X933&lt;=30,"1-30 days",IF(TODAY()-X933&lt;=60,"31-60 days",IF(TODAY()-X933&lt;=90,"61-90 days","Over 90 days")))))))</f>
        <v/>
      </c>
      <c r="AM933" s="49">
        <f>IF(OR(AL933="",AL933="No due date"),"",MAX(TODAY()-X933,0))</f>
        <v/>
      </c>
      <c r="AN933" s="49">
        <f>IF(AL933="","",IF(COUNT(X933)=0,-100000,TODAY()-X933))</f>
        <v/>
      </c>
      <c r="AO933" s="49">
        <f>IF(AN933="","",COUNTIF(AN$11:AN$1010,"&gt;"&amp;AN933)+COUNTIF(AN$11:AN933,AN933))</f>
        <v/>
      </c>
      <c r="AP933" s="49">
        <f>IF(OR(A933="",B933=""),"",IF(COUNTIF(B$11:B933,B933)=1,MAX(AP$10:AP932)+1,""))</f>
        <v/>
      </c>
    </row>
    <row r="934">
      <c r="A934" s="20" t="n"/>
      <c r="B934" s="10" t="n"/>
      <c r="C934" s="10" t="n"/>
      <c r="D934" s="10" t="n"/>
      <c r="E934" s="10" t="n"/>
      <c r="F934" s="18" t="n"/>
      <c r="G934" s="10" t="n"/>
      <c r="H934" s="12" t="n"/>
      <c r="I934" s="12" t="n"/>
      <c r="J934" s="13">
        <f>IF(OR(A934="",COUNT(H934)=0,COUNT(Z934)=0),"",ROUND(Z934-H934,2))</f>
        <v/>
      </c>
      <c r="K934" s="15">
        <f>IF(COUNT(J934)=0,"",IF(Z934=0,"n.a.",J934/Z934))</f>
        <v/>
      </c>
      <c r="L934" s="14">
        <f>IF(OR(A934="",COUNT(H934)=0,COUNT(Y934)=0),"",ROUND(H934*(1+Y934),2))</f>
        <v/>
      </c>
      <c r="M934" s="10" t="n"/>
      <c r="N934" s="10" t="n"/>
      <c r="O934" s="10" t="n"/>
      <c r="P934" s="10" t="n"/>
      <c r="Q934" s="20" t="n"/>
      <c r="R934" s="10" t="n"/>
      <c r="S934" s="10" t="n"/>
      <c r="T934" s="18" t="n"/>
      <c r="U934" s="18" t="n"/>
      <c r="V934" s="10" t="n"/>
      <c r="W934" s="10" t="n"/>
      <c r="X934" s="19">
        <f>IF(OR(A934="",COUNT(U934)=0,COUNT(AI934)=0),"",U934+AI934)</f>
        <v/>
      </c>
      <c r="Y934" s="16" t="n"/>
      <c r="Z934" s="12" t="n"/>
      <c r="AA934" s="17">
        <f>IF(COUNT(J934)=0,"",IF(H934=0,"n.a.",J934/H934))</f>
        <v/>
      </c>
      <c r="AB934" s="12" t="n"/>
      <c r="AC934" s="12" t="n"/>
      <c r="AD934" s="12" t="n"/>
      <c r="AE934" s="13">
        <f>IF(OR(COUNT(J934)=0,COUNT(AB934:AD934)&lt;3),"",ROUND(J934-SUM(AB934:AD934),2))</f>
        <v/>
      </c>
      <c r="AF934" s="15">
        <f>IF(COUNT(AE934)=0,"",IF(Z934=0,"n.a.",AE934/Z934))</f>
        <v/>
      </c>
      <c r="AG934" s="12" t="n"/>
      <c r="AH934" s="14">
        <f>IF(OR(A934="",COUNT(Z934)=0,COUNT(AG934)=0),"",ROUND(Z934-AG934,2))</f>
        <v/>
      </c>
      <c r="AI934" s="21" t="n"/>
      <c r="AJ934" s="11">
        <f>IF(A934="","",IF(COUNT(I934)=0,"Enter approved NTE",IF(COUNT(Z934)&gt;0,IF(Z934&gt;I934,"Invoice exceeds NTE","Invoice within NTE"),IF(COUNT(L934)=0,"Enter quote inputs",IF(L934&gt;I934,"Quote exceeds NTE","Quote within NTE")))))</f>
        <v/>
      </c>
      <c r="AK934" s="11">
        <f>IF(A934="","",IF(COUNT(H934)=0,"Enter direct cost",IF(COUNT(Z934)=0,"Enter invoice revenue",IF(COUNT(AB934:AD934)&lt;3,"Enter expenses (0 if none)","Complete"))))</f>
        <v/>
      </c>
      <c r="AL934" s="11">
        <f>IF(A934="","",IF(NOT(AND(COUNT(AH934)=1,N(AH934)&gt;0.004,V934&lt;&gt;"Void",V934&lt;&gt;"Not invoiced",V934&lt;&gt;"Draft")),"",IF(COUNT(X934)=0,"No due date",IF(TODAY()-X934&lt;=0,"Not yet due",IF(TODAY()-X934&lt;=30,"1-30 days",IF(TODAY()-X934&lt;=60,"31-60 days",IF(TODAY()-X934&lt;=90,"61-90 days","Over 90 days")))))))</f>
        <v/>
      </c>
      <c r="AM934" s="49">
        <f>IF(OR(AL934="",AL934="No due date"),"",MAX(TODAY()-X934,0))</f>
        <v/>
      </c>
      <c r="AN934" s="49">
        <f>IF(AL934="","",IF(COUNT(X934)=0,-100000,TODAY()-X934))</f>
        <v/>
      </c>
      <c r="AO934" s="49">
        <f>IF(AN934="","",COUNTIF(AN$11:AN$1010,"&gt;"&amp;AN934)+COUNTIF(AN$11:AN934,AN934))</f>
        <v/>
      </c>
      <c r="AP934" s="49">
        <f>IF(OR(A934="",B934=""),"",IF(COUNTIF(B$11:B934,B934)=1,MAX(AP$10:AP933)+1,""))</f>
        <v/>
      </c>
    </row>
    <row r="935">
      <c r="A935" s="20" t="n"/>
      <c r="B935" s="10" t="n"/>
      <c r="C935" s="10" t="n"/>
      <c r="D935" s="10" t="n"/>
      <c r="E935" s="10" t="n"/>
      <c r="F935" s="18" t="n"/>
      <c r="G935" s="10" t="n"/>
      <c r="H935" s="12" t="n"/>
      <c r="I935" s="12" t="n"/>
      <c r="J935" s="13">
        <f>IF(OR(A935="",COUNT(H935)=0,COUNT(Z935)=0),"",ROUND(Z935-H935,2))</f>
        <v/>
      </c>
      <c r="K935" s="15">
        <f>IF(COUNT(J935)=0,"",IF(Z935=0,"n.a.",J935/Z935))</f>
        <v/>
      </c>
      <c r="L935" s="14">
        <f>IF(OR(A935="",COUNT(H935)=0,COUNT(Y935)=0),"",ROUND(H935*(1+Y935),2))</f>
        <v/>
      </c>
      <c r="M935" s="10" t="n"/>
      <c r="N935" s="10" t="n"/>
      <c r="O935" s="10" t="n"/>
      <c r="P935" s="10" t="n"/>
      <c r="Q935" s="20" t="n"/>
      <c r="R935" s="10" t="n"/>
      <c r="S935" s="10" t="n"/>
      <c r="T935" s="18" t="n"/>
      <c r="U935" s="18" t="n"/>
      <c r="V935" s="10" t="n"/>
      <c r="W935" s="10" t="n"/>
      <c r="X935" s="19">
        <f>IF(OR(A935="",COUNT(U935)=0,COUNT(AI935)=0),"",U935+AI935)</f>
        <v/>
      </c>
      <c r="Y935" s="16" t="n"/>
      <c r="Z935" s="12" t="n"/>
      <c r="AA935" s="17">
        <f>IF(COUNT(J935)=0,"",IF(H935=0,"n.a.",J935/H935))</f>
        <v/>
      </c>
      <c r="AB935" s="12" t="n"/>
      <c r="AC935" s="12" t="n"/>
      <c r="AD935" s="12" t="n"/>
      <c r="AE935" s="13">
        <f>IF(OR(COUNT(J935)=0,COUNT(AB935:AD935)&lt;3),"",ROUND(J935-SUM(AB935:AD935),2))</f>
        <v/>
      </c>
      <c r="AF935" s="15">
        <f>IF(COUNT(AE935)=0,"",IF(Z935=0,"n.a.",AE935/Z935))</f>
        <v/>
      </c>
      <c r="AG935" s="12" t="n"/>
      <c r="AH935" s="14">
        <f>IF(OR(A935="",COUNT(Z935)=0,COUNT(AG935)=0),"",ROUND(Z935-AG935,2))</f>
        <v/>
      </c>
      <c r="AI935" s="21" t="n"/>
      <c r="AJ935" s="11">
        <f>IF(A935="","",IF(COUNT(I935)=0,"Enter approved NTE",IF(COUNT(Z935)&gt;0,IF(Z935&gt;I935,"Invoice exceeds NTE","Invoice within NTE"),IF(COUNT(L935)=0,"Enter quote inputs",IF(L935&gt;I935,"Quote exceeds NTE","Quote within NTE")))))</f>
        <v/>
      </c>
      <c r="AK935" s="11">
        <f>IF(A935="","",IF(COUNT(H935)=0,"Enter direct cost",IF(COUNT(Z935)=0,"Enter invoice revenue",IF(COUNT(AB935:AD935)&lt;3,"Enter expenses (0 if none)","Complete"))))</f>
        <v/>
      </c>
      <c r="AL935" s="11">
        <f>IF(A935="","",IF(NOT(AND(COUNT(AH935)=1,N(AH935)&gt;0.004,V935&lt;&gt;"Void",V935&lt;&gt;"Not invoiced",V935&lt;&gt;"Draft")),"",IF(COUNT(X935)=0,"No due date",IF(TODAY()-X935&lt;=0,"Not yet due",IF(TODAY()-X935&lt;=30,"1-30 days",IF(TODAY()-X935&lt;=60,"31-60 days",IF(TODAY()-X935&lt;=90,"61-90 days","Over 90 days")))))))</f>
        <v/>
      </c>
      <c r="AM935" s="49">
        <f>IF(OR(AL935="",AL935="No due date"),"",MAX(TODAY()-X935,0))</f>
        <v/>
      </c>
      <c r="AN935" s="49">
        <f>IF(AL935="","",IF(COUNT(X935)=0,-100000,TODAY()-X935))</f>
        <v/>
      </c>
      <c r="AO935" s="49">
        <f>IF(AN935="","",COUNTIF(AN$11:AN$1010,"&gt;"&amp;AN935)+COUNTIF(AN$11:AN935,AN935))</f>
        <v/>
      </c>
      <c r="AP935" s="49">
        <f>IF(OR(A935="",B935=""),"",IF(COUNTIF(B$11:B935,B935)=1,MAX(AP$10:AP934)+1,""))</f>
        <v/>
      </c>
    </row>
    <row r="936">
      <c r="A936" s="20" t="n"/>
      <c r="B936" s="10" t="n"/>
      <c r="C936" s="10" t="n"/>
      <c r="D936" s="10" t="n"/>
      <c r="E936" s="10" t="n"/>
      <c r="F936" s="18" t="n"/>
      <c r="G936" s="10" t="n"/>
      <c r="H936" s="12" t="n"/>
      <c r="I936" s="12" t="n"/>
      <c r="J936" s="13">
        <f>IF(OR(A936="",COUNT(H936)=0,COUNT(Z936)=0),"",ROUND(Z936-H936,2))</f>
        <v/>
      </c>
      <c r="K936" s="15">
        <f>IF(COUNT(J936)=0,"",IF(Z936=0,"n.a.",J936/Z936))</f>
        <v/>
      </c>
      <c r="L936" s="14">
        <f>IF(OR(A936="",COUNT(H936)=0,COUNT(Y936)=0),"",ROUND(H936*(1+Y936),2))</f>
        <v/>
      </c>
      <c r="M936" s="10" t="n"/>
      <c r="N936" s="10" t="n"/>
      <c r="O936" s="10" t="n"/>
      <c r="P936" s="10" t="n"/>
      <c r="Q936" s="20" t="n"/>
      <c r="R936" s="10" t="n"/>
      <c r="S936" s="10" t="n"/>
      <c r="T936" s="18" t="n"/>
      <c r="U936" s="18" t="n"/>
      <c r="V936" s="10" t="n"/>
      <c r="W936" s="10" t="n"/>
      <c r="X936" s="19">
        <f>IF(OR(A936="",COUNT(U936)=0,COUNT(AI936)=0),"",U936+AI936)</f>
        <v/>
      </c>
      <c r="Y936" s="16" t="n"/>
      <c r="Z936" s="12" t="n"/>
      <c r="AA936" s="17">
        <f>IF(COUNT(J936)=0,"",IF(H936=0,"n.a.",J936/H936))</f>
        <v/>
      </c>
      <c r="AB936" s="12" t="n"/>
      <c r="AC936" s="12" t="n"/>
      <c r="AD936" s="12" t="n"/>
      <c r="AE936" s="13">
        <f>IF(OR(COUNT(J936)=0,COUNT(AB936:AD936)&lt;3),"",ROUND(J936-SUM(AB936:AD936),2))</f>
        <v/>
      </c>
      <c r="AF936" s="15">
        <f>IF(COUNT(AE936)=0,"",IF(Z936=0,"n.a.",AE936/Z936))</f>
        <v/>
      </c>
      <c r="AG936" s="12" t="n"/>
      <c r="AH936" s="14">
        <f>IF(OR(A936="",COUNT(Z936)=0,COUNT(AG936)=0),"",ROUND(Z936-AG936,2))</f>
        <v/>
      </c>
      <c r="AI936" s="21" t="n"/>
      <c r="AJ936" s="11">
        <f>IF(A936="","",IF(COUNT(I936)=0,"Enter approved NTE",IF(COUNT(Z936)&gt;0,IF(Z936&gt;I936,"Invoice exceeds NTE","Invoice within NTE"),IF(COUNT(L936)=0,"Enter quote inputs",IF(L936&gt;I936,"Quote exceeds NTE","Quote within NTE")))))</f>
        <v/>
      </c>
      <c r="AK936" s="11">
        <f>IF(A936="","",IF(COUNT(H936)=0,"Enter direct cost",IF(COUNT(Z936)=0,"Enter invoice revenue",IF(COUNT(AB936:AD936)&lt;3,"Enter expenses (0 if none)","Complete"))))</f>
        <v/>
      </c>
      <c r="AL936" s="11">
        <f>IF(A936="","",IF(NOT(AND(COUNT(AH936)=1,N(AH936)&gt;0.004,V936&lt;&gt;"Void",V936&lt;&gt;"Not invoiced",V936&lt;&gt;"Draft")),"",IF(COUNT(X936)=0,"No due date",IF(TODAY()-X936&lt;=0,"Not yet due",IF(TODAY()-X936&lt;=30,"1-30 days",IF(TODAY()-X936&lt;=60,"31-60 days",IF(TODAY()-X936&lt;=90,"61-90 days","Over 90 days")))))))</f>
        <v/>
      </c>
      <c r="AM936" s="49">
        <f>IF(OR(AL936="",AL936="No due date"),"",MAX(TODAY()-X936,0))</f>
        <v/>
      </c>
      <c r="AN936" s="49">
        <f>IF(AL936="","",IF(COUNT(X936)=0,-100000,TODAY()-X936))</f>
        <v/>
      </c>
      <c r="AO936" s="49">
        <f>IF(AN936="","",COUNTIF(AN$11:AN$1010,"&gt;"&amp;AN936)+COUNTIF(AN$11:AN936,AN936))</f>
        <v/>
      </c>
      <c r="AP936" s="49">
        <f>IF(OR(A936="",B936=""),"",IF(COUNTIF(B$11:B936,B936)=1,MAX(AP$10:AP935)+1,""))</f>
        <v/>
      </c>
    </row>
    <row r="937">
      <c r="A937" s="20" t="n"/>
      <c r="B937" s="10" t="n"/>
      <c r="C937" s="10" t="n"/>
      <c r="D937" s="10" t="n"/>
      <c r="E937" s="10" t="n"/>
      <c r="F937" s="18" t="n"/>
      <c r="G937" s="10" t="n"/>
      <c r="H937" s="12" t="n"/>
      <c r="I937" s="12" t="n"/>
      <c r="J937" s="13">
        <f>IF(OR(A937="",COUNT(H937)=0,COUNT(Z937)=0),"",ROUND(Z937-H937,2))</f>
        <v/>
      </c>
      <c r="K937" s="15">
        <f>IF(COUNT(J937)=0,"",IF(Z937=0,"n.a.",J937/Z937))</f>
        <v/>
      </c>
      <c r="L937" s="14">
        <f>IF(OR(A937="",COUNT(H937)=0,COUNT(Y937)=0),"",ROUND(H937*(1+Y937),2))</f>
        <v/>
      </c>
      <c r="M937" s="10" t="n"/>
      <c r="N937" s="10" t="n"/>
      <c r="O937" s="10" t="n"/>
      <c r="P937" s="10" t="n"/>
      <c r="Q937" s="20" t="n"/>
      <c r="R937" s="10" t="n"/>
      <c r="S937" s="10" t="n"/>
      <c r="T937" s="18" t="n"/>
      <c r="U937" s="18" t="n"/>
      <c r="V937" s="10" t="n"/>
      <c r="W937" s="10" t="n"/>
      <c r="X937" s="19">
        <f>IF(OR(A937="",COUNT(U937)=0,COUNT(AI937)=0),"",U937+AI937)</f>
        <v/>
      </c>
      <c r="Y937" s="16" t="n"/>
      <c r="Z937" s="12" t="n"/>
      <c r="AA937" s="17">
        <f>IF(COUNT(J937)=0,"",IF(H937=0,"n.a.",J937/H937))</f>
        <v/>
      </c>
      <c r="AB937" s="12" t="n"/>
      <c r="AC937" s="12" t="n"/>
      <c r="AD937" s="12" t="n"/>
      <c r="AE937" s="13">
        <f>IF(OR(COUNT(J937)=0,COUNT(AB937:AD937)&lt;3),"",ROUND(J937-SUM(AB937:AD937),2))</f>
        <v/>
      </c>
      <c r="AF937" s="15">
        <f>IF(COUNT(AE937)=0,"",IF(Z937=0,"n.a.",AE937/Z937))</f>
        <v/>
      </c>
      <c r="AG937" s="12" t="n"/>
      <c r="AH937" s="14">
        <f>IF(OR(A937="",COUNT(Z937)=0,COUNT(AG937)=0),"",ROUND(Z937-AG937,2))</f>
        <v/>
      </c>
      <c r="AI937" s="21" t="n"/>
      <c r="AJ937" s="11">
        <f>IF(A937="","",IF(COUNT(I937)=0,"Enter approved NTE",IF(COUNT(Z937)&gt;0,IF(Z937&gt;I937,"Invoice exceeds NTE","Invoice within NTE"),IF(COUNT(L937)=0,"Enter quote inputs",IF(L937&gt;I937,"Quote exceeds NTE","Quote within NTE")))))</f>
        <v/>
      </c>
      <c r="AK937" s="11">
        <f>IF(A937="","",IF(COUNT(H937)=0,"Enter direct cost",IF(COUNT(Z937)=0,"Enter invoice revenue",IF(COUNT(AB937:AD937)&lt;3,"Enter expenses (0 if none)","Complete"))))</f>
        <v/>
      </c>
      <c r="AL937" s="11">
        <f>IF(A937="","",IF(NOT(AND(COUNT(AH937)=1,N(AH937)&gt;0.004,V937&lt;&gt;"Void",V937&lt;&gt;"Not invoiced",V937&lt;&gt;"Draft")),"",IF(COUNT(X937)=0,"No due date",IF(TODAY()-X937&lt;=0,"Not yet due",IF(TODAY()-X937&lt;=30,"1-30 days",IF(TODAY()-X937&lt;=60,"31-60 days",IF(TODAY()-X937&lt;=90,"61-90 days","Over 90 days")))))))</f>
        <v/>
      </c>
      <c r="AM937" s="49">
        <f>IF(OR(AL937="",AL937="No due date"),"",MAX(TODAY()-X937,0))</f>
        <v/>
      </c>
      <c r="AN937" s="49">
        <f>IF(AL937="","",IF(COUNT(X937)=0,-100000,TODAY()-X937))</f>
        <v/>
      </c>
      <c r="AO937" s="49">
        <f>IF(AN937="","",COUNTIF(AN$11:AN$1010,"&gt;"&amp;AN937)+COUNTIF(AN$11:AN937,AN937))</f>
        <v/>
      </c>
      <c r="AP937" s="49">
        <f>IF(OR(A937="",B937=""),"",IF(COUNTIF(B$11:B937,B937)=1,MAX(AP$10:AP936)+1,""))</f>
        <v/>
      </c>
    </row>
    <row r="938">
      <c r="A938" s="20" t="n"/>
      <c r="B938" s="10" t="n"/>
      <c r="C938" s="10" t="n"/>
      <c r="D938" s="10" t="n"/>
      <c r="E938" s="10" t="n"/>
      <c r="F938" s="18" t="n"/>
      <c r="G938" s="10" t="n"/>
      <c r="H938" s="12" t="n"/>
      <c r="I938" s="12" t="n"/>
      <c r="J938" s="13">
        <f>IF(OR(A938="",COUNT(H938)=0,COUNT(Z938)=0),"",ROUND(Z938-H938,2))</f>
        <v/>
      </c>
      <c r="K938" s="15">
        <f>IF(COUNT(J938)=0,"",IF(Z938=0,"n.a.",J938/Z938))</f>
        <v/>
      </c>
      <c r="L938" s="14">
        <f>IF(OR(A938="",COUNT(H938)=0,COUNT(Y938)=0),"",ROUND(H938*(1+Y938),2))</f>
        <v/>
      </c>
      <c r="M938" s="10" t="n"/>
      <c r="N938" s="10" t="n"/>
      <c r="O938" s="10" t="n"/>
      <c r="P938" s="10" t="n"/>
      <c r="Q938" s="20" t="n"/>
      <c r="R938" s="10" t="n"/>
      <c r="S938" s="10" t="n"/>
      <c r="T938" s="18" t="n"/>
      <c r="U938" s="18" t="n"/>
      <c r="V938" s="10" t="n"/>
      <c r="W938" s="10" t="n"/>
      <c r="X938" s="19">
        <f>IF(OR(A938="",COUNT(U938)=0,COUNT(AI938)=0),"",U938+AI938)</f>
        <v/>
      </c>
      <c r="Y938" s="16" t="n"/>
      <c r="Z938" s="12" t="n"/>
      <c r="AA938" s="17">
        <f>IF(COUNT(J938)=0,"",IF(H938=0,"n.a.",J938/H938))</f>
        <v/>
      </c>
      <c r="AB938" s="12" t="n"/>
      <c r="AC938" s="12" t="n"/>
      <c r="AD938" s="12" t="n"/>
      <c r="AE938" s="13">
        <f>IF(OR(COUNT(J938)=0,COUNT(AB938:AD938)&lt;3),"",ROUND(J938-SUM(AB938:AD938),2))</f>
        <v/>
      </c>
      <c r="AF938" s="15">
        <f>IF(COUNT(AE938)=0,"",IF(Z938=0,"n.a.",AE938/Z938))</f>
        <v/>
      </c>
      <c r="AG938" s="12" t="n"/>
      <c r="AH938" s="14">
        <f>IF(OR(A938="",COUNT(Z938)=0,COUNT(AG938)=0),"",ROUND(Z938-AG938,2))</f>
        <v/>
      </c>
      <c r="AI938" s="21" t="n"/>
      <c r="AJ938" s="11">
        <f>IF(A938="","",IF(COUNT(I938)=0,"Enter approved NTE",IF(COUNT(Z938)&gt;0,IF(Z938&gt;I938,"Invoice exceeds NTE","Invoice within NTE"),IF(COUNT(L938)=0,"Enter quote inputs",IF(L938&gt;I938,"Quote exceeds NTE","Quote within NTE")))))</f>
        <v/>
      </c>
      <c r="AK938" s="11">
        <f>IF(A938="","",IF(COUNT(H938)=0,"Enter direct cost",IF(COUNT(Z938)=0,"Enter invoice revenue",IF(COUNT(AB938:AD938)&lt;3,"Enter expenses (0 if none)","Complete"))))</f>
        <v/>
      </c>
      <c r="AL938" s="11">
        <f>IF(A938="","",IF(NOT(AND(COUNT(AH938)=1,N(AH938)&gt;0.004,V938&lt;&gt;"Void",V938&lt;&gt;"Not invoiced",V938&lt;&gt;"Draft")),"",IF(COUNT(X938)=0,"No due date",IF(TODAY()-X938&lt;=0,"Not yet due",IF(TODAY()-X938&lt;=30,"1-30 days",IF(TODAY()-X938&lt;=60,"31-60 days",IF(TODAY()-X938&lt;=90,"61-90 days","Over 90 days")))))))</f>
        <v/>
      </c>
      <c r="AM938" s="49">
        <f>IF(OR(AL938="",AL938="No due date"),"",MAX(TODAY()-X938,0))</f>
        <v/>
      </c>
      <c r="AN938" s="49">
        <f>IF(AL938="","",IF(COUNT(X938)=0,-100000,TODAY()-X938))</f>
        <v/>
      </c>
      <c r="AO938" s="49">
        <f>IF(AN938="","",COUNTIF(AN$11:AN$1010,"&gt;"&amp;AN938)+COUNTIF(AN$11:AN938,AN938))</f>
        <v/>
      </c>
      <c r="AP938" s="49">
        <f>IF(OR(A938="",B938=""),"",IF(COUNTIF(B$11:B938,B938)=1,MAX(AP$10:AP937)+1,""))</f>
        <v/>
      </c>
    </row>
    <row r="939">
      <c r="A939" s="20" t="n"/>
      <c r="B939" s="10" t="n"/>
      <c r="C939" s="10" t="n"/>
      <c r="D939" s="10" t="n"/>
      <c r="E939" s="10" t="n"/>
      <c r="F939" s="18" t="n"/>
      <c r="G939" s="10" t="n"/>
      <c r="H939" s="12" t="n"/>
      <c r="I939" s="12" t="n"/>
      <c r="J939" s="13">
        <f>IF(OR(A939="",COUNT(H939)=0,COUNT(Z939)=0),"",ROUND(Z939-H939,2))</f>
        <v/>
      </c>
      <c r="K939" s="15">
        <f>IF(COUNT(J939)=0,"",IF(Z939=0,"n.a.",J939/Z939))</f>
        <v/>
      </c>
      <c r="L939" s="14">
        <f>IF(OR(A939="",COUNT(H939)=0,COUNT(Y939)=0),"",ROUND(H939*(1+Y939),2))</f>
        <v/>
      </c>
      <c r="M939" s="10" t="n"/>
      <c r="N939" s="10" t="n"/>
      <c r="O939" s="10" t="n"/>
      <c r="P939" s="10" t="n"/>
      <c r="Q939" s="20" t="n"/>
      <c r="R939" s="10" t="n"/>
      <c r="S939" s="10" t="n"/>
      <c r="T939" s="18" t="n"/>
      <c r="U939" s="18" t="n"/>
      <c r="V939" s="10" t="n"/>
      <c r="W939" s="10" t="n"/>
      <c r="X939" s="19">
        <f>IF(OR(A939="",COUNT(U939)=0,COUNT(AI939)=0),"",U939+AI939)</f>
        <v/>
      </c>
      <c r="Y939" s="16" t="n"/>
      <c r="Z939" s="12" t="n"/>
      <c r="AA939" s="17">
        <f>IF(COUNT(J939)=0,"",IF(H939=0,"n.a.",J939/H939))</f>
        <v/>
      </c>
      <c r="AB939" s="12" t="n"/>
      <c r="AC939" s="12" t="n"/>
      <c r="AD939" s="12" t="n"/>
      <c r="AE939" s="13">
        <f>IF(OR(COUNT(J939)=0,COUNT(AB939:AD939)&lt;3),"",ROUND(J939-SUM(AB939:AD939),2))</f>
        <v/>
      </c>
      <c r="AF939" s="15">
        <f>IF(COUNT(AE939)=0,"",IF(Z939=0,"n.a.",AE939/Z939))</f>
        <v/>
      </c>
      <c r="AG939" s="12" t="n"/>
      <c r="AH939" s="14">
        <f>IF(OR(A939="",COUNT(Z939)=0,COUNT(AG939)=0),"",ROUND(Z939-AG939,2))</f>
        <v/>
      </c>
      <c r="AI939" s="21" t="n"/>
      <c r="AJ939" s="11">
        <f>IF(A939="","",IF(COUNT(I939)=0,"Enter approved NTE",IF(COUNT(Z939)&gt;0,IF(Z939&gt;I939,"Invoice exceeds NTE","Invoice within NTE"),IF(COUNT(L939)=0,"Enter quote inputs",IF(L939&gt;I939,"Quote exceeds NTE","Quote within NTE")))))</f>
        <v/>
      </c>
      <c r="AK939" s="11">
        <f>IF(A939="","",IF(COUNT(H939)=0,"Enter direct cost",IF(COUNT(Z939)=0,"Enter invoice revenue",IF(COUNT(AB939:AD939)&lt;3,"Enter expenses (0 if none)","Complete"))))</f>
        <v/>
      </c>
      <c r="AL939" s="11">
        <f>IF(A939="","",IF(NOT(AND(COUNT(AH939)=1,N(AH939)&gt;0.004,V939&lt;&gt;"Void",V939&lt;&gt;"Not invoiced",V939&lt;&gt;"Draft")),"",IF(COUNT(X939)=0,"No due date",IF(TODAY()-X939&lt;=0,"Not yet due",IF(TODAY()-X939&lt;=30,"1-30 days",IF(TODAY()-X939&lt;=60,"31-60 days",IF(TODAY()-X939&lt;=90,"61-90 days","Over 90 days")))))))</f>
        <v/>
      </c>
      <c r="AM939" s="49">
        <f>IF(OR(AL939="",AL939="No due date"),"",MAX(TODAY()-X939,0))</f>
        <v/>
      </c>
      <c r="AN939" s="49">
        <f>IF(AL939="","",IF(COUNT(X939)=0,-100000,TODAY()-X939))</f>
        <v/>
      </c>
      <c r="AO939" s="49">
        <f>IF(AN939="","",COUNTIF(AN$11:AN$1010,"&gt;"&amp;AN939)+COUNTIF(AN$11:AN939,AN939))</f>
        <v/>
      </c>
      <c r="AP939" s="49">
        <f>IF(OR(A939="",B939=""),"",IF(COUNTIF(B$11:B939,B939)=1,MAX(AP$10:AP938)+1,""))</f>
        <v/>
      </c>
    </row>
    <row r="940">
      <c r="A940" s="20" t="n"/>
      <c r="B940" s="10" t="n"/>
      <c r="C940" s="10" t="n"/>
      <c r="D940" s="10" t="n"/>
      <c r="E940" s="10" t="n"/>
      <c r="F940" s="18" t="n"/>
      <c r="G940" s="10" t="n"/>
      <c r="H940" s="12" t="n"/>
      <c r="I940" s="12" t="n"/>
      <c r="J940" s="13">
        <f>IF(OR(A940="",COUNT(H940)=0,COUNT(Z940)=0),"",ROUND(Z940-H940,2))</f>
        <v/>
      </c>
      <c r="K940" s="15">
        <f>IF(COUNT(J940)=0,"",IF(Z940=0,"n.a.",J940/Z940))</f>
        <v/>
      </c>
      <c r="L940" s="14">
        <f>IF(OR(A940="",COUNT(H940)=0,COUNT(Y940)=0),"",ROUND(H940*(1+Y940),2))</f>
        <v/>
      </c>
      <c r="M940" s="10" t="n"/>
      <c r="N940" s="10" t="n"/>
      <c r="O940" s="10" t="n"/>
      <c r="P940" s="10" t="n"/>
      <c r="Q940" s="20" t="n"/>
      <c r="R940" s="10" t="n"/>
      <c r="S940" s="10" t="n"/>
      <c r="T940" s="18" t="n"/>
      <c r="U940" s="18" t="n"/>
      <c r="V940" s="10" t="n"/>
      <c r="W940" s="10" t="n"/>
      <c r="X940" s="19">
        <f>IF(OR(A940="",COUNT(U940)=0,COUNT(AI940)=0),"",U940+AI940)</f>
        <v/>
      </c>
      <c r="Y940" s="16" t="n"/>
      <c r="Z940" s="12" t="n"/>
      <c r="AA940" s="17">
        <f>IF(COUNT(J940)=0,"",IF(H940=0,"n.a.",J940/H940))</f>
        <v/>
      </c>
      <c r="AB940" s="12" t="n"/>
      <c r="AC940" s="12" t="n"/>
      <c r="AD940" s="12" t="n"/>
      <c r="AE940" s="13">
        <f>IF(OR(COUNT(J940)=0,COUNT(AB940:AD940)&lt;3),"",ROUND(J940-SUM(AB940:AD940),2))</f>
        <v/>
      </c>
      <c r="AF940" s="15">
        <f>IF(COUNT(AE940)=0,"",IF(Z940=0,"n.a.",AE940/Z940))</f>
        <v/>
      </c>
      <c r="AG940" s="12" t="n"/>
      <c r="AH940" s="14">
        <f>IF(OR(A940="",COUNT(Z940)=0,COUNT(AG940)=0),"",ROUND(Z940-AG940,2))</f>
        <v/>
      </c>
      <c r="AI940" s="21" t="n"/>
      <c r="AJ940" s="11">
        <f>IF(A940="","",IF(COUNT(I940)=0,"Enter approved NTE",IF(COUNT(Z940)&gt;0,IF(Z940&gt;I940,"Invoice exceeds NTE","Invoice within NTE"),IF(COUNT(L940)=0,"Enter quote inputs",IF(L940&gt;I940,"Quote exceeds NTE","Quote within NTE")))))</f>
        <v/>
      </c>
      <c r="AK940" s="11">
        <f>IF(A940="","",IF(COUNT(H940)=0,"Enter direct cost",IF(COUNT(Z940)=0,"Enter invoice revenue",IF(COUNT(AB940:AD940)&lt;3,"Enter expenses (0 if none)","Complete"))))</f>
        <v/>
      </c>
      <c r="AL940" s="11">
        <f>IF(A940="","",IF(NOT(AND(COUNT(AH940)=1,N(AH940)&gt;0.004,V940&lt;&gt;"Void",V940&lt;&gt;"Not invoiced",V940&lt;&gt;"Draft")),"",IF(COUNT(X940)=0,"No due date",IF(TODAY()-X940&lt;=0,"Not yet due",IF(TODAY()-X940&lt;=30,"1-30 days",IF(TODAY()-X940&lt;=60,"31-60 days",IF(TODAY()-X940&lt;=90,"61-90 days","Over 90 days")))))))</f>
        <v/>
      </c>
      <c r="AM940" s="49">
        <f>IF(OR(AL940="",AL940="No due date"),"",MAX(TODAY()-X940,0))</f>
        <v/>
      </c>
      <c r="AN940" s="49">
        <f>IF(AL940="","",IF(COUNT(X940)=0,-100000,TODAY()-X940))</f>
        <v/>
      </c>
      <c r="AO940" s="49">
        <f>IF(AN940="","",COUNTIF(AN$11:AN$1010,"&gt;"&amp;AN940)+COUNTIF(AN$11:AN940,AN940))</f>
        <v/>
      </c>
      <c r="AP940" s="49">
        <f>IF(OR(A940="",B940=""),"",IF(COUNTIF(B$11:B940,B940)=1,MAX(AP$10:AP939)+1,""))</f>
        <v/>
      </c>
    </row>
    <row r="941">
      <c r="A941" s="20" t="n"/>
      <c r="B941" s="10" t="n"/>
      <c r="C941" s="10" t="n"/>
      <c r="D941" s="10" t="n"/>
      <c r="E941" s="10" t="n"/>
      <c r="F941" s="18" t="n"/>
      <c r="G941" s="10" t="n"/>
      <c r="H941" s="12" t="n"/>
      <c r="I941" s="12" t="n"/>
      <c r="J941" s="13">
        <f>IF(OR(A941="",COUNT(H941)=0,COUNT(Z941)=0),"",ROUND(Z941-H941,2))</f>
        <v/>
      </c>
      <c r="K941" s="15">
        <f>IF(COUNT(J941)=0,"",IF(Z941=0,"n.a.",J941/Z941))</f>
        <v/>
      </c>
      <c r="L941" s="14">
        <f>IF(OR(A941="",COUNT(H941)=0,COUNT(Y941)=0),"",ROUND(H941*(1+Y941),2))</f>
        <v/>
      </c>
      <c r="M941" s="10" t="n"/>
      <c r="N941" s="10" t="n"/>
      <c r="O941" s="10" t="n"/>
      <c r="P941" s="10" t="n"/>
      <c r="Q941" s="20" t="n"/>
      <c r="R941" s="10" t="n"/>
      <c r="S941" s="10" t="n"/>
      <c r="T941" s="18" t="n"/>
      <c r="U941" s="18" t="n"/>
      <c r="V941" s="10" t="n"/>
      <c r="W941" s="10" t="n"/>
      <c r="X941" s="19">
        <f>IF(OR(A941="",COUNT(U941)=0,COUNT(AI941)=0),"",U941+AI941)</f>
        <v/>
      </c>
      <c r="Y941" s="16" t="n"/>
      <c r="Z941" s="12" t="n"/>
      <c r="AA941" s="17">
        <f>IF(COUNT(J941)=0,"",IF(H941=0,"n.a.",J941/H941))</f>
        <v/>
      </c>
      <c r="AB941" s="12" t="n"/>
      <c r="AC941" s="12" t="n"/>
      <c r="AD941" s="12" t="n"/>
      <c r="AE941" s="13">
        <f>IF(OR(COUNT(J941)=0,COUNT(AB941:AD941)&lt;3),"",ROUND(J941-SUM(AB941:AD941),2))</f>
        <v/>
      </c>
      <c r="AF941" s="15">
        <f>IF(COUNT(AE941)=0,"",IF(Z941=0,"n.a.",AE941/Z941))</f>
        <v/>
      </c>
      <c r="AG941" s="12" t="n"/>
      <c r="AH941" s="14">
        <f>IF(OR(A941="",COUNT(Z941)=0,COUNT(AG941)=0),"",ROUND(Z941-AG941,2))</f>
        <v/>
      </c>
      <c r="AI941" s="21" t="n"/>
      <c r="AJ941" s="11">
        <f>IF(A941="","",IF(COUNT(I941)=0,"Enter approved NTE",IF(COUNT(Z941)&gt;0,IF(Z941&gt;I941,"Invoice exceeds NTE","Invoice within NTE"),IF(COUNT(L941)=0,"Enter quote inputs",IF(L941&gt;I941,"Quote exceeds NTE","Quote within NTE")))))</f>
        <v/>
      </c>
      <c r="AK941" s="11">
        <f>IF(A941="","",IF(COUNT(H941)=0,"Enter direct cost",IF(COUNT(Z941)=0,"Enter invoice revenue",IF(COUNT(AB941:AD941)&lt;3,"Enter expenses (0 if none)","Complete"))))</f>
        <v/>
      </c>
      <c r="AL941" s="11">
        <f>IF(A941="","",IF(NOT(AND(COUNT(AH941)=1,N(AH941)&gt;0.004,V941&lt;&gt;"Void",V941&lt;&gt;"Not invoiced",V941&lt;&gt;"Draft")),"",IF(COUNT(X941)=0,"No due date",IF(TODAY()-X941&lt;=0,"Not yet due",IF(TODAY()-X941&lt;=30,"1-30 days",IF(TODAY()-X941&lt;=60,"31-60 days",IF(TODAY()-X941&lt;=90,"61-90 days","Over 90 days")))))))</f>
        <v/>
      </c>
      <c r="AM941" s="49">
        <f>IF(OR(AL941="",AL941="No due date"),"",MAX(TODAY()-X941,0))</f>
        <v/>
      </c>
      <c r="AN941" s="49">
        <f>IF(AL941="","",IF(COUNT(X941)=0,-100000,TODAY()-X941))</f>
        <v/>
      </c>
      <c r="AO941" s="49">
        <f>IF(AN941="","",COUNTIF(AN$11:AN$1010,"&gt;"&amp;AN941)+COUNTIF(AN$11:AN941,AN941))</f>
        <v/>
      </c>
      <c r="AP941" s="49">
        <f>IF(OR(A941="",B941=""),"",IF(COUNTIF(B$11:B941,B941)=1,MAX(AP$10:AP940)+1,""))</f>
        <v/>
      </c>
    </row>
    <row r="942">
      <c r="A942" s="20" t="n"/>
      <c r="B942" s="10" t="n"/>
      <c r="C942" s="10" t="n"/>
      <c r="D942" s="10" t="n"/>
      <c r="E942" s="10" t="n"/>
      <c r="F942" s="18" t="n"/>
      <c r="G942" s="10" t="n"/>
      <c r="H942" s="12" t="n"/>
      <c r="I942" s="12" t="n"/>
      <c r="J942" s="13">
        <f>IF(OR(A942="",COUNT(H942)=0,COUNT(Z942)=0),"",ROUND(Z942-H942,2))</f>
        <v/>
      </c>
      <c r="K942" s="15">
        <f>IF(COUNT(J942)=0,"",IF(Z942=0,"n.a.",J942/Z942))</f>
        <v/>
      </c>
      <c r="L942" s="14">
        <f>IF(OR(A942="",COUNT(H942)=0,COUNT(Y942)=0),"",ROUND(H942*(1+Y942),2))</f>
        <v/>
      </c>
      <c r="M942" s="10" t="n"/>
      <c r="N942" s="10" t="n"/>
      <c r="O942" s="10" t="n"/>
      <c r="P942" s="10" t="n"/>
      <c r="Q942" s="20" t="n"/>
      <c r="R942" s="10" t="n"/>
      <c r="S942" s="10" t="n"/>
      <c r="T942" s="18" t="n"/>
      <c r="U942" s="18" t="n"/>
      <c r="V942" s="10" t="n"/>
      <c r="W942" s="10" t="n"/>
      <c r="X942" s="19">
        <f>IF(OR(A942="",COUNT(U942)=0,COUNT(AI942)=0),"",U942+AI942)</f>
        <v/>
      </c>
      <c r="Y942" s="16" t="n"/>
      <c r="Z942" s="12" t="n"/>
      <c r="AA942" s="17">
        <f>IF(COUNT(J942)=0,"",IF(H942=0,"n.a.",J942/H942))</f>
        <v/>
      </c>
      <c r="AB942" s="12" t="n"/>
      <c r="AC942" s="12" t="n"/>
      <c r="AD942" s="12" t="n"/>
      <c r="AE942" s="13">
        <f>IF(OR(COUNT(J942)=0,COUNT(AB942:AD942)&lt;3),"",ROUND(J942-SUM(AB942:AD942),2))</f>
        <v/>
      </c>
      <c r="AF942" s="15">
        <f>IF(COUNT(AE942)=0,"",IF(Z942=0,"n.a.",AE942/Z942))</f>
        <v/>
      </c>
      <c r="AG942" s="12" t="n"/>
      <c r="AH942" s="14">
        <f>IF(OR(A942="",COUNT(Z942)=0,COUNT(AG942)=0),"",ROUND(Z942-AG942,2))</f>
        <v/>
      </c>
      <c r="AI942" s="21" t="n"/>
      <c r="AJ942" s="11">
        <f>IF(A942="","",IF(COUNT(I942)=0,"Enter approved NTE",IF(COUNT(Z942)&gt;0,IF(Z942&gt;I942,"Invoice exceeds NTE","Invoice within NTE"),IF(COUNT(L942)=0,"Enter quote inputs",IF(L942&gt;I942,"Quote exceeds NTE","Quote within NTE")))))</f>
        <v/>
      </c>
      <c r="AK942" s="11">
        <f>IF(A942="","",IF(COUNT(H942)=0,"Enter direct cost",IF(COUNT(Z942)=0,"Enter invoice revenue",IF(COUNT(AB942:AD942)&lt;3,"Enter expenses (0 if none)","Complete"))))</f>
        <v/>
      </c>
      <c r="AL942" s="11">
        <f>IF(A942="","",IF(NOT(AND(COUNT(AH942)=1,N(AH942)&gt;0.004,V942&lt;&gt;"Void",V942&lt;&gt;"Not invoiced",V942&lt;&gt;"Draft")),"",IF(COUNT(X942)=0,"No due date",IF(TODAY()-X942&lt;=0,"Not yet due",IF(TODAY()-X942&lt;=30,"1-30 days",IF(TODAY()-X942&lt;=60,"31-60 days",IF(TODAY()-X942&lt;=90,"61-90 days","Over 90 days")))))))</f>
        <v/>
      </c>
      <c r="AM942" s="49">
        <f>IF(OR(AL942="",AL942="No due date"),"",MAX(TODAY()-X942,0))</f>
        <v/>
      </c>
      <c r="AN942" s="49">
        <f>IF(AL942="","",IF(COUNT(X942)=0,-100000,TODAY()-X942))</f>
        <v/>
      </c>
      <c r="AO942" s="49">
        <f>IF(AN942="","",COUNTIF(AN$11:AN$1010,"&gt;"&amp;AN942)+COUNTIF(AN$11:AN942,AN942))</f>
        <v/>
      </c>
      <c r="AP942" s="49">
        <f>IF(OR(A942="",B942=""),"",IF(COUNTIF(B$11:B942,B942)=1,MAX(AP$10:AP941)+1,""))</f>
        <v/>
      </c>
    </row>
    <row r="943">
      <c r="A943" s="20" t="n"/>
      <c r="B943" s="10" t="n"/>
      <c r="C943" s="10" t="n"/>
      <c r="D943" s="10" t="n"/>
      <c r="E943" s="10" t="n"/>
      <c r="F943" s="18" t="n"/>
      <c r="G943" s="10" t="n"/>
      <c r="H943" s="12" t="n"/>
      <c r="I943" s="12" t="n"/>
      <c r="J943" s="13">
        <f>IF(OR(A943="",COUNT(H943)=0,COUNT(Z943)=0),"",ROUND(Z943-H943,2))</f>
        <v/>
      </c>
      <c r="K943" s="15">
        <f>IF(COUNT(J943)=0,"",IF(Z943=0,"n.a.",J943/Z943))</f>
        <v/>
      </c>
      <c r="L943" s="14">
        <f>IF(OR(A943="",COUNT(H943)=0,COUNT(Y943)=0),"",ROUND(H943*(1+Y943),2))</f>
        <v/>
      </c>
      <c r="M943" s="10" t="n"/>
      <c r="N943" s="10" t="n"/>
      <c r="O943" s="10" t="n"/>
      <c r="P943" s="10" t="n"/>
      <c r="Q943" s="20" t="n"/>
      <c r="R943" s="10" t="n"/>
      <c r="S943" s="10" t="n"/>
      <c r="T943" s="18" t="n"/>
      <c r="U943" s="18" t="n"/>
      <c r="V943" s="10" t="n"/>
      <c r="W943" s="10" t="n"/>
      <c r="X943" s="19">
        <f>IF(OR(A943="",COUNT(U943)=0,COUNT(AI943)=0),"",U943+AI943)</f>
        <v/>
      </c>
      <c r="Y943" s="16" t="n"/>
      <c r="Z943" s="12" t="n"/>
      <c r="AA943" s="17">
        <f>IF(COUNT(J943)=0,"",IF(H943=0,"n.a.",J943/H943))</f>
        <v/>
      </c>
      <c r="AB943" s="12" t="n"/>
      <c r="AC943" s="12" t="n"/>
      <c r="AD943" s="12" t="n"/>
      <c r="AE943" s="13">
        <f>IF(OR(COUNT(J943)=0,COUNT(AB943:AD943)&lt;3),"",ROUND(J943-SUM(AB943:AD943),2))</f>
        <v/>
      </c>
      <c r="AF943" s="15">
        <f>IF(COUNT(AE943)=0,"",IF(Z943=0,"n.a.",AE943/Z943))</f>
        <v/>
      </c>
      <c r="AG943" s="12" t="n"/>
      <c r="AH943" s="14">
        <f>IF(OR(A943="",COUNT(Z943)=0,COUNT(AG943)=0),"",ROUND(Z943-AG943,2))</f>
        <v/>
      </c>
      <c r="AI943" s="21" t="n"/>
      <c r="AJ943" s="11">
        <f>IF(A943="","",IF(COUNT(I943)=0,"Enter approved NTE",IF(COUNT(Z943)&gt;0,IF(Z943&gt;I943,"Invoice exceeds NTE","Invoice within NTE"),IF(COUNT(L943)=0,"Enter quote inputs",IF(L943&gt;I943,"Quote exceeds NTE","Quote within NTE")))))</f>
        <v/>
      </c>
      <c r="AK943" s="11">
        <f>IF(A943="","",IF(COUNT(H943)=0,"Enter direct cost",IF(COUNT(Z943)=0,"Enter invoice revenue",IF(COUNT(AB943:AD943)&lt;3,"Enter expenses (0 if none)","Complete"))))</f>
        <v/>
      </c>
      <c r="AL943" s="11">
        <f>IF(A943="","",IF(NOT(AND(COUNT(AH943)=1,N(AH943)&gt;0.004,V943&lt;&gt;"Void",V943&lt;&gt;"Not invoiced",V943&lt;&gt;"Draft")),"",IF(COUNT(X943)=0,"No due date",IF(TODAY()-X943&lt;=0,"Not yet due",IF(TODAY()-X943&lt;=30,"1-30 days",IF(TODAY()-X943&lt;=60,"31-60 days",IF(TODAY()-X943&lt;=90,"61-90 days","Over 90 days")))))))</f>
        <v/>
      </c>
      <c r="AM943" s="49">
        <f>IF(OR(AL943="",AL943="No due date"),"",MAX(TODAY()-X943,0))</f>
        <v/>
      </c>
      <c r="AN943" s="49">
        <f>IF(AL943="","",IF(COUNT(X943)=0,-100000,TODAY()-X943))</f>
        <v/>
      </c>
      <c r="AO943" s="49">
        <f>IF(AN943="","",COUNTIF(AN$11:AN$1010,"&gt;"&amp;AN943)+COUNTIF(AN$11:AN943,AN943))</f>
        <v/>
      </c>
      <c r="AP943" s="49">
        <f>IF(OR(A943="",B943=""),"",IF(COUNTIF(B$11:B943,B943)=1,MAX(AP$10:AP942)+1,""))</f>
        <v/>
      </c>
    </row>
    <row r="944">
      <c r="A944" s="20" t="n"/>
      <c r="B944" s="10" t="n"/>
      <c r="C944" s="10" t="n"/>
      <c r="D944" s="10" t="n"/>
      <c r="E944" s="10" t="n"/>
      <c r="F944" s="18" t="n"/>
      <c r="G944" s="10" t="n"/>
      <c r="H944" s="12" t="n"/>
      <c r="I944" s="12" t="n"/>
      <c r="J944" s="13">
        <f>IF(OR(A944="",COUNT(H944)=0,COUNT(Z944)=0),"",ROUND(Z944-H944,2))</f>
        <v/>
      </c>
      <c r="K944" s="15">
        <f>IF(COUNT(J944)=0,"",IF(Z944=0,"n.a.",J944/Z944))</f>
        <v/>
      </c>
      <c r="L944" s="14">
        <f>IF(OR(A944="",COUNT(H944)=0,COUNT(Y944)=0),"",ROUND(H944*(1+Y944),2))</f>
        <v/>
      </c>
      <c r="M944" s="10" t="n"/>
      <c r="N944" s="10" t="n"/>
      <c r="O944" s="10" t="n"/>
      <c r="P944" s="10" t="n"/>
      <c r="Q944" s="20" t="n"/>
      <c r="R944" s="10" t="n"/>
      <c r="S944" s="10" t="n"/>
      <c r="T944" s="18" t="n"/>
      <c r="U944" s="18" t="n"/>
      <c r="V944" s="10" t="n"/>
      <c r="W944" s="10" t="n"/>
      <c r="X944" s="19">
        <f>IF(OR(A944="",COUNT(U944)=0,COUNT(AI944)=0),"",U944+AI944)</f>
        <v/>
      </c>
      <c r="Y944" s="16" t="n"/>
      <c r="Z944" s="12" t="n"/>
      <c r="AA944" s="17">
        <f>IF(COUNT(J944)=0,"",IF(H944=0,"n.a.",J944/H944))</f>
        <v/>
      </c>
      <c r="AB944" s="12" t="n"/>
      <c r="AC944" s="12" t="n"/>
      <c r="AD944" s="12" t="n"/>
      <c r="AE944" s="13">
        <f>IF(OR(COUNT(J944)=0,COUNT(AB944:AD944)&lt;3),"",ROUND(J944-SUM(AB944:AD944),2))</f>
        <v/>
      </c>
      <c r="AF944" s="15">
        <f>IF(COUNT(AE944)=0,"",IF(Z944=0,"n.a.",AE944/Z944))</f>
        <v/>
      </c>
      <c r="AG944" s="12" t="n"/>
      <c r="AH944" s="14">
        <f>IF(OR(A944="",COUNT(Z944)=0,COUNT(AG944)=0),"",ROUND(Z944-AG944,2))</f>
        <v/>
      </c>
      <c r="AI944" s="21" t="n"/>
      <c r="AJ944" s="11">
        <f>IF(A944="","",IF(COUNT(I944)=0,"Enter approved NTE",IF(COUNT(Z944)&gt;0,IF(Z944&gt;I944,"Invoice exceeds NTE","Invoice within NTE"),IF(COUNT(L944)=0,"Enter quote inputs",IF(L944&gt;I944,"Quote exceeds NTE","Quote within NTE")))))</f>
        <v/>
      </c>
      <c r="AK944" s="11">
        <f>IF(A944="","",IF(COUNT(H944)=0,"Enter direct cost",IF(COUNT(Z944)=0,"Enter invoice revenue",IF(COUNT(AB944:AD944)&lt;3,"Enter expenses (0 if none)","Complete"))))</f>
        <v/>
      </c>
      <c r="AL944" s="11">
        <f>IF(A944="","",IF(NOT(AND(COUNT(AH944)=1,N(AH944)&gt;0.004,V944&lt;&gt;"Void",V944&lt;&gt;"Not invoiced",V944&lt;&gt;"Draft")),"",IF(COUNT(X944)=0,"No due date",IF(TODAY()-X944&lt;=0,"Not yet due",IF(TODAY()-X944&lt;=30,"1-30 days",IF(TODAY()-X944&lt;=60,"31-60 days",IF(TODAY()-X944&lt;=90,"61-90 days","Over 90 days")))))))</f>
        <v/>
      </c>
      <c r="AM944" s="49">
        <f>IF(OR(AL944="",AL944="No due date"),"",MAX(TODAY()-X944,0))</f>
        <v/>
      </c>
      <c r="AN944" s="49">
        <f>IF(AL944="","",IF(COUNT(X944)=0,-100000,TODAY()-X944))</f>
        <v/>
      </c>
      <c r="AO944" s="49">
        <f>IF(AN944="","",COUNTIF(AN$11:AN$1010,"&gt;"&amp;AN944)+COUNTIF(AN$11:AN944,AN944))</f>
        <v/>
      </c>
      <c r="AP944" s="49">
        <f>IF(OR(A944="",B944=""),"",IF(COUNTIF(B$11:B944,B944)=1,MAX(AP$10:AP943)+1,""))</f>
        <v/>
      </c>
    </row>
    <row r="945">
      <c r="A945" s="20" t="n"/>
      <c r="B945" s="10" t="n"/>
      <c r="C945" s="10" t="n"/>
      <c r="D945" s="10" t="n"/>
      <c r="E945" s="10" t="n"/>
      <c r="F945" s="18" t="n"/>
      <c r="G945" s="10" t="n"/>
      <c r="H945" s="12" t="n"/>
      <c r="I945" s="12" t="n"/>
      <c r="J945" s="13">
        <f>IF(OR(A945="",COUNT(H945)=0,COUNT(Z945)=0),"",ROUND(Z945-H945,2))</f>
        <v/>
      </c>
      <c r="K945" s="15">
        <f>IF(COUNT(J945)=0,"",IF(Z945=0,"n.a.",J945/Z945))</f>
        <v/>
      </c>
      <c r="L945" s="14">
        <f>IF(OR(A945="",COUNT(H945)=0,COUNT(Y945)=0),"",ROUND(H945*(1+Y945),2))</f>
        <v/>
      </c>
      <c r="M945" s="10" t="n"/>
      <c r="N945" s="10" t="n"/>
      <c r="O945" s="10" t="n"/>
      <c r="P945" s="10" t="n"/>
      <c r="Q945" s="20" t="n"/>
      <c r="R945" s="10" t="n"/>
      <c r="S945" s="10" t="n"/>
      <c r="T945" s="18" t="n"/>
      <c r="U945" s="18" t="n"/>
      <c r="V945" s="10" t="n"/>
      <c r="W945" s="10" t="n"/>
      <c r="X945" s="19">
        <f>IF(OR(A945="",COUNT(U945)=0,COUNT(AI945)=0),"",U945+AI945)</f>
        <v/>
      </c>
      <c r="Y945" s="16" t="n"/>
      <c r="Z945" s="12" t="n"/>
      <c r="AA945" s="17">
        <f>IF(COUNT(J945)=0,"",IF(H945=0,"n.a.",J945/H945))</f>
        <v/>
      </c>
      <c r="AB945" s="12" t="n"/>
      <c r="AC945" s="12" t="n"/>
      <c r="AD945" s="12" t="n"/>
      <c r="AE945" s="13">
        <f>IF(OR(COUNT(J945)=0,COUNT(AB945:AD945)&lt;3),"",ROUND(J945-SUM(AB945:AD945),2))</f>
        <v/>
      </c>
      <c r="AF945" s="15">
        <f>IF(COUNT(AE945)=0,"",IF(Z945=0,"n.a.",AE945/Z945))</f>
        <v/>
      </c>
      <c r="AG945" s="12" t="n"/>
      <c r="AH945" s="14">
        <f>IF(OR(A945="",COUNT(Z945)=0,COUNT(AG945)=0),"",ROUND(Z945-AG945,2))</f>
        <v/>
      </c>
      <c r="AI945" s="21" t="n"/>
      <c r="AJ945" s="11">
        <f>IF(A945="","",IF(COUNT(I945)=0,"Enter approved NTE",IF(COUNT(Z945)&gt;0,IF(Z945&gt;I945,"Invoice exceeds NTE","Invoice within NTE"),IF(COUNT(L945)=0,"Enter quote inputs",IF(L945&gt;I945,"Quote exceeds NTE","Quote within NTE")))))</f>
        <v/>
      </c>
      <c r="AK945" s="11">
        <f>IF(A945="","",IF(COUNT(H945)=0,"Enter direct cost",IF(COUNT(Z945)=0,"Enter invoice revenue",IF(COUNT(AB945:AD945)&lt;3,"Enter expenses (0 if none)","Complete"))))</f>
        <v/>
      </c>
      <c r="AL945" s="11">
        <f>IF(A945="","",IF(NOT(AND(COUNT(AH945)=1,N(AH945)&gt;0.004,V945&lt;&gt;"Void",V945&lt;&gt;"Not invoiced",V945&lt;&gt;"Draft")),"",IF(COUNT(X945)=0,"No due date",IF(TODAY()-X945&lt;=0,"Not yet due",IF(TODAY()-X945&lt;=30,"1-30 days",IF(TODAY()-X945&lt;=60,"31-60 days",IF(TODAY()-X945&lt;=90,"61-90 days","Over 90 days")))))))</f>
        <v/>
      </c>
      <c r="AM945" s="49">
        <f>IF(OR(AL945="",AL945="No due date"),"",MAX(TODAY()-X945,0))</f>
        <v/>
      </c>
      <c r="AN945" s="49">
        <f>IF(AL945="","",IF(COUNT(X945)=0,-100000,TODAY()-X945))</f>
        <v/>
      </c>
      <c r="AO945" s="49">
        <f>IF(AN945="","",COUNTIF(AN$11:AN$1010,"&gt;"&amp;AN945)+COUNTIF(AN$11:AN945,AN945))</f>
        <v/>
      </c>
      <c r="AP945" s="49">
        <f>IF(OR(A945="",B945=""),"",IF(COUNTIF(B$11:B945,B945)=1,MAX(AP$10:AP944)+1,""))</f>
        <v/>
      </c>
    </row>
    <row r="946">
      <c r="A946" s="20" t="n"/>
      <c r="B946" s="10" t="n"/>
      <c r="C946" s="10" t="n"/>
      <c r="D946" s="10" t="n"/>
      <c r="E946" s="10" t="n"/>
      <c r="F946" s="18" t="n"/>
      <c r="G946" s="10" t="n"/>
      <c r="H946" s="12" t="n"/>
      <c r="I946" s="12" t="n"/>
      <c r="J946" s="13">
        <f>IF(OR(A946="",COUNT(H946)=0,COUNT(Z946)=0),"",ROUND(Z946-H946,2))</f>
        <v/>
      </c>
      <c r="K946" s="15">
        <f>IF(COUNT(J946)=0,"",IF(Z946=0,"n.a.",J946/Z946))</f>
        <v/>
      </c>
      <c r="L946" s="14">
        <f>IF(OR(A946="",COUNT(H946)=0,COUNT(Y946)=0),"",ROUND(H946*(1+Y946),2))</f>
        <v/>
      </c>
      <c r="M946" s="10" t="n"/>
      <c r="N946" s="10" t="n"/>
      <c r="O946" s="10" t="n"/>
      <c r="P946" s="10" t="n"/>
      <c r="Q946" s="20" t="n"/>
      <c r="R946" s="10" t="n"/>
      <c r="S946" s="10" t="n"/>
      <c r="T946" s="18" t="n"/>
      <c r="U946" s="18" t="n"/>
      <c r="V946" s="10" t="n"/>
      <c r="W946" s="10" t="n"/>
      <c r="X946" s="19">
        <f>IF(OR(A946="",COUNT(U946)=0,COUNT(AI946)=0),"",U946+AI946)</f>
        <v/>
      </c>
      <c r="Y946" s="16" t="n"/>
      <c r="Z946" s="12" t="n"/>
      <c r="AA946" s="17">
        <f>IF(COUNT(J946)=0,"",IF(H946=0,"n.a.",J946/H946))</f>
        <v/>
      </c>
      <c r="AB946" s="12" t="n"/>
      <c r="AC946" s="12" t="n"/>
      <c r="AD946" s="12" t="n"/>
      <c r="AE946" s="13">
        <f>IF(OR(COUNT(J946)=0,COUNT(AB946:AD946)&lt;3),"",ROUND(J946-SUM(AB946:AD946),2))</f>
        <v/>
      </c>
      <c r="AF946" s="15">
        <f>IF(COUNT(AE946)=0,"",IF(Z946=0,"n.a.",AE946/Z946))</f>
        <v/>
      </c>
      <c r="AG946" s="12" t="n"/>
      <c r="AH946" s="14">
        <f>IF(OR(A946="",COUNT(Z946)=0,COUNT(AG946)=0),"",ROUND(Z946-AG946,2))</f>
        <v/>
      </c>
      <c r="AI946" s="21" t="n"/>
      <c r="AJ946" s="11">
        <f>IF(A946="","",IF(COUNT(I946)=0,"Enter approved NTE",IF(COUNT(Z946)&gt;0,IF(Z946&gt;I946,"Invoice exceeds NTE","Invoice within NTE"),IF(COUNT(L946)=0,"Enter quote inputs",IF(L946&gt;I946,"Quote exceeds NTE","Quote within NTE")))))</f>
        <v/>
      </c>
      <c r="AK946" s="11">
        <f>IF(A946="","",IF(COUNT(H946)=0,"Enter direct cost",IF(COUNT(Z946)=0,"Enter invoice revenue",IF(COUNT(AB946:AD946)&lt;3,"Enter expenses (0 if none)","Complete"))))</f>
        <v/>
      </c>
      <c r="AL946" s="11">
        <f>IF(A946="","",IF(NOT(AND(COUNT(AH946)=1,N(AH946)&gt;0.004,V946&lt;&gt;"Void",V946&lt;&gt;"Not invoiced",V946&lt;&gt;"Draft")),"",IF(COUNT(X946)=0,"No due date",IF(TODAY()-X946&lt;=0,"Not yet due",IF(TODAY()-X946&lt;=30,"1-30 days",IF(TODAY()-X946&lt;=60,"31-60 days",IF(TODAY()-X946&lt;=90,"61-90 days","Over 90 days")))))))</f>
        <v/>
      </c>
      <c r="AM946" s="49">
        <f>IF(OR(AL946="",AL946="No due date"),"",MAX(TODAY()-X946,0))</f>
        <v/>
      </c>
      <c r="AN946" s="49">
        <f>IF(AL946="","",IF(COUNT(X946)=0,-100000,TODAY()-X946))</f>
        <v/>
      </c>
      <c r="AO946" s="49">
        <f>IF(AN946="","",COUNTIF(AN$11:AN$1010,"&gt;"&amp;AN946)+COUNTIF(AN$11:AN946,AN946))</f>
        <v/>
      </c>
      <c r="AP946" s="49">
        <f>IF(OR(A946="",B946=""),"",IF(COUNTIF(B$11:B946,B946)=1,MAX(AP$10:AP945)+1,""))</f>
        <v/>
      </c>
    </row>
    <row r="947">
      <c r="A947" s="20" t="n"/>
      <c r="B947" s="10" t="n"/>
      <c r="C947" s="10" t="n"/>
      <c r="D947" s="10" t="n"/>
      <c r="E947" s="10" t="n"/>
      <c r="F947" s="18" t="n"/>
      <c r="G947" s="10" t="n"/>
      <c r="H947" s="12" t="n"/>
      <c r="I947" s="12" t="n"/>
      <c r="J947" s="13">
        <f>IF(OR(A947="",COUNT(H947)=0,COUNT(Z947)=0),"",ROUND(Z947-H947,2))</f>
        <v/>
      </c>
      <c r="K947" s="15">
        <f>IF(COUNT(J947)=0,"",IF(Z947=0,"n.a.",J947/Z947))</f>
        <v/>
      </c>
      <c r="L947" s="14">
        <f>IF(OR(A947="",COUNT(H947)=0,COUNT(Y947)=0),"",ROUND(H947*(1+Y947),2))</f>
        <v/>
      </c>
      <c r="M947" s="10" t="n"/>
      <c r="N947" s="10" t="n"/>
      <c r="O947" s="10" t="n"/>
      <c r="P947" s="10" t="n"/>
      <c r="Q947" s="20" t="n"/>
      <c r="R947" s="10" t="n"/>
      <c r="S947" s="10" t="n"/>
      <c r="T947" s="18" t="n"/>
      <c r="U947" s="18" t="n"/>
      <c r="V947" s="10" t="n"/>
      <c r="W947" s="10" t="n"/>
      <c r="X947" s="19">
        <f>IF(OR(A947="",COUNT(U947)=0,COUNT(AI947)=0),"",U947+AI947)</f>
        <v/>
      </c>
      <c r="Y947" s="16" t="n"/>
      <c r="Z947" s="12" t="n"/>
      <c r="AA947" s="17">
        <f>IF(COUNT(J947)=0,"",IF(H947=0,"n.a.",J947/H947))</f>
        <v/>
      </c>
      <c r="AB947" s="12" t="n"/>
      <c r="AC947" s="12" t="n"/>
      <c r="AD947" s="12" t="n"/>
      <c r="AE947" s="13">
        <f>IF(OR(COUNT(J947)=0,COUNT(AB947:AD947)&lt;3),"",ROUND(J947-SUM(AB947:AD947),2))</f>
        <v/>
      </c>
      <c r="AF947" s="15">
        <f>IF(COUNT(AE947)=0,"",IF(Z947=0,"n.a.",AE947/Z947))</f>
        <v/>
      </c>
      <c r="AG947" s="12" t="n"/>
      <c r="AH947" s="14">
        <f>IF(OR(A947="",COUNT(Z947)=0,COUNT(AG947)=0),"",ROUND(Z947-AG947,2))</f>
        <v/>
      </c>
      <c r="AI947" s="21" t="n"/>
      <c r="AJ947" s="11">
        <f>IF(A947="","",IF(COUNT(I947)=0,"Enter approved NTE",IF(COUNT(Z947)&gt;0,IF(Z947&gt;I947,"Invoice exceeds NTE","Invoice within NTE"),IF(COUNT(L947)=0,"Enter quote inputs",IF(L947&gt;I947,"Quote exceeds NTE","Quote within NTE")))))</f>
        <v/>
      </c>
      <c r="AK947" s="11">
        <f>IF(A947="","",IF(COUNT(H947)=0,"Enter direct cost",IF(COUNT(Z947)=0,"Enter invoice revenue",IF(COUNT(AB947:AD947)&lt;3,"Enter expenses (0 if none)","Complete"))))</f>
        <v/>
      </c>
      <c r="AL947" s="11">
        <f>IF(A947="","",IF(NOT(AND(COUNT(AH947)=1,N(AH947)&gt;0.004,V947&lt;&gt;"Void",V947&lt;&gt;"Not invoiced",V947&lt;&gt;"Draft")),"",IF(COUNT(X947)=0,"No due date",IF(TODAY()-X947&lt;=0,"Not yet due",IF(TODAY()-X947&lt;=30,"1-30 days",IF(TODAY()-X947&lt;=60,"31-60 days",IF(TODAY()-X947&lt;=90,"61-90 days","Over 90 days")))))))</f>
        <v/>
      </c>
      <c r="AM947" s="49">
        <f>IF(OR(AL947="",AL947="No due date"),"",MAX(TODAY()-X947,0))</f>
        <v/>
      </c>
      <c r="AN947" s="49">
        <f>IF(AL947="","",IF(COUNT(X947)=0,-100000,TODAY()-X947))</f>
        <v/>
      </c>
      <c r="AO947" s="49">
        <f>IF(AN947="","",COUNTIF(AN$11:AN$1010,"&gt;"&amp;AN947)+COUNTIF(AN$11:AN947,AN947))</f>
        <v/>
      </c>
      <c r="AP947" s="49">
        <f>IF(OR(A947="",B947=""),"",IF(COUNTIF(B$11:B947,B947)=1,MAX(AP$10:AP946)+1,""))</f>
        <v/>
      </c>
    </row>
    <row r="948">
      <c r="A948" s="20" t="n"/>
      <c r="B948" s="10" t="n"/>
      <c r="C948" s="10" t="n"/>
      <c r="D948" s="10" t="n"/>
      <c r="E948" s="10" t="n"/>
      <c r="F948" s="18" t="n"/>
      <c r="G948" s="10" t="n"/>
      <c r="H948" s="12" t="n"/>
      <c r="I948" s="12" t="n"/>
      <c r="J948" s="13">
        <f>IF(OR(A948="",COUNT(H948)=0,COUNT(Z948)=0),"",ROUND(Z948-H948,2))</f>
        <v/>
      </c>
      <c r="K948" s="15">
        <f>IF(COUNT(J948)=0,"",IF(Z948=0,"n.a.",J948/Z948))</f>
        <v/>
      </c>
      <c r="L948" s="14">
        <f>IF(OR(A948="",COUNT(H948)=0,COUNT(Y948)=0),"",ROUND(H948*(1+Y948),2))</f>
        <v/>
      </c>
      <c r="M948" s="10" t="n"/>
      <c r="N948" s="10" t="n"/>
      <c r="O948" s="10" t="n"/>
      <c r="P948" s="10" t="n"/>
      <c r="Q948" s="20" t="n"/>
      <c r="R948" s="10" t="n"/>
      <c r="S948" s="10" t="n"/>
      <c r="T948" s="18" t="n"/>
      <c r="U948" s="18" t="n"/>
      <c r="V948" s="10" t="n"/>
      <c r="W948" s="10" t="n"/>
      <c r="X948" s="19">
        <f>IF(OR(A948="",COUNT(U948)=0,COUNT(AI948)=0),"",U948+AI948)</f>
        <v/>
      </c>
      <c r="Y948" s="16" t="n"/>
      <c r="Z948" s="12" t="n"/>
      <c r="AA948" s="17">
        <f>IF(COUNT(J948)=0,"",IF(H948=0,"n.a.",J948/H948))</f>
        <v/>
      </c>
      <c r="AB948" s="12" t="n"/>
      <c r="AC948" s="12" t="n"/>
      <c r="AD948" s="12" t="n"/>
      <c r="AE948" s="13">
        <f>IF(OR(COUNT(J948)=0,COUNT(AB948:AD948)&lt;3),"",ROUND(J948-SUM(AB948:AD948),2))</f>
        <v/>
      </c>
      <c r="AF948" s="15">
        <f>IF(COUNT(AE948)=0,"",IF(Z948=0,"n.a.",AE948/Z948))</f>
        <v/>
      </c>
      <c r="AG948" s="12" t="n"/>
      <c r="AH948" s="14">
        <f>IF(OR(A948="",COUNT(Z948)=0,COUNT(AG948)=0),"",ROUND(Z948-AG948,2))</f>
        <v/>
      </c>
      <c r="AI948" s="21" t="n"/>
      <c r="AJ948" s="11">
        <f>IF(A948="","",IF(COUNT(I948)=0,"Enter approved NTE",IF(COUNT(Z948)&gt;0,IF(Z948&gt;I948,"Invoice exceeds NTE","Invoice within NTE"),IF(COUNT(L948)=0,"Enter quote inputs",IF(L948&gt;I948,"Quote exceeds NTE","Quote within NTE")))))</f>
        <v/>
      </c>
      <c r="AK948" s="11">
        <f>IF(A948="","",IF(COUNT(H948)=0,"Enter direct cost",IF(COUNT(Z948)=0,"Enter invoice revenue",IF(COUNT(AB948:AD948)&lt;3,"Enter expenses (0 if none)","Complete"))))</f>
        <v/>
      </c>
      <c r="AL948" s="11">
        <f>IF(A948="","",IF(NOT(AND(COUNT(AH948)=1,N(AH948)&gt;0.004,V948&lt;&gt;"Void",V948&lt;&gt;"Not invoiced",V948&lt;&gt;"Draft")),"",IF(COUNT(X948)=0,"No due date",IF(TODAY()-X948&lt;=0,"Not yet due",IF(TODAY()-X948&lt;=30,"1-30 days",IF(TODAY()-X948&lt;=60,"31-60 days",IF(TODAY()-X948&lt;=90,"61-90 days","Over 90 days")))))))</f>
        <v/>
      </c>
      <c r="AM948" s="49">
        <f>IF(OR(AL948="",AL948="No due date"),"",MAX(TODAY()-X948,0))</f>
        <v/>
      </c>
      <c r="AN948" s="49">
        <f>IF(AL948="","",IF(COUNT(X948)=0,-100000,TODAY()-X948))</f>
        <v/>
      </c>
      <c r="AO948" s="49">
        <f>IF(AN948="","",COUNTIF(AN$11:AN$1010,"&gt;"&amp;AN948)+COUNTIF(AN$11:AN948,AN948))</f>
        <v/>
      </c>
      <c r="AP948" s="49">
        <f>IF(OR(A948="",B948=""),"",IF(COUNTIF(B$11:B948,B948)=1,MAX(AP$10:AP947)+1,""))</f>
        <v/>
      </c>
    </row>
    <row r="949">
      <c r="A949" s="20" t="n"/>
      <c r="B949" s="10" t="n"/>
      <c r="C949" s="10" t="n"/>
      <c r="D949" s="10" t="n"/>
      <c r="E949" s="10" t="n"/>
      <c r="F949" s="18" t="n"/>
      <c r="G949" s="10" t="n"/>
      <c r="H949" s="12" t="n"/>
      <c r="I949" s="12" t="n"/>
      <c r="J949" s="13">
        <f>IF(OR(A949="",COUNT(H949)=0,COUNT(Z949)=0),"",ROUND(Z949-H949,2))</f>
        <v/>
      </c>
      <c r="K949" s="15">
        <f>IF(COUNT(J949)=0,"",IF(Z949=0,"n.a.",J949/Z949))</f>
        <v/>
      </c>
      <c r="L949" s="14">
        <f>IF(OR(A949="",COUNT(H949)=0,COUNT(Y949)=0),"",ROUND(H949*(1+Y949),2))</f>
        <v/>
      </c>
      <c r="M949" s="10" t="n"/>
      <c r="N949" s="10" t="n"/>
      <c r="O949" s="10" t="n"/>
      <c r="P949" s="10" t="n"/>
      <c r="Q949" s="20" t="n"/>
      <c r="R949" s="10" t="n"/>
      <c r="S949" s="10" t="n"/>
      <c r="T949" s="18" t="n"/>
      <c r="U949" s="18" t="n"/>
      <c r="V949" s="10" t="n"/>
      <c r="W949" s="10" t="n"/>
      <c r="X949" s="19">
        <f>IF(OR(A949="",COUNT(U949)=0,COUNT(AI949)=0),"",U949+AI949)</f>
        <v/>
      </c>
      <c r="Y949" s="16" t="n"/>
      <c r="Z949" s="12" t="n"/>
      <c r="AA949" s="17">
        <f>IF(COUNT(J949)=0,"",IF(H949=0,"n.a.",J949/H949))</f>
        <v/>
      </c>
      <c r="AB949" s="12" t="n"/>
      <c r="AC949" s="12" t="n"/>
      <c r="AD949" s="12" t="n"/>
      <c r="AE949" s="13">
        <f>IF(OR(COUNT(J949)=0,COUNT(AB949:AD949)&lt;3),"",ROUND(J949-SUM(AB949:AD949),2))</f>
        <v/>
      </c>
      <c r="AF949" s="15">
        <f>IF(COUNT(AE949)=0,"",IF(Z949=0,"n.a.",AE949/Z949))</f>
        <v/>
      </c>
      <c r="AG949" s="12" t="n"/>
      <c r="AH949" s="14">
        <f>IF(OR(A949="",COUNT(Z949)=0,COUNT(AG949)=0),"",ROUND(Z949-AG949,2))</f>
        <v/>
      </c>
      <c r="AI949" s="21" t="n"/>
      <c r="AJ949" s="11">
        <f>IF(A949="","",IF(COUNT(I949)=0,"Enter approved NTE",IF(COUNT(Z949)&gt;0,IF(Z949&gt;I949,"Invoice exceeds NTE","Invoice within NTE"),IF(COUNT(L949)=0,"Enter quote inputs",IF(L949&gt;I949,"Quote exceeds NTE","Quote within NTE")))))</f>
        <v/>
      </c>
      <c r="AK949" s="11">
        <f>IF(A949="","",IF(COUNT(H949)=0,"Enter direct cost",IF(COUNT(Z949)=0,"Enter invoice revenue",IF(COUNT(AB949:AD949)&lt;3,"Enter expenses (0 if none)","Complete"))))</f>
        <v/>
      </c>
      <c r="AL949" s="11">
        <f>IF(A949="","",IF(NOT(AND(COUNT(AH949)=1,N(AH949)&gt;0.004,V949&lt;&gt;"Void",V949&lt;&gt;"Not invoiced",V949&lt;&gt;"Draft")),"",IF(COUNT(X949)=0,"No due date",IF(TODAY()-X949&lt;=0,"Not yet due",IF(TODAY()-X949&lt;=30,"1-30 days",IF(TODAY()-X949&lt;=60,"31-60 days",IF(TODAY()-X949&lt;=90,"61-90 days","Over 90 days")))))))</f>
        <v/>
      </c>
      <c r="AM949" s="49">
        <f>IF(OR(AL949="",AL949="No due date"),"",MAX(TODAY()-X949,0))</f>
        <v/>
      </c>
      <c r="AN949" s="49">
        <f>IF(AL949="","",IF(COUNT(X949)=0,-100000,TODAY()-X949))</f>
        <v/>
      </c>
      <c r="AO949" s="49">
        <f>IF(AN949="","",COUNTIF(AN$11:AN$1010,"&gt;"&amp;AN949)+COUNTIF(AN$11:AN949,AN949))</f>
        <v/>
      </c>
      <c r="AP949" s="49">
        <f>IF(OR(A949="",B949=""),"",IF(COUNTIF(B$11:B949,B949)=1,MAX(AP$10:AP948)+1,""))</f>
        <v/>
      </c>
    </row>
    <row r="950">
      <c r="A950" s="20" t="n"/>
      <c r="B950" s="10" t="n"/>
      <c r="C950" s="10" t="n"/>
      <c r="D950" s="10" t="n"/>
      <c r="E950" s="10" t="n"/>
      <c r="F950" s="18" t="n"/>
      <c r="G950" s="10" t="n"/>
      <c r="H950" s="12" t="n"/>
      <c r="I950" s="12" t="n"/>
      <c r="J950" s="13">
        <f>IF(OR(A950="",COUNT(H950)=0,COUNT(Z950)=0),"",ROUND(Z950-H950,2))</f>
        <v/>
      </c>
      <c r="K950" s="15">
        <f>IF(COUNT(J950)=0,"",IF(Z950=0,"n.a.",J950/Z950))</f>
        <v/>
      </c>
      <c r="L950" s="14">
        <f>IF(OR(A950="",COUNT(H950)=0,COUNT(Y950)=0),"",ROUND(H950*(1+Y950),2))</f>
        <v/>
      </c>
      <c r="M950" s="10" t="n"/>
      <c r="N950" s="10" t="n"/>
      <c r="O950" s="10" t="n"/>
      <c r="P950" s="10" t="n"/>
      <c r="Q950" s="20" t="n"/>
      <c r="R950" s="10" t="n"/>
      <c r="S950" s="10" t="n"/>
      <c r="T950" s="18" t="n"/>
      <c r="U950" s="18" t="n"/>
      <c r="V950" s="10" t="n"/>
      <c r="W950" s="10" t="n"/>
      <c r="X950" s="19">
        <f>IF(OR(A950="",COUNT(U950)=0,COUNT(AI950)=0),"",U950+AI950)</f>
        <v/>
      </c>
      <c r="Y950" s="16" t="n"/>
      <c r="Z950" s="12" t="n"/>
      <c r="AA950" s="17">
        <f>IF(COUNT(J950)=0,"",IF(H950=0,"n.a.",J950/H950))</f>
        <v/>
      </c>
      <c r="AB950" s="12" t="n"/>
      <c r="AC950" s="12" t="n"/>
      <c r="AD950" s="12" t="n"/>
      <c r="AE950" s="13">
        <f>IF(OR(COUNT(J950)=0,COUNT(AB950:AD950)&lt;3),"",ROUND(J950-SUM(AB950:AD950),2))</f>
        <v/>
      </c>
      <c r="AF950" s="15">
        <f>IF(COUNT(AE950)=0,"",IF(Z950=0,"n.a.",AE950/Z950))</f>
        <v/>
      </c>
      <c r="AG950" s="12" t="n"/>
      <c r="AH950" s="14">
        <f>IF(OR(A950="",COUNT(Z950)=0,COUNT(AG950)=0),"",ROUND(Z950-AG950,2))</f>
        <v/>
      </c>
      <c r="AI950" s="21" t="n"/>
      <c r="AJ950" s="11">
        <f>IF(A950="","",IF(COUNT(I950)=0,"Enter approved NTE",IF(COUNT(Z950)&gt;0,IF(Z950&gt;I950,"Invoice exceeds NTE","Invoice within NTE"),IF(COUNT(L950)=0,"Enter quote inputs",IF(L950&gt;I950,"Quote exceeds NTE","Quote within NTE")))))</f>
        <v/>
      </c>
      <c r="AK950" s="11">
        <f>IF(A950="","",IF(COUNT(H950)=0,"Enter direct cost",IF(COUNT(Z950)=0,"Enter invoice revenue",IF(COUNT(AB950:AD950)&lt;3,"Enter expenses (0 if none)","Complete"))))</f>
        <v/>
      </c>
      <c r="AL950" s="11">
        <f>IF(A950="","",IF(NOT(AND(COUNT(AH950)=1,N(AH950)&gt;0.004,V950&lt;&gt;"Void",V950&lt;&gt;"Not invoiced",V950&lt;&gt;"Draft")),"",IF(COUNT(X950)=0,"No due date",IF(TODAY()-X950&lt;=0,"Not yet due",IF(TODAY()-X950&lt;=30,"1-30 days",IF(TODAY()-X950&lt;=60,"31-60 days",IF(TODAY()-X950&lt;=90,"61-90 days","Over 90 days")))))))</f>
        <v/>
      </c>
      <c r="AM950" s="49">
        <f>IF(OR(AL950="",AL950="No due date"),"",MAX(TODAY()-X950,0))</f>
        <v/>
      </c>
      <c r="AN950" s="49">
        <f>IF(AL950="","",IF(COUNT(X950)=0,-100000,TODAY()-X950))</f>
        <v/>
      </c>
      <c r="AO950" s="49">
        <f>IF(AN950="","",COUNTIF(AN$11:AN$1010,"&gt;"&amp;AN950)+COUNTIF(AN$11:AN950,AN950))</f>
        <v/>
      </c>
      <c r="AP950" s="49">
        <f>IF(OR(A950="",B950=""),"",IF(COUNTIF(B$11:B950,B950)=1,MAX(AP$10:AP949)+1,""))</f>
        <v/>
      </c>
    </row>
    <row r="951">
      <c r="A951" s="20" t="n"/>
      <c r="B951" s="10" t="n"/>
      <c r="C951" s="10" t="n"/>
      <c r="D951" s="10" t="n"/>
      <c r="E951" s="10" t="n"/>
      <c r="F951" s="18" t="n"/>
      <c r="G951" s="10" t="n"/>
      <c r="H951" s="12" t="n"/>
      <c r="I951" s="12" t="n"/>
      <c r="J951" s="13">
        <f>IF(OR(A951="",COUNT(H951)=0,COUNT(Z951)=0),"",ROUND(Z951-H951,2))</f>
        <v/>
      </c>
      <c r="K951" s="15">
        <f>IF(COUNT(J951)=0,"",IF(Z951=0,"n.a.",J951/Z951))</f>
        <v/>
      </c>
      <c r="L951" s="14">
        <f>IF(OR(A951="",COUNT(H951)=0,COUNT(Y951)=0),"",ROUND(H951*(1+Y951),2))</f>
        <v/>
      </c>
      <c r="M951" s="10" t="n"/>
      <c r="N951" s="10" t="n"/>
      <c r="O951" s="10" t="n"/>
      <c r="P951" s="10" t="n"/>
      <c r="Q951" s="20" t="n"/>
      <c r="R951" s="10" t="n"/>
      <c r="S951" s="10" t="n"/>
      <c r="T951" s="18" t="n"/>
      <c r="U951" s="18" t="n"/>
      <c r="V951" s="10" t="n"/>
      <c r="W951" s="10" t="n"/>
      <c r="X951" s="19">
        <f>IF(OR(A951="",COUNT(U951)=0,COUNT(AI951)=0),"",U951+AI951)</f>
        <v/>
      </c>
      <c r="Y951" s="16" t="n"/>
      <c r="Z951" s="12" t="n"/>
      <c r="AA951" s="17">
        <f>IF(COUNT(J951)=0,"",IF(H951=0,"n.a.",J951/H951))</f>
        <v/>
      </c>
      <c r="AB951" s="12" t="n"/>
      <c r="AC951" s="12" t="n"/>
      <c r="AD951" s="12" t="n"/>
      <c r="AE951" s="13">
        <f>IF(OR(COUNT(J951)=0,COUNT(AB951:AD951)&lt;3),"",ROUND(J951-SUM(AB951:AD951),2))</f>
        <v/>
      </c>
      <c r="AF951" s="15">
        <f>IF(COUNT(AE951)=0,"",IF(Z951=0,"n.a.",AE951/Z951))</f>
        <v/>
      </c>
      <c r="AG951" s="12" t="n"/>
      <c r="AH951" s="14">
        <f>IF(OR(A951="",COUNT(Z951)=0,COUNT(AG951)=0),"",ROUND(Z951-AG951,2))</f>
        <v/>
      </c>
      <c r="AI951" s="21" t="n"/>
      <c r="AJ951" s="11">
        <f>IF(A951="","",IF(COUNT(I951)=0,"Enter approved NTE",IF(COUNT(Z951)&gt;0,IF(Z951&gt;I951,"Invoice exceeds NTE","Invoice within NTE"),IF(COUNT(L951)=0,"Enter quote inputs",IF(L951&gt;I951,"Quote exceeds NTE","Quote within NTE")))))</f>
        <v/>
      </c>
      <c r="AK951" s="11">
        <f>IF(A951="","",IF(COUNT(H951)=0,"Enter direct cost",IF(COUNT(Z951)=0,"Enter invoice revenue",IF(COUNT(AB951:AD951)&lt;3,"Enter expenses (0 if none)","Complete"))))</f>
        <v/>
      </c>
      <c r="AL951" s="11">
        <f>IF(A951="","",IF(NOT(AND(COUNT(AH951)=1,N(AH951)&gt;0.004,V951&lt;&gt;"Void",V951&lt;&gt;"Not invoiced",V951&lt;&gt;"Draft")),"",IF(COUNT(X951)=0,"No due date",IF(TODAY()-X951&lt;=0,"Not yet due",IF(TODAY()-X951&lt;=30,"1-30 days",IF(TODAY()-X951&lt;=60,"31-60 days",IF(TODAY()-X951&lt;=90,"61-90 days","Over 90 days")))))))</f>
        <v/>
      </c>
      <c r="AM951" s="49">
        <f>IF(OR(AL951="",AL951="No due date"),"",MAX(TODAY()-X951,0))</f>
        <v/>
      </c>
      <c r="AN951" s="49">
        <f>IF(AL951="","",IF(COUNT(X951)=0,-100000,TODAY()-X951))</f>
        <v/>
      </c>
      <c r="AO951" s="49">
        <f>IF(AN951="","",COUNTIF(AN$11:AN$1010,"&gt;"&amp;AN951)+COUNTIF(AN$11:AN951,AN951))</f>
        <v/>
      </c>
      <c r="AP951" s="49">
        <f>IF(OR(A951="",B951=""),"",IF(COUNTIF(B$11:B951,B951)=1,MAX(AP$10:AP950)+1,""))</f>
        <v/>
      </c>
    </row>
    <row r="952">
      <c r="A952" s="20" t="n"/>
      <c r="B952" s="10" t="n"/>
      <c r="C952" s="10" t="n"/>
      <c r="D952" s="10" t="n"/>
      <c r="E952" s="10" t="n"/>
      <c r="F952" s="18" t="n"/>
      <c r="G952" s="10" t="n"/>
      <c r="H952" s="12" t="n"/>
      <c r="I952" s="12" t="n"/>
      <c r="J952" s="13">
        <f>IF(OR(A952="",COUNT(H952)=0,COUNT(Z952)=0),"",ROUND(Z952-H952,2))</f>
        <v/>
      </c>
      <c r="K952" s="15">
        <f>IF(COUNT(J952)=0,"",IF(Z952=0,"n.a.",J952/Z952))</f>
        <v/>
      </c>
      <c r="L952" s="14">
        <f>IF(OR(A952="",COUNT(H952)=0,COUNT(Y952)=0),"",ROUND(H952*(1+Y952),2))</f>
        <v/>
      </c>
      <c r="M952" s="10" t="n"/>
      <c r="N952" s="10" t="n"/>
      <c r="O952" s="10" t="n"/>
      <c r="P952" s="10" t="n"/>
      <c r="Q952" s="20" t="n"/>
      <c r="R952" s="10" t="n"/>
      <c r="S952" s="10" t="n"/>
      <c r="T952" s="18" t="n"/>
      <c r="U952" s="18" t="n"/>
      <c r="V952" s="10" t="n"/>
      <c r="W952" s="10" t="n"/>
      <c r="X952" s="19">
        <f>IF(OR(A952="",COUNT(U952)=0,COUNT(AI952)=0),"",U952+AI952)</f>
        <v/>
      </c>
      <c r="Y952" s="16" t="n"/>
      <c r="Z952" s="12" t="n"/>
      <c r="AA952" s="17">
        <f>IF(COUNT(J952)=0,"",IF(H952=0,"n.a.",J952/H952))</f>
        <v/>
      </c>
      <c r="AB952" s="12" t="n"/>
      <c r="AC952" s="12" t="n"/>
      <c r="AD952" s="12" t="n"/>
      <c r="AE952" s="13">
        <f>IF(OR(COUNT(J952)=0,COUNT(AB952:AD952)&lt;3),"",ROUND(J952-SUM(AB952:AD952),2))</f>
        <v/>
      </c>
      <c r="AF952" s="15">
        <f>IF(COUNT(AE952)=0,"",IF(Z952=0,"n.a.",AE952/Z952))</f>
        <v/>
      </c>
      <c r="AG952" s="12" t="n"/>
      <c r="AH952" s="14">
        <f>IF(OR(A952="",COUNT(Z952)=0,COUNT(AG952)=0),"",ROUND(Z952-AG952,2))</f>
        <v/>
      </c>
      <c r="AI952" s="21" t="n"/>
      <c r="AJ952" s="11">
        <f>IF(A952="","",IF(COUNT(I952)=0,"Enter approved NTE",IF(COUNT(Z952)&gt;0,IF(Z952&gt;I952,"Invoice exceeds NTE","Invoice within NTE"),IF(COUNT(L952)=0,"Enter quote inputs",IF(L952&gt;I952,"Quote exceeds NTE","Quote within NTE")))))</f>
        <v/>
      </c>
      <c r="AK952" s="11">
        <f>IF(A952="","",IF(COUNT(H952)=0,"Enter direct cost",IF(COUNT(Z952)=0,"Enter invoice revenue",IF(COUNT(AB952:AD952)&lt;3,"Enter expenses (0 if none)","Complete"))))</f>
        <v/>
      </c>
      <c r="AL952" s="11">
        <f>IF(A952="","",IF(NOT(AND(COUNT(AH952)=1,N(AH952)&gt;0.004,V952&lt;&gt;"Void",V952&lt;&gt;"Not invoiced",V952&lt;&gt;"Draft")),"",IF(COUNT(X952)=0,"No due date",IF(TODAY()-X952&lt;=0,"Not yet due",IF(TODAY()-X952&lt;=30,"1-30 days",IF(TODAY()-X952&lt;=60,"31-60 days",IF(TODAY()-X952&lt;=90,"61-90 days","Over 90 days")))))))</f>
        <v/>
      </c>
      <c r="AM952" s="49">
        <f>IF(OR(AL952="",AL952="No due date"),"",MAX(TODAY()-X952,0))</f>
        <v/>
      </c>
      <c r="AN952" s="49">
        <f>IF(AL952="","",IF(COUNT(X952)=0,-100000,TODAY()-X952))</f>
        <v/>
      </c>
      <c r="AO952" s="49">
        <f>IF(AN952="","",COUNTIF(AN$11:AN$1010,"&gt;"&amp;AN952)+COUNTIF(AN$11:AN952,AN952))</f>
        <v/>
      </c>
      <c r="AP952" s="49">
        <f>IF(OR(A952="",B952=""),"",IF(COUNTIF(B$11:B952,B952)=1,MAX(AP$10:AP951)+1,""))</f>
        <v/>
      </c>
    </row>
    <row r="953">
      <c r="A953" s="20" t="n"/>
      <c r="B953" s="10" t="n"/>
      <c r="C953" s="10" t="n"/>
      <c r="D953" s="10" t="n"/>
      <c r="E953" s="10" t="n"/>
      <c r="F953" s="18" t="n"/>
      <c r="G953" s="10" t="n"/>
      <c r="H953" s="12" t="n"/>
      <c r="I953" s="12" t="n"/>
      <c r="J953" s="13">
        <f>IF(OR(A953="",COUNT(H953)=0,COUNT(Z953)=0),"",ROUND(Z953-H953,2))</f>
        <v/>
      </c>
      <c r="K953" s="15">
        <f>IF(COUNT(J953)=0,"",IF(Z953=0,"n.a.",J953/Z953))</f>
        <v/>
      </c>
      <c r="L953" s="14">
        <f>IF(OR(A953="",COUNT(H953)=0,COUNT(Y953)=0),"",ROUND(H953*(1+Y953),2))</f>
        <v/>
      </c>
      <c r="M953" s="10" t="n"/>
      <c r="N953" s="10" t="n"/>
      <c r="O953" s="10" t="n"/>
      <c r="P953" s="10" t="n"/>
      <c r="Q953" s="20" t="n"/>
      <c r="R953" s="10" t="n"/>
      <c r="S953" s="10" t="n"/>
      <c r="T953" s="18" t="n"/>
      <c r="U953" s="18" t="n"/>
      <c r="V953" s="10" t="n"/>
      <c r="W953" s="10" t="n"/>
      <c r="X953" s="19">
        <f>IF(OR(A953="",COUNT(U953)=0,COUNT(AI953)=0),"",U953+AI953)</f>
        <v/>
      </c>
      <c r="Y953" s="16" t="n"/>
      <c r="Z953" s="12" t="n"/>
      <c r="AA953" s="17">
        <f>IF(COUNT(J953)=0,"",IF(H953=0,"n.a.",J953/H953))</f>
        <v/>
      </c>
      <c r="AB953" s="12" t="n"/>
      <c r="AC953" s="12" t="n"/>
      <c r="AD953" s="12" t="n"/>
      <c r="AE953" s="13">
        <f>IF(OR(COUNT(J953)=0,COUNT(AB953:AD953)&lt;3),"",ROUND(J953-SUM(AB953:AD953),2))</f>
        <v/>
      </c>
      <c r="AF953" s="15">
        <f>IF(COUNT(AE953)=0,"",IF(Z953=0,"n.a.",AE953/Z953))</f>
        <v/>
      </c>
      <c r="AG953" s="12" t="n"/>
      <c r="AH953" s="14">
        <f>IF(OR(A953="",COUNT(Z953)=0,COUNT(AG953)=0),"",ROUND(Z953-AG953,2))</f>
        <v/>
      </c>
      <c r="AI953" s="21" t="n"/>
      <c r="AJ953" s="11">
        <f>IF(A953="","",IF(COUNT(I953)=0,"Enter approved NTE",IF(COUNT(Z953)&gt;0,IF(Z953&gt;I953,"Invoice exceeds NTE","Invoice within NTE"),IF(COUNT(L953)=0,"Enter quote inputs",IF(L953&gt;I953,"Quote exceeds NTE","Quote within NTE")))))</f>
        <v/>
      </c>
      <c r="AK953" s="11">
        <f>IF(A953="","",IF(COUNT(H953)=0,"Enter direct cost",IF(COUNT(Z953)=0,"Enter invoice revenue",IF(COUNT(AB953:AD953)&lt;3,"Enter expenses (0 if none)","Complete"))))</f>
        <v/>
      </c>
      <c r="AL953" s="11">
        <f>IF(A953="","",IF(NOT(AND(COUNT(AH953)=1,N(AH953)&gt;0.004,V953&lt;&gt;"Void",V953&lt;&gt;"Not invoiced",V953&lt;&gt;"Draft")),"",IF(COUNT(X953)=0,"No due date",IF(TODAY()-X953&lt;=0,"Not yet due",IF(TODAY()-X953&lt;=30,"1-30 days",IF(TODAY()-X953&lt;=60,"31-60 days",IF(TODAY()-X953&lt;=90,"61-90 days","Over 90 days")))))))</f>
        <v/>
      </c>
      <c r="AM953" s="49">
        <f>IF(OR(AL953="",AL953="No due date"),"",MAX(TODAY()-X953,0))</f>
        <v/>
      </c>
      <c r="AN953" s="49">
        <f>IF(AL953="","",IF(COUNT(X953)=0,-100000,TODAY()-X953))</f>
        <v/>
      </c>
      <c r="AO953" s="49">
        <f>IF(AN953="","",COUNTIF(AN$11:AN$1010,"&gt;"&amp;AN953)+COUNTIF(AN$11:AN953,AN953))</f>
        <v/>
      </c>
      <c r="AP953" s="49">
        <f>IF(OR(A953="",B953=""),"",IF(COUNTIF(B$11:B953,B953)=1,MAX(AP$10:AP952)+1,""))</f>
        <v/>
      </c>
    </row>
    <row r="954">
      <c r="A954" s="20" t="n"/>
      <c r="B954" s="10" t="n"/>
      <c r="C954" s="10" t="n"/>
      <c r="D954" s="10" t="n"/>
      <c r="E954" s="10" t="n"/>
      <c r="F954" s="18" t="n"/>
      <c r="G954" s="10" t="n"/>
      <c r="H954" s="12" t="n"/>
      <c r="I954" s="12" t="n"/>
      <c r="J954" s="13">
        <f>IF(OR(A954="",COUNT(H954)=0,COUNT(Z954)=0),"",ROUND(Z954-H954,2))</f>
        <v/>
      </c>
      <c r="K954" s="15">
        <f>IF(COUNT(J954)=0,"",IF(Z954=0,"n.a.",J954/Z954))</f>
        <v/>
      </c>
      <c r="L954" s="14">
        <f>IF(OR(A954="",COUNT(H954)=0,COUNT(Y954)=0),"",ROUND(H954*(1+Y954),2))</f>
        <v/>
      </c>
      <c r="M954" s="10" t="n"/>
      <c r="N954" s="10" t="n"/>
      <c r="O954" s="10" t="n"/>
      <c r="P954" s="10" t="n"/>
      <c r="Q954" s="20" t="n"/>
      <c r="R954" s="10" t="n"/>
      <c r="S954" s="10" t="n"/>
      <c r="T954" s="18" t="n"/>
      <c r="U954" s="18" t="n"/>
      <c r="V954" s="10" t="n"/>
      <c r="W954" s="10" t="n"/>
      <c r="X954" s="19">
        <f>IF(OR(A954="",COUNT(U954)=0,COUNT(AI954)=0),"",U954+AI954)</f>
        <v/>
      </c>
      <c r="Y954" s="16" t="n"/>
      <c r="Z954" s="12" t="n"/>
      <c r="AA954" s="17">
        <f>IF(COUNT(J954)=0,"",IF(H954=0,"n.a.",J954/H954))</f>
        <v/>
      </c>
      <c r="AB954" s="12" t="n"/>
      <c r="AC954" s="12" t="n"/>
      <c r="AD954" s="12" t="n"/>
      <c r="AE954" s="13">
        <f>IF(OR(COUNT(J954)=0,COUNT(AB954:AD954)&lt;3),"",ROUND(J954-SUM(AB954:AD954),2))</f>
        <v/>
      </c>
      <c r="AF954" s="15">
        <f>IF(COUNT(AE954)=0,"",IF(Z954=0,"n.a.",AE954/Z954))</f>
        <v/>
      </c>
      <c r="AG954" s="12" t="n"/>
      <c r="AH954" s="14">
        <f>IF(OR(A954="",COUNT(Z954)=0,COUNT(AG954)=0),"",ROUND(Z954-AG954,2))</f>
        <v/>
      </c>
      <c r="AI954" s="21" t="n"/>
      <c r="AJ954" s="11">
        <f>IF(A954="","",IF(COUNT(I954)=0,"Enter approved NTE",IF(COUNT(Z954)&gt;0,IF(Z954&gt;I954,"Invoice exceeds NTE","Invoice within NTE"),IF(COUNT(L954)=0,"Enter quote inputs",IF(L954&gt;I954,"Quote exceeds NTE","Quote within NTE")))))</f>
        <v/>
      </c>
      <c r="AK954" s="11">
        <f>IF(A954="","",IF(COUNT(H954)=0,"Enter direct cost",IF(COUNT(Z954)=0,"Enter invoice revenue",IF(COUNT(AB954:AD954)&lt;3,"Enter expenses (0 if none)","Complete"))))</f>
        <v/>
      </c>
      <c r="AL954" s="11">
        <f>IF(A954="","",IF(NOT(AND(COUNT(AH954)=1,N(AH954)&gt;0.004,V954&lt;&gt;"Void",V954&lt;&gt;"Not invoiced",V954&lt;&gt;"Draft")),"",IF(COUNT(X954)=0,"No due date",IF(TODAY()-X954&lt;=0,"Not yet due",IF(TODAY()-X954&lt;=30,"1-30 days",IF(TODAY()-X954&lt;=60,"31-60 days",IF(TODAY()-X954&lt;=90,"61-90 days","Over 90 days")))))))</f>
        <v/>
      </c>
      <c r="AM954" s="49">
        <f>IF(OR(AL954="",AL954="No due date"),"",MAX(TODAY()-X954,0))</f>
        <v/>
      </c>
      <c r="AN954" s="49">
        <f>IF(AL954="","",IF(COUNT(X954)=0,-100000,TODAY()-X954))</f>
        <v/>
      </c>
      <c r="AO954" s="49">
        <f>IF(AN954="","",COUNTIF(AN$11:AN$1010,"&gt;"&amp;AN954)+COUNTIF(AN$11:AN954,AN954))</f>
        <v/>
      </c>
      <c r="AP954" s="49">
        <f>IF(OR(A954="",B954=""),"",IF(COUNTIF(B$11:B954,B954)=1,MAX(AP$10:AP953)+1,""))</f>
        <v/>
      </c>
    </row>
    <row r="955">
      <c r="A955" s="20" t="n"/>
      <c r="B955" s="10" t="n"/>
      <c r="C955" s="10" t="n"/>
      <c r="D955" s="10" t="n"/>
      <c r="E955" s="10" t="n"/>
      <c r="F955" s="18" t="n"/>
      <c r="G955" s="10" t="n"/>
      <c r="H955" s="12" t="n"/>
      <c r="I955" s="12" t="n"/>
      <c r="J955" s="13">
        <f>IF(OR(A955="",COUNT(H955)=0,COUNT(Z955)=0),"",ROUND(Z955-H955,2))</f>
        <v/>
      </c>
      <c r="K955" s="15">
        <f>IF(COUNT(J955)=0,"",IF(Z955=0,"n.a.",J955/Z955))</f>
        <v/>
      </c>
      <c r="L955" s="14">
        <f>IF(OR(A955="",COUNT(H955)=0,COUNT(Y955)=0),"",ROUND(H955*(1+Y955),2))</f>
        <v/>
      </c>
      <c r="M955" s="10" t="n"/>
      <c r="N955" s="10" t="n"/>
      <c r="O955" s="10" t="n"/>
      <c r="P955" s="10" t="n"/>
      <c r="Q955" s="20" t="n"/>
      <c r="R955" s="10" t="n"/>
      <c r="S955" s="10" t="n"/>
      <c r="T955" s="18" t="n"/>
      <c r="U955" s="18" t="n"/>
      <c r="V955" s="10" t="n"/>
      <c r="W955" s="10" t="n"/>
      <c r="X955" s="19">
        <f>IF(OR(A955="",COUNT(U955)=0,COUNT(AI955)=0),"",U955+AI955)</f>
        <v/>
      </c>
      <c r="Y955" s="16" t="n"/>
      <c r="Z955" s="12" t="n"/>
      <c r="AA955" s="17">
        <f>IF(COUNT(J955)=0,"",IF(H955=0,"n.a.",J955/H955))</f>
        <v/>
      </c>
      <c r="AB955" s="12" t="n"/>
      <c r="AC955" s="12" t="n"/>
      <c r="AD955" s="12" t="n"/>
      <c r="AE955" s="13">
        <f>IF(OR(COUNT(J955)=0,COUNT(AB955:AD955)&lt;3),"",ROUND(J955-SUM(AB955:AD955),2))</f>
        <v/>
      </c>
      <c r="AF955" s="15">
        <f>IF(COUNT(AE955)=0,"",IF(Z955=0,"n.a.",AE955/Z955))</f>
        <v/>
      </c>
      <c r="AG955" s="12" t="n"/>
      <c r="AH955" s="14">
        <f>IF(OR(A955="",COUNT(Z955)=0,COUNT(AG955)=0),"",ROUND(Z955-AG955,2))</f>
        <v/>
      </c>
      <c r="AI955" s="21" t="n"/>
      <c r="AJ955" s="11">
        <f>IF(A955="","",IF(COUNT(I955)=0,"Enter approved NTE",IF(COUNT(Z955)&gt;0,IF(Z955&gt;I955,"Invoice exceeds NTE","Invoice within NTE"),IF(COUNT(L955)=0,"Enter quote inputs",IF(L955&gt;I955,"Quote exceeds NTE","Quote within NTE")))))</f>
        <v/>
      </c>
      <c r="AK955" s="11">
        <f>IF(A955="","",IF(COUNT(H955)=0,"Enter direct cost",IF(COUNT(Z955)=0,"Enter invoice revenue",IF(COUNT(AB955:AD955)&lt;3,"Enter expenses (0 if none)","Complete"))))</f>
        <v/>
      </c>
      <c r="AL955" s="11">
        <f>IF(A955="","",IF(NOT(AND(COUNT(AH955)=1,N(AH955)&gt;0.004,V955&lt;&gt;"Void",V955&lt;&gt;"Not invoiced",V955&lt;&gt;"Draft")),"",IF(COUNT(X955)=0,"No due date",IF(TODAY()-X955&lt;=0,"Not yet due",IF(TODAY()-X955&lt;=30,"1-30 days",IF(TODAY()-X955&lt;=60,"31-60 days",IF(TODAY()-X955&lt;=90,"61-90 days","Over 90 days")))))))</f>
        <v/>
      </c>
      <c r="AM955" s="49">
        <f>IF(OR(AL955="",AL955="No due date"),"",MAX(TODAY()-X955,0))</f>
        <v/>
      </c>
      <c r="AN955" s="49">
        <f>IF(AL955="","",IF(COUNT(X955)=0,-100000,TODAY()-X955))</f>
        <v/>
      </c>
      <c r="AO955" s="49">
        <f>IF(AN955="","",COUNTIF(AN$11:AN$1010,"&gt;"&amp;AN955)+COUNTIF(AN$11:AN955,AN955))</f>
        <v/>
      </c>
      <c r="AP955" s="49">
        <f>IF(OR(A955="",B955=""),"",IF(COUNTIF(B$11:B955,B955)=1,MAX(AP$10:AP954)+1,""))</f>
        <v/>
      </c>
    </row>
    <row r="956">
      <c r="A956" s="20" t="n"/>
      <c r="B956" s="10" t="n"/>
      <c r="C956" s="10" t="n"/>
      <c r="D956" s="10" t="n"/>
      <c r="E956" s="10" t="n"/>
      <c r="F956" s="18" t="n"/>
      <c r="G956" s="10" t="n"/>
      <c r="H956" s="12" t="n"/>
      <c r="I956" s="12" t="n"/>
      <c r="J956" s="13">
        <f>IF(OR(A956="",COUNT(H956)=0,COUNT(Z956)=0),"",ROUND(Z956-H956,2))</f>
        <v/>
      </c>
      <c r="K956" s="15">
        <f>IF(COUNT(J956)=0,"",IF(Z956=0,"n.a.",J956/Z956))</f>
        <v/>
      </c>
      <c r="L956" s="14">
        <f>IF(OR(A956="",COUNT(H956)=0,COUNT(Y956)=0),"",ROUND(H956*(1+Y956),2))</f>
        <v/>
      </c>
      <c r="M956" s="10" t="n"/>
      <c r="N956" s="10" t="n"/>
      <c r="O956" s="10" t="n"/>
      <c r="P956" s="10" t="n"/>
      <c r="Q956" s="20" t="n"/>
      <c r="R956" s="10" t="n"/>
      <c r="S956" s="10" t="n"/>
      <c r="T956" s="18" t="n"/>
      <c r="U956" s="18" t="n"/>
      <c r="V956" s="10" t="n"/>
      <c r="W956" s="10" t="n"/>
      <c r="X956" s="19">
        <f>IF(OR(A956="",COUNT(U956)=0,COUNT(AI956)=0),"",U956+AI956)</f>
        <v/>
      </c>
      <c r="Y956" s="16" t="n"/>
      <c r="Z956" s="12" t="n"/>
      <c r="AA956" s="17">
        <f>IF(COUNT(J956)=0,"",IF(H956=0,"n.a.",J956/H956))</f>
        <v/>
      </c>
      <c r="AB956" s="12" t="n"/>
      <c r="AC956" s="12" t="n"/>
      <c r="AD956" s="12" t="n"/>
      <c r="AE956" s="13">
        <f>IF(OR(COUNT(J956)=0,COUNT(AB956:AD956)&lt;3),"",ROUND(J956-SUM(AB956:AD956),2))</f>
        <v/>
      </c>
      <c r="AF956" s="15">
        <f>IF(COUNT(AE956)=0,"",IF(Z956=0,"n.a.",AE956/Z956))</f>
        <v/>
      </c>
      <c r="AG956" s="12" t="n"/>
      <c r="AH956" s="14">
        <f>IF(OR(A956="",COUNT(Z956)=0,COUNT(AG956)=0),"",ROUND(Z956-AG956,2))</f>
        <v/>
      </c>
      <c r="AI956" s="21" t="n"/>
      <c r="AJ956" s="11">
        <f>IF(A956="","",IF(COUNT(I956)=0,"Enter approved NTE",IF(COUNT(Z956)&gt;0,IF(Z956&gt;I956,"Invoice exceeds NTE","Invoice within NTE"),IF(COUNT(L956)=0,"Enter quote inputs",IF(L956&gt;I956,"Quote exceeds NTE","Quote within NTE")))))</f>
        <v/>
      </c>
      <c r="AK956" s="11">
        <f>IF(A956="","",IF(COUNT(H956)=0,"Enter direct cost",IF(COUNT(Z956)=0,"Enter invoice revenue",IF(COUNT(AB956:AD956)&lt;3,"Enter expenses (0 if none)","Complete"))))</f>
        <v/>
      </c>
      <c r="AL956" s="11">
        <f>IF(A956="","",IF(NOT(AND(COUNT(AH956)=1,N(AH956)&gt;0.004,V956&lt;&gt;"Void",V956&lt;&gt;"Not invoiced",V956&lt;&gt;"Draft")),"",IF(COUNT(X956)=0,"No due date",IF(TODAY()-X956&lt;=0,"Not yet due",IF(TODAY()-X956&lt;=30,"1-30 days",IF(TODAY()-X956&lt;=60,"31-60 days",IF(TODAY()-X956&lt;=90,"61-90 days","Over 90 days")))))))</f>
        <v/>
      </c>
      <c r="AM956" s="49">
        <f>IF(OR(AL956="",AL956="No due date"),"",MAX(TODAY()-X956,0))</f>
        <v/>
      </c>
      <c r="AN956" s="49">
        <f>IF(AL956="","",IF(COUNT(X956)=0,-100000,TODAY()-X956))</f>
        <v/>
      </c>
      <c r="AO956" s="49">
        <f>IF(AN956="","",COUNTIF(AN$11:AN$1010,"&gt;"&amp;AN956)+COUNTIF(AN$11:AN956,AN956))</f>
        <v/>
      </c>
      <c r="AP956" s="49">
        <f>IF(OR(A956="",B956=""),"",IF(COUNTIF(B$11:B956,B956)=1,MAX(AP$10:AP955)+1,""))</f>
        <v/>
      </c>
    </row>
    <row r="957">
      <c r="A957" s="20" t="n"/>
      <c r="B957" s="10" t="n"/>
      <c r="C957" s="10" t="n"/>
      <c r="D957" s="10" t="n"/>
      <c r="E957" s="10" t="n"/>
      <c r="F957" s="18" t="n"/>
      <c r="G957" s="10" t="n"/>
      <c r="H957" s="12" t="n"/>
      <c r="I957" s="12" t="n"/>
      <c r="J957" s="13">
        <f>IF(OR(A957="",COUNT(H957)=0,COUNT(Z957)=0),"",ROUND(Z957-H957,2))</f>
        <v/>
      </c>
      <c r="K957" s="15">
        <f>IF(COUNT(J957)=0,"",IF(Z957=0,"n.a.",J957/Z957))</f>
        <v/>
      </c>
      <c r="L957" s="14">
        <f>IF(OR(A957="",COUNT(H957)=0,COUNT(Y957)=0),"",ROUND(H957*(1+Y957),2))</f>
        <v/>
      </c>
      <c r="M957" s="10" t="n"/>
      <c r="N957" s="10" t="n"/>
      <c r="O957" s="10" t="n"/>
      <c r="P957" s="10" t="n"/>
      <c r="Q957" s="20" t="n"/>
      <c r="R957" s="10" t="n"/>
      <c r="S957" s="10" t="n"/>
      <c r="T957" s="18" t="n"/>
      <c r="U957" s="18" t="n"/>
      <c r="V957" s="10" t="n"/>
      <c r="W957" s="10" t="n"/>
      <c r="X957" s="19">
        <f>IF(OR(A957="",COUNT(U957)=0,COUNT(AI957)=0),"",U957+AI957)</f>
        <v/>
      </c>
      <c r="Y957" s="16" t="n"/>
      <c r="Z957" s="12" t="n"/>
      <c r="AA957" s="17">
        <f>IF(COUNT(J957)=0,"",IF(H957=0,"n.a.",J957/H957))</f>
        <v/>
      </c>
      <c r="AB957" s="12" t="n"/>
      <c r="AC957" s="12" t="n"/>
      <c r="AD957" s="12" t="n"/>
      <c r="AE957" s="13">
        <f>IF(OR(COUNT(J957)=0,COUNT(AB957:AD957)&lt;3),"",ROUND(J957-SUM(AB957:AD957),2))</f>
        <v/>
      </c>
      <c r="AF957" s="15">
        <f>IF(COUNT(AE957)=0,"",IF(Z957=0,"n.a.",AE957/Z957))</f>
        <v/>
      </c>
      <c r="AG957" s="12" t="n"/>
      <c r="AH957" s="14">
        <f>IF(OR(A957="",COUNT(Z957)=0,COUNT(AG957)=0),"",ROUND(Z957-AG957,2))</f>
        <v/>
      </c>
      <c r="AI957" s="21" t="n"/>
      <c r="AJ957" s="11">
        <f>IF(A957="","",IF(COUNT(I957)=0,"Enter approved NTE",IF(COUNT(Z957)&gt;0,IF(Z957&gt;I957,"Invoice exceeds NTE","Invoice within NTE"),IF(COUNT(L957)=0,"Enter quote inputs",IF(L957&gt;I957,"Quote exceeds NTE","Quote within NTE")))))</f>
        <v/>
      </c>
      <c r="AK957" s="11">
        <f>IF(A957="","",IF(COUNT(H957)=0,"Enter direct cost",IF(COUNT(Z957)=0,"Enter invoice revenue",IF(COUNT(AB957:AD957)&lt;3,"Enter expenses (0 if none)","Complete"))))</f>
        <v/>
      </c>
      <c r="AL957" s="11">
        <f>IF(A957="","",IF(NOT(AND(COUNT(AH957)=1,N(AH957)&gt;0.004,V957&lt;&gt;"Void",V957&lt;&gt;"Not invoiced",V957&lt;&gt;"Draft")),"",IF(COUNT(X957)=0,"No due date",IF(TODAY()-X957&lt;=0,"Not yet due",IF(TODAY()-X957&lt;=30,"1-30 days",IF(TODAY()-X957&lt;=60,"31-60 days",IF(TODAY()-X957&lt;=90,"61-90 days","Over 90 days")))))))</f>
        <v/>
      </c>
      <c r="AM957" s="49">
        <f>IF(OR(AL957="",AL957="No due date"),"",MAX(TODAY()-X957,0))</f>
        <v/>
      </c>
      <c r="AN957" s="49">
        <f>IF(AL957="","",IF(COUNT(X957)=0,-100000,TODAY()-X957))</f>
        <v/>
      </c>
      <c r="AO957" s="49">
        <f>IF(AN957="","",COUNTIF(AN$11:AN$1010,"&gt;"&amp;AN957)+COUNTIF(AN$11:AN957,AN957))</f>
        <v/>
      </c>
      <c r="AP957" s="49">
        <f>IF(OR(A957="",B957=""),"",IF(COUNTIF(B$11:B957,B957)=1,MAX(AP$10:AP956)+1,""))</f>
        <v/>
      </c>
    </row>
    <row r="958">
      <c r="A958" s="20" t="n"/>
      <c r="B958" s="10" t="n"/>
      <c r="C958" s="10" t="n"/>
      <c r="D958" s="10" t="n"/>
      <c r="E958" s="10" t="n"/>
      <c r="F958" s="18" t="n"/>
      <c r="G958" s="10" t="n"/>
      <c r="H958" s="12" t="n"/>
      <c r="I958" s="12" t="n"/>
      <c r="J958" s="13">
        <f>IF(OR(A958="",COUNT(H958)=0,COUNT(Z958)=0),"",ROUND(Z958-H958,2))</f>
        <v/>
      </c>
      <c r="K958" s="15">
        <f>IF(COUNT(J958)=0,"",IF(Z958=0,"n.a.",J958/Z958))</f>
        <v/>
      </c>
      <c r="L958" s="14">
        <f>IF(OR(A958="",COUNT(H958)=0,COUNT(Y958)=0),"",ROUND(H958*(1+Y958),2))</f>
        <v/>
      </c>
      <c r="M958" s="10" t="n"/>
      <c r="N958" s="10" t="n"/>
      <c r="O958" s="10" t="n"/>
      <c r="P958" s="10" t="n"/>
      <c r="Q958" s="20" t="n"/>
      <c r="R958" s="10" t="n"/>
      <c r="S958" s="10" t="n"/>
      <c r="T958" s="18" t="n"/>
      <c r="U958" s="18" t="n"/>
      <c r="V958" s="10" t="n"/>
      <c r="W958" s="10" t="n"/>
      <c r="X958" s="19">
        <f>IF(OR(A958="",COUNT(U958)=0,COUNT(AI958)=0),"",U958+AI958)</f>
        <v/>
      </c>
      <c r="Y958" s="16" t="n"/>
      <c r="Z958" s="12" t="n"/>
      <c r="AA958" s="17">
        <f>IF(COUNT(J958)=0,"",IF(H958=0,"n.a.",J958/H958))</f>
        <v/>
      </c>
      <c r="AB958" s="12" t="n"/>
      <c r="AC958" s="12" t="n"/>
      <c r="AD958" s="12" t="n"/>
      <c r="AE958" s="13">
        <f>IF(OR(COUNT(J958)=0,COUNT(AB958:AD958)&lt;3),"",ROUND(J958-SUM(AB958:AD958),2))</f>
        <v/>
      </c>
      <c r="AF958" s="15">
        <f>IF(COUNT(AE958)=0,"",IF(Z958=0,"n.a.",AE958/Z958))</f>
        <v/>
      </c>
      <c r="AG958" s="12" t="n"/>
      <c r="AH958" s="14">
        <f>IF(OR(A958="",COUNT(Z958)=0,COUNT(AG958)=0),"",ROUND(Z958-AG958,2))</f>
        <v/>
      </c>
      <c r="AI958" s="21" t="n"/>
      <c r="AJ958" s="11">
        <f>IF(A958="","",IF(COUNT(I958)=0,"Enter approved NTE",IF(COUNT(Z958)&gt;0,IF(Z958&gt;I958,"Invoice exceeds NTE","Invoice within NTE"),IF(COUNT(L958)=0,"Enter quote inputs",IF(L958&gt;I958,"Quote exceeds NTE","Quote within NTE")))))</f>
        <v/>
      </c>
      <c r="AK958" s="11">
        <f>IF(A958="","",IF(COUNT(H958)=0,"Enter direct cost",IF(COUNT(Z958)=0,"Enter invoice revenue",IF(COUNT(AB958:AD958)&lt;3,"Enter expenses (0 if none)","Complete"))))</f>
        <v/>
      </c>
      <c r="AL958" s="11">
        <f>IF(A958="","",IF(NOT(AND(COUNT(AH958)=1,N(AH958)&gt;0.004,V958&lt;&gt;"Void",V958&lt;&gt;"Not invoiced",V958&lt;&gt;"Draft")),"",IF(COUNT(X958)=0,"No due date",IF(TODAY()-X958&lt;=0,"Not yet due",IF(TODAY()-X958&lt;=30,"1-30 days",IF(TODAY()-X958&lt;=60,"31-60 days",IF(TODAY()-X958&lt;=90,"61-90 days","Over 90 days")))))))</f>
        <v/>
      </c>
      <c r="AM958" s="49">
        <f>IF(OR(AL958="",AL958="No due date"),"",MAX(TODAY()-X958,0))</f>
        <v/>
      </c>
      <c r="AN958" s="49">
        <f>IF(AL958="","",IF(COUNT(X958)=0,-100000,TODAY()-X958))</f>
        <v/>
      </c>
      <c r="AO958" s="49">
        <f>IF(AN958="","",COUNTIF(AN$11:AN$1010,"&gt;"&amp;AN958)+COUNTIF(AN$11:AN958,AN958))</f>
        <v/>
      </c>
      <c r="AP958" s="49">
        <f>IF(OR(A958="",B958=""),"",IF(COUNTIF(B$11:B958,B958)=1,MAX(AP$10:AP957)+1,""))</f>
        <v/>
      </c>
    </row>
    <row r="959">
      <c r="A959" s="20" t="n"/>
      <c r="B959" s="10" t="n"/>
      <c r="C959" s="10" t="n"/>
      <c r="D959" s="10" t="n"/>
      <c r="E959" s="10" t="n"/>
      <c r="F959" s="18" t="n"/>
      <c r="G959" s="10" t="n"/>
      <c r="H959" s="12" t="n"/>
      <c r="I959" s="12" t="n"/>
      <c r="J959" s="13">
        <f>IF(OR(A959="",COUNT(H959)=0,COUNT(Z959)=0),"",ROUND(Z959-H959,2))</f>
        <v/>
      </c>
      <c r="K959" s="15">
        <f>IF(COUNT(J959)=0,"",IF(Z959=0,"n.a.",J959/Z959))</f>
        <v/>
      </c>
      <c r="L959" s="14">
        <f>IF(OR(A959="",COUNT(H959)=0,COUNT(Y959)=0),"",ROUND(H959*(1+Y959),2))</f>
        <v/>
      </c>
      <c r="M959" s="10" t="n"/>
      <c r="N959" s="10" t="n"/>
      <c r="O959" s="10" t="n"/>
      <c r="P959" s="10" t="n"/>
      <c r="Q959" s="20" t="n"/>
      <c r="R959" s="10" t="n"/>
      <c r="S959" s="10" t="n"/>
      <c r="T959" s="18" t="n"/>
      <c r="U959" s="18" t="n"/>
      <c r="V959" s="10" t="n"/>
      <c r="W959" s="10" t="n"/>
      <c r="X959" s="19">
        <f>IF(OR(A959="",COUNT(U959)=0,COUNT(AI959)=0),"",U959+AI959)</f>
        <v/>
      </c>
      <c r="Y959" s="16" t="n"/>
      <c r="Z959" s="12" t="n"/>
      <c r="AA959" s="17">
        <f>IF(COUNT(J959)=0,"",IF(H959=0,"n.a.",J959/H959))</f>
        <v/>
      </c>
      <c r="AB959" s="12" t="n"/>
      <c r="AC959" s="12" t="n"/>
      <c r="AD959" s="12" t="n"/>
      <c r="AE959" s="13">
        <f>IF(OR(COUNT(J959)=0,COUNT(AB959:AD959)&lt;3),"",ROUND(J959-SUM(AB959:AD959),2))</f>
        <v/>
      </c>
      <c r="AF959" s="15">
        <f>IF(COUNT(AE959)=0,"",IF(Z959=0,"n.a.",AE959/Z959))</f>
        <v/>
      </c>
      <c r="AG959" s="12" t="n"/>
      <c r="AH959" s="14">
        <f>IF(OR(A959="",COUNT(Z959)=0,COUNT(AG959)=0),"",ROUND(Z959-AG959,2))</f>
        <v/>
      </c>
      <c r="AI959" s="21" t="n"/>
      <c r="AJ959" s="11">
        <f>IF(A959="","",IF(COUNT(I959)=0,"Enter approved NTE",IF(COUNT(Z959)&gt;0,IF(Z959&gt;I959,"Invoice exceeds NTE","Invoice within NTE"),IF(COUNT(L959)=0,"Enter quote inputs",IF(L959&gt;I959,"Quote exceeds NTE","Quote within NTE")))))</f>
        <v/>
      </c>
      <c r="AK959" s="11">
        <f>IF(A959="","",IF(COUNT(H959)=0,"Enter direct cost",IF(COUNT(Z959)=0,"Enter invoice revenue",IF(COUNT(AB959:AD959)&lt;3,"Enter expenses (0 if none)","Complete"))))</f>
        <v/>
      </c>
      <c r="AL959" s="11">
        <f>IF(A959="","",IF(NOT(AND(COUNT(AH959)=1,N(AH959)&gt;0.004,V959&lt;&gt;"Void",V959&lt;&gt;"Not invoiced",V959&lt;&gt;"Draft")),"",IF(COUNT(X959)=0,"No due date",IF(TODAY()-X959&lt;=0,"Not yet due",IF(TODAY()-X959&lt;=30,"1-30 days",IF(TODAY()-X959&lt;=60,"31-60 days",IF(TODAY()-X959&lt;=90,"61-90 days","Over 90 days")))))))</f>
        <v/>
      </c>
      <c r="AM959" s="49">
        <f>IF(OR(AL959="",AL959="No due date"),"",MAX(TODAY()-X959,0))</f>
        <v/>
      </c>
      <c r="AN959" s="49">
        <f>IF(AL959="","",IF(COUNT(X959)=0,-100000,TODAY()-X959))</f>
        <v/>
      </c>
      <c r="AO959" s="49">
        <f>IF(AN959="","",COUNTIF(AN$11:AN$1010,"&gt;"&amp;AN959)+COUNTIF(AN$11:AN959,AN959))</f>
        <v/>
      </c>
      <c r="AP959" s="49">
        <f>IF(OR(A959="",B959=""),"",IF(COUNTIF(B$11:B959,B959)=1,MAX(AP$10:AP958)+1,""))</f>
        <v/>
      </c>
    </row>
    <row r="960">
      <c r="A960" s="20" t="n"/>
      <c r="B960" s="10" t="n"/>
      <c r="C960" s="10" t="n"/>
      <c r="D960" s="10" t="n"/>
      <c r="E960" s="10" t="n"/>
      <c r="F960" s="18" t="n"/>
      <c r="G960" s="10" t="n"/>
      <c r="H960" s="12" t="n"/>
      <c r="I960" s="12" t="n"/>
      <c r="J960" s="13">
        <f>IF(OR(A960="",COUNT(H960)=0,COUNT(Z960)=0),"",ROUND(Z960-H960,2))</f>
        <v/>
      </c>
      <c r="K960" s="15">
        <f>IF(COUNT(J960)=0,"",IF(Z960=0,"n.a.",J960/Z960))</f>
        <v/>
      </c>
      <c r="L960" s="14">
        <f>IF(OR(A960="",COUNT(H960)=0,COUNT(Y960)=0),"",ROUND(H960*(1+Y960),2))</f>
        <v/>
      </c>
      <c r="M960" s="10" t="n"/>
      <c r="N960" s="10" t="n"/>
      <c r="O960" s="10" t="n"/>
      <c r="P960" s="10" t="n"/>
      <c r="Q960" s="20" t="n"/>
      <c r="R960" s="10" t="n"/>
      <c r="S960" s="10" t="n"/>
      <c r="T960" s="18" t="n"/>
      <c r="U960" s="18" t="n"/>
      <c r="V960" s="10" t="n"/>
      <c r="W960" s="10" t="n"/>
      <c r="X960" s="19">
        <f>IF(OR(A960="",COUNT(U960)=0,COUNT(AI960)=0),"",U960+AI960)</f>
        <v/>
      </c>
      <c r="Y960" s="16" t="n"/>
      <c r="Z960" s="12" t="n"/>
      <c r="AA960" s="17">
        <f>IF(COUNT(J960)=0,"",IF(H960=0,"n.a.",J960/H960))</f>
        <v/>
      </c>
      <c r="AB960" s="12" t="n"/>
      <c r="AC960" s="12" t="n"/>
      <c r="AD960" s="12" t="n"/>
      <c r="AE960" s="13">
        <f>IF(OR(COUNT(J960)=0,COUNT(AB960:AD960)&lt;3),"",ROUND(J960-SUM(AB960:AD960),2))</f>
        <v/>
      </c>
      <c r="AF960" s="15">
        <f>IF(COUNT(AE960)=0,"",IF(Z960=0,"n.a.",AE960/Z960))</f>
        <v/>
      </c>
      <c r="AG960" s="12" t="n"/>
      <c r="AH960" s="14">
        <f>IF(OR(A960="",COUNT(Z960)=0,COUNT(AG960)=0),"",ROUND(Z960-AG960,2))</f>
        <v/>
      </c>
      <c r="AI960" s="21" t="n"/>
      <c r="AJ960" s="11">
        <f>IF(A960="","",IF(COUNT(I960)=0,"Enter approved NTE",IF(COUNT(Z960)&gt;0,IF(Z960&gt;I960,"Invoice exceeds NTE","Invoice within NTE"),IF(COUNT(L960)=0,"Enter quote inputs",IF(L960&gt;I960,"Quote exceeds NTE","Quote within NTE")))))</f>
        <v/>
      </c>
      <c r="AK960" s="11">
        <f>IF(A960="","",IF(COUNT(H960)=0,"Enter direct cost",IF(COUNT(Z960)=0,"Enter invoice revenue",IF(COUNT(AB960:AD960)&lt;3,"Enter expenses (0 if none)","Complete"))))</f>
        <v/>
      </c>
      <c r="AL960" s="11">
        <f>IF(A960="","",IF(NOT(AND(COUNT(AH960)=1,N(AH960)&gt;0.004,V960&lt;&gt;"Void",V960&lt;&gt;"Not invoiced",V960&lt;&gt;"Draft")),"",IF(COUNT(X960)=0,"No due date",IF(TODAY()-X960&lt;=0,"Not yet due",IF(TODAY()-X960&lt;=30,"1-30 days",IF(TODAY()-X960&lt;=60,"31-60 days",IF(TODAY()-X960&lt;=90,"61-90 days","Over 90 days")))))))</f>
        <v/>
      </c>
      <c r="AM960" s="49">
        <f>IF(OR(AL960="",AL960="No due date"),"",MAX(TODAY()-X960,0))</f>
        <v/>
      </c>
      <c r="AN960" s="49">
        <f>IF(AL960="","",IF(COUNT(X960)=0,-100000,TODAY()-X960))</f>
        <v/>
      </c>
      <c r="AO960" s="49">
        <f>IF(AN960="","",COUNTIF(AN$11:AN$1010,"&gt;"&amp;AN960)+COUNTIF(AN$11:AN960,AN960))</f>
        <v/>
      </c>
      <c r="AP960" s="49">
        <f>IF(OR(A960="",B960=""),"",IF(COUNTIF(B$11:B960,B960)=1,MAX(AP$10:AP959)+1,""))</f>
        <v/>
      </c>
    </row>
    <row r="961">
      <c r="A961" s="20" t="n"/>
      <c r="B961" s="10" t="n"/>
      <c r="C961" s="10" t="n"/>
      <c r="D961" s="10" t="n"/>
      <c r="E961" s="10" t="n"/>
      <c r="F961" s="18" t="n"/>
      <c r="G961" s="10" t="n"/>
      <c r="H961" s="12" t="n"/>
      <c r="I961" s="12" t="n"/>
      <c r="J961" s="13">
        <f>IF(OR(A961="",COUNT(H961)=0,COUNT(Z961)=0),"",ROUND(Z961-H961,2))</f>
        <v/>
      </c>
      <c r="K961" s="15">
        <f>IF(COUNT(J961)=0,"",IF(Z961=0,"n.a.",J961/Z961))</f>
        <v/>
      </c>
      <c r="L961" s="14">
        <f>IF(OR(A961="",COUNT(H961)=0,COUNT(Y961)=0),"",ROUND(H961*(1+Y961),2))</f>
        <v/>
      </c>
      <c r="M961" s="10" t="n"/>
      <c r="N961" s="10" t="n"/>
      <c r="O961" s="10" t="n"/>
      <c r="P961" s="10" t="n"/>
      <c r="Q961" s="20" t="n"/>
      <c r="R961" s="10" t="n"/>
      <c r="S961" s="10" t="n"/>
      <c r="T961" s="18" t="n"/>
      <c r="U961" s="18" t="n"/>
      <c r="V961" s="10" t="n"/>
      <c r="W961" s="10" t="n"/>
      <c r="X961" s="19">
        <f>IF(OR(A961="",COUNT(U961)=0,COUNT(AI961)=0),"",U961+AI961)</f>
        <v/>
      </c>
      <c r="Y961" s="16" t="n"/>
      <c r="Z961" s="12" t="n"/>
      <c r="AA961" s="17">
        <f>IF(COUNT(J961)=0,"",IF(H961=0,"n.a.",J961/H961))</f>
        <v/>
      </c>
      <c r="AB961" s="12" t="n"/>
      <c r="AC961" s="12" t="n"/>
      <c r="AD961" s="12" t="n"/>
      <c r="AE961" s="13">
        <f>IF(OR(COUNT(J961)=0,COUNT(AB961:AD961)&lt;3),"",ROUND(J961-SUM(AB961:AD961),2))</f>
        <v/>
      </c>
      <c r="AF961" s="15">
        <f>IF(COUNT(AE961)=0,"",IF(Z961=0,"n.a.",AE961/Z961))</f>
        <v/>
      </c>
      <c r="AG961" s="12" t="n"/>
      <c r="AH961" s="14">
        <f>IF(OR(A961="",COUNT(Z961)=0,COUNT(AG961)=0),"",ROUND(Z961-AG961,2))</f>
        <v/>
      </c>
      <c r="AI961" s="21" t="n"/>
      <c r="AJ961" s="11">
        <f>IF(A961="","",IF(COUNT(I961)=0,"Enter approved NTE",IF(COUNT(Z961)&gt;0,IF(Z961&gt;I961,"Invoice exceeds NTE","Invoice within NTE"),IF(COUNT(L961)=0,"Enter quote inputs",IF(L961&gt;I961,"Quote exceeds NTE","Quote within NTE")))))</f>
        <v/>
      </c>
      <c r="AK961" s="11">
        <f>IF(A961="","",IF(COUNT(H961)=0,"Enter direct cost",IF(COUNT(Z961)=0,"Enter invoice revenue",IF(COUNT(AB961:AD961)&lt;3,"Enter expenses (0 if none)","Complete"))))</f>
        <v/>
      </c>
      <c r="AL961" s="11">
        <f>IF(A961="","",IF(NOT(AND(COUNT(AH961)=1,N(AH961)&gt;0.004,V961&lt;&gt;"Void",V961&lt;&gt;"Not invoiced",V961&lt;&gt;"Draft")),"",IF(COUNT(X961)=0,"No due date",IF(TODAY()-X961&lt;=0,"Not yet due",IF(TODAY()-X961&lt;=30,"1-30 days",IF(TODAY()-X961&lt;=60,"31-60 days",IF(TODAY()-X961&lt;=90,"61-90 days","Over 90 days")))))))</f>
        <v/>
      </c>
      <c r="AM961" s="49">
        <f>IF(OR(AL961="",AL961="No due date"),"",MAX(TODAY()-X961,0))</f>
        <v/>
      </c>
      <c r="AN961" s="49">
        <f>IF(AL961="","",IF(COUNT(X961)=0,-100000,TODAY()-X961))</f>
        <v/>
      </c>
      <c r="AO961" s="49">
        <f>IF(AN961="","",COUNTIF(AN$11:AN$1010,"&gt;"&amp;AN961)+COUNTIF(AN$11:AN961,AN961))</f>
        <v/>
      </c>
      <c r="AP961" s="49">
        <f>IF(OR(A961="",B961=""),"",IF(COUNTIF(B$11:B961,B961)=1,MAX(AP$10:AP960)+1,""))</f>
        <v/>
      </c>
    </row>
    <row r="962">
      <c r="A962" s="20" t="n"/>
      <c r="B962" s="10" t="n"/>
      <c r="C962" s="10" t="n"/>
      <c r="D962" s="10" t="n"/>
      <c r="E962" s="10" t="n"/>
      <c r="F962" s="18" t="n"/>
      <c r="G962" s="10" t="n"/>
      <c r="H962" s="12" t="n"/>
      <c r="I962" s="12" t="n"/>
      <c r="J962" s="13">
        <f>IF(OR(A962="",COUNT(H962)=0,COUNT(Z962)=0),"",ROUND(Z962-H962,2))</f>
        <v/>
      </c>
      <c r="K962" s="15">
        <f>IF(COUNT(J962)=0,"",IF(Z962=0,"n.a.",J962/Z962))</f>
        <v/>
      </c>
      <c r="L962" s="14">
        <f>IF(OR(A962="",COUNT(H962)=0,COUNT(Y962)=0),"",ROUND(H962*(1+Y962),2))</f>
        <v/>
      </c>
      <c r="M962" s="10" t="n"/>
      <c r="N962" s="10" t="n"/>
      <c r="O962" s="10" t="n"/>
      <c r="P962" s="10" t="n"/>
      <c r="Q962" s="20" t="n"/>
      <c r="R962" s="10" t="n"/>
      <c r="S962" s="10" t="n"/>
      <c r="T962" s="18" t="n"/>
      <c r="U962" s="18" t="n"/>
      <c r="V962" s="10" t="n"/>
      <c r="W962" s="10" t="n"/>
      <c r="X962" s="19">
        <f>IF(OR(A962="",COUNT(U962)=0,COUNT(AI962)=0),"",U962+AI962)</f>
        <v/>
      </c>
      <c r="Y962" s="16" t="n"/>
      <c r="Z962" s="12" t="n"/>
      <c r="AA962" s="17">
        <f>IF(COUNT(J962)=0,"",IF(H962=0,"n.a.",J962/H962))</f>
        <v/>
      </c>
      <c r="AB962" s="12" t="n"/>
      <c r="AC962" s="12" t="n"/>
      <c r="AD962" s="12" t="n"/>
      <c r="AE962" s="13">
        <f>IF(OR(COUNT(J962)=0,COUNT(AB962:AD962)&lt;3),"",ROUND(J962-SUM(AB962:AD962),2))</f>
        <v/>
      </c>
      <c r="AF962" s="15">
        <f>IF(COUNT(AE962)=0,"",IF(Z962=0,"n.a.",AE962/Z962))</f>
        <v/>
      </c>
      <c r="AG962" s="12" t="n"/>
      <c r="AH962" s="14">
        <f>IF(OR(A962="",COUNT(Z962)=0,COUNT(AG962)=0),"",ROUND(Z962-AG962,2))</f>
        <v/>
      </c>
      <c r="AI962" s="21" t="n"/>
      <c r="AJ962" s="11">
        <f>IF(A962="","",IF(COUNT(I962)=0,"Enter approved NTE",IF(COUNT(Z962)&gt;0,IF(Z962&gt;I962,"Invoice exceeds NTE","Invoice within NTE"),IF(COUNT(L962)=0,"Enter quote inputs",IF(L962&gt;I962,"Quote exceeds NTE","Quote within NTE")))))</f>
        <v/>
      </c>
      <c r="AK962" s="11">
        <f>IF(A962="","",IF(COUNT(H962)=0,"Enter direct cost",IF(COUNT(Z962)=0,"Enter invoice revenue",IF(COUNT(AB962:AD962)&lt;3,"Enter expenses (0 if none)","Complete"))))</f>
        <v/>
      </c>
      <c r="AL962" s="11">
        <f>IF(A962="","",IF(NOT(AND(COUNT(AH962)=1,N(AH962)&gt;0.004,V962&lt;&gt;"Void",V962&lt;&gt;"Not invoiced",V962&lt;&gt;"Draft")),"",IF(COUNT(X962)=0,"No due date",IF(TODAY()-X962&lt;=0,"Not yet due",IF(TODAY()-X962&lt;=30,"1-30 days",IF(TODAY()-X962&lt;=60,"31-60 days",IF(TODAY()-X962&lt;=90,"61-90 days","Over 90 days")))))))</f>
        <v/>
      </c>
      <c r="AM962" s="49">
        <f>IF(OR(AL962="",AL962="No due date"),"",MAX(TODAY()-X962,0))</f>
        <v/>
      </c>
      <c r="AN962" s="49">
        <f>IF(AL962="","",IF(COUNT(X962)=0,-100000,TODAY()-X962))</f>
        <v/>
      </c>
      <c r="AO962" s="49">
        <f>IF(AN962="","",COUNTIF(AN$11:AN$1010,"&gt;"&amp;AN962)+COUNTIF(AN$11:AN962,AN962))</f>
        <v/>
      </c>
      <c r="AP962" s="49">
        <f>IF(OR(A962="",B962=""),"",IF(COUNTIF(B$11:B962,B962)=1,MAX(AP$10:AP961)+1,""))</f>
        <v/>
      </c>
    </row>
    <row r="963">
      <c r="A963" s="20" t="n"/>
      <c r="B963" s="10" t="n"/>
      <c r="C963" s="10" t="n"/>
      <c r="D963" s="10" t="n"/>
      <c r="E963" s="10" t="n"/>
      <c r="F963" s="18" t="n"/>
      <c r="G963" s="10" t="n"/>
      <c r="H963" s="12" t="n"/>
      <c r="I963" s="12" t="n"/>
      <c r="J963" s="13">
        <f>IF(OR(A963="",COUNT(H963)=0,COUNT(Z963)=0),"",ROUND(Z963-H963,2))</f>
        <v/>
      </c>
      <c r="K963" s="15">
        <f>IF(COUNT(J963)=0,"",IF(Z963=0,"n.a.",J963/Z963))</f>
        <v/>
      </c>
      <c r="L963" s="14">
        <f>IF(OR(A963="",COUNT(H963)=0,COUNT(Y963)=0),"",ROUND(H963*(1+Y963),2))</f>
        <v/>
      </c>
      <c r="M963" s="10" t="n"/>
      <c r="N963" s="10" t="n"/>
      <c r="O963" s="10" t="n"/>
      <c r="P963" s="10" t="n"/>
      <c r="Q963" s="20" t="n"/>
      <c r="R963" s="10" t="n"/>
      <c r="S963" s="10" t="n"/>
      <c r="T963" s="18" t="n"/>
      <c r="U963" s="18" t="n"/>
      <c r="V963" s="10" t="n"/>
      <c r="W963" s="10" t="n"/>
      <c r="X963" s="19">
        <f>IF(OR(A963="",COUNT(U963)=0,COUNT(AI963)=0),"",U963+AI963)</f>
        <v/>
      </c>
      <c r="Y963" s="16" t="n"/>
      <c r="Z963" s="12" t="n"/>
      <c r="AA963" s="17">
        <f>IF(COUNT(J963)=0,"",IF(H963=0,"n.a.",J963/H963))</f>
        <v/>
      </c>
      <c r="AB963" s="12" t="n"/>
      <c r="AC963" s="12" t="n"/>
      <c r="AD963" s="12" t="n"/>
      <c r="AE963" s="13">
        <f>IF(OR(COUNT(J963)=0,COUNT(AB963:AD963)&lt;3),"",ROUND(J963-SUM(AB963:AD963),2))</f>
        <v/>
      </c>
      <c r="AF963" s="15">
        <f>IF(COUNT(AE963)=0,"",IF(Z963=0,"n.a.",AE963/Z963))</f>
        <v/>
      </c>
      <c r="AG963" s="12" t="n"/>
      <c r="AH963" s="14">
        <f>IF(OR(A963="",COUNT(Z963)=0,COUNT(AG963)=0),"",ROUND(Z963-AG963,2))</f>
        <v/>
      </c>
      <c r="AI963" s="21" t="n"/>
      <c r="AJ963" s="11">
        <f>IF(A963="","",IF(COUNT(I963)=0,"Enter approved NTE",IF(COUNT(Z963)&gt;0,IF(Z963&gt;I963,"Invoice exceeds NTE","Invoice within NTE"),IF(COUNT(L963)=0,"Enter quote inputs",IF(L963&gt;I963,"Quote exceeds NTE","Quote within NTE")))))</f>
        <v/>
      </c>
      <c r="AK963" s="11">
        <f>IF(A963="","",IF(COUNT(H963)=0,"Enter direct cost",IF(COUNT(Z963)=0,"Enter invoice revenue",IF(COUNT(AB963:AD963)&lt;3,"Enter expenses (0 if none)","Complete"))))</f>
        <v/>
      </c>
      <c r="AL963" s="11">
        <f>IF(A963="","",IF(NOT(AND(COUNT(AH963)=1,N(AH963)&gt;0.004,V963&lt;&gt;"Void",V963&lt;&gt;"Not invoiced",V963&lt;&gt;"Draft")),"",IF(COUNT(X963)=0,"No due date",IF(TODAY()-X963&lt;=0,"Not yet due",IF(TODAY()-X963&lt;=30,"1-30 days",IF(TODAY()-X963&lt;=60,"31-60 days",IF(TODAY()-X963&lt;=90,"61-90 days","Over 90 days")))))))</f>
        <v/>
      </c>
      <c r="AM963" s="49">
        <f>IF(OR(AL963="",AL963="No due date"),"",MAX(TODAY()-X963,0))</f>
        <v/>
      </c>
      <c r="AN963" s="49">
        <f>IF(AL963="","",IF(COUNT(X963)=0,-100000,TODAY()-X963))</f>
        <v/>
      </c>
      <c r="AO963" s="49">
        <f>IF(AN963="","",COUNTIF(AN$11:AN$1010,"&gt;"&amp;AN963)+COUNTIF(AN$11:AN963,AN963))</f>
        <v/>
      </c>
      <c r="AP963" s="49">
        <f>IF(OR(A963="",B963=""),"",IF(COUNTIF(B$11:B963,B963)=1,MAX(AP$10:AP962)+1,""))</f>
        <v/>
      </c>
    </row>
    <row r="964">
      <c r="A964" s="20" t="n"/>
      <c r="B964" s="10" t="n"/>
      <c r="C964" s="10" t="n"/>
      <c r="D964" s="10" t="n"/>
      <c r="E964" s="10" t="n"/>
      <c r="F964" s="18" t="n"/>
      <c r="G964" s="10" t="n"/>
      <c r="H964" s="12" t="n"/>
      <c r="I964" s="12" t="n"/>
      <c r="J964" s="13">
        <f>IF(OR(A964="",COUNT(H964)=0,COUNT(Z964)=0),"",ROUND(Z964-H964,2))</f>
        <v/>
      </c>
      <c r="K964" s="15">
        <f>IF(COUNT(J964)=0,"",IF(Z964=0,"n.a.",J964/Z964))</f>
        <v/>
      </c>
      <c r="L964" s="14">
        <f>IF(OR(A964="",COUNT(H964)=0,COUNT(Y964)=0),"",ROUND(H964*(1+Y964),2))</f>
        <v/>
      </c>
      <c r="M964" s="10" t="n"/>
      <c r="N964" s="10" t="n"/>
      <c r="O964" s="10" t="n"/>
      <c r="P964" s="10" t="n"/>
      <c r="Q964" s="20" t="n"/>
      <c r="R964" s="10" t="n"/>
      <c r="S964" s="10" t="n"/>
      <c r="T964" s="18" t="n"/>
      <c r="U964" s="18" t="n"/>
      <c r="V964" s="10" t="n"/>
      <c r="W964" s="10" t="n"/>
      <c r="X964" s="19">
        <f>IF(OR(A964="",COUNT(U964)=0,COUNT(AI964)=0),"",U964+AI964)</f>
        <v/>
      </c>
      <c r="Y964" s="16" t="n"/>
      <c r="Z964" s="12" t="n"/>
      <c r="AA964" s="17">
        <f>IF(COUNT(J964)=0,"",IF(H964=0,"n.a.",J964/H964))</f>
        <v/>
      </c>
      <c r="AB964" s="12" t="n"/>
      <c r="AC964" s="12" t="n"/>
      <c r="AD964" s="12" t="n"/>
      <c r="AE964" s="13">
        <f>IF(OR(COUNT(J964)=0,COUNT(AB964:AD964)&lt;3),"",ROUND(J964-SUM(AB964:AD964),2))</f>
        <v/>
      </c>
      <c r="AF964" s="15">
        <f>IF(COUNT(AE964)=0,"",IF(Z964=0,"n.a.",AE964/Z964))</f>
        <v/>
      </c>
      <c r="AG964" s="12" t="n"/>
      <c r="AH964" s="14">
        <f>IF(OR(A964="",COUNT(Z964)=0,COUNT(AG964)=0),"",ROUND(Z964-AG964,2))</f>
        <v/>
      </c>
      <c r="AI964" s="21" t="n"/>
      <c r="AJ964" s="11">
        <f>IF(A964="","",IF(COUNT(I964)=0,"Enter approved NTE",IF(COUNT(Z964)&gt;0,IF(Z964&gt;I964,"Invoice exceeds NTE","Invoice within NTE"),IF(COUNT(L964)=0,"Enter quote inputs",IF(L964&gt;I964,"Quote exceeds NTE","Quote within NTE")))))</f>
        <v/>
      </c>
      <c r="AK964" s="11">
        <f>IF(A964="","",IF(COUNT(H964)=0,"Enter direct cost",IF(COUNT(Z964)=0,"Enter invoice revenue",IF(COUNT(AB964:AD964)&lt;3,"Enter expenses (0 if none)","Complete"))))</f>
        <v/>
      </c>
      <c r="AL964" s="11">
        <f>IF(A964="","",IF(NOT(AND(COUNT(AH964)=1,N(AH964)&gt;0.004,V964&lt;&gt;"Void",V964&lt;&gt;"Not invoiced",V964&lt;&gt;"Draft")),"",IF(COUNT(X964)=0,"No due date",IF(TODAY()-X964&lt;=0,"Not yet due",IF(TODAY()-X964&lt;=30,"1-30 days",IF(TODAY()-X964&lt;=60,"31-60 days",IF(TODAY()-X964&lt;=90,"61-90 days","Over 90 days")))))))</f>
        <v/>
      </c>
      <c r="AM964" s="49">
        <f>IF(OR(AL964="",AL964="No due date"),"",MAX(TODAY()-X964,0))</f>
        <v/>
      </c>
      <c r="AN964" s="49">
        <f>IF(AL964="","",IF(COUNT(X964)=0,-100000,TODAY()-X964))</f>
        <v/>
      </c>
      <c r="AO964" s="49">
        <f>IF(AN964="","",COUNTIF(AN$11:AN$1010,"&gt;"&amp;AN964)+COUNTIF(AN$11:AN964,AN964))</f>
        <v/>
      </c>
      <c r="AP964" s="49">
        <f>IF(OR(A964="",B964=""),"",IF(COUNTIF(B$11:B964,B964)=1,MAX(AP$10:AP963)+1,""))</f>
        <v/>
      </c>
    </row>
    <row r="965">
      <c r="A965" s="20" t="n"/>
      <c r="B965" s="10" t="n"/>
      <c r="C965" s="10" t="n"/>
      <c r="D965" s="10" t="n"/>
      <c r="E965" s="10" t="n"/>
      <c r="F965" s="18" t="n"/>
      <c r="G965" s="10" t="n"/>
      <c r="H965" s="12" t="n"/>
      <c r="I965" s="12" t="n"/>
      <c r="J965" s="13">
        <f>IF(OR(A965="",COUNT(H965)=0,COUNT(Z965)=0),"",ROUND(Z965-H965,2))</f>
        <v/>
      </c>
      <c r="K965" s="15">
        <f>IF(COUNT(J965)=0,"",IF(Z965=0,"n.a.",J965/Z965))</f>
        <v/>
      </c>
      <c r="L965" s="14">
        <f>IF(OR(A965="",COUNT(H965)=0,COUNT(Y965)=0),"",ROUND(H965*(1+Y965),2))</f>
        <v/>
      </c>
      <c r="M965" s="10" t="n"/>
      <c r="N965" s="10" t="n"/>
      <c r="O965" s="10" t="n"/>
      <c r="P965" s="10" t="n"/>
      <c r="Q965" s="20" t="n"/>
      <c r="R965" s="10" t="n"/>
      <c r="S965" s="10" t="n"/>
      <c r="T965" s="18" t="n"/>
      <c r="U965" s="18" t="n"/>
      <c r="V965" s="10" t="n"/>
      <c r="W965" s="10" t="n"/>
      <c r="X965" s="19">
        <f>IF(OR(A965="",COUNT(U965)=0,COUNT(AI965)=0),"",U965+AI965)</f>
        <v/>
      </c>
      <c r="Y965" s="16" t="n"/>
      <c r="Z965" s="12" t="n"/>
      <c r="AA965" s="17">
        <f>IF(COUNT(J965)=0,"",IF(H965=0,"n.a.",J965/H965))</f>
        <v/>
      </c>
      <c r="AB965" s="12" t="n"/>
      <c r="AC965" s="12" t="n"/>
      <c r="AD965" s="12" t="n"/>
      <c r="AE965" s="13">
        <f>IF(OR(COUNT(J965)=0,COUNT(AB965:AD965)&lt;3),"",ROUND(J965-SUM(AB965:AD965),2))</f>
        <v/>
      </c>
      <c r="AF965" s="15">
        <f>IF(COUNT(AE965)=0,"",IF(Z965=0,"n.a.",AE965/Z965))</f>
        <v/>
      </c>
      <c r="AG965" s="12" t="n"/>
      <c r="AH965" s="14">
        <f>IF(OR(A965="",COUNT(Z965)=0,COUNT(AG965)=0),"",ROUND(Z965-AG965,2))</f>
        <v/>
      </c>
      <c r="AI965" s="21" t="n"/>
      <c r="AJ965" s="11">
        <f>IF(A965="","",IF(COUNT(I965)=0,"Enter approved NTE",IF(COUNT(Z965)&gt;0,IF(Z965&gt;I965,"Invoice exceeds NTE","Invoice within NTE"),IF(COUNT(L965)=0,"Enter quote inputs",IF(L965&gt;I965,"Quote exceeds NTE","Quote within NTE")))))</f>
        <v/>
      </c>
      <c r="AK965" s="11">
        <f>IF(A965="","",IF(COUNT(H965)=0,"Enter direct cost",IF(COUNT(Z965)=0,"Enter invoice revenue",IF(COUNT(AB965:AD965)&lt;3,"Enter expenses (0 if none)","Complete"))))</f>
        <v/>
      </c>
      <c r="AL965" s="11">
        <f>IF(A965="","",IF(NOT(AND(COUNT(AH965)=1,N(AH965)&gt;0.004,V965&lt;&gt;"Void",V965&lt;&gt;"Not invoiced",V965&lt;&gt;"Draft")),"",IF(COUNT(X965)=0,"No due date",IF(TODAY()-X965&lt;=0,"Not yet due",IF(TODAY()-X965&lt;=30,"1-30 days",IF(TODAY()-X965&lt;=60,"31-60 days",IF(TODAY()-X965&lt;=90,"61-90 days","Over 90 days")))))))</f>
        <v/>
      </c>
      <c r="AM965" s="49">
        <f>IF(OR(AL965="",AL965="No due date"),"",MAX(TODAY()-X965,0))</f>
        <v/>
      </c>
      <c r="AN965" s="49">
        <f>IF(AL965="","",IF(COUNT(X965)=0,-100000,TODAY()-X965))</f>
        <v/>
      </c>
      <c r="AO965" s="49">
        <f>IF(AN965="","",COUNTIF(AN$11:AN$1010,"&gt;"&amp;AN965)+COUNTIF(AN$11:AN965,AN965))</f>
        <v/>
      </c>
      <c r="AP965" s="49">
        <f>IF(OR(A965="",B965=""),"",IF(COUNTIF(B$11:B965,B965)=1,MAX(AP$10:AP964)+1,""))</f>
        <v/>
      </c>
    </row>
    <row r="966">
      <c r="A966" s="20" t="n"/>
      <c r="B966" s="10" t="n"/>
      <c r="C966" s="10" t="n"/>
      <c r="D966" s="10" t="n"/>
      <c r="E966" s="10" t="n"/>
      <c r="F966" s="18" t="n"/>
      <c r="G966" s="10" t="n"/>
      <c r="H966" s="12" t="n"/>
      <c r="I966" s="12" t="n"/>
      <c r="J966" s="13">
        <f>IF(OR(A966="",COUNT(H966)=0,COUNT(Z966)=0),"",ROUND(Z966-H966,2))</f>
        <v/>
      </c>
      <c r="K966" s="15">
        <f>IF(COUNT(J966)=0,"",IF(Z966=0,"n.a.",J966/Z966))</f>
        <v/>
      </c>
      <c r="L966" s="14">
        <f>IF(OR(A966="",COUNT(H966)=0,COUNT(Y966)=0),"",ROUND(H966*(1+Y966),2))</f>
        <v/>
      </c>
      <c r="M966" s="10" t="n"/>
      <c r="N966" s="10" t="n"/>
      <c r="O966" s="10" t="n"/>
      <c r="P966" s="10" t="n"/>
      <c r="Q966" s="20" t="n"/>
      <c r="R966" s="10" t="n"/>
      <c r="S966" s="10" t="n"/>
      <c r="T966" s="18" t="n"/>
      <c r="U966" s="18" t="n"/>
      <c r="V966" s="10" t="n"/>
      <c r="W966" s="10" t="n"/>
      <c r="X966" s="19">
        <f>IF(OR(A966="",COUNT(U966)=0,COUNT(AI966)=0),"",U966+AI966)</f>
        <v/>
      </c>
      <c r="Y966" s="16" t="n"/>
      <c r="Z966" s="12" t="n"/>
      <c r="AA966" s="17">
        <f>IF(COUNT(J966)=0,"",IF(H966=0,"n.a.",J966/H966))</f>
        <v/>
      </c>
      <c r="AB966" s="12" t="n"/>
      <c r="AC966" s="12" t="n"/>
      <c r="AD966" s="12" t="n"/>
      <c r="AE966" s="13">
        <f>IF(OR(COUNT(J966)=0,COUNT(AB966:AD966)&lt;3),"",ROUND(J966-SUM(AB966:AD966),2))</f>
        <v/>
      </c>
      <c r="AF966" s="15">
        <f>IF(COUNT(AE966)=0,"",IF(Z966=0,"n.a.",AE966/Z966))</f>
        <v/>
      </c>
      <c r="AG966" s="12" t="n"/>
      <c r="AH966" s="14">
        <f>IF(OR(A966="",COUNT(Z966)=0,COUNT(AG966)=0),"",ROUND(Z966-AG966,2))</f>
        <v/>
      </c>
      <c r="AI966" s="21" t="n"/>
      <c r="AJ966" s="11">
        <f>IF(A966="","",IF(COUNT(I966)=0,"Enter approved NTE",IF(COUNT(Z966)&gt;0,IF(Z966&gt;I966,"Invoice exceeds NTE","Invoice within NTE"),IF(COUNT(L966)=0,"Enter quote inputs",IF(L966&gt;I966,"Quote exceeds NTE","Quote within NTE")))))</f>
        <v/>
      </c>
      <c r="AK966" s="11">
        <f>IF(A966="","",IF(COUNT(H966)=0,"Enter direct cost",IF(COUNT(Z966)=0,"Enter invoice revenue",IF(COUNT(AB966:AD966)&lt;3,"Enter expenses (0 if none)","Complete"))))</f>
        <v/>
      </c>
      <c r="AL966" s="11">
        <f>IF(A966="","",IF(NOT(AND(COUNT(AH966)=1,N(AH966)&gt;0.004,V966&lt;&gt;"Void",V966&lt;&gt;"Not invoiced",V966&lt;&gt;"Draft")),"",IF(COUNT(X966)=0,"No due date",IF(TODAY()-X966&lt;=0,"Not yet due",IF(TODAY()-X966&lt;=30,"1-30 days",IF(TODAY()-X966&lt;=60,"31-60 days",IF(TODAY()-X966&lt;=90,"61-90 days","Over 90 days")))))))</f>
        <v/>
      </c>
      <c r="AM966" s="49">
        <f>IF(OR(AL966="",AL966="No due date"),"",MAX(TODAY()-X966,0))</f>
        <v/>
      </c>
      <c r="AN966" s="49">
        <f>IF(AL966="","",IF(COUNT(X966)=0,-100000,TODAY()-X966))</f>
        <v/>
      </c>
      <c r="AO966" s="49">
        <f>IF(AN966="","",COUNTIF(AN$11:AN$1010,"&gt;"&amp;AN966)+COUNTIF(AN$11:AN966,AN966))</f>
        <v/>
      </c>
      <c r="AP966" s="49">
        <f>IF(OR(A966="",B966=""),"",IF(COUNTIF(B$11:B966,B966)=1,MAX(AP$10:AP965)+1,""))</f>
        <v/>
      </c>
    </row>
    <row r="967">
      <c r="A967" s="20" t="n"/>
      <c r="B967" s="10" t="n"/>
      <c r="C967" s="10" t="n"/>
      <c r="D967" s="10" t="n"/>
      <c r="E967" s="10" t="n"/>
      <c r="F967" s="18" t="n"/>
      <c r="G967" s="10" t="n"/>
      <c r="H967" s="12" t="n"/>
      <c r="I967" s="12" t="n"/>
      <c r="J967" s="13">
        <f>IF(OR(A967="",COUNT(H967)=0,COUNT(Z967)=0),"",ROUND(Z967-H967,2))</f>
        <v/>
      </c>
      <c r="K967" s="15">
        <f>IF(COUNT(J967)=0,"",IF(Z967=0,"n.a.",J967/Z967))</f>
        <v/>
      </c>
      <c r="L967" s="14">
        <f>IF(OR(A967="",COUNT(H967)=0,COUNT(Y967)=0),"",ROUND(H967*(1+Y967),2))</f>
        <v/>
      </c>
      <c r="M967" s="10" t="n"/>
      <c r="N967" s="10" t="n"/>
      <c r="O967" s="10" t="n"/>
      <c r="P967" s="10" t="n"/>
      <c r="Q967" s="20" t="n"/>
      <c r="R967" s="10" t="n"/>
      <c r="S967" s="10" t="n"/>
      <c r="T967" s="18" t="n"/>
      <c r="U967" s="18" t="n"/>
      <c r="V967" s="10" t="n"/>
      <c r="W967" s="10" t="n"/>
      <c r="X967" s="19">
        <f>IF(OR(A967="",COUNT(U967)=0,COUNT(AI967)=0),"",U967+AI967)</f>
        <v/>
      </c>
      <c r="Y967" s="16" t="n"/>
      <c r="Z967" s="12" t="n"/>
      <c r="AA967" s="17">
        <f>IF(COUNT(J967)=0,"",IF(H967=0,"n.a.",J967/H967))</f>
        <v/>
      </c>
      <c r="AB967" s="12" t="n"/>
      <c r="AC967" s="12" t="n"/>
      <c r="AD967" s="12" t="n"/>
      <c r="AE967" s="13">
        <f>IF(OR(COUNT(J967)=0,COUNT(AB967:AD967)&lt;3),"",ROUND(J967-SUM(AB967:AD967),2))</f>
        <v/>
      </c>
      <c r="AF967" s="15">
        <f>IF(COUNT(AE967)=0,"",IF(Z967=0,"n.a.",AE967/Z967))</f>
        <v/>
      </c>
      <c r="AG967" s="12" t="n"/>
      <c r="AH967" s="14">
        <f>IF(OR(A967="",COUNT(Z967)=0,COUNT(AG967)=0),"",ROUND(Z967-AG967,2))</f>
        <v/>
      </c>
      <c r="AI967" s="21" t="n"/>
      <c r="AJ967" s="11">
        <f>IF(A967="","",IF(COUNT(I967)=0,"Enter approved NTE",IF(COUNT(Z967)&gt;0,IF(Z967&gt;I967,"Invoice exceeds NTE","Invoice within NTE"),IF(COUNT(L967)=0,"Enter quote inputs",IF(L967&gt;I967,"Quote exceeds NTE","Quote within NTE")))))</f>
        <v/>
      </c>
      <c r="AK967" s="11">
        <f>IF(A967="","",IF(COUNT(H967)=0,"Enter direct cost",IF(COUNT(Z967)=0,"Enter invoice revenue",IF(COUNT(AB967:AD967)&lt;3,"Enter expenses (0 if none)","Complete"))))</f>
        <v/>
      </c>
      <c r="AL967" s="11">
        <f>IF(A967="","",IF(NOT(AND(COUNT(AH967)=1,N(AH967)&gt;0.004,V967&lt;&gt;"Void",V967&lt;&gt;"Not invoiced",V967&lt;&gt;"Draft")),"",IF(COUNT(X967)=0,"No due date",IF(TODAY()-X967&lt;=0,"Not yet due",IF(TODAY()-X967&lt;=30,"1-30 days",IF(TODAY()-X967&lt;=60,"31-60 days",IF(TODAY()-X967&lt;=90,"61-90 days","Over 90 days")))))))</f>
        <v/>
      </c>
      <c r="AM967" s="49">
        <f>IF(OR(AL967="",AL967="No due date"),"",MAX(TODAY()-X967,0))</f>
        <v/>
      </c>
      <c r="AN967" s="49">
        <f>IF(AL967="","",IF(COUNT(X967)=0,-100000,TODAY()-X967))</f>
        <v/>
      </c>
      <c r="AO967" s="49">
        <f>IF(AN967="","",COUNTIF(AN$11:AN$1010,"&gt;"&amp;AN967)+COUNTIF(AN$11:AN967,AN967))</f>
        <v/>
      </c>
      <c r="AP967" s="49">
        <f>IF(OR(A967="",B967=""),"",IF(COUNTIF(B$11:B967,B967)=1,MAX(AP$10:AP966)+1,""))</f>
        <v/>
      </c>
    </row>
    <row r="968">
      <c r="A968" s="20" t="n"/>
      <c r="B968" s="10" t="n"/>
      <c r="C968" s="10" t="n"/>
      <c r="D968" s="10" t="n"/>
      <c r="E968" s="10" t="n"/>
      <c r="F968" s="18" t="n"/>
      <c r="G968" s="10" t="n"/>
      <c r="H968" s="12" t="n"/>
      <c r="I968" s="12" t="n"/>
      <c r="J968" s="13">
        <f>IF(OR(A968="",COUNT(H968)=0,COUNT(Z968)=0),"",ROUND(Z968-H968,2))</f>
        <v/>
      </c>
      <c r="K968" s="15">
        <f>IF(COUNT(J968)=0,"",IF(Z968=0,"n.a.",J968/Z968))</f>
        <v/>
      </c>
      <c r="L968" s="14">
        <f>IF(OR(A968="",COUNT(H968)=0,COUNT(Y968)=0),"",ROUND(H968*(1+Y968),2))</f>
        <v/>
      </c>
      <c r="M968" s="10" t="n"/>
      <c r="N968" s="10" t="n"/>
      <c r="O968" s="10" t="n"/>
      <c r="P968" s="10" t="n"/>
      <c r="Q968" s="20" t="n"/>
      <c r="R968" s="10" t="n"/>
      <c r="S968" s="10" t="n"/>
      <c r="T968" s="18" t="n"/>
      <c r="U968" s="18" t="n"/>
      <c r="V968" s="10" t="n"/>
      <c r="W968" s="10" t="n"/>
      <c r="X968" s="19">
        <f>IF(OR(A968="",COUNT(U968)=0,COUNT(AI968)=0),"",U968+AI968)</f>
        <v/>
      </c>
      <c r="Y968" s="16" t="n"/>
      <c r="Z968" s="12" t="n"/>
      <c r="AA968" s="17">
        <f>IF(COUNT(J968)=0,"",IF(H968=0,"n.a.",J968/H968))</f>
        <v/>
      </c>
      <c r="AB968" s="12" t="n"/>
      <c r="AC968" s="12" t="n"/>
      <c r="AD968" s="12" t="n"/>
      <c r="AE968" s="13">
        <f>IF(OR(COUNT(J968)=0,COUNT(AB968:AD968)&lt;3),"",ROUND(J968-SUM(AB968:AD968),2))</f>
        <v/>
      </c>
      <c r="AF968" s="15">
        <f>IF(COUNT(AE968)=0,"",IF(Z968=0,"n.a.",AE968/Z968))</f>
        <v/>
      </c>
      <c r="AG968" s="12" t="n"/>
      <c r="AH968" s="14">
        <f>IF(OR(A968="",COUNT(Z968)=0,COUNT(AG968)=0),"",ROUND(Z968-AG968,2))</f>
        <v/>
      </c>
      <c r="AI968" s="21" t="n"/>
      <c r="AJ968" s="11">
        <f>IF(A968="","",IF(COUNT(I968)=0,"Enter approved NTE",IF(COUNT(Z968)&gt;0,IF(Z968&gt;I968,"Invoice exceeds NTE","Invoice within NTE"),IF(COUNT(L968)=0,"Enter quote inputs",IF(L968&gt;I968,"Quote exceeds NTE","Quote within NTE")))))</f>
        <v/>
      </c>
      <c r="AK968" s="11">
        <f>IF(A968="","",IF(COUNT(H968)=0,"Enter direct cost",IF(COUNT(Z968)=0,"Enter invoice revenue",IF(COUNT(AB968:AD968)&lt;3,"Enter expenses (0 if none)","Complete"))))</f>
        <v/>
      </c>
      <c r="AL968" s="11">
        <f>IF(A968="","",IF(NOT(AND(COUNT(AH968)=1,N(AH968)&gt;0.004,V968&lt;&gt;"Void",V968&lt;&gt;"Not invoiced",V968&lt;&gt;"Draft")),"",IF(COUNT(X968)=0,"No due date",IF(TODAY()-X968&lt;=0,"Not yet due",IF(TODAY()-X968&lt;=30,"1-30 days",IF(TODAY()-X968&lt;=60,"31-60 days",IF(TODAY()-X968&lt;=90,"61-90 days","Over 90 days")))))))</f>
        <v/>
      </c>
      <c r="AM968" s="49">
        <f>IF(OR(AL968="",AL968="No due date"),"",MAX(TODAY()-X968,0))</f>
        <v/>
      </c>
      <c r="AN968" s="49">
        <f>IF(AL968="","",IF(COUNT(X968)=0,-100000,TODAY()-X968))</f>
        <v/>
      </c>
      <c r="AO968" s="49">
        <f>IF(AN968="","",COUNTIF(AN$11:AN$1010,"&gt;"&amp;AN968)+COUNTIF(AN$11:AN968,AN968))</f>
        <v/>
      </c>
      <c r="AP968" s="49">
        <f>IF(OR(A968="",B968=""),"",IF(COUNTIF(B$11:B968,B968)=1,MAX(AP$10:AP967)+1,""))</f>
        <v/>
      </c>
    </row>
    <row r="969">
      <c r="A969" s="20" t="n"/>
      <c r="B969" s="10" t="n"/>
      <c r="C969" s="10" t="n"/>
      <c r="D969" s="10" t="n"/>
      <c r="E969" s="10" t="n"/>
      <c r="F969" s="18" t="n"/>
      <c r="G969" s="10" t="n"/>
      <c r="H969" s="12" t="n"/>
      <c r="I969" s="12" t="n"/>
      <c r="J969" s="13">
        <f>IF(OR(A969="",COUNT(H969)=0,COUNT(Z969)=0),"",ROUND(Z969-H969,2))</f>
        <v/>
      </c>
      <c r="K969" s="15">
        <f>IF(COUNT(J969)=0,"",IF(Z969=0,"n.a.",J969/Z969))</f>
        <v/>
      </c>
      <c r="L969" s="14">
        <f>IF(OR(A969="",COUNT(H969)=0,COUNT(Y969)=0),"",ROUND(H969*(1+Y969),2))</f>
        <v/>
      </c>
      <c r="M969" s="10" t="n"/>
      <c r="N969" s="10" t="n"/>
      <c r="O969" s="10" t="n"/>
      <c r="P969" s="10" t="n"/>
      <c r="Q969" s="20" t="n"/>
      <c r="R969" s="10" t="n"/>
      <c r="S969" s="10" t="n"/>
      <c r="T969" s="18" t="n"/>
      <c r="U969" s="18" t="n"/>
      <c r="V969" s="10" t="n"/>
      <c r="W969" s="10" t="n"/>
      <c r="X969" s="19">
        <f>IF(OR(A969="",COUNT(U969)=0,COUNT(AI969)=0),"",U969+AI969)</f>
        <v/>
      </c>
      <c r="Y969" s="16" t="n"/>
      <c r="Z969" s="12" t="n"/>
      <c r="AA969" s="17">
        <f>IF(COUNT(J969)=0,"",IF(H969=0,"n.a.",J969/H969))</f>
        <v/>
      </c>
      <c r="AB969" s="12" t="n"/>
      <c r="AC969" s="12" t="n"/>
      <c r="AD969" s="12" t="n"/>
      <c r="AE969" s="13">
        <f>IF(OR(COUNT(J969)=0,COUNT(AB969:AD969)&lt;3),"",ROUND(J969-SUM(AB969:AD969),2))</f>
        <v/>
      </c>
      <c r="AF969" s="15">
        <f>IF(COUNT(AE969)=0,"",IF(Z969=0,"n.a.",AE969/Z969))</f>
        <v/>
      </c>
      <c r="AG969" s="12" t="n"/>
      <c r="AH969" s="14">
        <f>IF(OR(A969="",COUNT(Z969)=0,COUNT(AG969)=0),"",ROUND(Z969-AG969,2))</f>
        <v/>
      </c>
      <c r="AI969" s="21" t="n"/>
      <c r="AJ969" s="11">
        <f>IF(A969="","",IF(COUNT(I969)=0,"Enter approved NTE",IF(COUNT(Z969)&gt;0,IF(Z969&gt;I969,"Invoice exceeds NTE","Invoice within NTE"),IF(COUNT(L969)=0,"Enter quote inputs",IF(L969&gt;I969,"Quote exceeds NTE","Quote within NTE")))))</f>
        <v/>
      </c>
      <c r="AK969" s="11">
        <f>IF(A969="","",IF(COUNT(H969)=0,"Enter direct cost",IF(COUNT(Z969)=0,"Enter invoice revenue",IF(COUNT(AB969:AD969)&lt;3,"Enter expenses (0 if none)","Complete"))))</f>
        <v/>
      </c>
      <c r="AL969" s="11">
        <f>IF(A969="","",IF(NOT(AND(COUNT(AH969)=1,N(AH969)&gt;0.004,V969&lt;&gt;"Void",V969&lt;&gt;"Not invoiced",V969&lt;&gt;"Draft")),"",IF(COUNT(X969)=0,"No due date",IF(TODAY()-X969&lt;=0,"Not yet due",IF(TODAY()-X969&lt;=30,"1-30 days",IF(TODAY()-X969&lt;=60,"31-60 days",IF(TODAY()-X969&lt;=90,"61-90 days","Over 90 days")))))))</f>
        <v/>
      </c>
      <c r="AM969" s="49">
        <f>IF(OR(AL969="",AL969="No due date"),"",MAX(TODAY()-X969,0))</f>
        <v/>
      </c>
      <c r="AN969" s="49">
        <f>IF(AL969="","",IF(COUNT(X969)=0,-100000,TODAY()-X969))</f>
        <v/>
      </c>
      <c r="AO969" s="49">
        <f>IF(AN969="","",COUNTIF(AN$11:AN$1010,"&gt;"&amp;AN969)+COUNTIF(AN$11:AN969,AN969))</f>
        <v/>
      </c>
      <c r="AP969" s="49">
        <f>IF(OR(A969="",B969=""),"",IF(COUNTIF(B$11:B969,B969)=1,MAX(AP$10:AP968)+1,""))</f>
        <v/>
      </c>
    </row>
    <row r="970">
      <c r="A970" s="20" t="n"/>
      <c r="B970" s="10" t="n"/>
      <c r="C970" s="10" t="n"/>
      <c r="D970" s="10" t="n"/>
      <c r="E970" s="10" t="n"/>
      <c r="F970" s="18" t="n"/>
      <c r="G970" s="10" t="n"/>
      <c r="H970" s="12" t="n"/>
      <c r="I970" s="12" t="n"/>
      <c r="J970" s="13">
        <f>IF(OR(A970="",COUNT(H970)=0,COUNT(Z970)=0),"",ROUND(Z970-H970,2))</f>
        <v/>
      </c>
      <c r="K970" s="15">
        <f>IF(COUNT(J970)=0,"",IF(Z970=0,"n.a.",J970/Z970))</f>
        <v/>
      </c>
      <c r="L970" s="14">
        <f>IF(OR(A970="",COUNT(H970)=0,COUNT(Y970)=0),"",ROUND(H970*(1+Y970),2))</f>
        <v/>
      </c>
      <c r="M970" s="10" t="n"/>
      <c r="N970" s="10" t="n"/>
      <c r="O970" s="10" t="n"/>
      <c r="P970" s="10" t="n"/>
      <c r="Q970" s="20" t="n"/>
      <c r="R970" s="10" t="n"/>
      <c r="S970" s="10" t="n"/>
      <c r="T970" s="18" t="n"/>
      <c r="U970" s="18" t="n"/>
      <c r="V970" s="10" t="n"/>
      <c r="W970" s="10" t="n"/>
      <c r="X970" s="19">
        <f>IF(OR(A970="",COUNT(U970)=0,COUNT(AI970)=0),"",U970+AI970)</f>
        <v/>
      </c>
      <c r="Y970" s="16" t="n"/>
      <c r="Z970" s="12" t="n"/>
      <c r="AA970" s="17">
        <f>IF(COUNT(J970)=0,"",IF(H970=0,"n.a.",J970/H970))</f>
        <v/>
      </c>
      <c r="AB970" s="12" t="n"/>
      <c r="AC970" s="12" t="n"/>
      <c r="AD970" s="12" t="n"/>
      <c r="AE970" s="13">
        <f>IF(OR(COUNT(J970)=0,COUNT(AB970:AD970)&lt;3),"",ROUND(J970-SUM(AB970:AD970),2))</f>
        <v/>
      </c>
      <c r="AF970" s="15">
        <f>IF(COUNT(AE970)=0,"",IF(Z970=0,"n.a.",AE970/Z970))</f>
        <v/>
      </c>
      <c r="AG970" s="12" t="n"/>
      <c r="AH970" s="14">
        <f>IF(OR(A970="",COUNT(Z970)=0,COUNT(AG970)=0),"",ROUND(Z970-AG970,2))</f>
        <v/>
      </c>
      <c r="AI970" s="21" t="n"/>
      <c r="AJ970" s="11">
        <f>IF(A970="","",IF(COUNT(I970)=0,"Enter approved NTE",IF(COUNT(Z970)&gt;0,IF(Z970&gt;I970,"Invoice exceeds NTE","Invoice within NTE"),IF(COUNT(L970)=0,"Enter quote inputs",IF(L970&gt;I970,"Quote exceeds NTE","Quote within NTE")))))</f>
        <v/>
      </c>
      <c r="AK970" s="11">
        <f>IF(A970="","",IF(COUNT(H970)=0,"Enter direct cost",IF(COUNT(Z970)=0,"Enter invoice revenue",IF(COUNT(AB970:AD970)&lt;3,"Enter expenses (0 if none)","Complete"))))</f>
        <v/>
      </c>
      <c r="AL970" s="11">
        <f>IF(A970="","",IF(NOT(AND(COUNT(AH970)=1,N(AH970)&gt;0.004,V970&lt;&gt;"Void",V970&lt;&gt;"Not invoiced",V970&lt;&gt;"Draft")),"",IF(COUNT(X970)=0,"No due date",IF(TODAY()-X970&lt;=0,"Not yet due",IF(TODAY()-X970&lt;=30,"1-30 days",IF(TODAY()-X970&lt;=60,"31-60 days",IF(TODAY()-X970&lt;=90,"61-90 days","Over 90 days")))))))</f>
        <v/>
      </c>
      <c r="AM970" s="49">
        <f>IF(OR(AL970="",AL970="No due date"),"",MAX(TODAY()-X970,0))</f>
        <v/>
      </c>
      <c r="AN970" s="49">
        <f>IF(AL970="","",IF(COUNT(X970)=0,-100000,TODAY()-X970))</f>
        <v/>
      </c>
      <c r="AO970" s="49">
        <f>IF(AN970="","",COUNTIF(AN$11:AN$1010,"&gt;"&amp;AN970)+COUNTIF(AN$11:AN970,AN970))</f>
        <v/>
      </c>
      <c r="AP970" s="49">
        <f>IF(OR(A970="",B970=""),"",IF(COUNTIF(B$11:B970,B970)=1,MAX(AP$10:AP969)+1,""))</f>
        <v/>
      </c>
    </row>
    <row r="971">
      <c r="A971" s="20" t="n"/>
      <c r="B971" s="10" t="n"/>
      <c r="C971" s="10" t="n"/>
      <c r="D971" s="10" t="n"/>
      <c r="E971" s="10" t="n"/>
      <c r="F971" s="18" t="n"/>
      <c r="G971" s="10" t="n"/>
      <c r="H971" s="12" t="n"/>
      <c r="I971" s="12" t="n"/>
      <c r="J971" s="13">
        <f>IF(OR(A971="",COUNT(H971)=0,COUNT(Z971)=0),"",ROUND(Z971-H971,2))</f>
        <v/>
      </c>
      <c r="K971" s="15">
        <f>IF(COUNT(J971)=0,"",IF(Z971=0,"n.a.",J971/Z971))</f>
        <v/>
      </c>
      <c r="L971" s="14">
        <f>IF(OR(A971="",COUNT(H971)=0,COUNT(Y971)=0),"",ROUND(H971*(1+Y971),2))</f>
        <v/>
      </c>
      <c r="M971" s="10" t="n"/>
      <c r="N971" s="10" t="n"/>
      <c r="O971" s="10" t="n"/>
      <c r="P971" s="10" t="n"/>
      <c r="Q971" s="20" t="n"/>
      <c r="R971" s="10" t="n"/>
      <c r="S971" s="10" t="n"/>
      <c r="T971" s="18" t="n"/>
      <c r="U971" s="18" t="n"/>
      <c r="V971" s="10" t="n"/>
      <c r="W971" s="10" t="n"/>
      <c r="X971" s="19">
        <f>IF(OR(A971="",COUNT(U971)=0,COUNT(AI971)=0),"",U971+AI971)</f>
        <v/>
      </c>
      <c r="Y971" s="16" t="n"/>
      <c r="Z971" s="12" t="n"/>
      <c r="AA971" s="17">
        <f>IF(COUNT(J971)=0,"",IF(H971=0,"n.a.",J971/H971))</f>
        <v/>
      </c>
      <c r="AB971" s="12" t="n"/>
      <c r="AC971" s="12" t="n"/>
      <c r="AD971" s="12" t="n"/>
      <c r="AE971" s="13">
        <f>IF(OR(COUNT(J971)=0,COUNT(AB971:AD971)&lt;3),"",ROUND(J971-SUM(AB971:AD971),2))</f>
        <v/>
      </c>
      <c r="AF971" s="15">
        <f>IF(COUNT(AE971)=0,"",IF(Z971=0,"n.a.",AE971/Z971))</f>
        <v/>
      </c>
      <c r="AG971" s="12" t="n"/>
      <c r="AH971" s="14">
        <f>IF(OR(A971="",COUNT(Z971)=0,COUNT(AG971)=0),"",ROUND(Z971-AG971,2))</f>
        <v/>
      </c>
      <c r="AI971" s="21" t="n"/>
      <c r="AJ971" s="11">
        <f>IF(A971="","",IF(COUNT(I971)=0,"Enter approved NTE",IF(COUNT(Z971)&gt;0,IF(Z971&gt;I971,"Invoice exceeds NTE","Invoice within NTE"),IF(COUNT(L971)=0,"Enter quote inputs",IF(L971&gt;I971,"Quote exceeds NTE","Quote within NTE")))))</f>
        <v/>
      </c>
      <c r="AK971" s="11">
        <f>IF(A971="","",IF(COUNT(H971)=0,"Enter direct cost",IF(COUNT(Z971)=0,"Enter invoice revenue",IF(COUNT(AB971:AD971)&lt;3,"Enter expenses (0 if none)","Complete"))))</f>
        <v/>
      </c>
      <c r="AL971" s="11">
        <f>IF(A971="","",IF(NOT(AND(COUNT(AH971)=1,N(AH971)&gt;0.004,V971&lt;&gt;"Void",V971&lt;&gt;"Not invoiced",V971&lt;&gt;"Draft")),"",IF(COUNT(X971)=0,"No due date",IF(TODAY()-X971&lt;=0,"Not yet due",IF(TODAY()-X971&lt;=30,"1-30 days",IF(TODAY()-X971&lt;=60,"31-60 days",IF(TODAY()-X971&lt;=90,"61-90 days","Over 90 days")))))))</f>
        <v/>
      </c>
      <c r="AM971" s="49">
        <f>IF(OR(AL971="",AL971="No due date"),"",MAX(TODAY()-X971,0))</f>
        <v/>
      </c>
      <c r="AN971" s="49">
        <f>IF(AL971="","",IF(COUNT(X971)=0,-100000,TODAY()-X971))</f>
        <v/>
      </c>
      <c r="AO971" s="49">
        <f>IF(AN971="","",COUNTIF(AN$11:AN$1010,"&gt;"&amp;AN971)+COUNTIF(AN$11:AN971,AN971))</f>
        <v/>
      </c>
      <c r="AP971" s="49">
        <f>IF(OR(A971="",B971=""),"",IF(COUNTIF(B$11:B971,B971)=1,MAX(AP$10:AP970)+1,""))</f>
        <v/>
      </c>
    </row>
    <row r="972">
      <c r="A972" s="20" t="n"/>
      <c r="B972" s="10" t="n"/>
      <c r="C972" s="10" t="n"/>
      <c r="D972" s="10" t="n"/>
      <c r="E972" s="10" t="n"/>
      <c r="F972" s="18" t="n"/>
      <c r="G972" s="10" t="n"/>
      <c r="H972" s="12" t="n"/>
      <c r="I972" s="12" t="n"/>
      <c r="J972" s="13">
        <f>IF(OR(A972="",COUNT(H972)=0,COUNT(Z972)=0),"",ROUND(Z972-H972,2))</f>
        <v/>
      </c>
      <c r="K972" s="15">
        <f>IF(COUNT(J972)=0,"",IF(Z972=0,"n.a.",J972/Z972))</f>
        <v/>
      </c>
      <c r="L972" s="14">
        <f>IF(OR(A972="",COUNT(H972)=0,COUNT(Y972)=0),"",ROUND(H972*(1+Y972),2))</f>
        <v/>
      </c>
      <c r="M972" s="10" t="n"/>
      <c r="N972" s="10" t="n"/>
      <c r="O972" s="10" t="n"/>
      <c r="P972" s="10" t="n"/>
      <c r="Q972" s="20" t="n"/>
      <c r="R972" s="10" t="n"/>
      <c r="S972" s="10" t="n"/>
      <c r="T972" s="18" t="n"/>
      <c r="U972" s="18" t="n"/>
      <c r="V972" s="10" t="n"/>
      <c r="W972" s="10" t="n"/>
      <c r="X972" s="19">
        <f>IF(OR(A972="",COUNT(U972)=0,COUNT(AI972)=0),"",U972+AI972)</f>
        <v/>
      </c>
      <c r="Y972" s="16" t="n"/>
      <c r="Z972" s="12" t="n"/>
      <c r="AA972" s="17">
        <f>IF(COUNT(J972)=0,"",IF(H972=0,"n.a.",J972/H972))</f>
        <v/>
      </c>
      <c r="AB972" s="12" t="n"/>
      <c r="AC972" s="12" t="n"/>
      <c r="AD972" s="12" t="n"/>
      <c r="AE972" s="13">
        <f>IF(OR(COUNT(J972)=0,COUNT(AB972:AD972)&lt;3),"",ROUND(J972-SUM(AB972:AD972),2))</f>
        <v/>
      </c>
      <c r="AF972" s="15">
        <f>IF(COUNT(AE972)=0,"",IF(Z972=0,"n.a.",AE972/Z972))</f>
        <v/>
      </c>
      <c r="AG972" s="12" t="n"/>
      <c r="AH972" s="14">
        <f>IF(OR(A972="",COUNT(Z972)=0,COUNT(AG972)=0),"",ROUND(Z972-AG972,2))</f>
        <v/>
      </c>
      <c r="AI972" s="21" t="n"/>
      <c r="AJ972" s="11">
        <f>IF(A972="","",IF(COUNT(I972)=0,"Enter approved NTE",IF(COUNT(Z972)&gt;0,IF(Z972&gt;I972,"Invoice exceeds NTE","Invoice within NTE"),IF(COUNT(L972)=0,"Enter quote inputs",IF(L972&gt;I972,"Quote exceeds NTE","Quote within NTE")))))</f>
        <v/>
      </c>
      <c r="AK972" s="11">
        <f>IF(A972="","",IF(COUNT(H972)=0,"Enter direct cost",IF(COUNT(Z972)=0,"Enter invoice revenue",IF(COUNT(AB972:AD972)&lt;3,"Enter expenses (0 if none)","Complete"))))</f>
        <v/>
      </c>
      <c r="AL972" s="11">
        <f>IF(A972="","",IF(NOT(AND(COUNT(AH972)=1,N(AH972)&gt;0.004,V972&lt;&gt;"Void",V972&lt;&gt;"Not invoiced",V972&lt;&gt;"Draft")),"",IF(COUNT(X972)=0,"No due date",IF(TODAY()-X972&lt;=0,"Not yet due",IF(TODAY()-X972&lt;=30,"1-30 days",IF(TODAY()-X972&lt;=60,"31-60 days",IF(TODAY()-X972&lt;=90,"61-90 days","Over 90 days")))))))</f>
        <v/>
      </c>
      <c r="AM972" s="49">
        <f>IF(OR(AL972="",AL972="No due date"),"",MAX(TODAY()-X972,0))</f>
        <v/>
      </c>
      <c r="AN972" s="49">
        <f>IF(AL972="","",IF(COUNT(X972)=0,-100000,TODAY()-X972))</f>
        <v/>
      </c>
      <c r="AO972" s="49">
        <f>IF(AN972="","",COUNTIF(AN$11:AN$1010,"&gt;"&amp;AN972)+COUNTIF(AN$11:AN972,AN972))</f>
        <v/>
      </c>
      <c r="AP972" s="49">
        <f>IF(OR(A972="",B972=""),"",IF(COUNTIF(B$11:B972,B972)=1,MAX(AP$10:AP971)+1,""))</f>
        <v/>
      </c>
    </row>
    <row r="973">
      <c r="A973" s="20" t="n"/>
      <c r="B973" s="10" t="n"/>
      <c r="C973" s="10" t="n"/>
      <c r="D973" s="10" t="n"/>
      <c r="E973" s="10" t="n"/>
      <c r="F973" s="18" t="n"/>
      <c r="G973" s="10" t="n"/>
      <c r="H973" s="12" t="n"/>
      <c r="I973" s="12" t="n"/>
      <c r="J973" s="13">
        <f>IF(OR(A973="",COUNT(H973)=0,COUNT(Z973)=0),"",ROUND(Z973-H973,2))</f>
        <v/>
      </c>
      <c r="K973" s="15">
        <f>IF(COUNT(J973)=0,"",IF(Z973=0,"n.a.",J973/Z973))</f>
        <v/>
      </c>
      <c r="L973" s="14">
        <f>IF(OR(A973="",COUNT(H973)=0,COUNT(Y973)=0),"",ROUND(H973*(1+Y973),2))</f>
        <v/>
      </c>
      <c r="M973" s="10" t="n"/>
      <c r="N973" s="10" t="n"/>
      <c r="O973" s="10" t="n"/>
      <c r="P973" s="10" t="n"/>
      <c r="Q973" s="20" t="n"/>
      <c r="R973" s="10" t="n"/>
      <c r="S973" s="10" t="n"/>
      <c r="T973" s="18" t="n"/>
      <c r="U973" s="18" t="n"/>
      <c r="V973" s="10" t="n"/>
      <c r="W973" s="10" t="n"/>
      <c r="X973" s="19">
        <f>IF(OR(A973="",COUNT(U973)=0,COUNT(AI973)=0),"",U973+AI973)</f>
        <v/>
      </c>
      <c r="Y973" s="16" t="n"/>
      <c r="Z973" s="12" t="n"/>
      <c r="AA973" s="17">
        <f>IF(COUNT(J973)=0,"",IF(H973=0,"n.a.",J973/H973))</f>
        <v/>
      </c>
      <c r="AB973" s="12" t="n"/>
      <c r="AC973" s="12" t="n"/>
      <c r="AD973" s="12" t="n"/>
      <c r="AE973" s="13">
        <f>IF(OR(COUNT(J973)=0,COUNT(AB973:AD973)&lt;3),"",ROUND(J973-SUM(AB973:AD973),2))</f>
        <v/>
      </c>
      <c r="AF973" s="15">
        <f>IF(COUNT(AE973)=0,"",IF(Z973=0,"n.a.",AE973/Z973))</f>
        <v/>
      </c>
      <c r="AG973" s="12" t="n"/>
      <c r="AH973" s="14">
        <f>IF(OR(A973="",COUNT(Z973)=0,COUNT(AG973)=0),"",ROUND(Z973-AG973,2))</f>
        <v/>
      </c>
      <c r="AI973" s="21" t="n"/>
      <c r="AJ973" s="11">
        <f>IF(A973="","",IF(COUNT(I973)=0,"Enter approved NTE",IF(COUNT(Z973)&gt;0,IF(Z973&gt;I973,"Invoice exceeds NTE","Invoice within NTE"),IF(COUNT(L973)=0,"Enter quote inputs",IF(L973&gt;I973,"Quote exceeds NTE","Quote within NTE")))))</f>
        <v/>
      </c>
      <c r="AK973" s="11">
        <f>IF(A973="","",IF(COUNT(H973)=0,"Enter direct cost",IF(COUNT(Z973)=0,"Enter invoice revenue",IF(COUNT(AB973:AD973)&lt;3,"Enter expenses (0 if none)","Complete"))))</f>
        <v/>
      </c>
      <c r="AL973" s="11">
        <f>IF(A973="","",IF(NOT(AND(COUNT(AH973)=1,N(AH973)&gt;0.004,V973&lt;&gt;"Void",V973&lt;&gt;"Not invoiced",V973&lt;&gt;"Draft")),"",IF(COUNT(X973)=0,"No due date",IF(TODAY()-X973&lt;=0,"Not yet due",IF(TODAY()-X973&lt;=30,"1-30 days",IF(TODAY()-X973&lt;=60,"31-60 days",IF(TODAY()-X973&lt;=90,"61-90 days","Over 90 days")))))))</f>
        <v/>
      </c>
      <c r="AM973" s="49">
        <f>IF(OR(AL973="",AL973="No due date"),"",MAX(TODAY()-X973,0))</f>
        <v/>
      </c>
      <c r="AN973" s="49">
        <f>IF(AL973="","",IF(COUNT(X973)=0,-100000,TODAY()-X973))</f>
        <v/>
      </c>
      <c r="AO973" s="49">
        <f>IF(AN973="","",COUNTIF(AN$11:AN$1010,"&gt;"&amp;AN973)+COUNTIF(AN$11:AN973,AN973))</f>
        <v/>
      </c>
      <c r="AP973" s="49">
        <f>IF(OR(A973="",B973=""),"",IF(COUNTIF(B$11:B973,B973)=1,MAX(AP$10:AP972)+1,""))</f>
        <v/>
      </c>
    </row>
    <row r="974">
      <c r="A974" s="20" t="n"/>
      <c r="B974" s="10" t="n"/>
      <c r="C974" s="10" t="n"/>
      <c r="D974" s="10" t="n"/>
      <c r="E974" s="10" t="n"/>
      <c r="F974" s="18" t="n"/>
      <c r="G974" s="10" t="n"/>
      <c r="H974" s="12" t="n"/>
      <c r="I974" s="12" t="n"/>
      <c r="J974" s="13">
        <f>IF(OR(A974="",COUNT(H974)=0,COUNT(Z974)=0),"",ROUND(Z974-H974,2))</f>
        <v/>
      </c>
      <c r="K974" s="15">
        <f>IF(COUNT(J974)=0,"",IF(Z974=0,"n.a.",J974/Z974))</f>
        <v/>
      </c>
      <c r="L974" s="14">
        <f>IF(OR(A974="",COUNT(H974)=0,COUNT(Y974)=0),"",ROUND(H974*(1+Y974),2))</f>
        <v/>
      </c>
      <c r="M974" s="10" t="n"/>
      <c r="N974" s="10" t="n"/>
      <c r="O974" s="10" t="n"/>
      <c r="P974" s="10" t="n"/>
      <c r="Q974" s="20" t="n"/>
      <c r="R974" s="10" t="n"/>
      <c r="S974" s="10" t="n"/>
      <c r="T974" s="18" t="n"/>
      <c r="U974" s="18" t="n"/>
      <c r="V974" s="10" t="n"/>
      <c r="W974" s="10" t="n"/>
      <c r="X974" s="19">
        <f>IF(OR(A974="",COUNT(U974)=0,COUNT(AI974)=0),"",U974+AI974)</f>
        <v/>
      </c>
      <c r="Y974" s="16" t="n"/>
      <c r="Z974" s="12" t="n"/>
      <c r="AA974" s="17">
        <f>IF(COUNT(J974)=0,"",IF(H974=0,"n.a.",J974/H974))</f>
        <v/>
      </c>
      <c r="AB974" s="12" t="n"/>
      <c r="AC974" s="12" t="n"/>
      <c r="AD974" s="12" t="n"/>
      <c r="AE974" s="13">
        <f>IF(OR(COUNT(J974)=0,COUNT(AB974:AD974)&lt;3),"",ROUND(J974-SUM(AB974:AD974),2))</f>
        <v/>
      </c>
      <c r="AF974" s="15">
        <f>IF(COUNT(AE974)=0,"",IF(Z974=0,"n.a.",AE974/Z974))</f>
        <v/>
      </c>
      <c r="AG974" s="12" t="n"/>
      <c r="AH974" s="14">
        <f>IF(OR(A974="",COUNT(Z974)=0,COUNT(AG974)=0),"",ROUND(Z974-AG974,2))</f>
        <v/>
      </c>
      <c r="AI974" s="21" t="n"/>
      <c r="AJ974" s="11">
        <f>IF(A974="","",IF(COUNT(I974)=0,"Enter approved NTE",IF(COUNT(Z974)&gt;0,IF(Z974&gt;I974,"Invoice exceeds NTE","Invoice within NTE"),IF(COUNT(L974)=0,"Enter quote inputs",IF(L974&gt;I974,"Quote exceeds NTE","Quote within NTE")))))</f>
        <v/>
      </c>
      <c r="AK974" s="11">
        <f>IF(A974="","",IF(COUNT(H974)=0,"Enter direct cost",IF(COUNT(Z974)=0,"Enter invoice revenue",IF(COUNT(AB974:AD974)&lt;3,"Enter expenses (0 if none)","Complete"))))</f>
        <v/>
      </c>
      <c r="AL974" s="11">
        <f>IF(A974="","",IF(NOT(AND(COUNT(AH974)=1,N(AH974)&gt;0.004,V974&lt;&gt;"Void",V974&lt;&gt;"Not invoiced",V974&lt;&gt;"Draft")),"",IF(COUNT(X974)=0,"No due date",IF(TODAY()-X974&lt;=0,"Not yet due",IF(TODAY()-X974&lt;=30,"1-30 days",IF(TODAY()-X974&lt;=60,"31-60 days",IF(TODAY()-X974&lt;=90,"61-90 days","Over 90 days")))))))</f>
        <v/>
      </c>
      <c r="AM974" s="49">
        <f>IF(OR(AL974="",AL974="No due date"),"",MAX(TODAY()-X974,0))</f>
        <v/>
      </c>
      <c r="AN974" s="49">
        <f>IF(AL974="","",IF(COUNT(X974)=0,-100000,TODAY()-X974))</f>
        <v/>
      </c>
      <c r="AO974" s="49">
        <f>IF(AN974="","",COUNTIF(AN$11:AN$1010,"&gt;"&amp;AN974)+COUNTIF(AN$11:AN974,AN974))</f>
        <v/>
      </c>
      <c r="AP974" s="49">
        <f>IF(OR(A974="",B974=""),"",IF(COUNTIF(B$11:B974,B974)=1,MAX(AP$10:AP973)+1,""))</f>
        <v/>
      </c>
    </row>
    <row r="975">
      <c r="A975" s="20" t="n"/>
      <c r="B975" s="10" t="n"/>
      <c r="C975" s="10" t="n"/>
      <c r="D975" s="10" t="n"/>
      <c r="E975" s="10" t="n"/>
      <c r="F975" s="18" t="n"/>
      <c r="G975" s="10" t="n"/>
      <c r="H975" s="12" t="n"/>
      <c r="I975" s="12" t="n"/>
      <c r="J975" s="13">
        <f>IF(OR(A975="",COUNT(H975)=0,COUNT(Z975)=0),"",ROUND(Z975-H975,2))</f>
        <v/>
      </c>
      <c r="K975" s="15">
        <f>IF(COUNT(J975)=0,"",IF(Z975=0,"n.a.",J975/Z975))</f>
        <v/>
      </c>
      <c r="L975" s="14">
        <f>IF(OR(A975="",COUNT(H975)=0,COUNT(Y975)=0),"",ROUND(H975*(1+Y975),2))</f>
        <v/>
      </c>
      <c r="M975" s="10" t="n"/>
      <c r="N975" s="10" t="n"/>
      <c r="O975" s="10" t="n"/>
      <c r="P975" s="10" t="n"/>
      <c r="Q975" s="20" t="n"/>
      <c r="R975" s="10" t="n"/>
      <c r="S975" s="10" t="n"/>
      <c r="T975" s="18" t="n"/>
      <c r="U975" s="18" t="n"/>
      <c r="V975" s="10" t="n"/>
      <c r="W975" s="10" t="n"/>
      <c r="X975" s="19">
        <f>IF(OR(A975="",COUNT(U975)=0,COUNT(AI975)=0),"",U975+AI975)</f>
        <v/>
      </c>
      <c r="Y975" s="16" t="n"/>
      <c r="Z975" s="12" t="n"/>
      <c r="AA975" s="17">
        <f>IF(COUNT(J975)=0,"",IF(H975=0,"n.a.",J975/H975))</f>
        <v/>
      </c>
      <c r="AB975" s="12" t="n"/>
      <c r="AC975" s="12" t="n"/>
      <c r="AD975" s="12" t="n"/>
      <c r="AE975" s="13">
        <f>IF(OR(COUNT(J975)=0,COUNT(AB975:AD975)&lt;3),"",ROUND(J975-SUM(AB975:AD975),2))</f>
        <v/>
      </c>
      <c r="AF975" s="15">
        <f>IF(COUNT(AE975)=0,"",IF(Z975=0,"n.a.",AE975/Z975))</f>
        <v/>
      </c>
      <c r="AG975" s="12" t="n"/>
      <c r="AH975" s="14">
        <f>IF(OR(A975="",COUNT(Z975)=0,COUNT(AG975)=0),"",ROUND(Z975-AG975,2))</f>
        <v/>
      </c>
      <c r="AI975" s="21" t="n"/>
      <c r="AJ975" s="11">
        <f>IF(A975="","",IF(COUNT(I975)=0,"Enter approved NTE",IF(COUNT(Z975)&gt;0,IF(Z975&gt;I975,"Invoice exceeds NTE","Invoice within NTE"),IF(COUNT(L975)=0,"Enter quote inputs",IF(L975&gt;I975,"Quote exceeds NTE","Quote within NTE")))))</f>
        <v/>
      </c>
      <c r="AK975" s="11">
        <f>IF(A975="","",IF(COUNT(H975)=0,"Enter direct cost",IF(COUNT(Z975)=0,"Enter invoice revenue",IF(COUNT(AB975:AD975)&lt;3,"Enter expenses (0 if none)","Complete"))))</f>
        <v/>
      </c>
      <c r="AL975" s="11">
        <f>IF(A975="","",IF(NOT(AND(COUNT(AH975)=1,N(AH975)&gt;0.004,V975&lt;&gt;"Void",V975&lt;&gt;"Not invoiced",V975&lt;&gt;"Draft")),"",IF(COUNT(X975)=0,"No due date",IF(TODAY()-X975&lt;=0,"Not yet due",IF(TODAY()-X975&lt;=30,"1-30 days",IF(TODAY()-X975&lt;=60,"31-60 days",IF(TODAY()-X975&lt;=90,"61-90 days","Over 90 days")))))))</f>
        <v/>
      </c>
      <c r="AM975" s="49">
        <f>IF(OR(AL975="",AL975="No due date"),"",MAX(TODAY()-X975,0))</f>
        <v/>
      </c>
      <c r="AN975" s="49">
        <f>IF(AL975="","",IF(COUNT(X975)=0,-100000,TODAY()-X975))</f>
        <v/>
      </c>
      <c r="AO975" s="49">
        <f>IF(AN975="","",COUNTIF(AN$11:AN$1010,"&gt;"&amp;AN975)+COUNTIF(AN$11:AN975,AN975))</f>
        <v/>
      </c>
      <c r="AP975" s="49">
        <f>IF(OR(A975="",B975=""),"",IF(COUNTIF(B$11:B975,B975)=1,MAX(AP$10:AP974)+1,""))</f>
        <v/>
      </c>
    </row>
    <row r="976">
      <c r="A976" s="20" t="n"/>
      <c r="B976" s="10" t="n"/>
      <c r="C976" s="10" t="n"/>
      <c r="D976" s="10" t="n"/>
      <c r="E976" s="10" t="n"/>
      <c r="F976" s="18" t="n"/>
      <c r="G976" s="10" t="n"/>
      <c r="H976" s="12" t="n"/>
      <c r="I976" s="12" t="n"/>
      <c r="J976" s="13">
        <f>IF(OR(A976="",COUNT(H976)=0,COUNT(Z976)=0),"",ROUND(Z976-H976,2))</f>
        <v/>
      </c>
      <c r="K976" s="15">
        <f>IF(COUNT(J976)=0,"",IF(Z976=0,"n.a.",J976/Z976))</f>
        <v/>
      </c>
      <c r="L976" s="14">
        <f>IF(OR(A976="",COUNT(H976)=0,COUNT(Y976)=0),"",ROUND(H976*(1+Y976),2))</f>
        <v/>
      </c>
      <c r="M976" s="10" t="n"/>
      <c r="N976" s="10" t="n"/>
      <c r="O976" s="10" t="n"/>
      <c r="P976" s="10" t="n"/>
      <c r="Q976" s="20" t="n"/>
      <c r="R976" s="10" t="n"/>
      <c r="S976" s="10" t="n"/>
      <c r="T976" s="18" t="n"/>
      <c r="U976" s="18" t="n"/>
      <c r="V976" s="10" t="n"/>
      <c r="W976" s="10" t="n"/>
      <c r="X976" s="19">
        <f>IF(OR(A976="",COUNT(U976)=0,COUNT(AI976)=0),"",U976+AI976)</f>
        <v/>
      </c>
      <c r="Y976" s="16" t="n"/>
      <c r="Z976" s="12" t="n"/>
      <c r="AA976" s="17">
        <f>IF(COUNT(J976)=0,"",IF(H976=0,"n.a.",J976/H976))</f>
        <v/>
      </c>
      <c r="AB976" s="12" t="n"/>
      <c r="AC976" s="12" t="n"/>
      <c r="AD976" s="12" t="n"/>
      <c r="AE976" s="13">
        <f>IF(OR(COUNT(J976)=0,COUNT(AB976:AD976)&lt;3),"",ROUND(J976-SUM(AB976:AD976),2))</f>
        <v/>
      </c>
      <c r="AF976" s="15">
        <f>IF(COUNT(AE976)=0,"",IF(Z976=0,"n.a.",AE976/Z976))</f>
        <v/>
      </c>
      <c r="AG976" s="12" t="n"/>
      <c r="AH976" s="14">
        <f>IF(OR(A976="",COUNT(Z976)=0,COUNT(AG976)=0),"",ROUND(Z976-AG976,2))</f>
        <v/>
      </c>
      <c r="AI976" s="21" t="n"/>
      <c r="AJ976" s="11">
        <f>IF(A976="","",IF(COUNT(I976)=0,"Enter approved NTE",IF(COUNT(Z976)&gt;0,IF(Z976&gt;I976,"Invoice exceeds NTE","Invoice within NTE"),IF(COUNT(L976)=0,"Enter quote inputs",IF(L976&gt;I976,"Quote exceeds NTE","Quote within NTE")))))</f>
        <v/>
      </c>
      <c r="AK976" s="11">
        <f>IF(A976="","",IF(COUNT(H976)=0,"Enter direct cost",IF(COUNT(Z976)=0,"Enter invoice revenue",IF(COUNT(AB976:AD976)&lt;3,"Enter expenses (0 if none)","Complete"))))</f>
        <v/>
      </c>
      <c r="AL976" s="11">
        <f>IF(A976="","",IF(NOT(AND(COUNT(AH976)=1,N(AH976)&gt;0.004,V976&lt;&gt;"Void",V976&lt;&gt;"Not invoiced",V976&lt;&gt;"Draft")),"",IF(COUNT(X976)=0,"No due date",IF(TODAY()-X976&lt;=0,"Not yet due",IF(TODAY()-X976&lt;=30,"1-30 days",IF(TODAY()-X976&lt;=60,"31-60 days",IF(TODAY()-X976&lt;=90,"61-90 days","Over 90 days")))))))</f>
        <v/>
      </c>
      <c r="AM976" s="49">
        <f>IF(OR(AL976="",AL976="No due date"),"",MAX(TODAY()-X976,0))</f>
        <v/>
      </c>
      <c r="AN976" s="49">
        <f>IF(AL976="","",IF(COUNT(X976)=0,-100000,TODAY()-X976))</f>
        <v/>
      </c>
      <c r="AO976" s="49">
        <f>IF(AN976="","",COUNTIF(AN$11:AN$1010,"&gt;"&amp;AN976)+COUNTIF(AN$11:AN976,AN976))</f>
        <v/>
      </c>
      <c r="AP976" s="49">
        <f>IF(OR(A976="",B976=""),"",IF(COUNTIF(B$11:B976,B976)=1,MAX(AP$10:AP975)+1,""))</f>
        <v/>
      </c>
    </row>
    <row r="977">
      <c r="A977" s="20" t="n"/>
      <c r="B977" s="10" t="n"/>
      <c r="C977" s="10" t="n"/>
      <c r="D977" s="10" t="n"/>
      <c r="E977" s="10" t="n"/>
      <c r="F977" s="18" t="n"/>
      <c r="G977" s="10" t="n"/>
      <c r="H977" s="12" t="n"/>
      <c r="I977" s="12" t="n"/>
      <c r="J977" s="13">
        <f>IF(OR(A977="",COUNT(H977)=0,COUNT(Z977)=0),"",ROUND(Z977-H977,2))</f>
        <v/>
      </c>
      <c r="K977" s="15">
        <f>IF(COUNT(J977)=0,"",IF(Z977=0,"n.a.",J977/Z977))</f>
        <v/>
      </c>
      <c r="L977" s="14">
        <f>IF(OR(A977="",COUNT(H977)=0,COUNT(Y977)=0),"",ROUND(H977*(1+Y977),2))</f>
        <v/>
      </c>
      <c r="M977" s="10" t="n"/>
      <c r="N977" s="10" t="n"/>
      <c r="O977" s="10" t="n"/>
      <c r="P977" s="10" t="n"/>
      <c r="Q977" s="20" t="n"/>
      <c r="R977" s="10" t="n"/>
      <c r="S977" s="10" t="n"/>
      <c r="T977" s="18" t="n"/>
      <c r="U977" s="18" t="n"/>
      <c r="V977" s="10" t="n"/>
      <c r="W977" s="10" t="n"/>
      <c r="X977" s="19">
        <f>IF(OR(A977="",COUNT(U977)=0,COUNT(AI977)=0),"",U977+AI977)</f>
        <v/>
      </c>
      <c r="Y977" s="16" t="n"/>
      <c r="Z977" s="12" t="n"/>
      <c r="AA977" s="17">
        <f>IF(COUNT(J977)=0,"",IF(H977=0,"n.a.",J977/H977))</f>
        <v/>
      </c>
      <c r="AB977" s="12" t="n"/>
      <c r="AC977" s="12" t="n"/>
      <c r="AD977" s="12" t="n"/>
      <c r="AE977" s="13">
        <f>IF(OR(COUNT(J977)=0,COUNT(AB977:AD977)&lt;3),"",ROUND(J977-SUM(AB977:AD977),2))</f>
        <v/>
      </c>
      <c r="AF977" s="15">
        <f>IF(COUNT(AE977)=0,"",IF(Z977=0,"n.a.",AE977/Z977))</f>
        <v/>
      </c>
      <c r="AG977" s="12" t="n"/>
      <c r="AH977" s="14">
        <f>IF(OR(A977="",COUNT(Z977)=0,COUNT(AG977)=0),"",ROUND(Z977-AG977,2))</f>
        <v/>
      </c>
      <c r="AI977" s="21" t="n"/>
      <c r="AJ977" s="11">
        <f>IF(A977="","",IF(COUNT(I977)=0,"Enter approved NTE",IF(COUNT(Z977)&gt;0,IF(Z977&gt;I977,"Invoice exceeds NTE","Invoice within NTE"),IF(COUNT(L977)=0,"Enter quote inputs",IF(L977&gt;I977,"Quote exceeds NTE","Quote within NTE")))))</f>
        <v/>
      </c>
      <c r="AK977" s="11">
        <f>IF(A977="","",IF(COUNT(H977)=0,"Enter direct cost",IF(COUNT(Z977)=0,"Enter invoice revenue",IF(COUNT(AB977:AD977)&lt;3,"Enter expenses (0 if none)","Complete"))))</f>
        <v/>
      </c>
      <c r="AL977" s="11">
        <f>IF(A977="","",IF(NOT(AND(COUNT(AH977)=1,N(AH977)&gt;0.004,V977&lt;&gt;"Void",V977&lt;&gt;"Not invoiced",V977&lt;&gt;"Draft")),"",IF(COUNT(X977)=0,"No due date",IF(TODAY()-X977&lt;=0,"Not yet due",IF(TODAY()-X977&lt;=30,"1-30 days",IF(TODAY()-X977&lt;=60,"31-60 days",IF(TODAY()-X977&lt;=90,"61-90 days","Over 90 days")))))))</f>
        <v/>
      </c>
      <c r="AM977" s="49">
        <f>IF(OR(AL977="",AL977="No due date"),"",MAX(TODAY()-X977,0))</f>
        <v/>
      </c>
      <c r="AN977" s="49">
        <f>IF(AL977="","",IF(COUNT(X977)=0,-100000,TODAY()-X977))</f>
        <v/>
      </c>
      <c r="AO977" s="49">
        <f>IF(AN977="","",COUNTIF(AN$11:AN$1010,"&gt;"&amp;AN977)+COUNTIF(AN$11:AN977,AN977))</f>
        <v/>
      </c>
      <c r="AP977" s="49">
        <f>IF(OR(A977="",B977=""),"",IF(COUNTIF(B$11:B977,B977)=1,MAX(AP$10:AP976)+1,""))</f>
        <v/>
      </c>
    </row>
    <row r="978">
      <c r="A978" s="20" t="n"/>
      <c r="B978" s="10" t="n"/>
      <c r="C978" s="10" t="n"/>
      <c r="D978" s="10" t="n"/>
      <c r="E978" s="10" t="n"/>
      <c r="F978" s="18" t="n"/>
      <c r="G978" s="10" t="n"/>
      <c r="H978" s="12" t="n"/>
      <c r="I978" s="12" t="n"/>
      <c r="J978" s="13">
        <f>IF(OR(A978="",COUNT(H978)=0,COUNT(Z978)=0),"",ROUND(Z978-H978,2))</f>
        <v/>
      </c>
      <c r="K978" s="15">
        <f>IF(COUNT(J978)=0,"",IF(Z978=0,"n.a.",J978/Z978))</f>
        <v/>
      </c>
      <c r="L978" s="14">
        <f>IF(OR(A978="",COUNT(H978)=0,COUNT(Y978)=0),"",ROUND(H978*(1+Y978),2))</f>
        <v/>
      </c>
      <c r="M978" s="10" t="n"/>
      <c r="N978" s="10" t="n"/>
      <c r="O978" s="10" t="n"/>
      <c r="P978" s="10" t="n"/>
      <c r="Q978" s="20" t="n"/>
      <c r="R978" s="10" t="n"/>
      <c r="S978" s="10" t="n"/>
      <c r="T978" s="18" t="n"/>
      <c r="U978" s="18" t="n"/>
      <c r="V978" s="10" t="n"/>
      <c r="W978" s="10" t="n"/>
      <c r="X978" s="19">
        <f>IF(OR(A978="",COUNT(U978)=0,COUNT(AI978)=0),"",U978+AI978)</f>
        <v/>
      </c>
      <c r="Y978" s="16" t="n"/>
      <c r="Z978" s="12" t="n"/>
      <c r="AA978" s="17">
        <f>IF(COUNT(J978)=0,"",IF(H978=0,"n.a.",J978/H978))</f>
        <v/>
      </c>
      <c r="AB978" s="12" t="n"/>
      <c r="AC978" s="12" t="n"/>
      <c r="AD978" s="12" t="n"/>
      <c r="AE978" s="13">
        <f>IF(OR(COUNT(J978)=0,COUNT(AB978:AD978)&lt;3),"",ROUND(J978-SUM(AB978:AD978),2))</f>
        <v/>
      </c>
      <c r="AF978" s="15">
        <f>IF(COUNT(AE978)=0,"",IF(Z978=0,"n.a.",AE978/Z978))</f>
        <v/>
      </c>
      <c r="AG978" s="12" t="n"/>
      <c r="AH978" s="14">
        <f>IF(OR(A978="",COUNT(Z978)=0,COUNT(AG978)=0),"",ROUND(Z978-AG978,2))</f>
        <v/>
      </c>
      <c r="AI978" s="21" t="n"/>
      <c r="AJ978" s="11">
        <f>IF(A978="","",IF(COUNT(I978)=0,"Enter approved NTE",IF(COUNT(Z978)&gt;0,IF(Z978&gt;I978,"Invoice exceeds NTE","Invoice within NTE"),IF(COUNT(L978)=0,"Enter quote inputs",IF(L978&gt;I978,"Quote exceeds NTE","Quote within NTE")))))</f>
        <v/>
      </c>
      <c r="AK978" s="11">
        <f>IF(A978="","",IF(COUNT(H978)=0,"Enter direct cost",IF(COUNT(Z978)=0,"Enter invoice revenue",IF(COUNT(AB978:AD978)&lt;3,"Enter expenses (0 if none)","Complete"))))</f>
        <v/>
      </c>
      <c r="AL978" s="11">
        <f>IF(A978="","",IF(NOT(AND(COUNT(AH978)=1,N(AH978)&gt;0.004,V978&lt;&gt;"Void",V978&lt;&gt;"Not invoiced",V978&lt;&gt;"Draft")),"",IF(COUNT(X978)=0,"No due date",IF(TODAY()-X978&lt;=0,"Not yet due",IF(TODAY()-X978&lt;=30,"1-30 days",IF(TODAY()-X978&lt;=60,"31-60 days",IF(TODAY()-X978&lt;=90,"61-90 days","Over 90 days")))))))</f>
        <v/>
      </c>
      <c r="AM978" s="49">
        <f>IF(OR(AL978="",AL978="No due date"),"",MAX(TODAY()-X978,0))</f>
        <v/>
      </c>
      <c r="AN978" s="49">
        <f>IF(AL978="","",IF(COUNT(X978)=0,-100000,TODAY()-X978))</f>
        <v/>
      </c>
      <c r="AO978" s="49">
        <f>IF(AN978="","",COUNTIF(AN$11:AN$1010,"&gt;"&amp;AN978)+COUNTIF(AN$11:AN978,AN978))</f>
        <v/>
      </c>
      <c r="AP978" s="49">
        <f>IF(OR(A978="",B978=""),"",IF(COUNTIF(B$11:B978,B978)=1,MAX(AP$10:AP977)+1,""))</f>
        <v/>
      </c>
    </row>
    <row r="979">
      <c r="A979" s="20" t="n"/>
      <c r="B979" s="10" t="n"/>
      <c r="C979" s="10" t="n"/>
      <c r="D979" s="10" t="n"/>
      <c r="E979" s="10" t="n"/>
      <c r="F979" s="18" t="n"/>
      <c r="G979" s="10" t="n"/>
      <c r="H979" s="12" t="n"/>
      <c r="I979" s="12" t="n"/>
      <c r="J979" s="13">
        <f>IF(OR(A979="",COUNT(H979)=0,COUNT(Z979)=0),"",ROUND(Z979-H979,2))</f>
        <v/>
      </c>
      <c r="K979" s="15">
        <f>IF(COUNT(J979)=0,"",IF(Z979=0,"n.a.",J979/Z979))</f>
        <v/>
      </c>
      <c r="L979" s="14">
        <f>IF(OR(A979="",COUNT(H979)=0,COUNT(Y979)=0),"",ROUND(H979*(1+Y979),2))</f>
        <v/>
      </c>
      <c r="M979" s="10" t="n"/>
      <c r="N979" s="10" t="n"/>
      <c r="O979" s="10" t="n"/>
      <c r="P979" s="10" t="n"/>
      <c r="Q979" s="20" t="n"/>
      <c r="R979" s="10" t="n"/>
      <c r="S979" s="10" t="n"/>
      <c r="T979" s="18" t="n"/>
      <c r="U979" s="18" t="n"/>
      <c r="V979" s="10" t="n"/>
      <c r="W979" s="10" t="n"/>
      <c r="X979" s="19">
        <f>IF(OR(A979="",COUNT(U979)=0,COUNT(AI979)=0),"",U979+AI979)</f>
        <v/>
      </c>
      <c r="Y979" s="16" t="n"/>
      <c r="Z979" s="12" t="n"/>
      <c r="AA979" s="17">
        <f>IF(COUNT(J979)=0,"",IF(H979=0,"n.a.",J979/H979))</f>
        <v/>
      </c>
      <c r="AB979" s="12" t="n"/>
      <c r="AC979" s="12" t="n"/>
      <c r="AD979" s="12" t="n"/>
      <c r="AE979" s="13">
        <f>IF(OR(COUNT(J979)=0,COUNT(AB979:AD979)&lt;3),"",ROUND(J979-SUM(AB979:AD979),2))</f>
        <v/>
      </c>
      <c r="AF979" s="15">
        <f>IF(COUNT(AE979)=0,"",IF(Z979=0,"n.a.",AE979/Z979))</f>
        <v/>
      </c>
      <c r="AG979" s="12" t="n"/>
      <c r="AH979" s="14">
        <f>IF(OR(A979="",COUNT(Z979)=0,COUNT(AG979)=0),"",ROUND(Z979-AG979,2))</f>
        <v/>
      </c>
      <c r="AI979" s="21" t="n"/>
      <c r="AJ979" s="11">
        <f>IF(A979="","",IF(COUNT(I979)=0,"Enter approved NTE",IF(COUNT(Z979)&gt;0,IF(Z979&gt;I979,"Invoice exceeds NTE","Invoice within NTE"),IF(COUNT(L979)=0,"Enter quote inputs",IF(L979&gt;I979,"Quote exceeds NTE","Quote within NTE")))))</f>
        <v/>
      </c>
      <c r="AK979" s="11">
        <f>IF(A979="","",IF(COUNT(H979)=0,"Enter direct cost",IF(COUNT(Z979)=0,"Enter invoice revenue",IF(COUNT(AB979:AD979)&lt;3,"Enter expenses (0 if none)","Complete"))))</f>
        <v/>
      </c>
      <c r="AL979" s="11">
        <f>IF(A979="","",IF(NOT(AND(COUNT(AH979)=1,N(AH979)&gt;0.004,V979&lt;&gt;"Void",V979&lt;&gt;"Not invoiced",V979&lt;&gt;"Draft")),"",IF(COUNT(X979)=0,"No due date",IF(TODAY()-X979&lt;=0,"Not yet due",IF(TODAY()-X979&lt;=30,"1-30 days",IF(TODAY()-X979&lt;=60,"31-60 days",IF(TODAY()-X979&lt;=90,"61-90 days","Over 90 days")))))))</f>
        <v/>
      </c>
      <c r="AM979" s="49">
        <f>IF(OR(AL979="",AL979="No due date"),"",MAX(TODAY()-X979,0))</f>
        <v/>
      </c>
      <c r="AN979" s="49">
        <f>IF(AL979="","",IF(COUNT(X979)=0,-100000,TODAY()-X979))</f>
        <v/>
      </c>
      <c r="AO979" s="49">
        <f>IF(AN979="","",COUNTIF(AN$11:AN$1010,"&gt;"&amp;AN979)+COUNTIF(AN$11:AN979,AN979))</f>
        <v/>
      </c>
      <c r="AP979" s="49">
        <f>IF(OR(A979="",B979=""),"",IF(COUNTIF(B$11:B979,B979)=1,MAX(AP$10:AP978)+1,""))</f>
        <v/>
      </c>
    </row>
    <row r="980">
      <c r="A980" s="20" t="n"/>
      <c r="B980" s="10" t="n"/>
      <c r="C980" s="10" t="n"/>
      <c r="D980" s="10" t="n"/>
      <c r="E980" s="10" t="n"/>
      <c r="F980" s="18" t="n"/>
      <c r="G980" s="10" t="n"/>
      <c r="H980" s="12" t="n"/>
      <c r="I980" s="12" t="n"/>
      <c r="J980" s="13">
        <f>IF(OR(A980="",COUNT(H980)=0,COUNT(Z980)=0),"",ROUND(Z980-H980,2))</f>
        <v/>
      </c>
      <c r="K980" s="15">
        <f>IF(COUNT(J980)=0,"",IF(Z980=0,"n.a.",J980/Z980))</f>
        <v/>
      </c>
      <c r="L980" s="14">
        <f>IF(OR(A980="",COUNT(H980)=0,COUNT(Y980)=0),"",ROUND(H980*(1+Y980),2))</f>
        <v/>
      </c>
      <c r="M980" s="10" t="n"/>
      <c r="N980" s="10" t="n"/>
      <c r="O980" s="10" t="n"/>
      <c r="P980" s="10" t="n"/>
      <c r="Q980" s="20" t="n"/>
      <c r="R980" s="10" t="n"/>
      <c r="S980" s="10" t="n"/>
      <c r="T980" s="18" t="n"/>
      <c r="U980" s="18" t="n"/>
      <c r="V980" s="10" t="n"/>
      <c r="W980" s="10" t="n"/>
      <c r="X980" s="19">
        <f>IF(OR(A980="",COUNT(U980)=0,COUNT(AI980)=0),"",U980+AI980)</f>
        <v/>
      </c>
      <c r="Y980" s="16" t="n"/>
      <c r="Z980" s="12" t="n"/>
      <c r="AA980" s="17">
        <f>IF(COUNT(J980)=0,"",IF(H980=0,"n.a.",J980/H980))</f>
        <v/>
      </c>
      <c r="AB980" s="12" t="n"/>
      <c r="AC980" s="12" t="n"/>
      <c r="AD980" s="12" t="n"/>
      <c r="AE980" s="13">
        <f>IF(OR(COUNT(J980)=0,COUNT(AB980:AD980)&lt;3),"",ROUND(J980-SUM(AB980:AD980),2))</f>
        <v/>
      </c>
      <c r="AF980" s="15">
        <f>IF(COUNT(AE980)=0,"",IF(Z980=0,"n.a.",AE980/Z980))</f>
        <v/>
      </c>
      <c r="AG980" s="12" t="n"/>
      <c r="AH980" s="14">
        <f>IF(OR(A980="",COUNT(Z980)=0,COUNT(AG980)=0),"",ROUND(Z980-AG980,2))</f>
        <v/>
      </c>
      <c r="AI980" s="21" t="n"/>
      <c r="AJ980" s="11">
        <f>IF(A980="","",IF(COUNT(I980)=0,"Enter approved NTE",IF(COUNT(Z980)&gt;0,IF(Z980&gt;I980,"Invoice exceeds NTE","Invoice within NTE"),IF(COUNT(L980)=0,"Enter quote inputs",IF(L980&gt;I980,"Quote exceeds NTE","Quote within NTE")))))</f>
        <v/>
      </c>
      <c r="AK980" s="11">
        <f>IF(A980="","",IF(COUNT(H980)=0,"Enter direct cost",IF(COUNT(Z980)=0,"Enter invoice revenue",IF(COUNT(AB980:AD980)&lt;3,"Enter expenses (0 if none)","Complete"))))</f>
        <v/>
      </c>
      <c r="AL980" s="11">
        <f>IF(A980="","",IF(NOT(AND(COUNT(AH980)=1,N(AH980)&gt;0.004,V980&lt;&gt;"Void",V980&lt;&gt;"Not invoiced",V980&lt;&gt;"Draft")),"",IF(COUNT(X980)=0,"No due date",IF(TODAY()-X980&lt;=0,"Not yet due",IF(TODAY()-X980&lt;=30,"1-30 days",IF(TODAY()-X980&lt;=60,"31-60 days",IF(TODAY()-X980&lt;=90,"61-90 days","Over 90 days")))))))</f>
        <v/>
      </c>
      <c r="AM980" s="49">
        <f>IF(OR(AL980="",AL980="No due date"),"",MAX(TODAY()-X980,0))</f>
        <v/>
      </c>
      <c r="AN980" s="49">
        <f>IF(AL980="","",IF(COUNT(X980)=0,-100000,TODAY()-X980))</f>
        <v/>
      </c>
      <c r="AO980" s="49">
        <f>IF(AN980="","",COUNTIF(AN$11:AN$1010,"&gt;"&amp;AN980)+COUNTIF(AN$11:AN980,AN980))</f>
        <v/>
      </c>
      <c r="AP980" s="49">
        <f>IF(OR(A980="",B980=""),"",IF(COUNTIF(B$11:B980,B980)=1,MAX(AP$10:AP979)+1,""))</f>
        <v/>
      </c>
    </row>
    <row r="981">
      <c r="A981" s="20" t="n"/>
      <c r="B981" s="10" t="n"/>
      <c r="C981" s="10" t="n"/>
      <c r="D981" s="10" t="n"/>
      <c r="E981" s="10" t="n"/>
      <c r="F981" s="18" t="n"/>
      <c r="G981" s="10" t="n"/>
      <c r="H981" s="12" t="n"/>
      <c r="I981" s="12" t="n"/>
      <c r="J981" s="13">
        <f>IF(OR(A981="",COUNT(H981)=0,COUNT(Z981)=0),"",ROUND(Z981-H981,2))</f>
        <v/>
      </c>
      <c r="K981" s="15">
        <f>IF(COUNT(J981)=0,"",IF(Z981=0,"n.a.",J981/Z981))</f>
        <v/>
      </c>
      <c r="L981" s="14">
        <f>IF(OR(A981="",COUNT(H981)=0,COUNT(Y981)=0),"",ROUND(H981*(1+Y981),2))</f>
        <v/>
      </c>
      <c r="M981" s="10" t="n"/>
      <c r="N981" s="10" t="n"/>
      <c r="O981" s="10" t="n"/>
      <c r="P981" s="10" t="n"/>
      <c r="Q981" s="20" t="n"/>
      <c r="R981" s="10" t="n"/>
      <c r="S981" s="10" t="n"/>
      <c r="T981" s="18" t="n"/>
      <c r="U981" s="18" t="n"/>
      <c r="V981" s="10" t="n"/>
      <c r="W981" s="10" t="n"/>
      <c r="X981" s="19">
        <f>IF(OR(A981="",COUNT(U981)=0,COUNT(AI981)=0),"",U981+AI981)</f>
        <v/>
      </c>
      <c r="Y981" s="16" t="n"/>
      <c r="Z981" s="12" t="n"/>
      <c r="AA981" s="17">
        <f>IF(COUNT(J981)=0,"",IF(H981=0,"n.a.",J981/H981))</f>
        <v/>
      </c>
      <c r="AB981" s="12" t="n"/>
      <c r="AC981" s="12" t="n"/>
      <c r="AD981" s="12" t="n"/>
      <c r="AE981" s="13">
        <f>IF(OR(COUNT(J981)=0,COUNT(AB981:AD981)&lt;3),"",ROUND(J981-SUM(AB981:AD981),2))</f>
        <v/>
      </c>
      <c r="AF981" s="15">
        <f>IF(COUNT(AE981)=0,"",IF(Z981=0,"n.a.",AE981/Z981))</f>
        <v/>
      </c>
      <c r="AG981" s="12" t="n"/>
      <c r="AH981" s="14">
        <f>IF(OR(A981="",COUNT(Z981)=0,COUNT(AG981)=0),"",ROUND(Z981-AG981,2))</f>
        <v/>
      </c>
      <c r="AI981" s="21" t="n"/>
      <c r="AJ981" s="11">
        <f>IF(A981="","",IF(COUNT(I981)=0,"Enter approved NTE",IF(COUNT(Z981)&gt;0,IF(Z981&gt;I981,"Invoice exceeds NTE","Invoice within NTE"),IF(COUNT(L981)=0,"Enter quote inputs",IF(L981&gt;I981,"Quote exceeds NTE","Quote within NTE")))))</f>
        <v/>
      </c>
      <c r="AK981" s="11">
        <f>IF(A981="","",IF(COUNT(H981)=0,"Enter direct cost",IF(COUNT(Z981)=0,"Enter invoice revenue",IF(COUNT(AB981:AD981)&lt;3,"Enter expenses (0 if none)","Complete"))))</f>
        <v/>
      </c>
      <c r="AL981" s="11">
        <f>IF(A981="","",IF(NOT(AND(COUNT(AH981)=1,N(AH981)&gt;0.004,V981&lt;&gt;"Void",V981&lt;&gt;"Not invoiced",V981&lt;&gt;"Draft")),"",IF(COUNT(X981)=0,"No due date",IF(TODAY()-X981&lt;=0,"Not yet due",IF(TODAY()-X981&lt;=30,"1-30 days",IF(TODAY()-X981&lt;=60,"31-60 days",IF(TODAY()-X981&lt;=90,"61-90 days","Over 90 days")))))))</f>
        <v/>
      </c>
      <c r="AM981" s="49">
        <f>IF(OR(AL981="",AL981="No due date"),"",MAX(TODAY()-X981,0))</f>
        <v/>
      </c>
      <c r="AN981" s="49">
        <f>IF(AL981="","",IF(COUNT(X981)=0,-100000,TODAY()-X981))</f>
        <v/>
      </c>
      <c r="AO981" s="49">
        <f>IF(AN981="","",COUNTIF(AN$11:AN$1010,"&gt;"&amp;AN981)+COUNTIF(AN$11:AN981,AN981))</f>
        <v/>
      </c>
      <c r="AP981" s="49">
        <f>IF(OR(A981="",B981=""),"",IF(COUNTIF(B$11:B981,B981)=1,MAX(AP$10:AP980)+1,""))</f>
        <v/>
      </c>
    </row>
    <row r="982">
      <c r="A982" s="20" t="n"/>
      <c r="B982" s="10" t="n"/>
      <c r="C982" s="10" t="n"/>
      <c r="D982" s="10" t="n"/>
      <c r="E982" s="10" t="n"/>
      <c r="F982" s="18" t="n"/>
      <c r="G982" s="10" t="n"/>
      <c r="H982" s="12" t="n"/>
      <c r="I982" s="12" t="n"/>
      <c r="J982" s="13">
        <f>IF(OR(A982="",COUNT(H982)=0,COUNT(Z982)=0),"",ROUND(Z982-H982,2))</f>
        <v/>
      </c>
      <c r="K982" s="15">
        <f>IF(COUNT(J982)=0,"",IF(Z982=0,"n.a.",J982/Z982))</f>
        <v/>
      </c>
      <c r="L982" s="14">
        <f>IF(OR(A982="",COUNT(H982)=0,COUNT(Y982)=0),"",ROUND(H982*(1+Y982),2))</f>
        <v/>
      </c>
      <c r="M982" s="10" t="n"/>
      <c r="N982" s="10" t="n"/>
      <c r="O982" s="10" t="n"/>
      <c r="P982" s="10" t="n"/>
      <c r="Q982" s="20" t="n"/>
      <c r="R982" s="10" t="n"/>
      <c r="S982" s="10" t="n"/>
      <c r="T982" s="18" t="n"/>
      <c r="U982" s="18" t="n"/>
      <c r="V982" s="10" t="n"/>
      <c r="W982" s="10" t="n"/>
      <c r="X982" s="19">
        <f>IF(OR(A982="",COUNT(U982)=0,COUNT(AI982)=0),"",U982+AI982)</f>
        <v/>
      </c>
      <c r="Y982" s="16" t="n"/>
      <c r="Z982" s="12" t="n"/>
      <c r="AA982" s="17">
        <f>IF(COUNT(J982)=0,"",IF(H982=0,"n.a.",J982/H982))</f>
        <v/>
      </c>
      <c r="AB982" s="12" t="n"/>
      <c r="AC982" s="12" t="n"/>
      <c r="AD982" s="12" t="n"/>
      <c r="AE982" s="13">
        <f>IF(OR(COUNT(J982)=0,COUNT(AB982:AD982)&lt;3),"",ROUND(J982-SUM(AB982:AD982),2))</f>
        <v/>
      </c>
      <c r="AF982" s="15">
        <f>IF(COUNT(AE982)=0,"",IF(Z982=0,"n.a.",AE982/Z982))</f>
        <v/>
      </c>
      <c r="AG982" s="12" t="n"/>
      <c r="AH982" s="14">
        <f>IF(OR(A982="",COUNT(Z982)=0,COUNT(AG982)=0),"",ROUND(Z982-AG982,2))</f>
        <v/>
      </c>
      <c r="AI982" s="21" t="n"/>
      <c r="AJ982" s="11">
        <f>IF(A982="","",IF(COUNT(I982)=0,"Enter approved NTE",IF(COUNT(Z982)&gt;0,IF(Z982&gt;I982,"Invoice exceeds NTE","Invoice within NTE"),IF(COUNT(L982)=0,"Enter quote inputs",IF(L982&gt;I982,"Quote exceeds NTE","Quote within NTE")))))</f>
        <v/>
      </c>
      <c r="AK982" s="11">
        <f>IF(A982="","",IF(COUNT(H982)=0,"Enter direct cost",IF(COUNT(Z982)=0,"Enter invoice revenue",IF(COUNT(AB982:AD982)&lt;3,"Enter expenses (0 if none)","Complete"))))</f>
        <v/>
      </c>
      <c r="AL982" s="11">
        <f>IF(A982="","",IF(NOT(AND(COUNT(AH982)=1,N(AH982)&gt;0.004,V982&lt;&gt;"Void",V982&lt;&gt;"Not invoiced",V982&lt;&gt;"Draft")),"",IF(COUNT(X982)=0,"No due date",IF(TODAY()-X982&lt;=0,"Not yet due",IF(TODAY()-X982&lt;=30,"1-30 days",IF(TODAY()-X982&lt;=60,"31-60 days",IF(TODAY()-X982&lt;=90,"61-90 days","Over 90 days")))))))</f>
        <v/>
      </c>
      <c r="AM982" s="49">
        <f>IF(OR(AL982="",AL982="No due date"),"",MAX(TODAY()-X982,0))</f>
        <v/>
      </c>
      <c r="AN982" s="49">
        <f>IF(AL982="","",IF(COUNT(X982)=0,-100000,TODAY()-X982))</f>
        <v/>
      </c>
      <c r="AO982" s="49">
        <f>IF(AN982="","",COUNTIF(AN$11:AN$1010,"&gt;"&amp;AN982)+COUNTIF(AN$11:AN982,AN982))</f>
        <v/>
      </c>
      <c r="AP982" s="49">
        <f>IF(OR(A982="",B982=""),"",IF(COUNTIF(B$11:B982,B982)=1,MAX(AP$10:AP981)+1,""))</f>
        <v/>
      </c>
    </row>
    <row r="983">
      <c r="A983" s="20" t="n"/>
      <c r="B983" s="10" t="n"/>
      <c r="C983" s="10" t="n"/>
      <c r="D983" s="10" t="n"/>
      <c r="E983" s="10" t="n"/>
      <c r="F983" s="18" t="n"/>
      <c r="G983" s="10" t="n"/>
      <c r="H983" s="12" t="n"/>
      <c r="I983" s="12" t="n"/>
      <c r="J983" s="13">
        <f>IF(OR(A983="",COUNT(H983)=0,COUNT(Z983)=0),"",ROUND(Z983-H983,2))</f>
        <v/>
      </c>
      <c r="K983" s="15">
        <f>IF(COUNT(J983)=0,"",IF(Z983=0,"n.a.",J983/Z983))</f>
        <v/>
      </c>
      <c r="L983" s="14">
        <f>IF(OR(A983="",COUNT(H983)=0,COUNT(Y983)=0),"",ROUND(H983*(1+Y983),2))</f>
        <v/>
      </c>
      <c r="M983" s="10" t="n"/>
      <c r="N983" s="10" t="n"/>
      <c r="O983" s="10" t="n"/>
      <c r="P983" s="10" t="n"/>
      <c r="Q983" s="20" t="n"/>
      <c r="R983" s="10" t="n"/>
      <c r="S983" s="10" t="n"/>
      <c r="T983" s="18" t="n"/>
      <c r="U983" s="18" t="n"/>
      <c r="V983" s="10" t="n"/>
      <c r="W983" s="10" t="n"/>
      <c r="X983" s="19">
        <f>IF(OR(A983="",COUNT(U983)=0,COUNT(AI983)=0),"",U983+AI983)</f>
        <v/>
      </c>
      <c r="Y983" s="16" t="n"/>
      <c r="Z983" s="12" t="n"/>
      <c r="AA983" s="17">
        <f>IF(COUNT(J983)=0,"",IF(H983=0,"n.a.",J983/H983))</f>
        <v/>
      </c>
      <c r="AB983" s="12" t="n"/>
      <c r="AC983" s="12" t="n"/>
      <c r="AD983" s="12" t="n"/>
      <c r="AE983" s="13">
        <f>IF(OR(COUNT(J983)=0,COUNT(AB983:AD983)&lt;3),"",ROUND(J983-SUM(AB983:AD983),2))</f>
        <v/>
      </c>
      <c r="AF983" s="15">
        <f>IF(COUNT(AE983)=0,"",IF(Z983=0,"n.a.",AE983/Z983))</f>
        <v/>
      </c>
      <c r="AG983" s="12" t="n"/>
      <c r="AH983" s="14">
        <f>IF(OR(A983="",COUNT(Z983)=0,COUNT(AG983)=0),"",ROUND(Z983-AG983,2))</f>
        <v/>
      </c>
      <c r="AI983" s="21" t="n"/>
      <c r="AJ983" s="11">
        <f>IF(A983="","",IF(COUNT(I983)=0,"Enter approved NTE",IF(COUNT(Z983)&gt;0,IF(Z983&gt;I983,"Invoice exceeds NTE","Invoice within NTE"),IF(COUNT(L983)=0,"Enter quote inputs",IF(L983&gt;I983,"Quote exceeds NTE","Quote within NTE")))))</f>
        <v/>
      </c>
      <c r="AK983" s="11">
        <f>IF(A983="","",IF(COUNT(H983)=0,"Enter direct cost",IF(COUNT(Z983)=0,"Enter invoice revenue",IF(COUNT(AB983:AD983)&lt;3,"Enter expenses (0 if none)","Complete"))))</f>
        <v/>
      </c>
      <c r="AL983" s="11">
        <f>IF(A983="","",IF(NOT(AND(COUNT(AH983)=1,N(AH983)&gt;0.004,V983&lt;&gt;"Void",V983&lt;&gt;"Not invoiced",V983&lt;&gt;"Draft")),"",IF(COUNT(X983)=0,"No due date",IF(TODAY()-X983&lt;=0,"Not yet due",IF(TODAY()-X983&lt;=30,"1-30 days",IF(TODAY()-X983&lt;=60,"31-60 days",IF(TODAY()-X983&lt;=90,"61-90 days","Over 90 days")))))))</f>
        <v/>
      </c>
      <c r="AM983" s="49">
        <f>IF(OR(AL983="",AL983="No due date"),"",MAX(TODAY()-X983,0))</f>
        <v/>
      </c>
      <c r="AN983" s="49">
        <f>IF(AL983="","",IF(COUNT(X983)=0,-100000,TODAY()-X983))</f>
        <v/>
      </c>
      <c r="AO983" s="49">
        <f>IF(AN983="","",COUNTIF(AN$11:AN$1010,"&gt;"&amp;AN983)+COUNTIF(AN$11:AN983,AN983))</f>
        <v/>
      </c>
      <c r="AP983" s="49">
        <f>IF(OR(A983="",B983=""),"",IF(COUNTIF(B$11:B983,B983)=1,MAX(AP$10:AP982)+1,""))</f>
        <v/>
      </c>
    </row>
    <row r="984">
      <c r="A984" s="20" t="n"/>
      <c r="B984" s="10" t="n"/>
      <c r="C984" s="10" t="n"/>
      <c r="D984" s="10" t="n"/>
      <c r="E984" s="10" t="n"/>
      <c r="F984" s="18" t="n"/>
      <c r="G984" s="10" t="n"/>
      <c r="H984" s="12" t="n"/>
      <c r="I984" s="12" t="n"/>
      <c r="J984" s="13">
        <f>IF(OR(A984="",COUNT(H984)=0,COUNT(Z984)=0),"",ROUND(Z984-H984,2))</f>
        <v/>
      </c>
      <c r="K984" s="15">
        <f>IF(COUNT(J984)=0,"",IF(Z984=0,"n.a.",J984/Z984))</f>
        <v/>
      </c>
      <c r="L984" s="14">
        <f>IF(OR(A984="",COUNT(H984)=0,COUNT(Y984)=0),"",ROUND(H984*(1+Y984),2))</f>
        <v/>
      </c>
      <c r="M984" s="10" t="n"/>
      <c r="N984" s="10" t="n"/>
      <c r="O984" s="10" t="n"/>
      <c r="P984" s="10" t="n"/>
      <c r="Q984" s="20" t="n"/>
      <c r="R984" s="10" t="n"/>
      <c r="S984" s="10" t="n"/>
      <c r="T984" s="18" t="n"/>
      <c r="U984" s="18" t="n"/>
      <c r="V984" s="10" t="n"/>
      <c r="W984" s="10" t="n"/>
      <c r="X984" s="19">
        <f>IF(OR(A984="",COUNT(U984)=0,COUNT(AI984)=0),"",U984+AI984)</f>
        <v/>
      </c>
      <c r="Y984" s="16" t="n"/>
      <c r="Z984" s="12" t="n"/>
      <c r="AA984" s="17">
        <f>IF(COUNT(J984)=0,"",IF(H984=0,"n.a.",J984/H984))</f>
        <v/>
      </c>
      <c r="AB984" s="12" t="n"/>
      <c r="AC984" s="12" t="n"/>
      <c r="AD984" s="12" t="n"/>
      <c r="AE984" s="13">
        <f>IF(OR(COUNT(J984)=0,COUNT(AB984:AD984)&lt;3),"",ROUND(J984-SUM(AB984:AD984),2))</f>
        <v/>
      </c>
      <c r="AF984" s="15">
        <f>IF(COUNT(AE984)=0,"",IF(Z984=0,"n.a.",AE984/Z984))</f>
        <v/>
      </c>
      <c r="AG984" s="12" t="n"/>
      <c r="AH984" s="14">
        <f>IF(OR(A984="",COUNT(Z984)=0,COUNT(AG984)=0),"",ROUND(Z984-AG984,2))</f>
        <v/>
      </c>
      <c r="AI984" s="21" t="n"/>
      <c r="AJ984" s="11">
        <f>IF(A984="","",IF(COUNT(I984)=0,"Enter approved NTE",IF(COUNT(Z984)&gt;0,IF(Z984&gt;I984,"Invoice exceeds NTE","Invoice within NTE"),IF(COUNT(L984)=0,"Enter quote inputs",IF(L984&gt;I984,"Quote exceeds NTE","Quote within NTE")))))</f>
        <v/>
      </c>
      <c r="AK984" s="11">
        <f>IF(A984="","",IF(COUNT(H984)=0,"Enter direct cost",IF(COUNT(Z984)=0,"Enter invoice revenue",IF(COUNT(AB984:AD984)&lt;3,"Enter expenses (0 if none)","Complete"))))</f>
        <v/>
      </c>
      <c r="AL984" s="11">
        <f>IF(A984="","",IF(NOT(AND(COUNT(AH984)=1,N(AH984)&gt;0.004,V984&lt;&gt;"Void",V984&lt;&gt;"Not invoiced",V984&lt;&gt;"Draft")),"",IF(COUNT(X984)=0,"No due date",IF(TODAY()-X984&lt;=0,"Not yet due",IF(TODAY()-X984&lt;=30,"1-30 days",IF(TODAY()-X984&lt;=60,"31-60 days",IF(TODAY()-X984&lt;=90,"61-90 days","Over 90 days")))))))</f>
        <v/>
      </c>
      <c r="AM984" s="49">
        <f>IF(OR(AL984="",AL984="No due date"),"",MAX(TODAY()-X984,0))</f>
        <v/>
      </c>
      <c r="AN984" s="49">
        <f>IF(AL984="","",IF(COUNT(X984)=0,-100000,TODAY()-X984))</f>
        <v/>
      </c>
      <c r="AO984" s="49">
        <f>IF(AN984="","",COUNTIF(AN$11:AN$1010,"&gt;"&amp;AN984)+COUNTIF(AN$11:AN984,AN984))</f>
        <v/>
      </c>
      <c r="AP984" s="49">
        <f>IF(OR(A984="",B984=""),"",IF(COUNTIF(B$11:B984,B984)=1,MAX(AP$10:AP983)+1,""))</f>
        <v/>
      </c>
    </row>
    <row r="985">
      <c r="A985" s="20" t="n"/>
      <c r="B985" s="10" t="n"/>
      <c r="C985" s="10" t="n"/>
      <c r="D985" s="10" t="n"/>
      <c r="E985" s="10" t="n"/>
      <c r="F985" s="18" t="n"/>
      <c r="G985" s="10" t="n"/>
      <c r="H985" s="12" t="n"/>
      <c r="I985" s="12" t="n"/>
      <c r="J985" s="13">
        <f>IF(OR(A985="",COUNT(H985)=0,COUNT(Z985)=0),"",ROUND(Z985-H985,2))</f>
        <v/>
      </c>
      <c r="K985" s="15">
        <f>IF(COUNT(J985)=0,"",IF(Z985=0,"n.a.",J985/Z985))</f>
        <v/>
      </c>
      <c r="L985" s="14">
        <f>IF(OR(A985="",COUNT(H985)=0,COUNT(Y985)=0),"",ROUND(H985*(1+Y985),2))</f>
        <v/>
      </c>
      <c r="M985" s="10" t="n"/>
      <c r="N985" s="10" t="n"/>
      <c r="O985" s="10" t="n"/>
      <c r="P985" s="10" t="n"/>
      <c r="Q985" s="20" t="n"/>
      <c r="R985" s="10" t="n"/>
      <c r="S985" s="10" t="n"/>
      <c r="T985" s="18" t="n"/>
      <c r="U985" s="18" t="n"/>
      <c r="V985" s="10" t="n"/>
      <c r="W985" s="10" t="n"/>
      <c r="X985" s="19">
        <f>IF(OR(A985="",COUNT(U985)=0,COUNT(AI985)=0),"",U985+AI985)</f>
        <v/>
      </c>
      <c r="Y985" s="16" t="n"/>
      <c r="Z985" s="12" t="n"/>
      <c r="AA985" s="17">
        <f>IF(COUNT(J985)=0,"",IF(H985=0,"n.a.",J985/H985))</f>
        <v/>
      </c>
      <c r="AB985" s="12" t="n"/>
      <c r="AC985" s="12" t="n"/>
      <c r="AD985" s="12" t="n"/>
      <c r="AE985" s="13">
        <f>IF(OR(COUNT(J985)=0,COUNT(AB985:AD985)&lt;3),"",ROUND(J985-SUM(AB985:AD985),2))</f>
        <v/>
      </c>
      <c r="AF985" s="15">
        <f>IF(COUNT(AE985)=0,"",IF(Z985=0,"n.a.",AE985/Z985))</f>
        <v/>
      </c>
      <c r="AG985" s="12" t="n"/>
      <c r="AH985" s="14">
        <f>IF(OR(A985="",COUNT(Z985)=0,COUNT(AG985)=0),"",ROUND(Z985-AG985,2))</f>
        <v/>
      </c>
      <c r="AI985" s="21" t="n"/>
      <c r="AJ985" s="11">
        <f>IF(A985="","",IF(COUNT(I985)=0,"Enter approved NTE",IF(COUNT(Z985)&gt;0,IF(Z985&gt;I985,"Invoice exceeds NTE","Invoice within NTE"),IF(COUNT(L985)=0,"Enter quote inputs",IF(L985&gt;I985,"Quote exceeds NTE","Quote within NTE")))))</f>
        <v/>
      </c>
      <c r="AK985" s="11">
        <f>IF(A985="","",IF(COUNT(H985)=0,"Enter direct cost",IF(COUNT(Z985)=0,"Enter invoice revenue",IF(COUNT(AB985:AD985)&lt;3,"Enter expenses (0 if none)","Complete"))))</f>
        <v/>
      </c>
      <c r="AL985" s="11">
        <f>IF(A985="","",IF(NOT(AND(COUNT(AH985)=1,N(AH985)&gt;0.004,V985&lt;&gt;"Void",V985&lt;&gt;"Not invoiced",V985&lt;&gt;"Draft")),"",IF(COUNT(X985)=0,"No due date",IF(TODAY()-X985&lt;=0,"Not yet due",IF(TODAY()-X985&lt;=30,"1-30 days",IF(TODAY()-X985&lt;=60,"31-60 days",IF(TODAY()-X985&lt;=90,"61-90 days","Over 90 days")))))))</f>
        <v/>
      </c>
      <c r="AM985" s="49">
        <f>IF(OR(AL985="",AL985="No due date"),"",MAX(TODAY()-X985,0))</f>
        <v/>
      </c>
      <c r="AN985" s="49">
        <f>IF(AL985="","",IF(COUNT(X985)=0,-100000,TODAY()-X985))</f>
        <v/>
      </c>
      <c r="AO985" s="49">
        <f>IF(AN985="","",COUNTIF(AN$11:AN$1010,"&gt;"&amp;AN985)+COUNTIF(AN$11:AN985,AN985))</f>
        <v/>
      </c>
      <c r="AP985" s="49">
        <f>IF(OR(A985="",B985=""),"",IF(COUNTIF(B$11:B985,B985)=1,MAX(AP$10:AP984)+1,""))</f>
        <v/>
      </c>
    </row>
    <row r="986">
      <c r="A986" s="20" t="n"/>
      <c r="B986" s="10" t="n"/>
      <c r="C986" s="10" t="n"/>
      <c r="D986" s="10" t="n"/>
      <c r="E986" s="10" t="n"/>
      <c r="F986" s="18" t="n"/>
      <c r="G986" s="10" t="n"/>
      <c r="H986" s="12" t="n"/>
      <c r="I986" s="12" t="n"/>
      <c r="J986" s="13">
        <f>IF(OR(A986="",COUNT(H986)=0,COUNT(Z986)=0),"",ROUND(Z986-H986,2))</f>
        <v/>
      </c>
      <c r="K986" s="15">
        <f>IF(COUNT(J986)=0,"",IF(Z986=0,"n.a.",J986/Z986))</f>
        <v/>
      </c>
      <c r="L986" s="14">
        <f>IF(OR(A986="",COUNT(H986)=0,COUNT(Y986)=0),"",ROUND(H986*(1+Y986),2))</f>
        <v/>
      </c>
      <c r="M986" s="10" t="n"/>
      <c r="N986" s="10" t="n"/>
      <c r="O986" s="10" t="n"/>
      <c r="P986" s="10" t="n"/>
      <c r="Q986" s="20" t="n"/>
      <c r="R986" s="10" t="n"/>
      <c r="S986" s="10" t="n"/>
      <c r="T986" s="18" t="n"/>
      <c r="U986" s="18" t="n"/>
      <c r="V986" s="10" t="n"/>
      <c r="W986" s="10" t="n"/>
      <c r="X986" s="19">
        <f>IF(OR(A986="",COUNT(U986)=0,COUNT(AI986)=0),"",U986+AI986)</f>
        <v/>
      </c>
      <c r="Y986" s="16" t="n"/>
      <c r="Z986" s="12" t="n"/>
      <c r="AA986" s="17">
        <f>IF(COUNT(J986)=0,"",IF(H986=0,"n.a.",J986/H986))</f>
        <v/>
      </c>
      <c r="AB986" s="12" t="n"/>
      <c r="AC986" s="12" t="n"/>
      <c r="AD986" s="12" t="n"/>
      <c r="AE986" s="13">
        <f>IF(OR(COUNT(J986)=0,COUNT(AB986:AD986)&lt;3),"",ROUND(J986-SUM(AB986:AD986),2))</f>
        <v/>
      </c>
      <c r="AF986" s="15">
        <f>IF(COUNT(AE986)=0,"",IF(Z986=0,"n.a.",AE986/Z986))</f>
        <v/>
      </c>
      <c r="AG986" s="12" t="n"/>
      <c r="AH986" s="14">
        <f>IF(OR(A986="",COUNT(Z986)=0,COUNT(AG986)=0),"",ROUND(Z986-AG986,2))</f>
        <v/>
      </c>
      <c r="AI986" s="21" t="n"/>
      <c r="AJ986" s="11">
        <f>IF(A986="","",IF(COUNT(I986)=0,"Enter approved NTE",IF(COUNT(Z986)&gt;0,IF(Z986&gt;I986,"Invoice exceeds NTE","Invoice within NTE"),IF(COUNT(L986)=0,"Enter quote inputs",IF(L986&gt;I986,"Quote exceeds NTE","Quote within NTE")))))</f>
        <v/>
      </c>
      <c r="AK986" s="11">
        <f>IF(A986="","",IF(COUNT(H986)=0,"Enter direct cost",IF(COUNT(Z986)=0,"Enter invoice revenue",IF(COUNT(AB986:AD986)&lt;3,"Enter expenses (0 if none)","Complete"))))</f>
        <v/>
      </c>
      <c r="AL986" s="11">
        <f>IF(A986="","",IF(NOT(AND(COUNT(AH986)=1,N(AH986)&gt;0.004,V986&lt;&gt;"Void",V986&lt;&gt;"Not invoiced",V986&lt;&gt;"Draft")),"",IF(COUNT(X986)=0,"No due date",IF(TODAY()-X986&lt;=0,"Not yet due",IF(TODAY()-X986&lt;=30,"1-30 days",IF(TODAY()-X986&lt;=60,"31-60 days",IF(TODAY()-X986&lt;=90,"61-90 days","Over 90 days")))))))</f>
        <v/>
      </c>
      <c r="AM986" s="49">
        <f>IF(OR(AL986="",AL986="No due date"),"",MAX(TODAY()-X986,0))</f>
        <v/>
      </c>
      <c r="AN986" s="49">
        <f>IF(AL986="","",IF(COUNT(X986)=0,-100000,TODAY()-X986))</f>
        <v/>
      </c>
      <c r="AO986" s="49">
        <f>IF(AN986="","",COUNTIF(AN$11:AN$1010,"&gt;"&amp;AN986)+COUNTIF(AN$11:AN986,AN986))</f>
        <v/>
      </c>
      <c r="AP986" s="49">
        <f>IF(OR(A986="",B986=""),"",IF(COUNTIF(B$11:B986,B986)=1,MAX(AP$10:AP985)+1,""))</f>
        <v/>
      </c>
    </row>
    <row r="987">
      <c r="A987" s="20" t="n"/>
      <c r="B987" s="10" t="n"/>
      <c r="C987" s="10" t="n"/>
      <c r="D987" s="10" t="n"/>
      <c r="E987" s="10" t="n"/>
      <c r="F987" s="18" t="n"/>
      <c r="G987" s="10" t="n"/>
      <c r="H987" s="12" t="n"/>
      <c r="I987" s="12" t="n"/>
      <c r="J987" s="13">
        <f>IF(OR(A987="",COUNT(H987)=0,COUNT(Z987)=0),"",ROUND(Z987-H987,2))</f>
        <v/>
      </c>
      <c r="K987" s="15">
        <f>IF(COUNT(J987)=0,"",IF(Z987=0,"n.a.",J987/Z987))</f>
        <v/>
      </c>
      <c r="L987" s="14">
        <f>IF(OR(A987="",COUNT(H987)=0,COUNT(Y987)=0),"",ROUND(H987*(1+Y987),2))</f>
        <v/>
      </c>
      <c r="M987" s="10" t="n"/>
      <c r="N987" s="10" t="n"/>
      <c r="O987" s="10" t="n"/>
      <c r="P987" s="10" t="n"/>
      <c r="Q987" s="20" t="n"/>
      <c r="R987" s="10" t="n"/>
      <c r="S987" s="10" t="n"/>
      <c r="T987" s="18" t="n"/>
      <c r="U987" s="18" t="n"/>
      <c r="V987" s="10" t="n"/>
      <c r="W987" s="10" t="n"/>
      <c r="X987" s="19">
        <f>IF(OR(A987="",COUNT(U987)=0,COUNT(AI987)=0),"",U987+AI987)</f>
        <v/>
      </c>
      <c r="Y987" s="16" t="n"/>
      <c r="Z987" s="12" t="n"/>
      <c r="AA987" s="17">
        <f>IF(COUNT(J987)=0,"",IF(H987=0,"n.a.",J987/H987))</f>
        <v/>
      </c>
      <c r="AB987" s="12" t="n"/>
      <c r="AC987" s="12" t="n"/>
      <c r="AD987" s="12" t="n"/>
      <c r="AE987" s="13">
        <f>IF(OR(COUNT(J987)=0,COUNT(AB987:AD987)&lt;3),"",ROUND(J987-SUM(AB987:AD987),2))</f>
        <v/>
      </c>
      <c r="AF987" s="15">
        <f>IF(COUNT(AE987)=0,"",IF(Z987=0,"n.a.",AE987/Z987))</f>
        <v/>
      </c>
      <c r="AG987" s="12" t="n"/>
      <c r="AH987" s="14">
        <f>IF(OR(A987="",COUNT(Z987)=0,COUNT(AG987)=0),"",ROUND(Z987-AG987,2))</f>
        <v/>
      </c>
      <c r="AI987" s="21" t="n"/>
      <c r="AJ987" s="11">
        <f>IF(A987="","",IF(COUNT(I987)=0,"Enter approved NTE",IF(COUNT(Z987)&gt;0,IF(Z987&gt;I987,"Invoice exceeds NTE","Invoice within NTE"),IF(COUNT(L987)=0,"Enter quote inputs",IF(L987&gt;I987,"Quote exceeds NTE","Quote within NTE")))))</f>
        <v/>
      </c>
      <c r="AK987" s="11">
        <f>IF(A987="","",IF(COUNT(H987)=0,"Enter direct cost",IF(COUNT(Z987)=0,"Enter invoice revenue",IF(COUNT(AB987:AD987)&lt;3,"Enter expenses (0 if none)","Complete"))))</f>
        <v/>
      </c>
      <c r="AL987" s="11">
        <f>IF(A987="","",IF(NOT(AND(COUNT(AH987)=1,N(AH987)&gt;0.004,V987&lt;&gt;"Void",V987&lt;&gt;"Not invoiced",V987&lt;&gt;"Draft")),"",IF(COUNT(X987)=0,"No due date",IF(TODAY()-X987&lt;=0,"Not yet due",IF(TODAY()-X987&lt;=30,"1-30 days",IF(TODAY()-X987&lt;=60,"31-60 days",IF(TODAY()-X987&lt;=90,"61-90 days","Over 90 days")))))))</f>
        <v/>
      </c>
      <c r="AM987" s="49">
        <f>IF(OR(AL987="",AL987="No due date"),"",MAX(TODAY()-X987,0))</f>
        <v/>
      </c>
      <c r="AN987" s="49">
        <f>IF(AL987="","",IF(COUNT(X987)=0,-100000,TODAY()-X987))</f>
        <v/>
      </c>
      <c r="AO987" s="49">
        <f>IF(AN987="","",COUNTIF(AN$11:AN$1010,"&gt;"&amp;AN987)+COUNTIF(AN$11:AN987,AN987))</f>
        <v/>
      </c>
      <c r="AP987" s="49">
        <f>IF(OR(A987="",B987=""),"",IF(COUNTIF(B$11:B987,B987)=1,MAX(AP$10:AP986)+1,""))</f>
        <v/>
      </c>
    </row>
    <row r="988">
      <c r="A988" s="20" t="n"/>
      <c r="B988" s="10" t="n"/>
      <c r="C988" s="10" t="n"/>
      <c r="D988" s="10" t="n"/>
      <c r="E988" s="10" t="n"/>
      <c r="F988" s="18" t="n"/>
      <c r="G988" s="10" t="n"/>
      <c r="H988" s="12" t="n"/>
      <c r="I988" s="12" t="n"/>
      <c r="J988" s="13">
        <f>IF(OR(A988="",COUNT(H988)=0,COUNT(Z988)=0),"",ROUND(Z988-H988,2))</f>
        <v/>
      </c>
      <c r="K988" s="15">
        <f>IF(COUNT(J988)=0,"",IF(Z988=0,"n.a.",J988/Z988))</f>
        <v/>
      </c>
      <c r="L988" s="14">
        <f>IF(OR(A988="",COUNT(H988)=0,COUNT(Y988)=0),"",ROUND(H988*(1+Y988),2))</f>
        <v/>
      </c>
      <c r="M988" s="10" t="n"/>
      <c r="N988" s="10" t="n"/>
      <c r="O988" s="10" t="n"/>
      <c r="P988" s="10" t="n"/>
      <c r="Q988" s="20" t="n"/>
      <c r="R988" s="10" t="n"/>
      <c r="S988" s="10" t="n"/>
      <c r="T988" s="18" t="n"/>
      <c r="U988" s="18" t="n"/>
      <c r="V988" s="10" t="n"/>
      <c r="W988" s="10" t="n"/>
      <c r="X988" s="19">
        <f>IF(OR(A988="",COUNT(U988)=0,COUNT(AI988)=0),"",U988+AI988)</f>
        <v/>
      </c>
      <c r="Y988" s="16" t="n"/>
      <c r="Z988" s="12" t="n"/>
      <c r="AA988" s="17">
        <f>IF(COUNT(J988)=0,"",IF(H988=0,"n.a.",J988/H988))</f>
        <v/>
      </c>
      <c r="AB988" s="12" t="n"/>
      <c r="AC988" s="12" t="n"/>
      <c r="AD988" s="12" t="n"/>
      <c r="AE988" s="13">
        <f>IF(OR(COUNT(J988)=0,COUNT(AB988:AD988)&lt;3),"",ROUND(J988-SUM(AB988:AD988),2))</f>
        <v/>
      </c>
      <c r="AF988" s="15">
        <f>IF(COUNT(AE988)=0,"",IF(Z988=0,"n.a.",AE988/Z988))</f>
        <v/>
      </c>
      <c r="AG988" s="12" t="n"/>
      <c r="AH988" s="14">
        <f>IF(OR(A988="",COUNT(Z988)=0,COUNT(AG988)=0),"",ROUND(Z988-AG988,2))</f>
        <v/>
      </c>
      <c r="AI988" s="21" t="n"/>
      <c r="AJ988" s="11">
        <f>IF(A988="","",IF(COUNT(I988)=0,"Enter approved NTE",IF(COUNT(Z988)&gt;0,IF(Z988&gt;I988,"Invoice exceeds NTE","Invoice within NTE"),IF(COUNT(L988)=0,"Enter quote inputs",IF(L988&gt;I988,"Quote exceeds NTE","Quote within NTE")))))</f>
        <v/>
      </c>
      <c r="AK988" s="11">
        <f>IF(A988="","",IF(COUNT(H988)=0,"Enter direct cost",IF(COUNT(Z988)=0,"Enter invoice revenue",IF(COUNT(AB988:AD988)&lt;3,"Enter expenses (0 if none)","Complete"))))</f>
        <v/>
      </c>
      <c r="AL988" s="11">
        <f>IF(A988="","",IF(NOT(AND(COUNT(AH988)=1,N(AH988)&gt;0.004,V988&lt;&gt;"Void",V988&lt;&gt;"Not invoiced",V988&lt;&gt;"Draft")),"",IF(COUNT(X988)=0,"No due date",IF(TODAY()-X988&lt;=0,"Not yet due",IF(TODAY()-X988&lt;=30,"1-30 days",IF(TODAY()-X988&lt;=60,"31-60 days",IF(TODAY()-X988&lt;=90,"61-90 days","Over 90 days")))))))</f>
        <v/>
      </c>
      <c r="AM988" s="49">
        <f>IF(OR(AL988="",AL988="No due date"),"",MAX(TODAY()-X988,0))</f>
        <v/>
      </c>
      <c r="AN988" s="49">
        <f>IF(AL988="","",IF(COUNT(X988)=0,-100000,TODAY()-X988))</f>
        <v/>
      </c>
      <c r="AO988" s="49">
        <f>IF(AN988="","",COUNTIF(AN$11:AN$1010,"&gt;"&amp;AN988)+COUNTIF(AN$11:AN988,AN988))</f>
        <v/>
      </c>
      <c r="AP988" s="49">
        <f>IF(OR(A988="",B988=""),"",IF(COUNTIF(B$11:B988,B988)=1,MAX(AP$10:AP987)+1,""))</f>
        <v/>
      </c>
    </row>
    <row r="989">
      <c r="A989" s="20" t="n"/>
      <c r="B989" s="10" t="n"/>
      <c r="C989" s="10" t="n"/>
      <c r="D989" s="10" t="n"/>
      <c r="E989" s="10" t="n"/>
      <c r="F989" s="18" t="n"/>
      <c r="G989" s="10" t="n"/>
      <c r="H989" s="12" t="n"/>
      <c r="I989" s="12" t="n"/>
      <c r="J989" s="13">
        <f>IF(OR(A989="",COUNT(H989)=0,COUNT(Z989)=0),"",ROUND(Z989-H989,2))</f>
        <v/>
      </c>
      <c r="K989" s="15">
        <f>IF(COUNT(J989)=0,"",IF(Z989=0,"n.a.",J989/Z989))</f>
        <v/>
      </c>
      <c r="L989" s="14">
        <f>IF(OR(A989="",COUNT(H989)=0,COUNT(Y989)=0),"",ROUND(H989*(1+Y989),2))</f>
        <v/>
      </c>
      <c r="M989" s="10" t="n"/>
      <c r="N989" s="10" t="n"/>
      <c r="O989" s="10" t="n"/>
      <c r="P989" s="10" t="n"/>
      <c r="Q989" s="20" t="n"/>
      <c r="R989" s="10" t="n"/>
      <c r="S989" s="10" t="n"/>
      <c r="T989" s="18" t="n"/>
      <c r="U989" s="18" t="n"/>
      <c r="V989" s="10" t="n"/>
      <c r="W989" s="10" t="n"/>
      <c r="X989" s="19">
        <f>IF(OR(A989="",COUNT(U989)=0,COUNT(AI989)=0),"",U989+AI989)</f>
        <v/>
      </c>
      <c r="Y989" s="16" t="n"/>
      <c r="Z989" s="12" t="n"/>
      <c r="AA989" s="17">
        <f>IF(COUNT(J989)=0,"",IF(H989=0,"n.a.",J989/H989))</f>
        <v/>
      </c>
      <c r="AB989" s="12" t="n"/>
      <c r="AC989" s="12" t="n"/>
      <c r="AD989" s="12" t="n"/>
      <c r="AE989" s="13">
        <f>IF(OR(COUNT(J989)=0,COUNT(AB989:AD989)&lt;3),"",ROUND(J989-SUM(AB989:AD989),2))</f>
        <v/>
      </c>
      <c r="AF989" s="15">
        <f>IF(COUNT(AE989)=0,"",IF(Z989=0,"n.a.",AE989/Z989))</f>
        <v/>
      </c>
      <c r="AG989" s="12" t="n"/>
      <c r="AH989" s="14">
        <f>IF(OR(A989="",COUNT(Z989)=0,COUNT(AG989)=0),"",ROUND(Z989-AG989,2))</f>
        <v/>
      </c>
      <c r="AI989" s="21" t="n"/>
      <c r="AJ989" s="11">
        <f>IF(A989="","",IF(COUNT(I989)=0,"Enter approved NTE",IF(COUNT(Z989)&gt;0,IF(Z989&gt;I989,"Invoice exceeds NTE","Invoice within NTE"),IF(COUNT(L989)=0,"Enter quote inputs",IF(L989&gt;I989,"Quote exceeds NTE","Quote within NTE")))))</f>
        <v/>
      </c>
      <c r="AK989" s="11">
        <f>IF(A989="","",IF(COUNT(H989)=0,"Enter direct cost",IF(COUNT(Z989)=0,"Enter invoice revenue",IF(COUNT(AB989:AD989)&lt;3,"Enter expenses (0 if none)","Complete"))))</f>
        <v/>
      </c>
      <c r="AL989" s="11">
        <f>IF(A989="","",IF(NOT(AND(COUNT(AH989)=1,N(AH989)&gt;0.004,V989&lt;&gt;"Void",V989&lt;&gt;"Not invoiced",V989&lt;&gt;"Draft")),"",IF(COUNT(X989)=0,"No due date",IF(TODAY()-X989&lt;=0,"Not yet due",IF(TODAY()-X989&lt;=30,"1-30 days",IF(TODAY()-X989&lt;=60,"31-60 days",IF(TODAY()-X989&lt;=90,"61-90 days","Over 90 days")))))))</f>
        <v/>
      </c>
      <c r="AM989" s="49">
        <f>IF(OR(AL989="",AL989="No due date"),"",MAX(TODAY()-X989,0))</f>
        <v/>
      </c>
      <c r="AN989" s="49">
        <f>IF(AL989="","",IF(COUNT(X989)=0,-100000,TODAY()-X989))</f>
        <v/>
      </c>
      <c r="AO989" s="49">
        <f>IF(AN989="","",COUNTIF(AN$11:AN$1010,"&gt;"&amp;AN989)+COUNTIF(AN$11:AN989,AN989))</f>
        <v/>
      </c>
      <c r="AP989" s="49">
        <f>IF(OR(A989="",B989=""),"",IF(COUNTIF(B$11:B989,B989)=1,MAX(AP$10:AP988)+1,""))</f>
        <v/>
      </c>
    </row>
    <row r="990">
      <c r="A990" s="20" t="n"/>
      <c r="B990" s="10" t="n"/>
      <c r="C990" s="10" t="n"/>
      <c r="D990" s="10" t="n"/>
      <c r="E990" s="10" t="n"/>
      <c r="F990" s="18" t="n"/>
      <c r="G990" s="10" t="n"/>
      <c r="H990" s="12" t="n"/>
      <c r="I990" s="12" t="n"/>
      <c r="J990" s="13">
        <f>IF(OR(A990="",COUNT(H990)=0,COUNT(Z990)=0),"",ROUND(Z990-H990,2))</f>
        <v/>
      </c>
      <c r="K990" s="15">
        <f>IF(COUNT(J990)=0,"",IF(Z990=0,"n.a.",J990/Z990))</f>
        <v/>
      </c>
      <c r="L990" s="14">
        <f>IF(OR(A990="",COUNT(H990)=0,COUNT(Y990)=0),"",ROUND(H990*(1+Y990),2))</f>
        <v/>
      </c>
      <c r="M990" s="10" t="n"/>
      <c r="N990" s="10" t="n"/>
      <c r="O990" s="10" t="n"/>
      <c r="P990" s="10" t="n"/>
      <c r="Q990" s="20" t="n"/>
      <c r="R990" s="10" t="n"/>
      <c r="S990" s="10" t="n"/>
      <c r="T990" s="18" t="n"/>
      <c r="U990" s="18" t="n"/>
      <c r="V990" s="10" t="n"/>
      <c r="W990" s="10" t="n"/>
      <c r="X990" s="19">
        <f>IF(OR(A990="",COUNT(U990)=0,COUNT(AI990)=0),"",U990+AI990)</f>
        <v/>
      </c>
      <c r="Y990" s="16" t="n"/>
      <c r="Z990" s="12" t="n"/>
      <c r="AA990" s="17">
        <f>IF(COUNT(J990)=0,"",IF(H990=0,"n.a.",J990/H990))</f>
        <v/>
      </c>
      <c r="AB990" s="12" t="n"/>
      <c r="AC990" s="12" t="n"/>
      <c r="AD990" s="12" t="n"/>
      <c r="AE990" s="13">
        <f>IF(OR(COUNT(J990)=0,COUNT(AB990:AD990)&lt;3),"",ROUND(J990-SUM(AB990:AD990),2))</f>
        <v/>
      </c>
      <c r="AF990" s="15">
        <f>IF(COUNT(AE990)=0,"",IF(Z990=0,"n.a.",AE990/Z990))</f>
        <v/>
      </c>
      <c r="AG990" s="12" t="n"/>
      <c r="AH990" s="14">
        <f>IF(OR(A990="",COUNT(Z990)=0,COUNT(AG990)=0),"",ROUND(Z990-AG990,2))</f>
        <v/>
      </c>
      <c r="AI990" s="21" t="n"/>
      <c r="AJ990" s="11">
        <f>IF(A990="","",IF(COUNT(I990)=0,"Enter approved NTE",IF(COUNT(Z990)&gt;0,IF(Z990&gt;I990,"Invoice exceeds NTE","Invoice within NTE"),IF(COUNT(L990)=0,"Enter quote inputs",IF(L990&gt;I990,"Quote exceeds NTE","Quote within NTE")))))</f>
        <v/>
      </c>
      <c r="AK990" s="11">
        <f>IF(A990="","",IF(COUNT(H990)=0,"Enter direct cost",IF(COUNT(Z990)=0,"Enter invoice revenue",IF(COUNT(AB990:AD990)&lt;3,"Enter expenses (0 if none)","Complete"))))</f>
        <v/>
      </c>
      <c r="AL990" s="11">
        <f>IF(A990="","",IF(NOT(AND(COUNT(AH990)=1,N(AH990)&gt;0.004,V990&lt;&gt;"Void",V990&lt;&gt;"Not invoiced",V990&lt;&gt;"Draft")),"",IF(COUNT(X990)=0,"No due date",IF(TODAY()-X990&lt;=0,"Not yet due",IF(TODAY()-X990&lt;=30,"1-30 days",IF(TODAY()-X990&lt;=60,"31-60 days",IF(TODAY()-X990&lt;=90,"61-90 days","Over 90 days")))))))</f>
        <v/>
      </c>
      <c r="AM990" s="49">
        <f>IF(OR(AL990="",AL990="No due date"),"",MAX(TODAY()-X990,0))</f>
        <v/>
      </c>
      <c r="AN990" s="49">
        <f>IF(AL990="","",IF(COUNT(X990)=0,-100000,TODAY()-X990))</f>
        <v/>
      </c>
      <c r="AO990" s="49">
        <f>IF(AN990="","",COUNTIF(AN$11:AN$1010,"&gt;"&amp;AN990)+COUNTIF(AN$11:AN990,AN990))</f>
        <v/>
      </c>
      <c r="AP990" s="49">
        <f>IF(OR(A990="",B990=""),"",IF(COUNTIF(B$11:B990,B990)=1,MAX(AP$10:AP989)+1,""))</f>
        <v/>
      </c>
    </row>
    <row r="991">
      <c r="A991" s="20" t="n"/>
      <c r="B991" s="10" t="n"/>
      <c r="C991" s="10" t="n"/>
      <c r="D991" s="10" t="n"/>
      <c r="E991" s="10" t="n"/>
      <c r="F991" s="18" t="n"/>
      <c r="G991" s="10" t="n"/>
      <c r="H991" s="12" t="n"/>
      <c r="I991" s="12" t="n"/>
      <c r="J991" s="13">
        <f>IF(OR(A991="",COUNT(H991)=0,COUNT(Z991)=0),"",ROUND(Z991-H991,2))</f>
        <v/>
      </c>
      <c r="K991" s="15">
        <f>IF(COUNT(J991)=0,"",IF(Z991=0,"n.a.",J991/Z991))</f>
        <v/>
      </c>
      <c r="L991" s="14">
        <f>IF(OR(A991="",COUNT(H991)=0,COUNT(Y991)=0),"",ROUND(H991*(1+Y991),2))</f>
        <v/>
      </c>
      <c r="M991" s="10" t="n"/>
      <c r="N991" s="10" t="n"/>
      <c r="O991" s="10" t="n"/>
      <c r="P991" s="10" t="n"/>
      <c r="Q991" s="20" t="n"/>
      <c r="R991" s="10" t="n"/>
      <c r="S991" s="10" t="n"/>
      <c r="T991" s="18" t="n"/>
      <c r="U991" s="18" t="n"/>
      <c r="V991" s="10" t="n"/>
      <c r="W991" s="10" t="n"/>
      <c r="X991" s="19">
        <f>IF(OR(A991="",COUNT(U991)=0,COUNT(AI991)=0),"",U991+AI991)</f>
        <v/>
      </c>
      <c r="Y991" s="16" t="n"/>
      <c r="Z991" s="12" t="n"/>
      <c r="AA991" s="17">
        <f>IF(COUNT(J991)=0,"",IF(H991=0,"n.a.",J991/H991))</f>
        <v/>
      </c>
      <c r="AB991" s="12" t="n"/>
      <c r="AC991" s="12" t="n"/>
      <c r="AD991" s="12" t="n"/>
      <c r="AE991" s="13">
        <f>IF(OR(COUNT(J991)=0,COUNT(AB991:AD991)&lt;3),"",ROUND(J991-SUM(AB991:AD991),2))</f>
        <v/>
      </c>
      <c r="AF991" s="15">
        <f>IF(COUNT(AE991)=0,"",IF(Z991=0,"n.a.",AE991/Z991))</f>
        <v/>
      </c>
      <c r="AG991" s="12" t="n"/>
      <c r="AH991" s="14">
        <f>IF(OR(A991="",COUNT(Z991)=0,COUNT(AG991)=0),"",ROUND(Z991-AG991,2))</f>
        <v/>
      </c>
      <c r="AI991" s="21" t="n"/>
      <c r="AJ991" s="11">
        <f>IF(A991="","",IF(COUNT(I991)=0,"Enter approved NTE",IF(COUNT(Z991)&gt;0,IF(Z991&gt;I991,"Invoice exceeds NTE","Invoice within NTE"),IF(COUNT(L991)=0,"Enter quote inputs",IF(L991&gt;I991,"Quote exceeds NTE","Quote within NTE")))))</f>
        <v/>
      </c>
      <c r="AK991" s="11">
        <f>IF(A991="","",IF(COUNT(H991)=0,"Enter direct cost",IF(COUNT(Z991)=0,"Enter invoice revenue",IF(COUNT(AB991:AD991)&lt;3,"Enter expenses (0 if none)","Complete"))))</f>
        <v/>
      </c>
      <c r="AL991" s="11">
        <f>IF(A991="","",IF(NOT(AND(COUNT(AH991)=1,N(AH991)&gt;0.004,V991&lt;&gt;"Void",V991&lt;&gt;"Not invoiced",V991&lt;&gt;"Draft")),"",IF(COUNT(X991)=0,"No due date",IF(TODAY()-X991&lt;=0,"Not yet due",IF(TODAY()-X991&lt;=30,"1-30 days",IF(TODAY()-X991&lt;=60,"31-60 days",IF(TODAY()-X991&lt;=90,"61-90 days","Over 90 days")))))))</f>
        <v/>
      </c>
      <c r="AM991" s="49">
        <f>IF(OR(AL991="",AL991="No due date"),"",MAX(TODAY()-X991,0))</f>
        <v/>
      </c>
      <c r="AN991" s="49">
        <f>IF(AL991="","",IF(COUNT(X991)=0,-100000,TODAY()-X991))</f>
        <v/>
      </c>
      <c r="AO991" s="49">
        <f>IF(AN991="","",COUNTIF(AN$11:AN$1010,"&gt;"&amp;AN991)+COUNTIF(AN$11:AN991,AN991))</f>
        <v/>
      </c>
      <c r="AP991" s="49">
        <f>IF(OR(A991="",B991=""),"",IF(COUNTIF(B$11:B991,B991)=1,MAX(AP$10:AP990)+1,""))</f>
        <v/>
      </c>
    </row>
    <row r="992">
      <c r="A992" s="20" t="n"/>
      <c r="B992" s="10" t="n"/>
      <c r="C992" s="10" t="n"/>
      <c r="D992" s="10" t="n"/>
      <c r="E992" s="10" t="n"/>
      <c r="F992" s="18" t="n"/>
      <c r="G992" s="10" t="n"/>
      <c r="H992" s="12" t="n"/>
      <c r="I992" s="12" t="n"/>
      <c r="J992" s="13">
        <f>IF(OR(A992="",COUNT(H992)=0,COUNT(Z992)=0),"",ROUND(Z992-H992,2))</f>
        <v/>
      </c>
      <c r="K992" s="15">
        <f>IF(COUNT(J992)=0,"",IF(Z992=0,"n.a.",J992/Z992))</f>
        <v/>
      </c>
      <c r="L992" s="14">
        <f>IF(OR(A992="",COUNT(H992)=0,COUNT(Y992)=0),"",ROUND(H992*(1+Y992),2))</f>
        <v/>
      </c>
      <c r="M992" s="10" t="n"/>
      <c r="N992" s="10" t="n"/>
      <c r="O992" s="10" t="n"/>
      <c r="P992" s="10" t="n"/>
      <c r="Q992" s="20" t="n"/>
      <c r="R992" s="10" t="n"/>
      <c r="S992" s="10" t="n"/>
      <c r="T992" s="18" t="n"/>
      <c r="U992" s="18" t="n"/>
      <c r="V992" s="10" t="n"/>
      <c r="W992" s="10" t="n"/>
      <c r="X992" s="19">
        <f>IF(OR(A992="",COUNT(U992)=0,COUNT(AI992)=0),"",U992+AI992)</f>
        <v/>
      </c>
      <c r="Y992" s="16" t="n"/>
      <c r="Z992" s="12" t="n"/>
      <c r="AA992" s="17">
        <f>IF(COUNT(J992)=0,"",IF(H992=0,"n.a.",J992/H992))</f>
        <v/>
      </c>
      <c r="AB992" s="12" t="n"/>
      <c r="AC992" s="12" t="n"/>
      <c r="AD992" s="12" t="n"/>
      <c r="AE992" s="13">
        <f>IF(OR(COUNT(J992)=0,COUNT(AB992:AD992)&lt;3),"",ROUND(J992-SUM(AB992:AD992),2))</f>
        <v/>
      </c>
      <c r="AF992" s="15">
        <f>IF(COUNT(AE992)=0,"",IF(Z992=0,"n.a.",AE992/Z992))</f>
        <v/>
      </c>
      <c r="AG992" s="12" t="n"/>
      <c r="AH992" s="14">
        <f>IF(OR(A992="",COUNT(Z992)=0,COUNT(AG992)=0),"",ROUND(Z992-AG992,2))</f>
        <v/>
      </c>
      <c r="AI992" s="21" t="n"/>
      <c r="AJ992" s="11">
        <f>IF(A992="","",IF(COUNT(I992)=0,"Enter approved NTE",IF(COUNT(Z992)&gt;0,IF(Z992&gt;I992,"Invoice exceeds NTE","Invoice within NTE"),IF(COUNT(L992)=0,"Enter quote inputs",IF(L992&gt;I992,"Quote exceeds NTE","Quote within NTE")))))</f>
        <v/>
      </c>
      <c r="AK992" s="11">
        <f>IF(A992="","",IF(COUNT(H992)=0,"Enter direct cost",IF(COUNT(Z992)=0,"Enter invoice revenue",IF(COUNT(AB992:AD992)&lt;3,"Enter expenses (0 if none)","Complete"))))</f>
        <v/>
      </c>
      <c r="AL992" s="11">
        <f>IF(A992="","",IF(NOT(AND(COUNT(AH992)=1,N(AH992)&gt;0.004,V992&lt;&gt;"Void",V992&lt;&gt;"Not invoiced",V992&lt;&gt;"Draft")),"",IF(COUNT(X992)=0,"No due date",IF(TODAY()-X992&lt;=0,"Not yet due",IF(TODAY()-X992&lt;=30,"1-30 days",IF(TODAY()-X992&lt;=60,"31-60 days",IF(TODAY()-X992&lt;=90,"61-90 days","Over 90 days")))))))</f>
        <v/>
      </c>
      <c r="AM992" s="49">
        <f>IF(OR(AL992="",AL992="No due date"),"",MAX(TODAY()-X992,0))</f>
        <v/>
      </c>
      <c r="AN992" s="49">
        <f>IF(AL992="","",IF(COUNT(X992)=0,-100000,TODAY()-X992))</f>
        <v/>
      </c>
      <c r="AO992" s="49">
        <f>IF(AN992="","",COUNTIF(AN$11:AN$1010,"&gt;"&amp;AN992)+COUNTIF(AN$11:AN992,AN992))</f>
        <v/>
      </c>
      <c r="AP992" s="49">
        <f>IF(OR(A992="",B992=""),"",IF(COUNTIF(B$11:B992,B992)=1,MAX(AP$10:AP991)+1,""))</f>
        <v/>
      </c>
    </row>
    <row r="993">
      <c r="A993" s="20" t="n"/>
      <c r="B993" s="10" t="n"/>
      <c r="C993" s="10" t="n"/>
      <c r="D993" s="10" t="n"/>
      <c r="E993" s="10" t="n"/>
      <c r="F993" s="18" t="n"/>
      <c r="G993" s="10" t="n"/>
      <c r="H993" s="12" t="n"/>
      <c r="I993" s="12" t="n"/>
      <c r="J993" s="13">
        <f>IF(OR(A993="",COUNT(H993)=0,COUNT(Z993)=0),"",ROUND(Z993-H993,2))</f>
        <v/>
      </c>
      <c r="K993" s="15">
        <f>IF(COUNT(J993)=0,"",IF(Z993=0,"n.a.",J993/Z993))</f>
        <v/>
      </c>
      <c r="L993" s="14">
        <f>IF(OR(A993="",COUNT(H993)=0,COUNT(Y993)=0),"",ROUND(H993*(1+Y993),2))</f>
        <v/>
      </c>
      <c r="M993" s="10" t="n"/>
      <c r="N993" s="10" t="n"/>
      <c r="O993" s="10" t="n"/>
      <c r="P993" s="10" t="n"/>
      <c r="Q993" s="20" t="n"/>
      <c r="R993" s="10" t="n"/>
      <c r="S993" s="10" t="n"/>
      <c r="T993" s="18" t="n"/>
      <c r="U993" s="18" t="n"/>
      <c r="V993" s="10" t="n"/>
      <c r="W993" s="10" t="n"/>
      <c r="X993" s="19">
        <f>IF(OR(A993="",COUNT(U993)=0,COUNT(AI993)=0),"",U993+AI993)</f>
        <v/>
      </c>
      <c r="Y993" s="16" t="n"/>
      <c r="Z993" s="12" t="n"/>
      <c r="AA993" s="17">
        <f>IF(COUNT(J993)=0,"",IF(H993=0,"n.a.",J993/H993))</f>
        <v/>
      </c>
      <c r="AB993" s="12" t="n"/>
      <c r="AC993" s="12" t="n"/>
      <c r="AD993" s="12" t="n"/>
      <c r="AE993" s="13">
        <f>IF(OR(COUNT(J993)=0,COUNT(AB993:AD993)&lt;3),"",ROUND(J993-SUM(AB993:AD993),2))</f>
        <v/>
      </c>
      <c r="AF993" s="15">
        <f>IF(COUNT(AE993)=0,"",IF(Z993=0,"n.a.",AE993/Z993))</f>
        <v/>
      </c>
      <c r="AG993" s="12" t="n"/>
      <c r="AH993" s="14">
        <f>IF(OR(A993="",COUNT(Z993)=0,COUNT(AG993)=0),"",ROUND(Z993-AG993,2))</f>
        <v/>
      </c>
      <c r="AI993" s="21" t="n"/>
      <c r="AJ993" s="11">
        <f>IF(A993="","",IF(COUNT(I993)=0,"Enter approved NTE",IF(COUNT(Z993)&gt;0,IF(Z993&gt;I993,"Invoice exceeds NTE","Invoice within NTE"),IF(COUNT(L993)=0,"Enter quote inputs",IF(L993&gt;I993,"Quote exceeds NTE","Quote within NTE")))))</f>
        <v/>
      </c>
      <c r="AK993" s="11">
        <f>IF(A993="","",IF(COUNT(H993)=0,"Enter direct cost",IF(COUNT(Z993)=0,"Enter invoice revenue",IF(COUNT(AB993:AD993)&lt;3,"Enter expenses (0 if none)","Complete"))))</f>
        <v/>
      </c>
      <c r="AL993" s="11">
        <f>IF(A993="","",IF(NOT(AND(COUNT(AH993)=1,N(AH993)&gt;0.004,V993&lt;&gt;"Void",V993&lt;&gt;"Not invoiced",V993&lt;&gt;"Draft")),"",IF(COUNT(X993)=0,"No due date",IF(TODAY()-X993&lt;=0,"Not yet due",IF(TODAY()-X993&lt;=30,"1-30 days",IF(TODAY()-X993&lt;=60,"31-60 days",IF(TODAY()-X993&lt;=90,"61-90 days","Over 90 days")))))))</f>
        <v/>
      </c>
      <c r="AM993" s="49">
        <f>IF(OR(AL993="",AL993="No due date"),"",MAX(TODAY()-X993,0))</f>
        <v/>
      </c>
      <c r="AN993" s="49">
        <f>IF(AL993="","",IF(COUNT(X993)=0,-100000,TODAY()-X993))</f>
        <v/>
      </c>
      <c r="AO993" s="49">
        <f>IF(AN993="","",COUNTIF(AN$11:AN$1010,"&gt;"&amp;AN993)+COUNTIF(AN$11:AN993,AN993))</f>
        <v/>
      </c>
      <c r="AP993" s="49">
        <f>IF(OR(A993="",B993=""),"",IF(COUNTIF(B$11:B993,B993)=1,MAX(AP$10:AP992)+1,""))</f>
        <v/>
      </c>
    </row>
    <row r="994">
      <c r="A994" s="20" t="n"/>
      <c r="B994" s="10" t="n"/>
      <c r="C994" s="10" t="n"/>
      <c r="D994" s="10" t="n"/>
      <c r="E994" s="10" t="n"/>
      <c r="F994" s="18" t="n"/>
      <c r="G994" s="10" t="n"/>
      <c r="H994" s="12" t="n"/>
      <c r="I994" s="12" t="n"/>
      <c r="J994" s="13">
        <f>IF(OR(A994="",COUNT(H994)=0,COUNT(Z994)=0),"",ROUND(Z994-H994,2))</f>
        <v/>
      </c>
      <c r="K994" s="15">
        <f>IF(COUNT(J994)=0,"",IF(Z994=0,"n.a.",J994/Z994))</f>
        <v/>
      </c>
      <c r="L994" s="14">
        <f>IF(OR(A994="",COUNT(H994)=0,COUNT(Y994)=0),"",ROUND(H994*(1+Y994),2))</f>
        <v/>
      </c>
      <c r="M994" s="10" t="n"/>
      <c r="N994" s="10" t="n"/>
      <c r="O994" s="10" t="n"/>
      <c r="P994" s="10" t="n"/>
      <c r="Q994" s="20" t="n"/>
      <c r="R994" s="10" t="n"/>
      <c r="S994" s="10" t="n"/>
      <c r="T994" s="18" t="n"/>
      <c r="U994" s="18" t="n"/>
      <c r="V994" s="10" t="n"/>
      <c r="W994" s="10" t="n"/>
      <c r="X994" s="19">
        <f>IF(OR(A994="",COUNT(U994)=0,COUNT(AI994)=0),"",U994+AI994)</f>
        <v/>
      </c>
      <c r="Y994" s="16" t="n"/>
      <c r="Z994" s="12" t="n"/>
      <c r="AA994" s="17">
        <f>IF(COUNT(J994)=0,"",IF(H994=0,"n.a.",J994/H994))</f>
        <v/>
      </c>
      <c r="AB994" s="12" t="n"/>
      <c r="AC994" s="12" t="n"/>
      <c r="AD994" s="12" t="n"/>
      <c r="AE994" s="13">
        <f>IF(OR(COUNT(J994)=0,COUNT(AB994:AD994)&lt;3),"",ROUND(J994-SUM(AB994:AD994),2))</f>
        <v/>
      </c>
      <c r="AF994" s="15">
        <f>IF(COUNT(AE994)=0,"",IF(Z994=0,"n.a.",AE994/Z994))</f>
        <v/>
      </c>
      <c r="AG994" s="12" t="n"/>
      <c r="AH994" s="14">
        <f>IF(OR(A994="",COUNT(Z994)=0,COUNT(AG994)=0),"",ROUND(Z994-AG994,2))</f>
        <v/>
      </c>
      <c r="AI994" s="21" t="n"/>
      <c r="AJ994" s="11">
        <f>IF(A994="","",IF(COUNT(I994)=0,"Enter approved NTE",IF(COUNT(Z994)&gt;0,IF(Z994&gt;I994,"Invoice exceeds NTE","Invoice within NTE"),IF(COUNT(L994)=0,"Enter quote inputs",IF(L994&gt;I994,"Quote exceeds NTE","Quote within NTE")))))</f>
        <v/>
      </c>
      <c r="AK994" s="11">
        <f>IF(A994="","",IF(COUNT(H994)=0,"Enter direct cost",IF(COUNT(Z994)=0,"Enter invoice revenue",IF(COUNT(AB994:AD994)&lt;3,"Enter expenses (0 if none)","Complete"))))</f>
        <v/>
      </c>
      <c r="AL994" s="11">
        <f>IF(A994="","",IF(NOT(AND(COUNT(AH994)=1,N(AH994)&gt;0.004,V994&lt;&gt;"Void",V994&lt;&gt;"Not invoiced",V994&lt;&gt;"Draft")),"",IF(COUNT(X994)=0,"No due date",IF(TODAY()-X994&lt;=0,"Not yet due",IF(TODAY()-X994&lt;=30,"1-30 days",IF(TODAY()-X994&lt;=60,"31-60 days",IF(TODAY()-X994&lt;=90,"61-90 days","Over 90 days")))))))</f>
        <v/>
      </c>
      <c r="AM994" s="49">
        <f>IF(OR(AL994="",AL994="No due date"),"",MAX(TODAY()-X994,0))</f>
        <v/>
      </c>
      <c r="AN994" s="49">
        <f>IF(AL994="","",IF(COUNT(X994)=0,-100000,TODAY()-X994))</f>
        <v/>
      </c>
      <c r="AO994" s="49">
        <f>IF(AN994="","",COUNTIF(AN$11:AN$1010,"&gt;"&amp;AN994)+COUNTIF(AN$11:AN994,AN994))</f>
        <v/>
      </c>
      <c r="AP994" s="49">
        <f>IF(OR(A994="",B994=""),"",IF(COUNTIF(B$11:B994,B994)=1,MAX(AP$10:AP993)+1,""))</f>
        <v/>
      </c>
    </row>
    <row r="995">
      <c r="A995" s="20" t="n"/>
      <c r="B995" s="10" t="n"/>
      <c r="C995" s="10" t="n"/>
      <c r="D995" s="10" t="n"/>
      <c r="E995" s="10" t="n"/>
      <c r="F995" s="18" t="n"/>
      <c r="G995" s="10" t="n"/>
      <c r="H995" s="12" t="n"/>
      <c r="I995" s="12" t="n"/>
      <c r="J995" s="13">
        <f>IF(OR(A995="",COUNT(H995)=0,COUNT(Z995)=0),"",ROUND(Z995-H995,2))</f>
        <v/>
      </c>
      <c r="K995" s="15">
        <f>IF(COUNT(J995)=0,"",IF(Z995=0,"n.a.",J995/Z995))</f>
        <v/>
      </c>
      <c r="L995" s="14">
        <f>IF(OR(A995="",COUNT(H995)=0,COUNT(Y995)=0),"",ROUND(H995*(1+Y995),2))</f>
        <v/>
      </c>
      <c r="M995" s="10" t="n"/>
      <c r="N995" s="10" t="n"/>
      <c r="O995" s="10" t="n"/>
      <c r="P995" s="10" t="n"/>
      <c r="Q995" s="20" t="n"/>
      <c r="R995" s="10" t="n"/>
      <c r="S995" s="10" t="n"/>
      <c r="T995" s="18" t="n"/>
      <c r="U995" s="18" t="n"/>
      <c r="V995" s="10" t="n"/>
      <c r="W995" s="10" t="n"/>
      <c r="X995" s="19">
        <f>IF(OR(A995="",COUNT(U995)=0,COUNT(AI995)=0),"",U995+AI995)</f>
        <v/>
      </c>
      <c r="Y995" s="16" t="n"/>
      <c r="Z995" s="12" t="n"/>
      <c r="AA995" s="17">
        <f>IF(COUNT(J995)=0,"",IF(H995=0,"n.a.",J995/H995))</f>
        <v/>
      </c>
      <c r="AB995" s="12" t="n"/>
      <c r="AC995" s="12" t="n"/>
      <c r="AD995" s="12" t="n"/>
      <c r="AE995" s="13">
        <f>IF(OR(COUNT(J995)=0,COUNT(AB995:AD995)&lt;3),"",ROUND(J995-SUM(AB995:AD995),2))</f>
        <v/>
      </c>
      <c r="AF995" s="15">
        <f>IF(COUNT(AE995)=0,"",IF(Z995=0,"n.a.",AE995/Z995))</f>
        <v/>
      </c>
      <c r="AG995" s="12" t="n"/>
      <c r="AH995" s="14">
        <f>IF(OR(A995="",COUNT(Z995)=0,COUNT(AG995)=0),"",ROUND(Z995-AG995,2))</f>
        <v/>
      </c>
      <c r="AI995" s="21" t="n"/>
      <c r="AJ995" s="11">
        <f>IF(A995="","",IF(COUNT(I995)=0,"Enter approved NTE",IF(COUNT(Z995)&gt;0,IF(Z995&gt;I995,"Invoice exceeds NTE","Invoice within NTE"),IF(COUNT(L995)=0,"Enter quote inputs",IF(L995&gt;I995,"Quote exceeds NTE","Quote within NTE")))))</f>
        <v/>
      </c>
      <c r="AK995" s="11">
        <f>IF(A995="","",IF(COUNT(H995)=0,"Enter direct cost",IF(COUNT(Z995)=0,"Enter invoice revenue",IF(COUNT(AB995:AD995)&lt;3,"Enter expenses (0 if none)","Complete"))))</f>
        <v/>
      </c>
      <c r="AL995" s="11">
        <f>IF(A995="","",IF(NOT(AND(COUNT(AH995)=1,N(AH995)&gt;0.004,V995&lt;&gt;"Void",V995&lt;&gt;"Not invoiced",V995&lt;&gt;"Draft")),"",IF(COUNT(X995)=0,"No due date",IF(TODAY()-X995&lt;=0,"Not yet due",IF(TODAY()-X995&lt;=30,"1-30 days",IF(TODAY()-X995&lt;=60,"31-60 days",IF(TODAY()-X995&lt;=90,"61-90 days","Over 90 days")))))))</f>
        <v/>
      </c>
      <c r="AM995" s="49">
        <f>IF(OR(AL995="",AL995="No due date"),"",MAX(TODAY()-X995,0))</f>
        <v/>
      </c>
      <c r="AN995" s="49">
        <f>IF(AL995="","",IF(COUNT(X995)=0,-100000,TODAY()-X995))</f>
        <v/>
      </c>
      <c r="AO995" s="49">
        <f>IF(AN995="","",COUNTIF(AN$11:AN$1010,"&gt;"&amp;AN995)+COUNTIF(AN$11:AN995,AN995))</f>
        <v/>
      </c>
      <c r="AP995" s="49">
        <f>IF(OR(A995="",B995=""),"",IF(COUNTIF(B$11:B995,B995)=1,MAX(AP$10:AP994)+1,""))</f>
        <v/>
      </c>
    </row>
    <row r="996">
      <c r="A996" s="20" t="n"/>
      <c r="B996" s="10" t="n"/>
      <c r="C996" s="10" t="n"/>
      <c r="D996" s="10" t="n"/>
      <c r="E996" s="10" t="n"/>
      <c r="F996" s="18" t="n"/>
      <c r="G996" s="10" t="n"/>
      <c r="H996" s="12" t="n"/>
      <c r="I996" s="12" t="n"/>
      <c r="J996" s="13">
        <f>IF(OR(A996="",COUNT(H996)=0,COUNT(Z996)=0),"",ROUND(Z996-H996,2))</f>
        <v/>
      </c>
      <c r="K996" s="15">
        <f>IF(COUNT(J996)=0,"",IF(Z996=0,"n.a.",J996/Z996))</f>
        <v/>
      </c>
      <c r="L996" s="14">
        <f>IF(OR(A996="",COUNT(H996)=0,COUNT(Y996)=0),"",ROUND(H996*(1+Y996),2))</f>
        <v/>
      </c>
      <c r="M996" s="10" t="n"/>
      <c r="N996" s="10" t="n"/>
      <c r="O996" s="10" t="n"/>
      <c r="P996" s="10" t="n"/>
      <c r="Q996" s="20" t="n"/>
      <c r="R996" s="10" t="n"/>
      <c r="S996" s="10" t="n"/>
      <c r="T996" s="18" t="n"/>
      <c r="U996" s="18" t="n"/>
      <c r="V996" s="10" t="n"/>
      <c r="W996" s="10" t="n"/>
      <c r="X996" s="19">
        <f>IF(OR(A996="",COUNT(U996)=0,COUNT(AI996)=0),"",U996+AI996)</f>
        <v/>
      </c>
      <c r="Y996" s="16" t="n"/>
      <c r="Z996" s="12" t="n"/>
      <c r="AA996" s="17">
        <f>IF(COUNT(J996)=0,"",IF(H996=0,"n.a.",J996/H996))</f>
        <v/>
      </c>
      <c r="AB996" s="12" t="n"/>
      <c r="AC996" s="12" t="n"/>
      <c r="AD996" s="12" t="n"/>
      <c r="AE996" s="13">
        <f>IF(OR(COUNT(J996)=0,COUNT(AB996:AD996)&lt;3),"",ROUND(J996-SUM(AB996:AD996),2))</f>
        <v/>
      </c>
      <c r="AF996" s="15">
        <f>IF(COUNT(AE996)=0,"",IF(Z996=0,"n.a.",AE996/Z996))</f>
        <v/>
      </c>
      <c r="AG996" s="12" t="n"/>
      <c r="AH996" s="14">
        <f>IF(OR(A996="",COUNT(Z996)=0,COUNT(AG996)=0),"",ROUND(Z996-AG996,2))</f>
        <v/>
      </c>
      <c r="AI996" s="21" t="n"/>
      <c r="AJ996" s="11">
        <f>IF(A996="","",IF(COUNT(I996)=0,"Enter approved NTE",IF(COUNT(Z996)&gt;0,IF(Z996&gt;I996,"Invoice exceeds NTE","Invoice within NTE"),IF(COUNT(L996)=0,"Enter quote inputs",IF(L996&gt;I996,"Quote exceeds NTE","Quote within NTE")))))</f>
        <v/>
      </c>
      <c r="AK996" s="11">
        <f>IF(A996="","",IF(COUNT(H996)=0,"Enter direct cost",IF(COUNT(Z996)=0,"Enter invoice revenue",IF(COUNT(AB996:AD996)&lt;3,"Enter expenses (0 if none)","Complete"))))</f>
        <v/>
      </c>
      <c r="AL996" s="11">
        <f>IF(A996="","",IF(NOT(AND(COUNT(AH996)=1,N(AH996)&gt;0.004,V996&lt;&gt;"Void",V996&lt;&gt;"Not invoiced",V996&lt;&gt;"Draft")),"",IF(COUNT(X996)=0,"No due date",IF(TODAY()-X996&lt;=0,"Not yet due",IF(TODAY()-X996&lt;=30,"1-30 days",IF(TODAY()-X996&lt;=60,"31-60 days",IF(TODAY()-X996&lt;=90,"61-90 days","Over 90 days")))))))</f>
        <v/>
      </c>
      <c r="AM996" s="49">
        <f>IF(OR(AL996="",AL996="No due date"),"",MAX(TODAY()-X996,0))</f>
        <v/>
      </c>
      <c r="AN996" s="49">
        <f>IF(AL996="","",IF(COUNT(X996)=0,-100000,TODAY()-X996))</f>
        <v/>
      </c>
      <c r="AO996" s="49">
        <f>IF(AN996="","",COUNTIF(AN$11:AN$1010,"&gt;"&amp;AN996)+COUNTIF(AN$11:AN996,AN996))</f>
        <v/>
      </c>
      <c r="AP996" s="49">
        <f>IF(OR(A996="",B996=""),"",IF(COUNTIF(B$11:B996,B996)=1,MAX(AP$10:AP995)+1,""))</f>
        <v/>
      </c>
    </row>
    <row r="997">
      <c r="A997" s="20" t="n"/>
      <c r="B997" s="10" t="n"/>
      <c r="C997" s="10" t="n"/>
      <c r="D997" s="10" t="n"/>
      <c r="E997" s="10" t="n"/>
      <c r="F997" s="18" t="n"/>
      <c r="G997" s="10" t="n"/>
      <c r="H997" s="12" t="n"/>
      <c r="I997" s="12" t="n"/>
      <c r="J997" s="13">
        <f>IF(OR(A997="",COUNT(H997)=0,COUNT(Z997)=0),"",ROUND(Z997-H997,2))</f>
        <v/>
      </c>
      <c r="K997" s="15">
        <f>IF(COUNT(J997)=0,"",IF(Z997=0,"n.a.",J997/Z997))</f>
        <v/>
      </c>
      <c r="L997" s="14">
        <f>IF(OR(A997="",COUNT(H997)=0,COUNT(Y997)=0),"",ROUND(H997*(1+Y997),2))</f>
        <v/>
      </c>
      <c r="M997" s="10" t="n"/>
      <c r="N997" s="10" t="n"/>
      <c r="O997" s="10" t="n"/>
      <c r="P997" s="10" t="n"/>
      <c r="Q997" s="20" t="n"/>
      <c r="R997" s="10" t="n"/>
      <c r="S997" s="10" t="n"/>
      <c r="T997" s="18" t="n"/>
      <c r="U997" s="18" t="n"/>
      <c r="V997" s="10" t="n"/>
      <c r="W997" s="10" t="n"/>
      <c r="X997" s="19">
        <f>IF(OR(A997="",COUNT(U997)=0,COUNT(AI997)=0),"",U997+AI997)</f>
        <v/>
      </c>
      <c r="Y997" s="16" t="n"/>
      <c r="Z997" s="12" t="n"/>
      <c r="AA997" s="17">
        <f>IF(COUNT(J997)=0,"",IF(H997=0,"n.a.",J997/H997))</f>
        <v/>
      </c>
      <c r="AB997" s="12" t="n"/>
      <c r="AC997" s="12" t="n"/>
      <c r="AD997" s="12" t="n"/>
      <c r="AE997" s="13">
        <f>IF(OR(COUNT(J997)=0,COUNT(AB997:AD997)&lt;3),"",ROUND(J997-SUM(AB997:AD997),2))</f>
        <v/>
      </c>
      <c r="AF997" s="15">
        <f>IF(COUNT(AE997)=0,"",IF(Z997=0,"n.a.",AE997/Z997))</f>
        <v/>
      </c>
      <c r="AG997" s="12" t="n"/>
      <c r="AH997" s="14">
        <f>IF(OR(A997="",COUNT(Z997)=0,COUNT(AG997)=0),"",ROUND(Z997-AG997,2))</f>
        <v/>
      </c>
      <c r="AI997" s="21" t="n"/>
      <c r="AJ997" s="11">
        <f>IF(A997="","",IF(COUNT(I997)=0,"Enter approved NTE",IF(COUNT(Z997)&gt;0,IF(Z997&gt;I997,"Invoice exceeds NTE","Invoice within NTE"),IF(COUNT(L997)=0,"Enter quote inputs",IF(L997&gt;I997,"Quote exceeds NTE","Quote within NTE")))))</f>
        <v/>
      </c>
      <c r="AK997" s="11">
        <f>IF(A997="","",IF(COUNT(H997)=0,"Enter direct cost",IF(COUNT(Z997)=0,"Enter invoice revenue",IF(COUNT(AB997:AD997)&lt;3,"Enter expenses (0 if none)","Complete"))))</f>
        <v/>
      </c>
      <c r="AL997" s="11">
        <f>IF(A997="","",IF(NOT(AND(COUNT(AH997)=1,N(AH997)&gt;0.004,V997&lt;&gt;"Void",V997&lt;&gt;"Not invoiced",V997&lt;&gt;"Draft")),"",IF(COUNT(X997)=0,"No due date",IF(TODAY()-X997&lt;=0,"Not yet due",IF(TODAY()-X997&lt;=30,"1-30 days",IF(TODAY()-X997&lt;=60,"31-60 days",IF(TODAY()-X997&lt;=90,"61-90 days","Over 90 days")))))))</f>
        <v/>
      </c>
      <c r="AM997" s="49">
        <f>IF(OR(AL997="",AL997="No due date"),"",MAX(TODAY()-X997,0))</f>
        <v/>
      </c>
      <c r="AN997" s="49">
        <f>IF(AL997="","",IF(COUNT(X997)=0,-100000,TODAY()-X997))</f>
        <v/>
      </c>
      <c r="AO997" s="49">
        <f>IF(AN997="","",COUNTIF(AN$11:AN$1010,"&gt;"&amp;AN997)+COUNTIF(AN$11:AN997,AN997))</f>
        <v/>
      </c>
      <c r="AP997" s="49">
        <f>IF(OR(A997="",B997=""),"",IF(COUNTIF(B$11:B997,B997)=1,MAX(AP$10:AP996)+1,""))</f>
        <v/>
      </c>
    </row>
    <row r="998">
      <c r="A998" s="20" t="n"/>
      <c r="B998" s="10" t="n"/>
      <c r="C998" s="10" t="n"/>
      <c r="D998" s="10" t="n"/>
      <c r="E998" s="10" t="n"/>
      <c r="F998" s="18" t="n"/>
      <c r="G998" s="10" t="n"/>
      <c r="H998" s="12" t="n"/>
      <c r="I998" s="12" t="n"/>
      <c r="J998" s="13">
        <f>IF(OR(A998="",COUNT(H998)=0,COUNT(Z998)=0),"",ROUND(Z998-H998,2))</f>
        <v/>
      </c>
      <c r="K998" s="15">
        <f>IF(COUNT(J998)=0,"",IF(Z998=0,"n.a.",J998/Z998))</f>
        <v/>
      </c>
      <c r="L998" s="14">
        <f>IF(OR(A998="",COUNT(H998)=0,COUNT(Y998)=0),"",ROUND(H998*(1+Y998),2))</f>
        <v/>
      </c>
      <c r="M998" s="10" t="n"/>
      <c r="N998" s="10" t="n"/>
      <c r="O998" s="10" t="n"/>
      <c r="P998" s="10" t="n"/>
      <c r="Q998" s="20" t="n"/>
      <c r="R998" s="10" t="n"/>
      <c r="S998" s="10" t="n"/>
      <c r="T998" s="18" t="n"/>
      <c r="U998" s="18" t="n"/>
      <c r="V998" s="10" t="n"/>
      <c r="W998" s="10" t="n"/>
      <c r="X998" s="19">
        <f>IF(OR(A998="",COUNT(U998)=0,COUNT(AI998)=0),"",U998+AI998)</f>
        <v/>
      </c>
      <c r="Y998" s="16" t="n"/>
      <c r="Z998" s="12" t="n"/>
      <c r="AA998" s="17">
        <f>IF(COUNT(J998)=0,"",IF(H998=0,"n.a.",J998/H998))</f>
        <v/>
      </c>
      <c r="AB998" s="12" t="n"/>
      <c r="AC998" s="12" t="n"/>
      <c r="AD998" s="12" t="n"/>
      <c r="AE998" s="13">
        <f>IF(OR(COUNT(J998)=0,COUNT(AB998:AD998)&lt;3),"",ROUND(J998-SUM(AB998:AD998),2))</f>
        <v/>
      </c>
      <c r="AF998" s="15">
        <f>IF(COUNT(AE998)=0,"",IF(Z998=0,"n.a.",AE998/Z998))</f>
        <v/>
      </c>
      <c r="AG998" s="12" t="n"/>
      <c r="AH998" s="14">
        <f>IF(OR(A998="",COUNT(Z998)=0,COUNT(AG998)=0),"",ROUND(Z998-AG998,2))</f>
        <v/>
      </c>
      <c r="AI998" s="21" t="n"/>
      <c r="AJ998" s="11">
        <f>IF(A998="","",IF(COUNT(I998)=0,"Enter approved NTE",IF(COUNT(Z998)&gt;0,IF(Z998&gt;I998,"Invoice exceeds NTE","Invoice within NTE"),IF(COUNT(L998)=0,"Enter quote inputs",IF(L998&gt;I998,"Quote exceeds NTE","Quote within NTE")))))</f>
        <v/>
      </c>
      <c r="AK998" s="11">
        <f>IF(A998="","",IF(COUNT(H998)=0,"Enter direct cost",IF(COUNT(Z998)=0,"Enter invoice revenue",IF(COUNT(AB998:AD998)&lt;3,"Enter expenses (0 if none)","Complete"))))</f>
        <v/>
      </c>
      <c r="AL998" s="11">
        <f>IF(A998="","",IF(NOT(AND(COUNT(AH998)=1,N(AH998)&gt;0.004,V998&lt;&gt;"Void",V998&lt;&gt;"Not invoiced",V998&lt;&gt;"Draft")),"",IF(COUNT(X998)=0,"No due date",IF(TODAY()-X998&lt;=0,"Not yet due",IF(TODAY()-X998&lt;=30,"1-30 days",IF(TODAY()-X998&lt;=60,"31-60 days",IF(TODAY()-X998&lt;=90,"61-90 days","Over 90 days")))))))</f>
        <v/>
      </c>
      <c r="AM998" s="49">
        <f>IF(OR(AL998="",AL998="No due date"),"",MAX(TODAY()-X998,0))</f>
        <v/>
      </c>
      <c r="AN998" s="49">
        <f>IF(AL998="","",IF(COUNT(X998)=0,-100000,TODAY()-X998))</f>
        <v/>
      </c>
      <c r="AO998" s="49">
        <f>IF(AN998="","",COUNTIF(AN$11:AN$1010,"&gt;"&amp;AN998)+COUNTIF(AN$11:AN998,AN998))</f>
        <v/>
      </c>
      <c r="AP998" s="49">
        <f>IF(OR(A998="",B998=""),"",IF(COUNTIF(B$11:B998,B998)=1,MAX(AP$10:AP997)+1,""))</f>
        <v/>
      </c>
    </row>
    <row r="999">
      <c r="A999" s="20" t="n"/>
      <c r="B999" s="10" t="n"/>
      <c r="C999" s="10" t="n"/>
      <c r="D999" s="10" t="n"/>
      <c r="E999" s="10" t="n"/>
      <c r="F999" s="18" t="n"/>
      <c r="G999" s="10" t="n"/>
      <c r="H999" s="12" t="n"/>
      <c r="I999" s="12" t="n"/>
      <c r="J999" s="13">
        <f>IF(OR(A999="",COUNT(H999)=0,COUNT(Z999)=0),"",ROUND(Z999-H999,2))</f>
        <v/>
      </c>
      <c r="K999" s="15">
        <f>IF(COUNT(J999)=0,"",IF(Z999=0,"n.a.",J999/Z999))</f>
        <v/>
      </c>
      <c r="L999" s="14">
        <f>IF(OR(A999="",COUNT(H999)=0,COUNT(Y999)=0),"",ROUND(H999*(1+Y999),2))</f>
        <v/>
      </c>
      <c r="M999" s="10" t="n"/>
      <c r="N999" s="10" t="n"/>
      <c r="O999" s="10" t="n"/>
      <c r="P999" s="10" t="n"/>
      <c r="Q999" s="20" t="n"/>
      <c r="R999" s="10" t="n"/>
      <c r="S999" s="10" t="n"/>
      <c r="T999" s="18" t="n"/>
      <c r="U999" s="18" t="n"/>
      <c r="V999" s="10" t="n"/>
      <c r="W999" s="10" t="n"/>
      <c r="X999" s="19">
        <f>IF(OR(A999="",COUNT(U999)=0,COUNT(AI999)=0),"",U999+AI999)</f>
        <v/>
      </c>
      <c r="Y999" s="16" t="n"/>
      <c r="Z999" s="12" t="n"/>
      <c r="AA999" s="17">
        <f>IF(COUNT(J999)=0,"",IF(H999=0,"n.a.",J999/H999))</f>
        <v/>
      </c>
      <c r="AB999" s="12" t="n"/>
      <c r="AC999" s="12" t="n"/>
      <c r="AD999" s="12" t="n"/>
      <c r="AE999" s="13">
        <f>IF(OR(COUNT(J999)=0,COUNT(AB999:AD999)&lt;3),"",ROUND(J999-SUM(AB999:AD999),2))</f>
        <v/>
      </c>
      <c r="AF999" s="15">
        <f>IF(COUNT(AE999)=0,"",IF(Z999=0,"n.a.",AE999/Z999))</f>
        <v/>
      </c>
      <c r="AG999" s="12" t="n"/>
      <c r="AH999" s="14">
        <f>IF(OR(A999="",COUNT(Z999)=0,COUNT(AG999)=0),"",ROUND(Z999-AG999,2))</f>
        <v/>
      </c>
      <c r="AI999" s="21" t="n"/>
      <c r="AJ999" s="11">
        <f>IF(A999="","",IF(COUNT(I999)=0,"Enter approved NTE",IF(COUNT(Z999)&gt;0,IF(Z999&gt;I999,"Invoice exceeds NTE","Invoice within NTE"),IF(COUNT(L999)=0,"Enter quote inputs",IF(L999&gt;I999,"Quote exceeds NTE","Quote within NTE")))))</f>
        <v/>
      </c>
      <c r="AK999" s="11">
        <f>IF(A999="","",IF(COUNT(H999)=0,"Enter direct cost",IF(COUNT(Z999)=0,"Enter invoice revenue",IF(COUNT(AB999:AD999)&lt;3,"Enter expenses (0 if none)","Complete"))))</f>
        <v/>
      </c>
      <c r="AL999" s="11">
        <f>IF(A999="","",IF(NOT(AND(COUNT(AH999)=1,N(AH999)&gt;0.004,V999&lt;&gt;"Void",V999&lt;&gt;"Not invoiced",V999&lt;&gt;"Draft")),"",IF(COUNT(X999)=0,"No due date",IF(TODAY()-X999&lt;=0,"Not yet due",IF(TODAY()-X999&lt;=30,"1-30 days",IF(TODAY()-X999&lt;=60,"31-60 days",IF(TODAY()-X999&lt;=90,"61-90 days","Over 90 days")))))))</f>
        <v/>
      </c>
      <c r="AM999" s="49">
        <f>IF(OR(AL999="",AL999="No due date"),"",MAX(TODAY()-X999,0))</f>
        <v/>
      </c>
      <c r="AN999" s="49">
        <f>IF(AL999="","",IF(COUNT(X999)=0,-100000,TODAY()-X999))</f>
        <v/>
      </c>
      <c r="AO999" s="49">
        <f>IF(AN999="","",COUNTIF(AN$11:AN$1010,"&gt;"&amp;AN999)+COUNTIF(AN$11:AN999,AN999))</f>
        <v/>
      </c>
      <c r="AP999" s="49">
        <f>IF(OR(A999="",B999=""),"",IF(COUNTIF(B$11:B999,B999)=1,MAX(AP$10:AP998)+1,""))</f>
        <v/>
      </c>
    </row>
    <row r="1000">
      <c r="A1000" s="20" t="n"/>
      <c r="B1000" s="10" t="n"/>
      <c r="C1000" s="10" t="n"/>
      <c r="D1000" s="10" t="n"/>
      <c r="E1000" s="10" t="n"/>
      <c r="F1000" s="18" t="n"/>
      <c r="G1000" s="10" t="n"/>
      <c r="H1000" s="12" t="n"/>
      <c r="I1000" s="12" t="n"/>
      <c r="J1000" s="13">
        <f>IF(OR(A1000="",COUNT(H1000)=0,COUNT(Z1000)=0),"",ROUND(Z1000-H1000,2))</f>
        <v/>
      </c>
      <c r="K1000" s="15">
        <f>IF(COUNT(J1000)=0,"",IF(Z1000=0,"n.a.",J1000/Z1000))</f>
        <v/>
      </c>
      <c r="L1000" s="14">
        <f>IF(OR(A1000="",COUNT(H1000)=0,COUNT(Y1000)=0),"",ROUND(H1000*(1+Y1000),2))</f>
        <v/>
      </c>
      <c r="M1000" s="10" t="n"/>
      <c r="N1000" s="10" t="n"/>
      <c r="O1000" s="10" t="n"/>
      <c r="P1000" s="10" t="n"/>
      <c r="Q1000" s="20" t="n"/>
      <c r="R1000" s="10" t="n"/>
      <c r="S1000" s="10" t="n"/>
      <c r="T1000" s="18" t="n"/>
      <c r="U1000" s="18" t="n"/>
      <c r="V1000" s="10" t="n"/>
      <c r="W1000" s="10" t="n"/>
      <c r="X1000" s="19">
        <f>IF(OR(A1000="",COUNT(U1000)=0,COUNT(AI1000)=0),"",U1000+AI1000)</f>
        <v/>
      </c>
      <c r="Y1000" s="16" t="n"/>
      <c r="Z1000" s="12" t="n"/>
      <c r="AA1000" s="17">
        <f>IF(COUNT(J1000)=0,"",IF(H1000=0,"n.a.",J1000/H1000))</f>
        <v/>
      </c>
      <c r="AB1000" s="12" t="n"/>
      <c r="AC1000" s="12" t="n"/>
      <c r="AD1000" s="12" t="n"/>
      <c r="AE1000" s="13">
        <f>IF(OR(COUNT(J1000)=0,COUNT(AB1000:AD1000)&lt;3),"",ROUND(J1000-SUM(AB1000:AD1000),2))</f>
        <v/>
      </c>
      <c r="AF1000" s="15">
        <f>IF(COUNT(AE1000)=0,"",IF(Z1000=0,"n.a.",AE1000/Z1000))</f>
        <v/>
      </c>
      <c r="AG1000" s="12" t="n"/>
      <c r="AH1000" s="14">
        <f>IF(OR(A1000="",COUNT(Z1000)=0,COUNT(AG1000)=0),"",ROUND(Z1000-AG1000,2))</f>
        <v/>
      </c>
      <c r="AI1000" s="21" t="n"/>
      <c r="AJ1000" s="11">
        <f>IF(A1000="","",IF(COUNT(I1000)=0,"Enter approved NTE",IF(COUNT(Z1000)&gt;0,IF(Z1000&gt;I1000,"Invoice exceeds NTE","Invoice within NTE"),IF(COUNT(L1000)=0,"Enter quote inputs",IF(L1000&gt;I1000,"Quote exceeds NTE","Quote within NTE")))))</f>
        <v/>
      </c>
      <c r="AK1000" s="11">
        <f>IF(A1000="","",IF(COUNT(H1000)=0,"Enter direct cost",IF(COUNT(Z1000)=0,"Enter invoice revenue",IF(COUNT(AB1000:AD1000)&lt;3,"Enter expenses (0 if none)","Complete"))))</f>
        <v/>
      </c>
      <c r="AL1000" s="11">
        <f>IF(A1000="","",IF(NOT(AND(COUNT(AH1000)=1,N(AH1000)&gt;0.004,V1000&lt;&gt;"Void",V1000&lt;&gt;"Not invoiced",V1000&lt;&gt;"Draft")),"",IF(COUNT(X1000)=0,"No due date",IF(TODAY()-X1000&lt;=0,"Not yet due",IF(TODAY()-X1000&lt;=30,"1-30 days",IF(TODAY()-X1000&lt;=60,"31-60 days",IF(TODAY()-X1000&lt;=90,"61-90 days","Over 90 days")))))))</f>
        <v/>
      </c>
      <c r="AM1000" s="49">
        <f>IF(OR(AL1000="",AL1000="No due date"),"",MAX(TODAY()-X1000,0))</f>
        <v/>
      </c>
      <c r="AN1000" s="49">
        <f>IF(AL1000="","",IF(COUNT(X1000)=0,-100000,TODAY()-X1000))</f>
        <v/>
      </c>
      <c r="AO1000" s="49">
        <f>IF(AN1000="","",COUNTIF(AN$11:AN$1010,"&gt;"&amp;AN1000)+COUNTIF(AN$11:AN1000,AN1000))</f>
        <v/>
      </c>
      <c r="AP1000" s="49">
        <f>IF(OR(A1000="",B1000=""),"",IF(COUNTIF(B$11:B1000,B1000)=1,MAX(AP$10:AP999)+1,""))</f>
        <v/>
      </c>
    </row>
    <row r="1001">
      <c r="A1001" s="20" t="n"/>
      <c r="B1001" s="10" t="n"/>
      <c r="C1001" s="10" t="n"/>
      <c r="D1001" s="10" t="n"/>
      <c r="E1001" s="10" t="n"/>
      <c r="F1001" s="18" t="n"/>
      <c r="G1001" s="10" t="n"/>
      <c r="H1001" s="12" t="n"/>
      <c r="I1001" s="12" t="n"/>
      <c r="J1001" s="13">
        <f>IF(OR(A1001="",COUNT(H1001)=0,COUNT(Z1001)=0),"",ROUND(Z1001-H1001,2))</f>
        <v/>
      </c>
      <c r="K1001" s="15">
        <f>IF(COUNT(J1001)=0,"",IF(Z1001=0,"n.a.",J1001/Z1001))</f>
        <v/>
      </c>
      <c r="L1001" s="14">
        <f>IF(OR(A1001="",COUNT(H1001)=0,COUNT(Y1001)=0),"",ROUND(H1001*(1+Y1001),2))</f>
        <v/>
      </c>
      <c r="M1001" s="10" t="n"/>
      <c r="N1001" s="10" t="n"/>
      <c r="O1001" s="10" t="n"/>
      <c r="P1001" s="10" t="n"/>
      <c r="Q1001" s="20" t="n"/>
      <c r="R1001" s="10" t="n"/>
      <c r="S1001" s="10" t="n"/>
      <c r="T1001" s="18" t="n"/>
      <c r="U1001" s="18" t="n"/>
      <c r="V1001" s="10" t="n"/>
      <c r="W1001" s="10" t="n"/>
      <c r="X1001" s="19">
        <f>IF(OR(A1001="",COUNT(U1001)=0,COUNT(AI1001)=0),"",U1001+AI1001)</f>
        <v/>
      </c>
      <c r="Y1001" s="16" t="n"/>
      <c r="Z1001" s="12" t="n"/>
      <c r="AA1001" s="17">
        <f>IF(COUNT(J1001)=0,"",IF(H1001=0,"n.a.",J1001/H1001))</f>
        <v/>
      </c>
      <c r="AB1001" s="12" t="n"/>
      <c r="AC1001" s="12" t="n"/>
      <c r="AD1001" s="12" t="n"/>
      <c r="AE1001" s="13">
        <f>IF(OR(COUNT(J1001)=0,COUNT(AB1001:AD1001)&lt;3),"",ROUND(J1001-SUM(AB1001:AD1001),2))</f>
        <v/>
      </c>
      <c r="AF1001" s="15">
        <f>IF(COUNT(AE1001)=0,"",IF(Z1001=0,"n.a.",AE1001/Z1001))</f>
        <v/>
      </c>
      <c r="AG1001" s="12" t="n"/>
      <c r="AH1001" s="14">
        <f>IF(OR(A1001="",COUNT(Z1001)=0,COUNT(AG1001)=0),"",ROUND(Z1001-AG1001,2))</f>
        <v/>
      </c>
      <c r="AI1001" s="21" t="n"/>
      <c r="AJ1001" s="11">
        <f>IF(A1001="","",IF(COUNT(I1001)=0,"Enter approved NTE",IF(COUNT(Z1001)&gt;0,IF(Z1001&gt;I1001,"Invoice exceeds NTE","Invoice within NTE"),IF(COUNT(L1001)=0,"Enter quote inputs",IF(L1001&gt;I1001,"Quote exceeds NTE","Quote within NTE")))))</f>
        <v/>
      </c>
      <c r="AK1001" s="11">
        <f>IF(A1001="","",IF(COUNT(H1001)=0,"Enter direct cost",IF(COUNT(Z1001)=0,"Enter invoice revenue",IF(COUNT(AB1001:AD1001)&lt;3,"Enter expenses (0 if none)","Complete"))))</f>
        <v/>
      </c>
      <c r="AL1001" s="11">
        <f>IF(A1001="","",IF(NOT(AND(COUNT(AH1001)=1,N(AH1001)&gt;0.004,V1001&lt;&gt;"Void",V1001&lt;&gt;"Not invoiced",V1001&lt;&gt;"Draft")),"",IF(COUNT(X1001)=0,"No due date",IF(TODAY()-X1001&lt;=0,"Not yet due",IF(TODAY()-X1001&lt;=30,"1-30 days",IF(TODAY()-X1001&lt;=60,"31-60 days",IF(TODAY()-X1001&lt;=90,"61-90 days","Over 90 days")))))))</f>
        <v/>
      </c>
      <c r="AM1001" s="49">
        <f>IF(OR(AL1001="",AL1001="No due date"),"",MAX(TODAY()-X1001,0))</f>
        <v/>
      </c>
      <c r="AN1001" s="49">
        <f>IF(AL1001="","",IF(COUNT(X1001)=0,-100000,TODAY()-X1001))</f>
        <v/>
      </c>
      <c r="AO1001" s="49">
        <f>IF(AN1001="","",COUNTIF(AN$11:AN$1010,"&gt;"&amp;AN1001)+COUNTIF(AN$11:AN1001,AN1001))</f>
        <v/>
      </c>
      <c r="AP1001" s="49">
        <f>IF(OR(A1001="",B1001=""),"",IF(COUNTIF(B$11:B1001,B1001)=1,MAX(AP$10:AP1000)+1,""))</f>
        <v/>
      </c>
    </row>
    <row r="1002">
      <c r="A1002" s="20" t="n"/>
      <c r="B1002" s="10" t="n"/>
      <c r="C1002" s="10" t="n"/>
      <c r="D1002" s="10" t="n"/>
      <c r="E1002" s="10" t="n"/>
      <c r="F1002" s="18" t="n"/>
      <c r="G1002" s="10" t="n"/>
      <c r="H1002" s="12" t="n"/>
      <c r="I1002" s="12" t="n"/>
      <c r="J1002" s="13">
        <f>IF(OR(A1002="",COUNT(H1002)=0,COUNT(Z1002)=0),"",ROUND(Z1002-H1002,2))</f>
        <v/>
      </c>
      <c r="K1002" s="15">
        <f>IF(COUNT(J1002)=0,"",IF(Z1002=0,"n.a.",J1002/Z1002))</f>
        <v/>
      </c>
      <c r="L1002" s="14">
        <f>IF(OR(A1002="",COUNT(H1002)=0,COUNT(Y1002)=0),"",ROUND(H1002*(1+Y1002),2))</f>
        <v/>
      </c>
      <c r="M1002" s="10" t="n"/>
      <c r="N1002" s="10" t="n"/>
      <c r="O1002" s="10" t="n"/>
      <c r="P1002" s="10" t="n"/>
      <c r="Q1002" s="20" t="n"/>
      <c r="R1002" s="10" t="n"/>
      <c r="S1002" s="10" t="n"/>
      <c r="T1002" s="18" t="n"/>
      <c r="U1002" s="18" t="n"/>
      <c r="V1002" s="10" t="n"/>
      <c r="W1002" s="10" t="n"/>
      <c r="X1002" s="19">
        <f>IF(OR(A1002="",COUNT(U1002)=0,COUNT(AI1002)=0),"",U1002+AI1002)</f>
        <v/>
      </c>
      <c r="Y1002" s="16" t="n"/>
      <c r="Z1002" s="12" t="n"/>
      <c r="AA1002" s="17">
        <f>IF(COUNT(J1002)=0,"",IF(H1002=0,"n.a.",J1002/H1002))</f>
        <v/>
      </c>
      <c r="AB1002" s="12" t="n"/>
      <c r="AC1002" s="12" t="n"/>
      <c r="AD1002" s="12" t="n"/>
      <c r="AE1002" s="13">
        <f>IF(OR(COUNT(J1002)=0,COUNT(AB1002:AD1002)&lt;3),"",ROUND(J1002-SUM(AB1002:AD1002),2))</f>
        <v/>
      </c>
      <c r="AF1002" s="15">
        <f>IF(COUNT(AE1002)=0,"",IF(Z1002=0,"n.a.",AE1002/Z1002))</f>
        <v/>
      </c>
      <c r="AG1002" s="12" t="n"/>
      <c r="AH1002" s="14">
        <f>IF(OR(A1002="",COUNT(Z1002)=0,COUNT(AG1002)=0),"",ROUND(Z1002-AG1002,2))</f>
        <v/>
      </c>
      <c r="AI1002" s="21" t="n"/>
      <c r="AJ1002" s="11">
        <f>IF(A1002="","",IF(COUNT(I1002)=0,"Enter approved NTE",IF(COUNT(Z1002)&gt;0,IF(Z1002&gt;I1002,"Invoice exceeds NTE","Invoice within NTE"),IF(COUNT(L1002)=0,"Enter quote inputs",IF(L1002&gt;I1002,"Quote exceeds NTE","Quote within NTE")))))</f>
        <v/>
      </c>
      <c r="AK1002" s="11">
        <f>IF(A1002="","",IF(COUNT(H1002)=0,"Enter direct cost",IF(COUNT(Z1002)=0,"Enter invoice revenue",IF(COUNT(AB1002:AD1002)&lt;3,"Enter expenses (0 if none)","Complete"))))</f>
        <v/>
      </c>
      <c r="AL1002" s="11">
        <f>IF(A1002="","",IF(NOT(AND(COUNT(AH1002)=1,N(AH1002)&gt;0.004,V1002&lt;&gt;"Void",V1002&lt;&gt;"Not invoiced",V1002&lt;&gt;"Draft")),"",IF(COUNT(X1002)=0,"No due date",IF(TODAY()-X1002&lt;=0,"Not yet due",IF(TODAY()-X1002&lt;=30,"1-30 days",IF(TODAY()-X1002&lt;=60,"31-60 days",IF(TODAY()-X1002&lt;=90,"61-90 days","Over 90 days")))))))</f>
        <v/>
      </c>
      <c r="AM1002" s="49">
        <f>IF(OR(AL1002="",AL1002="No due date"),"",MAX(TODAY()-X1002,0))</f>
        <v/>
      </c>
      <c r="AN1002" s="49">
        <f>IF(AL1002="","",IF(COUNT(X1002)=0,-100000,TODAY()-X1002))</f>
        <v/>
      </c>
      <c r="AO1002" s="49">
        <f>IF(AN1002="","",COUNTIF(AN$11:AN$1010,"&gt;"&amp;AN1002)+COUNTIF(AN$11:AN1002,AN1002))</f>
        <v/>
      </c>
      <c r="AP1002" s="49">
        <f>IF(OR(A1002="",B1002=""),"",IF(COUNTIF(B$11:B1002,B1002)=1,MAX(AP$10:AP1001)+1,""))</f>
        <v/>
      </c>
    </row>
    <row r="1003">
      <c r="A1003" s="20" t="n"/>
      <c r="B1003" s="10" t="n"/>
      <c r="C1003" s="10" t="n"/>
      <c r="D1003" s="10" t="n"/>
      <c r="E1003" s="10" t="n"/>
      <c r="F1003" s="18" t="n"/>
      <c r="G1003" s="10" t="n"/>
      <c r="H1003" s="12" t="n"/>
      <c r="I1003" s="12" t="n"/>
      <c r="J1003" s="13">
        <f>IF(OR(A1003="",COUNT(H1003)=0,COUNT(Z1003)=0),"",ROUND(Z1003-H1003,2))</f>
        <v/>
      </c>
      <c r="K1003" s="15">
        <f>IF(COUNT(J1003)=0,"",IF(Z1003=0,"n.a.",J1003/Z1003))</f>
        <v/>
      </c>
      <c r="L1003" s="14">
        <f>IF(OR(A1003="",COUNT(H1003)=0,COUNT(Y1003)=0),"",ROUND(H1003*(1+Y1003),2))</f>
        <v/>
      </c>
      <c r="M1003" s="10" t="n"/>
      <c r="N1003" s="10" t="n"/>
      <c r="O1003" s="10" t="n"/>
      <c r="P1003" s="10" t="n"/>
      <c r="Q1003" s="20" t="n"/>
      <c r="R1003" s="10" t="n"/>
      <c r="S1003" s="10" t="n"/>
      <c r="T1003" s="18" t="n"/>
      <c r="U1003" s="18" t="n"/>
      <c r="V1003" s="10" t="n"/>
      <c r="W1003" s="10" t="n"/>
      <c r="X1003" s="19">
        <f>IF(OR(A1003="",COUNT(U1003)=0,COUNT(AI1003)=0),"",U1003+AI1003)</f>
        <v/>
      </c>
      <c r="Y1003" s="16" t="n"/>
      <c r="Z1003" s="12" t="n"/>
      <c r="AA1003" s="17">
        <f>IF(COUNT(J1003)=0,"",IF(H1003=0,"n.a.",J1003/H1003))</f>
        <v/>
      </c>
      <c r="AB1003" s="12" t="n"/>
      <c r="AC1003" s="12" t="n"/>
      <c r="AD1003" s="12" t="n"/>
      <c r="AE1003" s="13">
        <f>IF(OR(COUNT(J1003)=0,COUNT(AB1003:AD1003)&lt;3),"",ROUND(J1003-SUM(AB1003:AD1003),2))</f>
        <v/>
      </c>
      <c r="AF1003" s="15">
        <f>IF(COUNT(AE1003)=0,"",IF(Z1003=0,"n.a.",AE1003/Z1003))</f>
        <v/>
      </c>
      <c r="AG1003" s="12" t="n"/>
      <c r="AH1003" s="14">
        <f>IF(OR(A1003="",COUNT(Z1003)=0,COUNT(AG1003)=0),"",ROUND(Z1003-AG1003,2))</f>
        <v/>
      </c>
      <c r="AI1003" s="21" t="n"/>
      <c r="AJ1003" s="11">
        <f>IF(A1003="","",IF(COUNT(I1003)=0,"Enter approved NTE",IF(COUNT(Z1003)&gt;0,IF(Z1003&gt;I1003,"Invoice exceeds NTE","Invoice within NTE"),IF(COUNT(L1003)=0,"Enter quote inputs",IF(L1003&gt;I1003,"Quote exceeds NTE","Quote within NTE")))))</f>
        <v/>
      </c>
      <c r="AK1003" s="11">
        <f>IF(A1003="","",IF(COUNT(H1003)=0,"Enter direct cost",IF(COUNT(Z1003)=0,"Enter invoice revenue",IF(COUNT(AB1003:AD1003)&lt;3,"Enter expenses (0 if none)","Complete"))))</f>
        <v/>
      </c>
      <c r="AL1003" s="11">
        <f>IF(A1003="","",IF(NOT(AND(COUNT(AH1003)=1,N(AH1003)&gt;0.004,V1003&lt;&gt;"Void",V1003&lt;&gt;"Not invoiced",V1003&lt;&gt;"Draft")),"",IF(COUNT(X1003)=0,"No due date",IF(TODAY()-X1003&lt;=0,"Not yet due",IF(TODAY()-X1003&lt;=30,"1-30 days",IF(TODAY()-X1003&lt;=60,"31-60 days",IF(TODAY()-X1003&lt;=90,"61-90 days","Over 90 days")))))))</f>
        <v/>
      </c>
      <c r="AM1003" s="49">
        <f>IF(OR(AL1003="",AL1003="No due date"),"",MAX(TODAY()-X1003,0))</f>
        <v/>
      </c>
      <c r="AN1003" s="49">
        <f>IF(AL1003="","",IF(COUNT(X1003)=0,-100000,TODAY()-X1003))</f>
        <v/>
      </c>
      <c r="AO1003" s="49">
        <f>IF(AN1003="","",COUNTIF(AN$11:AN$1010,"&gt;"&amp;AN1003)+COUNTIF(AN$11:AN1003,AN1003))</f>
        <v/>
      </c>
      <c r="AP1003" s="49">
        <f>IF(OR(A1003="",B1003=""),"",IF(COUNTIF(B$11:B1003,B1003)=1,MAX(AP$10:AP1002)+1,""))</f>
        <v/>
      </c>
    </row>
    <row r="1004">
      <c r="A1004" s="20" t="n"/>
      <c r="B1004" s="10" t="n"/>
      <c r="C1004" s="10" t="n"/>
      <c r="D1004" s="10" t="n"/>
      <c r="E1004" s="10" t="n"/>
      <c r="F1004" s="18" t="n"/>
      <c r="G1004" s="10" t="n"/>
      <c r="H1004" s="12" t="n"/>
      <c r="I1004" s="12" t="n"/>
      <c r="J1004" s="13">
        <f>IF(OR(A1004="",COUNT(H1004)=0,COUNT(Z1004)=0),"",ROUND(Z1004-H1004,2))</f>
        <v/>
      </c>
      <c r="K1004" s="15">
        <f>IF(COUNT(J1004)=0,"",IF(Z1004=0,"n.a.",J1004/Z1004))</f>
        <v/>
      </c>
      <c r="L1004" s="14">
        <f>IF(OR(A1004="",COUNT(H1004)=0,COUNT(Y1004)=0),"",ROUND(H1004*(1+Y1004),2))</f>
        <v/>
      </c>
      <c r="M1004" s="10" t="n"/>
      <c r="N1004" s="10" t="n"/>
      <c r="O1004" s="10" t="n"/>
      <c r="P1004" s="10" t="n"/>
      <c r="Q1004" s="20" t="n"/>
      <c r="R1004" s="10" t="n"/>
      <c r="S1004" s="10" t="n"/>
      <c r="T1004" s="18" t="n"/>
      <c r="U1004" s="18" t="n"/>
      <c r="V1004" s="10" t="n"/>
      <c r="W1004" s="10" t="n"/>
      <c r="X1004" s="19">
        <f>IF(OR(A1004="",COUNT(U1004)=0,COUNT(AI1004)=0),"",U1004+AI1004)</f>
        <v/>
      </c>
      <c r="Y1004" s="16" t="n"/>
      <c r="Z1004" s="12" t="n"/>
      <c r="AA1004" s="17">
        <f>IF(COUNT(J1004)=0,"",IF(H1004=0,"n.a.",J1004/H1004))</f>
        <v/>
      </c>
      <c r="AB1004" s="12" t="n"/>
      <c r="AC1004" s="12" t="n"/>
      <c r="AD1004" s="12" t="n"/>
      <c r="AE1004" s="13">
        <f>IF(OR(COUNT(J1004)=0,COUNT(AB1004:AD1004)&lt;3),"",ROUND(J1004-SUM(AB1004:AD1004),2))</f>
        <v/>
      </c>
      <c r="AF1004" s="15">
        <f>IF(COUNT(AE1004)=0,"",IF(Z1004=0,"n.a.",AE1004/Z1004))</f>
        <v/>
      </c>
      <c r="AG1004" s="12" t="n"/>
      <c r="AH1004" s="14">
        <f>IF(OR(A1004="",COUNT(Z1004)=0,COUNT(AG1004)=0),"",ROUND(Z1004-AG1004,2))</f>
        <v/>
      </c>
      <c r="AI1004" s="21" t="n"/>
      <c r="AJ1004" s="11">
        <f>IF(A1004="","",IF(COUNT(I1004)=0,"Enter approved NTE",IF(COUNT(Z1004)&gt;0,IF(Z1004&gt;I1004,"Invoice exceeds NTE","Invoice within NTE"),IF(COUNT(L1004)=0,"Enter quote inputs",IF(L1004&gt;I1004,"Quote exceeds NTE","Quote within NTE")))))</f>
        <v/>
      </c>
      <c r="AK1004" s="11">
        <f>IF(A1004="","",IF(COUNT(H1004)=0,"Enter direct cost",IF(COUNT(Z1004)=0,"Enter invoice revenue",IF(COUNT(AB1004:AD1004)&lt;3,"Enter expenses (0 if none)","Complete"))))</f>
        <v/>
      </c>
      <c r="AL1004" s="11">
        <f>IF(A1004="","",IF(NOT(AND(COUNT(AH1004)=1,N(AH1004)&gt;0.004,V1004&lt;&gt;"Void",V1004&lt;&gt;"Not invoiced",V1004&lt;&gt;"Draft")),"",IF(COUNT(X1004)=0,"No due date",IF(TODAY()-X1004&lt;=0,"Not yet due",IF(TODAY()-X1004&lt;=30,"1-30 days",IF(TODAY()-X1004&lt;=60,"31-60 days",IF(TODAY()-X1004&lt;=90,"61-90 days","Over 90 days")))))))</f>
        <v/>
      </c>
      <c r="AM1004" s="49">
        <f>IF(OR(AL1004="",AL1004="No due date"),"",MAX(TODAY()-X1004,0))</f>
        <v/>
      </c>
      <c r="AN1004" s="49">
        <f>IF(AL1004="","",IF(COUNT(X1004)=0,-100000,TODAY()-X1004))</f>
        <v/>
      </c>
      <c r="AO1004" s="49">
        <f>IF(AN1004="","",COUNTIF(AN$11:AN$1010,"&gt;"&amp;AN1004)+COUNTIF(AN$11:AN1004,AN1004))</f>
        <v/>
      </c>
      <c r="AP1004" s="49">
        <f>IF(OR(A1004="",B1004=""),"",IF(COUNTIF(B$11:B1004,B1004)=1,MAX(AP$10:AP1003)+1,""))</f>
        <v/>
      </c>
    </row>
    <row r="1005">
      <c r="A1005" s="20" t="n"/>
      <c r="B1005" s="10" t="n"/>
      <c r="C1005" s="10" t="n"/>
      <c r="D1005" s="10" t="n"/>
      <c r="E1005" s="10" t="n"/>
      <c r="F1005" s="18" t="n"/>
      <c r="G1005" s="10" t="n"/>
      <c r="H1005" s="12" t="n"/>
      <c r="I1005" s="12" t="n"/>
      <c r="J1005" s="13">
        <f>IF(OR(A1005="",COUNT(H1005)=0,COUNT(Z1005)=0),"",ROUND(Z1005-H1005,2))</f>
        <v/>
      </c>
      <c r="K1005" s="15">
        <f>IF(COUNT(J1005)=0,"",IF(Z1005=0,"n.a.",J1005/Z1005))</f>
        <v/>
      </c>
      <c r="L1005" s="14">
        <f>IF(OR(A1005="",COUNT(H1005)=0,COUNT(Y1005)=0),"",ROUND(H1005*(1+Y1005),2))</f>
        <v/>
      </c>
      <c r="M1005" s="10" t="n"/>
      <c r="N1005" s="10" t="n"/>
      <c r="O1005" s="10" t="n"/>
      <c r="P1005" s="10" t="n"/>
      <c r="Q1005" s="20" t="n"/>
      <c r="R1005" s="10" t="n"/>
      <c r="S1005" s="10" t="n"/>
      <c r="T1005" s="18" t="n"/>
      <c r="U1005" s="18" t="n"/>
      <c r="V1005" s="10" t="n"/>
      <c r="W1005" s="10" t="n"/>
      <c r="X1005" s="19">
        <f>IF(OR(A1005="",COUNT(U1005)=0,COUNT(AI1005)=0),"",U1005+AI1005)</f>
        <v/>
      </c>
      <c r="Y1005" s="16" t="n"/>
      <c r="Z1005" s="12" t="n"/>
      <c r="AA1005" s="17">
        <f>IF(COUNT(J1005)=0,"",IF(H1005=0,"n.a.",J1005/H1005))</f>
        <v/>
      </c>
      <c r="AB1005" s="12" t="n"/>
      <c r="AC1005" s="12" t="n"/>
      <c r="AD1005" s="12" t="n"/>
      <c r="AE1005" s="13">
        <f>IF(OR(COUNT(J1005)=0,COUNT(AB1005:AD1005)&lt;3),"",ROUND(J1005-SUM(AB1005:AD1005),2))</f>
        <v/>
      </c>
      <c r="AF1005" s="15">
        <f>IF(COUNT(AE1005)=0,"",IF(Z1005=0,"n.a.",AE1005/Z1005))</f>
        <v/>
      </c>
      <c r="AG1005" s="12" t="n"/>
      <c r="AH1005" s="14">
        <f>IF(OR(A1005="",COUNT(Z1005)=0,COUNT(AG1005)=0),"",ROUND(Z1005-AG1005,2))</f>
        <v/>
      </c>
      <c r="AI1005" s="21" t="n"/>
      <c r="AJ1005" s="11">
        <f>IF(A1005="","",IF(COUNT(I1005)=0,"Enter approved NTE",IF(COUNT(Z1005)&gt;0,IF(Z1005&gt;I1005,"Invoice exceeds NTE","Invoice within NTE"),IF(COUNT(L1005)=0,"Enter quote inputs",IF(L1005&gt;I1005,"Quote exceeds NTE","Quote within NTE")))))</f>
        <v/>
      </c>
      <c r="AK1005" s="11">
        <f>IF(A1005="","",IF(COUNT(H1005)=0,"Enter direct cost",IF(COUNT(Z1005)=0,"Enter invoice revenue",IF(COUNT(AB1005:AD1005)&lt;3,"Enter expenses (0 if none)","Complete"))))</f>
        <v/>
      </c>
      <c r="AL1005" s="11">
        <f>IF(A1005="","",IF(NOT(AND(COUNT(AH1005)=1,N(AH1005)&gt;0.004,V1005&lt;&gt;"Void",V1005&lt;&gt;"Not invoiced",V1005&lt;&gt;"Draft")),"",IF(COUNT(X1005)=0,"No due date",IF(TODAY()-X1005&lt;=0,"Not yet due",IF(TODAY()-X1005&lt;=30,"1-30 days",IF(TODAY()-X1005&lt;=60,"31-60 days",IF(TODAY()-X1005&lt;=90,"61-90 days","Over 90 days")))))))</f>
        <v/>
      </c>
      <c r="AM1005" s="49">
        <f>IF(OR(AL1005="",AL1005="No due date"),"",MAX(TODAY()-X1005,0))</f>
        <v/>
      </c>
      <c r="AN1005" s="49">
        <f>IF(AL1005="","",IF(COUNT(X1005)=0,-100000,TODAY()-X1005))</f>
        <v/>
      </c>
      <c r="AO1005" s="49">
        <f>IF(AN1005="","",COUNTIF(AN$11:AN$1010,"&gt;"&amp;AN1005)+COUNTIF(AN$11:AN1005,AN1005))</f>
        <v/>
      </c>
      <c r="AP1005" s="49">
        <f>IF(OR(A1005="",B1005=""),"",IF(COUNTIF(B$11:B1005,B1005)=1,MAX(AP$10:AP1004)+1,""))</f>
        <v/>
      </c>
    </row>
    <row r="1006">
      <c r="A1006" s="20" t="n"/>
      <c r="B1006" s="10" t="n"/>
      <c r="C1006" s="10" t="n"/>
      <c r="D1006" s="10" t="n"/>
      <c r="E1006" s="10" t="n"/>
      <c r="F1006" s="18" t="n"/>
      <c r="G1006" s="10" t="n"/>
      <c r="H1006" s="12" t="n"/>
      <c r="I1006" s="12" t="n"/>
      <c r="J1006" s="13">
        <f>IF(OR(A1006="",COUNT(H1006)=0,COUNT(Z1006)=0),"",ROUND(Z1006-H1006,2))</f>
        <v/>
      </c>
      <c r="K1006" s="15">
        <f>IF(COUNT(J1006)=0,"",IF(Z1006=0,"n.a.",J1006/Z1006))</f>
        <v/>
      </c>
      <c r="L1006" s="14">
        <f>IF(OR(A1006="",COUNT(H1006)=0,COUNT(Y1006)=0),"",ROUND(H1006*(1+Y1006),2))</f>
        <v/>
      </c>
      <c r="M1006" s="10" t="n"/>
      <c r="N1006" s="10" t="n"/>
      <c r="O1006" s="10" t="n"/>
      <c r="P1006" s="10" t="n"/>
      <c r="Q1006" s="20" t="n"/>
      <c r="R1006" s="10" t="n"/>
      <c r="S1006" s="10" t="n"/>
      <c r="T1006" s="18" t="n"/>
      <c r="U1006" s="18" t="n"/>
      <c r="V1006" s="10" t="n"/>
      <c r="W1006" s="10" t="n"/>
      <c r="X1006" s="19">
        <f>IF(OR(A1006="",COUNT(U1006)=0,COUNT(AI1006)=0),"",U1006+AI1006)</f>
        <v/>
      </c>
      <c r="Y1006" s="16" t="n"/>
      <c r="Z1006" s="12" t="n"/>
      <c r="AA1006" s="17">
        <f>IF(COUNT(J1006)=0,"",IF(H1006=0,"n.a.",J1006/H1006))</f>
        <v/>
      </c>
      <c r="AB1006" s="12" t="n"/>
      <c r="AC1006" s="12" t="n"/>
      <c r="AD1006" s="12" t="n"/>
      <c r="AE1006" s="13">
        <f>IF(OR(COUNT(J1006)=0,COUNT(AB1006:AD1006)&lt;3),"",ROUND(J1006-SUM(AB1006:AD1006),2))</f>
        <v/>
      </c>
      <c r="AF1006" s="15">
        <f>IF(COUNT(AE1006)=0,"",IF(Z1006=0,"n.a.",AE1006/Z1006))</f>
        <v/>
      </c>
      <c r="AG1006" s="12" t="n"/>
      <c r="AH1006" s="14">
        <f>IF(OR(A1006="",COUNT(Z1006)=0,COUNT(AG1006)=0),"",ROUND(Z1006-AG1006,2))</f>
        <v/>
      </c>
      <c r="AI1006" s="21" t="n"/>
      <c r="AJ1006" s="11">
        <f>IF(A1006="","",IF(COUNT(I1006)=0,"Enter approved NTE",IF(COUNT(Z1006)&gt;0,IF(Z1006&gt;I1006,"Invoice exceeds NTE","Invoice within NTE"),IF(COUNT(L1006)=0,"Enter quote inputs",IF(L1006&gt;I1006,"Quote exceeds NTE","Quote within NTE")))))</f>
        <v/>
      </c>
      <c r="AK1006" s="11">
        <f>IF(A1006="","",IF(COUNT(H1006)=0,"Enter direct cost",IF(COUNT(Z1006)=0,"Enter invoice revenue",IF(COUNT(AB1006:AD1006)&lt;3,"Enter expenses (0 if none)","Complete"))))</f>
        <v/>
      </c>
      <c r="AL1006" s="11">
        <f>IF(A1006="","",IF(NOT(AND(COUNT(AH1006)=1,N(AH1006)&gt;0.004,V1006&lt;&gt;"Void",V1006&lt;&gt;"Not invoiced",V1006&lt;&gt;"Draft")),"",IF(COUNT(X1006)=0,"No due date",IF(TODAY()-X1006&lt;=0,"Not yet due",IF(TODAY()-X1006&lt;=30,"1-30 days",IF(TODAY()-X1006&lt;=60,"31-60 days",IF(TODAY()-X1006&lt;=90,"61-90 days","Over 90 days")))))))</f>
        <v/>
      </c>
      <c r="AM1006" s="49">
        <f>IF(OR(AL1006="",AL1006="No due date"),"",MAX(TODAY()-X1006,0))</f>
        <v/>
      </c>
      <c r="AN1006" s="49">
        <f>IF(AL1006="","",IF(COUNT(X1006)=0,-100000,TODAY()-X1006))</f>
        <v/>
      </c>
      <c r="AO1006" s="49">
        <f>IF(AN1006="","",COUNTIF(AN$11:AN$1010,"&gt;"&amp;AN1006)+COUNTIF(AN$11:AN1006,AN1006))</f>
        <v/>
      </c>
      <c r="AP1006" s="49">
        <f>IF(OR(A1006="",B1006=""),"",IF(COUNTIF(B$11:B1006,B1006)=1,MAX(AP$10:AP1005)+1,""))</f>
        <v/>
      </c>
    </row>
    <row r="1007">
      <c r="A1007" s="20" t="n"/>
      <c r="B1007" s="10" t="n"/>
      <c r="C1007" s="10" t="n"/>
      <c r="D1007" s="10" t="n"/>
      <c r="E1007" s="10" t="n"/>
      <c r="F1007" s="18" t="n"/>
      <c r="G1007" s="10" t="n"/>
      <c r="H1007" s="12" t="n"/>
      <c r="I1007" s="12" t="n"/>
      <c r="J1007" s="13">
        <f>IF(OR(A1007="",COUNT(H1007)=0,COUNT(Z1007)=0),"",ROUND(Z1007-H1007,2))</f>
        <v/>
      </c>
      <c r="K1007" s="15">
        <f>IF(COUNT(J1007)=0,"",IF(Z1007=0,"n.a.",J1007/Z1007))</f>
        <v/>
      </c>
      <c r="L1007" s="14">
        <f>IF(OR(A1007="",COUNT(H1007)=0,COUNT(Y1007)=0),"",ROUND(H1007*(1+Y1007),2))</f>
        <v/>
      </c>
      <c r="M1007" s="10" t="n"/>
      <c r="N1007" s="10" t="n"/>
      <c r="O1007" s="10" t="n"/>
      <c r="P1007" s="10" t="n"/>
      <c r="Q1007" s="20" t="n"/>
      <c r="R1007" s="10" t="n"/>
      <c r="S1007" s="10" t="n"/>
      <c r="T1007" s="18" t="n"/>
      <c r="U1007" s="18" t="n"/>
      <c r="V1007" s="10" t="n"/>
      <c r="W1007" s="10" t="n"/>
      <c r="X1007" s="19">
        <f>IF(OR(A1007="",COUNT(U1007)=0,COUNT(AI1007)=0),"",U1007+AI1007)</f>
        <v/>
      </c>
      <c r="Y1007" s="16" t="n"/>
      <c r="Z1007" s="12" t="n"/>
      <c r="AA1007" s="17">
        <f>IF(COUNT(J1007)=0,"",IF(H1007=0,"n.a.",J1007/H1007))</f>
        <v/>
      </c>
      <c r="AB1007" s="12" t="n"/>
      <c r="AC1007" s="12" t="n"/>
      <c r="AD1007" s="12" t="n"/>
      <c r="AE1007" s="13">
        <f>IF(OR(COUNT(J1007)=0,COUNT(AB1007:AD1007)&lt;3),"",ROUND(J1007-SUM(AB1007:AD1007),2))</f>
        <v/>
      </c>
      <c r="AF1007" s="15">
        <f>IF(COUNT(AE1007)=0,"",IF(Z1007=0,"n.a.",AE1007/Z1007))</f>
        <v/>
      </c>
      <c r="AG1007" s="12" t="n"/>
      <c r="AH1007" s="14">
        <f>IF(OR(A1007="",COUNT(Z1007)=0,COUNT(AG1007)=0),"",ROUND(Z1007-AG1007,2))</f>
        <v/>
      </c>
      <c r="AI1007" s="21" t="n"/>
      <c r="AJ1007" s="11">
        <f>IF(A1007="","",IF(COUNT(I1007)=0,"Enter approved NTE",IF(COUNT(Z1007)&gt;0,IF(Z1007&gt;I1007,"Invoice exceeds NTE","Invoice within NTE"),IF(COUNT(L1007)=0,"Enter quote inputs",IF(L1007&gt;I1007,"Quote exceeds NTE","Quote within NTE")))))</f>
        <v/>
      </c>
      <c r="AK1007" s="11">
        <f>IF(A1007="","",IF(COUNT(H1007)=0,"Enter direct cost",IF(COUNT(Z1007)=0,"Enter invoice revenue",IF(COUNT(AB1007:AD1007)&lt;3,"Enter expenses (0 if none)","Complete"))))</f>
        <v/>
      </c>
      <c r="AL1007" s="11">
        <f>IF(A1007="","",IF(NOT(AND(COUNT(AH1007)=1,N(AH1007)&gt;0.004,V1007&lt;&gt;"Void",V1007&lt;&gt;"Not invoiced",V1007&lt;&gt;"Draft")),"",IF(COUNT(X1007)=0,"No due date",IF(TODAY()-X1007&lt;=0,"Not yet due",IF(TODAY()-X1007&lt;=30,"1-30 days",IF(TODAY()-X1007&lt;=60,"31-60 days",IF(TODAY()-X1007&lt;=90,"61-90 days","Over 90 days")))))))</f>
        <v/>
      </c>
      <c r="AM1007" s="49">
        <f>IF(OR(AL1007="",AL1007="No due date"),"",MAX(TODAY()-X1007,0))</f>
        <v/>
      </c>
      <c r="AN1007" s="49">
        <f>IF(AL1007="","",IF(COUNT(X1007)=0,-100000,TODAY()-X1007))</f>
        <v/>
      </c>
      <c r="AO1007" s="49">
        <f>IF(AN1007="","",COUNTIF(AN$11:AN$1010,"&gt;"&amp;AN1007)+COUNTIF(AN$11:AN1007,AN1007))</f>
        <v/>
      </c>
      <c r="AP1007" s="49">
        <f>IF(OR(A1007="",B1007=""),"",IF(COUNTIF(B$11:B1007,B1007)=1,MAX(AP$10:AP1006)+1,""))</f>
        <v/>
      </c>
    </row>
    <row r="1008">
      <c r="A1008" s="20" t="n"/>
      <c r="B1008" s="10" t="n"/>
      <c r="C1008" s="10" t="n"/>
      <c r="D1008" s="10" t="n"/>
      <c r="E1008" s="10" t="n"/>
      <c r="F1008" s="18" t="n"/>
      <c r="G1008" s="10" t="n"/>
      <c r="H1008" s="12" t="n"/>
      <c r="I1008" s="12" t="n"/>
      <c r="J1008" s="13">
        <f>IF(OR(A1008="",COUNT(H1008)=0,COUNT(Z1008)=0),"",ROUND(Z1008-H1008,2))</f>
        <v/>
      </c>
      <c r="K1008" s="15">
        <f>IF(COUNT(J1008)=0,"",IF(Z1008=0,"n.a.",J1008/Z1008))</f>
        <v/>
      </c>
      <c r="L1008" s="14">
        <f>IF(OR(A1008="",COUNT(H1008)=0,COUNT(Y1008)=0),"",ROUND(H1008*(1+Y1008),2))</f>
        <v/>
      </c>
      <c r="M1008" s="10" t="n"/>
      <c r="N1008" s="10" t="n"/>
      <c r="O1008" s="10" t="n"/>
      <c r="P1008" s="10" t="n"/>
      <c r="Q1008" s="20" t="n"/>
      <c r="R1008" s="10" t="n"/>
      <c r="S1008" s="10" t="n"/>
      <c r="T1008" s="18" t="n"/>
      <c r="U1008" s="18" t="n"/>
      <c r="V1008" s="10" t="n"/>
      <c r="W1008" s="10" t="n"/>
      <c r="X1008" s="19">
        <f>IF(OR(A1008="",COUNT(U1008)=0,COUNT(AI1008)=0),"",U1008+AI1008)</f>
        <v/>
      </c>
      <c r="Y1008" s="16" t="n"/>
      <c r="Z1008" s="12" t="n"/>
      <c r="AA1008" s="17">
        <f>IF(COUNT(J1008)=0,"",IF(H1008=0,"n.a.",J1008/H1008))</f>
        <v/>
      </c>
      <c r="AB1008" s="12" t="n"/>
      <c r="AC1008" s="12" t="n"/>
      <c r="AD1008" s="12" t="n"/>
      <c r="AE1008" s="13">
        <f>IF(OR(COUNT(J1008)=0,COUNT(AB1008:AD1008)&lt;3),"",ROUND(J1008-SUM(AB1008:AD1008),2))</f>
        <v/>
      </c>
      <c r="AF1008" s="15">
        <f>IF(COUNT(AE1008)=0,"",IF(Z1008=0,"n.a.",AE1008/Z1008))</f>
        <v/>
      </c>
      <c r="AG1008" s="12" t="n"/>
      <c r="AH1008" s="14">
        <f>IF(OR(A1008="",COUNT(Z1008)=0,COUNT(AG1008)=0),"",ROUND(Z1008-AG1008,2))</f>
        <v/>
      </c>
      <c r="AI1008" s="21" t="n"/>
      <c r="AJ1008" s="11">
        <f>IF(A1008="","",IF(COUNT(I1008)=0,"Enter approved NTE",IF(COUNT(Z1008)&gt;0,IF(Z1008&gt;I1008,"Invoice exceeds NTE","Invoice within NTE"),IF(COUNT(L1008)=0,"Enter quote inputs",IF(L1008&gt;I1008,"Quote exceeds NTE","Quote within NTE")))))</f>
        <v/>
      </c>
      <c r="AK1008" s="11">
        <f>IF(A1008="","",IF(COUNT(H1008)=0,"Enter direct cost",IF(COUNT(Z1008)=0,"Enter invoice revenue",IF(COUNT(AB1008:AD1008)&lt;3,"Enter expenses (0 if none)","Complete"))))</f>
        <v/>
      </c>
      <c r="AL1008" s="11">
        <f>IF(A1008="","",IF(NOT(AND(COUNT(AH1008)=1,N(AH1008)&gt;0.004,V1008&lt;&gt;"Void",V1008&lt;&gt;"Not invoiced",V1008&lt;&gt;"Draft")),"",IF(COUNT(X1008)=0,"No due date",IF(TODAY()-X1008&lt;=0,"Not yet due",IF(TODAY()-X1008&lt;=30,"1-30 days",IF(TODAY()-X1008&lt;=60,"31-60 days",IF(TODAY()-X1008&lt;=90,"61-90 days","Over 90 days")))))))</f>
        <v/>
      </c>
      <c r="AM1008" s="49">
        <f>IF(OR(AL1008="",AL1008="No due date"),"",MAX(TODAY()-X1008,0))</f>
        <v/>
      </c>
      <c r="AN1008" s="49">
        <f>IF(AL1008="","",IF(COUNT(X1008)=0,-100000,TODAY()-X1008))</f>
        <v/>
      </c>
      <c r="AO1008" s="49">
        <f>IF(AN1008="","",COUNTIF(AN$11:AN$1010,"&gt;"&amp;AN1008)+COUNTIF(AN$11:AN1008,AN1008))</f>
        <v/>
      </c>
      <c r="AP1008" s="49">
        <f>IF(OR(A1008="",B1008=""),"",IF(COUNTIF(B$11:B1008,B1008)=1,MAX(AP$10:AP1007)+1,""))</f>
        <v/>
      </c>
    </row>
    <row r="1009">
      <c r="A1009" s="20" t="n"/>
      <c r="B1009" s="10" t="n"/>
      <c r="C1009" s="10" t="n"/>
      <c r="D1009" s="10" t="n"/>
      <c r="E1009" s="10" t="n"/>
      <c r="F1009" s="18" t="n"/>
      <c r="G1009" s="10" t="n"/>
      <c r="H1009" s="12" t="n"/>
      <c r="I1009" s="12" t="n"/>
      <c r="J1009" s="13">
        <f>IF(OR(A1009="",COUNT(H1009)=0,COUNT(Z1009)=0),"",ROUND(Z1009-H1009,2))</f>
        <v/>
      </c>
      <c r="K1009" s="15">
        <f>IF(COUNT(J1009)=0,"",IF(Z1009=0,"n.a.",J1009/Z1009))</f>
        <v/>
      </c>
      <c r="L1009" s="14">
        <f>IF(OR(A1009="",COUNT(H1009)=0,COUNT(Y1009)=0),"",ROUND(H1009*(1+Y1009),2))</f>
        <v/>
      </c>
      <c r="M1009" s="10" t="n"/>
      <c r="N1009" s="10" t="n"/>
      <c r="O1009" s="10" t="n"/>
      <c r="P1009" s="10" t="n"/>
      <c r="Q1009" s="20" t="n"/>
      <c r="R1009" s="10" t="n"/>
      <c r="S1009" s="10" t="n"/>
      <c r="T1009" s="18" t="n"/>
      <c r="U1009" s="18" t="n"/>
      <c r="V1009" s="10" t="n"/>
      <c r="W1009" s="10" t="n"/>
      <c r="X1009" s="19">
        <f>IF(OR(A1009="",COUNT(U1009)=0,COUNT(AI1009)=0),"",U1009+AI1009)</f>
        <v/>
      </c>
      <c r="Y1009" s="16" t="n"/>
      <c r="Z1009" s="12" t="n"/>
      <c r="AA1009" s="17">
        <f>IF(COUNT(J1009)=0,"",IF(H1009=0,"n.a.",J1009/H1009))</f>
        <v/>
      </c>
      <c r="AB1009" s="12" t="n"/>
      <c r="AC1009" s="12" t="n"/>
      <c r="AD1009" s="12" t="n"/>
      <c r="AE1009" s="13">
        <f>IF(OR(COUNT(J1009)=0,COUNT(AB1009:AD1009)&lt;3),"",ROUND(J1009-SUM(AB1009:AD1009),2))</f>
        <v/>
      </c>
      <c r="AF1009" s="15">
        <f>IF(COUNT(AE1009)=0,"",IF(Z1009=0,"n.a.",AE1009/Z1009))</f>
        <v/>
      </c>
      <c r="AG1009" s="12" t="n"/>
      <c r="AH1009" s="14">
        <f>IF(OR(A1009="",COUNT(Z1009)=0,COUNT(AG1009)=0),"",ROUND(Z1009-AG1009,2))</f>
        <v/>
      </c>
      <c r="AI1009" s="21" t="n"/>
      <c r="AJ1009" s="11">
        <f>IF(A1009="","",IF(COUNT(I1009)=0,"Enter approved NTE",IF(COUNT(Z1009)&gt;0,IF(Z1009&gt;I1009,"Invoice exceeds NTE","Invoice within NTE"),IF(COUNT(L1009)=0,"Enter quote inputs",IF(L1009&gt;I1009,"Quote exceeds NTE","Quote within NTE")))))</f>
        <v/>
      </c>
      <c r="AK1009" s="11">
        <f>IF(A1009="","",IF(COUNT(H1009)=0,"Enter direct cost",IF(COUNT(Z1009)=0,"Enter invoice revenue",IF(COUNT(AB1009:AD1009)&lt;3,"Enter expenses (0 if none)","Complete"))))</f>
        <v/>
      </c>
      <c r="AL1009" s="11">
        <f>IF(A1009="","",IF(NOT(AND(COUNT(AH1009)=1,N(AH1009)&gt;0.004,V1009&lt;&gt;"Void",V1009&lt;&gt;"Not invoiced",V1009&lt;&gt;"Draft")),"",IF(COUNT(X1009)=0,"No due date",IF(TODAY()-X1009&lt;=0,"Not yet due",IF(TODAY()-X1009&lt;=30,"1-30 days",IF(TODAY()-X1009&lt;=60,"31-60 days",IF(TODAY()-X1009&lt;=90,"61-90 days","Over 90 days")))))))</f>
        <v/>
      </c>
      <c r="AM1009" s="49">
        <f>IF(OR(AL1009="",AL1009="No due date"),"",MAX(TODAY()-X1009,0))</f>
        <v/>
      </c>
      <c r="AN1009" s="49">
        <f>IF(AL1009="","",IF(COUNT(X1009)=0,-100000,TODAY()-X1009))</f>
        <v/>
      </c>
      <c r="AO1009" s="49">
        <f>IF(AN1009="","",COUNTIF(AN$11:AN$1010,"&gt;"&amp;AN1009)+COUNTIF(AN$11:AN1009,AN1009))</f>
        <v/>
      </c>
      <c r="AP1009" s="49">
        <f>IF(OR(A1009="",B1009=""),"",IF(COUNTIF(B$11:B1009,B1009)=1,MAX(AP$10:AP1008)+1,""))</f>
        <v/>
      </c>
    </row>
    <row r="1010">
      <c r="A1010" s="20" t="n"/>
      <c r="B1010" s="10" t="n"/>
      <c r="C1010" s="10" t="n"/>
      <c r="D1010" s="10" t="n"/>
      <c r="E1010" s="10" t="n"/>
      <c r="F1010" s="18" t="n"/>
      <c r="G1010" s="10" t="n"/>
      <c r="H1010" s="12" t="n"/>
      <c r="I1010" s="12" t="n"/>
      <c r="J1010" s="13">
        <f>IF(OR(A1010="",COUNT(H1010)=0,COUNT(Z1010)=0),"",ROUND(Z1010-H1010,2))</f>
        <v/>
      </c>
      <c r="K1010" s="15">
        <f>IF(COUNT(J1010)=0,"",IF(Z1010=0,"n.a.",J1010/Z1010))</f>
        <v/>
      </c>
      <c r="L1010" s="14">
        <f>IF(OR(A1010="",COUNT(H1010)=0,COUNT(Y1010)=0),"",ROUND(H1010*(1+Y1010),2))</f>
        <v/>
      </c>
      <c r="M1010" s="10" t="n"/>
      <c r="N1010" s="10" t="n"/>
      <c r="O1010" s="10" t="n"/>
      <c r="P1010" s="10" t="n"/>
      <c r="Q1010" s="20" t="n"/>
      <c r="R1010" s="10" t="n"/>
      <c r="S1010" s="10" t="n"/>
      <c r="T1010" s="18" t="n"/>
      <c r="U1010" s="18" t="n"/>
      <c r="V1010" s="10" t="n"/>
      <c r="W1010" s="10" t="n"/>
      <c r="X1010" s="19">
        <f>IF(OR(A1010="",COUNT(U1010)=0,COUNT(AI1010)=0),"",U1010+AI1010)</f>
        <v/>
      </c>
      <c r="Y1010" s="16" t="n"/>
      <c r="Z1010" s="12" t="n"/>
      <c r="AA1010" s="17">
        <f>IF(COUNT(J1010)=0,"",IF(H1010=0,"n.a.",J1010/H1010))</f>
        <v/>
      </c>
      <c r="AB1010" s="12" t="n"/>
      <c r="AC1010" s="12" t="n"/>
      <c r="AD1010" s="12" t="n"/>
      <c r="AE1010" s="13">
        <f>IF(OR(COUNT(J1010)=0,COUNT(AB1010:AD1010)&lt;3),"",ROUND(J1010-SUM(AB1010:AD1010),2))</f>
        <v/>
      </c>
      <c r="AF1010" s="15">
        <f>IF(COUNT(AE1010)=0,"",IF(Z1010=0,"n.a.",AE1010/Z1010))</f>
        <v/>
      </c>
      <c r="AG1010" s="12" t="n"/>
      <c r="AH1010" s="14">
        <f>IF(OR(A1010="",COUNT(Z1010)=0,COUNT(AG1010)=0),"",ROUND(Z1010-AG1010,2))</f>
        <v/>
      </c>
      <c r="AI1010" s="21" t="n"/>
      <c r="AJ1010" s="11">
        <f>IF(A1010="","",IF(COUNT(I1010)=0,"Enter approved NTE",IF(COUNT(Z1010)&gt;0,IF(Z1010&gt;I1010,"Invoice exceeds NTE","Invoice within NTE"),IF(COUNT(L1010)=0,"Enter quote inputs",IF(L1010&gt;I1010,"Quote exceeds NTE","Quote within NTE")))))</f>
        <v/>
      </c>
      <c r="AK1010" s="11">
        <f>IF(A1010="","",IF(COUNT(H1010)=0,"Enter direct cost",IF(COUNT(Z1010)=0,"Enter invoice revenue",IF(COUNT(AB1010:AD1010)&lt;3,"Enter expenses (0 if none)","Complete"))))</f>
        <v/>
      </c>
      <c r="AL1010" s="11">
        <f>IF(A1010="","",IF(NOT(AND(COUNT(AH1010)=1,N(AH1010)&gt;0.004,V1010&lt;&gt;"Void",V1010&lt;&gt;"Not invoiced",V1010&lt;&gt;"Draft")),"",IF(COUNT(X1010)=0,"No due date",IF(TODAY()-X1010&lt;=0,"Not yet due",IF(TODAY()-X1010&lt;=30,"1-30 days",IF(TODAY()-X1010&lt;=60,"31-60 days",IF(TODAY()-X1010&lt;=90,"61-90 days","Over 90 days")))))))</f>
        <v/>
      </c>
      <c r="AM1010" s="49">
        <f>IF(OR(AL1010="",AL1010="No due date"),"",MAX(TODAY()-X1010,0))</f>
        <v/>
      </c>
      <c r="AN1010" s="49">
        <f>IF(AL1010="","",IF(COUNT(X1010)=0,-100000,TODAY()-X1010))</f>
        <v/>
      </c>
      <c r="AO1010" s="49">
        <f>IF(AN1010="","",COUNTIF(AN$11:AN$1010,"&gt;"&amp;AN1010)+COUNTIF(AN$11:AN1010,AN1010))</f>
        <v/>
      </c>
      <c r="AP1010" s="49">
        <f>IF(OR(A1010="",B1010=""),"",IF(COUNTIF(B$11:B1010,B1010)=1,MAX(AP$10:AP1009)+1,""))</f>
        <v/>
      </c>
    </row>
  </sheetData>
  <conditionalFormatting sqref="J11:J1010">
    <cfRule type="cellIs" priority="1" operator="lessThan" dxfId="1">
      <formula>0</formula>
    </cfRule>
  </conditionalFormatting>
  <conditionalFormatting sqref="AE11:AE1010">
    <cfRule type="cellIs" priority="2" operator="lessThan" dxfId="1">
      <formula>0</formula>
    </cfRule>
  </conditionalFormatting>
  <conditionalFormatting sqref="AH11:AH1010">
    <cfRule type="cellIs" priority="3" operator="lessThan" dxfId="1">
      <formula>0</formula>
    </cfRule>
  </conditionalFormatting>
  <conditionalFormatting sqref="AJ11:AJ1010">
    <cfRule type="containsText" priority="4" operator="containsText" dxfId="1" text="exceeds"/>
  </conditionalFormatting>
  <conditionalFormatting sqref="AK11:AK1010">
    <cfRule type="beginsWith" priority="5" operator="beginsWith" dxfId="0" text="Enter"/>
  </conditionalFormatting>
  <conditionalFormatting sqref="AL11:AM1010">
    <cfRule type="expression" priority="6" dxfId="6">
      <formula>N($AM11)&gt;0</formula>
    </cfRule>
  </conditionalFormatting>
  <dataValidations count="6">
    <dataValidation sqref="H11:I1010 Z11:Z1010 AB11:AD1010 AG11:AG1010" showDropDown="0" showInputMessage="0" showErrorMessage="0" allowBlank="0" type="decimal" operator="greaterThanOrEqual">
      <formula1>0</formula1>
    </dataValidation>
    <dataValidation sqref="Y11:Y1010" showDropDown="0" showInputMessage="0" showErrorMessage="0" allowBlank="0" type="decimal" operator="greaterThanOrEqual">
      <formula1>-1</formula1>
    </dataValidation>
    <dataValidation sqref="AI11:AI1010" showDropDown="0" showInputMessage="0" showErrorMessage="0" allowBlank="0" type="whole" operator="greaterThanOrEqual">
      <formula1>0</formula1>
    </dataValidation>
    <dataValidation sqref="R11:R1010" showDropDown="0" showInputMessage="0" showErrorMessage="0" allowBlank="0" type="list">
      <formula1>"New,Scheduled,In progress,Awaiting parts,Awaiting approval,Completed,Cancelled"</formula1>
    </dataValidation>
    <dataValidation sqref="V11:V1010" showDropDown="0" showInputMessage="0" showErrorMessage="0" allowBlank="0" type="list">
      <formula1>"Not invoiced,Draft,Sent,Partially paid,Paid,Disputed,Void"</formula1>
    </dataValidation>
    <dataValidation sqref="W11:W1010" showDropDown="0" showInputMessage="0" showErrorMessage="0" allowBlank="0" type="list">
      <formula1>"ACH,Check,Credit card,Wire,Cash,Other"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03D56"/>
    <outlinePr summaryBelow="1" summaryRight="1"/>
    <pageSetUpPr fitToPage="1"/>
  </sheetPr>
  <dimension ref="B2:H36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4" customWidth="1" min="3" max="3"/>
    <col width="3" customWidth="1" min="4" max="4"/>
    <col width="24" customWidth="1" min="5" max="5"/>
    <col width="34" customWidth="1" min="6" max="6"/>
    <col hidden="1" width="6" customWidth="1" min="8" max="8"/>
  </cols>
  <sheetData>
    <row r="2">
      <c r="B2" s="50" t="inlineStr">
        <is>
          <t>Work Order Card</t>
        </is>
      </c>
    </row>
    <row r="3">
      <c r="B3" s="28" t="inlineStr">
        <is>
          <t>Choose a WO # in the yellow box to see the whole job. Print with Ctrl+P.</t>
        </is>
      </c>
    </row>
    <row r="5">
      <c r="B5" s="41" t="inlineStr">
        <is>
          <t>WO #</t>
        </is>
      </c>
      <c r="C5" s="51" t="n"/>
      <c r="E5" s="52">
        <f>IF(C5="","◄ Choose or type a WO #",IF(H5="","WO # not found",""))</f>
        <v/>
      </c>
      <c r="H5">
        <f>IF(C5="","",IFERROR(MATCH(C5,'Work Orders'!$A$11:$A$1010,0),""))</f>
        <v/>
      </c>
    </row>
    <row r="7">
      <c r="B7" s="53" t="inlineStr">
        <is>
          <t>Work order</t>
        </is>
      </c>
      <c r="E7" s="53" t="inlineStr">
        <is>
          <t>Cost &amp; quote</t>
        </is>
      </c>
    </row>
    <row r="8">
      <c r="B8" s="54" t="inlineStr">
        <is>
          <t>WO #</t>
        </is>
      </c>
      <c r="C8" s="55">
        <f>IF($H$5="","",IF(INDEX('Work Orders'!$A$11:$A$1010,$H$5)="","",INDEX('Work Orders'!$A$11:$A$1010,$H$5)))</f>
        <v/>
      </c>
      <c r="E8" s="54" t="inlineStr">
        <is>
          <t>Direct cost</t>
        </is>
      </c>
      <c r="F8" s="56">
        <f>IF($H$5="","",IF(INDEX('Work Orders'!$H$11:$H$1010,$H$5)="","",INDEX('Work Orders'!$H$11:$H$1010,$H$5)))</f>
        <v/>
      </c>
    </row>
    <row r="9">
      <c r="B9" s="54" t="inlineStr">
        <is>
          <t>WO status</t>
        </is>
      </c>
      <c r="C9" s="55">
        <f>IF($H$5="","",IF(INDEX('Work Orders'!$R$11:$R$1010,$H$5)="","",INDEX('Work Orders'!$R$11:$R$1010,$H$5)))</f>
        <v/>
      </c>
      <c r="E9" s="54" t="inlineStr">
        <is>
          <t>Target markup %</t>
        </is>
      </c>
      <c r="F9" s="57">
        <f>IF($H$5="","",IF(INDEX('Work Orders'!$Y$11:$Y$1010,$H$5)="","",INDEX('Work Orders'!$Y$11:$Y$1010,$H$5)))</f>
        <v/>
      </c>
    </row>
    <row r="10">
      <c r="B10" s="54" t="inlineStr">
        <is>
          <t>Client</t>
        </is>
      </c>
      <c r="C10" s="55">
        <f>IF($H$5="","",IF(INDEX('Work Orders'!$B$11:$B$1010,$H$5)="","",INDEX('Work Orders'!$B$11:$B$1010,$H$5)))</f>
        <v/>
      </c>
      <c r="E10" s="54" t="inlineStr">
        <is>
          <t>Expected NTE / quote</t>
        </is>
      </c>
      <c r="F10" s="58">
        <f>IF($H$5="","",IF(INDEX('Work Orders'!$L$11:$L$1010,$H$5)="","",INDEX('Work Orders'!$L$11:$L$1010,$H$5)))</f>
        <v/>
      </c>
    </row>
    <row r="11">
      <c r="B11" s="54" t="inlineStr">
        <is>
          <t>Store name</t>
        </is>
      </c>
      <c r="C11" s="55">
        <f>IF($H$5="","",IF(INDEX('Work Orders'!$D$11:$D$1010,$H$5)="","",INDEX('Work Orders'!$D$11:$D$1010,$H$5)))</f>
        <v/>
      </c>
      <c r="E11" s="54" t="inlineStr">
        <is>
          <t>Approved NTE</t>
        </is>
      </c>
      <c r="F11" s="56">
        <f>IF($H$5="","",IF(INDEX('Work Orders'!$I$11:$I$1010,$H$5)="","",INDEX('Work Orders'!$I$11:$I$1010,$H$5)))</f>
        <v/>
      </c>
    </row>
    <row r="12">
      <c r="B12" s="54" t="inlineStr">
        <is>
          <t>Location</t>
        </is>
      </c>
      <c r="C12" s="55">
        <f>IF($H$5="","",IF(INDEX('Work Orders'!$E$11:$E$1010,$H$5)="","",INDEX('Work Orders'!$E$11:$E$1010,$H$5)))</f>
        <v/>
      </c>
      <c r="E12" s="54" t="inlineStr">
        <is>
          <t>NTE check</t>
        </is>
      </c>
      <c r="F12" s="59">
        <f>IF($H$5="","",IF(INDEX('Work Orders'!$AJ$11:$AJ$1010,$H$5)="","",INDEX('Work Orders'!$AJ$11:$AJ$1010,$H$5)))</f>
        <v/>
      </c>
    </row>
    <row r="13">
      <c r="B13" s="54" t="inlineStr">
        <is>
          <t>Date in</t>
        </is>
      </c>
      <c r="C13" s="60">
        <f>IF($H$5="","",IF(INDEX('Work Orders'!$T$11:$T$1010,$H$5)="","",INDEX('Work Orders'!$T$11:$T$1010,$H$5)))</f>
        <v/>
      </c>
    </row>
    <row r="14">
      <c r="B14" s="54" t="inlineStr">
        <is>
          <t>ETA</t>
        </is>
      </c>
      <c r="C14" s="60">
        <f>IF($H$5="","",IF(INDEX('Work Orders'!$F$11:$F$1010,$H$5)="","",INDEX('Work Orders'!$F$11:$F$1010,$H$5)))</f>
        <v/>
      </c>
      <c r="E14" s="53" t="inlineStr">
        <is>
          <t>Invoice</t>
        </is>
      </c>
    </row>
    <row r="15">
      <c r="B15" s="54" t="inlineStr">
        <is>
          <t>Job type / scope</t>
        </is>
      </c>
      <c r="C15" s="55">
        <f>IF($H$5="","",IF(INDEX('Work Orders'!$M$11:$M$1010,$H$5)="","",INDEX('Work Orders'!$M$11:$M$1010,$H$5)))</f>
        <v/>
      </c>
      <c r="E15" s="54" t="inlineStr">
        <is>
          <t>Invoice #</t>
        </is>
      </c>
      <c r="F15" s="55">
        <f>IF($H$5="","",IF(INDEX('Work Orders'!$Q$11:$Q$1010,$H$5)="","",INDEX('Work Orders'!$Q$11:$Q$1010,$H$5)))</f>
        <v/>
      </c>
    </row>
    <row r="16">
      <c r="B16" s="54" t="inlineStr">
        <is>
          <t>Address</t>
        </is>
      </c>
      <c r="C16" s="55">
        <f>IF($H$5="","",IF(INDEX('Work Orders'!$S$11:$S$1010,$H$5)="","",INDEX('Work Orders'!$S$11:$S$1010,$H$5)))</f>
        <v/>
      </c>
      <c r="E16" s="54" t="inlineStr">
        <is>
          <t>Invoice status</t>
        </is>
      </c>
      <c r="F16" s="55">
        <f>IF($H$5="","",IF(INDEX('Work Orders'!$V$11:$V$1010,$H$5)="","",INDEX('Work Orders'!$V$11:$V$1010,$H$5)))</f>
        <v/>
      </c>
    </row>
    <row r="17">
      <c r="E17" s="54" t="inlineStr">
        <is>
          <t>Invoice sent date</t>
        </is>
      </c>
      <c r="F17" s="60">
        <f>IF($H$5="","",IF(INDEX('Work Orders'!$U$11:$U$1010,$H$5)="","",INDEX('Work Orders'!$U$11:$U$1010,$H$5)))</f>
        <v/>
      </c>
    </row>
    <row r="18">
      <c r="B18" s="53" t="inlineStr">
        <is>
          <t>Team</t>
        </is>
      </c>
      <c r="E18" s="54" t="inlineStr">
        <is>
          <t>Payment terms (days)</t>
        </is>
      </c>
      <c r="F18" s="61">
        <f>IF($H$5="","",IF(INDEX('Work Orders'!$AI$11:$AI$1010,$H$5)="","",INDEX('Work Orders'!$AI$11:$AI$1010,$H$5)))</f>
        <v/>
      </c>
    </row>
    <row r="19">
      <c r="B19" s="54" t="inlineStr">
        <is>
          <t>Assignees</t>
        </is>
      </c>
      <c r="C19" s="55">
        <f>IF($H$5="","",IF(INDEX('Work Orders'!$C$11:$C$1010,$H$5)="","",INDEX('Work Orders'!$C$11:$C$1010,$H$5)))</f>
        <v/>
      </c>
      <c r="E19" s="54" t="inlineStr">
        <is>
          <t>Payment due</t>
        </is>
      </c>
      <c r="F19" s="62">
        <f>IF($H$5="","",IF(INDEX('Work Orders'!$X$11:$X$1010,$H$5)="","",INDEX('Work Orders'!$X$11:$X$1010,$H$5)))</f>
        <v/>
      </c>
    </row>
    <row r="20">
      <c r="B20" s="54" t="inlineStr">
        <is>
          <t>Handler</t>
        </is>
      </c>
      <c r="C20" s="55">
        <f>IF($H$5="","",IF(INDEX('Work Orders'!$N$11:$N$1010,$H$5)="","",INDEX('Work Orders'!$N$11:$N$1010,$H$5)))</f>
        <v/>
      </c>
      <c r="E20" s="54" t="inlineStr">
        <is>
          <t>Invoice revenue</t>
        </is>
      </c>
      <c r="F20" s="56">
        <f>IF($H$5="","",IF(INDEX('Work Orders'!$Z$11:$Z$1010,$H$5)="","",INDEX('Work Orders'!$Z$11:$Z$1010,$H$5)))</f>
        <v/>
      </c>
    </row>
    <row r="21">
      <c r="B21" s="54" t="inlineStr">
        <is>
          <t>Tech</t>
        </is>
      </c>
      <c r="C21" s="55">
        <f>IF($H$5="","",IF(INDEX('Work Orders'!$O$11:$O$1010,$H$5)="","",INDEX('Work Orders'!$O$11:$O$1010,$H$5)))</f>
        <v/>
      </c>
      <c r="E21" s="54" t="inlineStr">
        <is>
          <t>Gross profit</t>
        </is>
      </c>
      <c r="F21" s="58">
        <f>IF($H$5="","",IF(INDEX('Work Orders'!$J$11:$J$1010,$H$5)="","",INDEX('Work Orders'!$J$11:$J$1010,$H$5)))</f>
        <v/>
      </c>
    </row>
    <row r="22">
      <c r="E22" s="54" t="inlineStr">
        <is>
          <t>Gross margin %</t>
        </is>
      </c>
      <c r="F22" s="63">
        <f>IF($H$5="","",IF(INDEX('Work Orders'!$K$11:$K$1010,$H$5)="","",INDEX('Work Orders'!$K$11:$K$1010,$H$5)))</f>
        <v/>
      </c>
    </row>
    <row r="23">
      <c r="B23" s="53" t="inlineStr">
        <is>
          <t>Parts &amp; notes</t>
        </is>
      </c>
      <c r="E23" s="54" t="inlineStr">
        <is>
          <t>Actual markup %</t>
        </is>
      </c>
      <c r="F23" s="63">
        <f>IF($H$5="","",IF(INDEX('Work Orders'!$AA$11:$AA$1010,$H$5)="","",INDEX('Work Orders'!$AA$11:$AA$1010,$H$5)))</f>
        <v/>
      </c>
    </row>
    <row r="24">
      <c r="B24" s="54" t="inlineStr">
        <is>
          <t>Parts ordered / status</t>
        </is>
      </c>
      <c r="C24" s="55">
        <f>IF($H$5="","",IF(INDEX('Work Orders'!$G$11:$G$1010,$H$5)="","",INDEX('Work Orders'!$G$11:$G$1010,$H$5)))</f>
        <v/>
      </c>
    </row>
    <row r="25">
      <c r="B25" s="54" t="inlineStr">
        <is>
          <t>Notes</t>
        </is>
      </c>
      <c r="C25" s="55">
        <f>IF($H$5="","",IF(INDEX('Work Orders'!$P$11:$P$1010,$H$5)="","",INDEX('Work Orders'!$P$11:$P$1010,$H$5)))</f>
        <v/>
      </c>
      <c r="E25" s="53" t="inlineStr">
        <is>
          <t>Expenses &amp; net profit</t>
        </is>
      </c>
    </row>
    <row r="26">
      <c r="E26" s="54" t="inlineStr">
        <is>
          <t>Allocated overhead</t>
        </is>
      </c>
      <c r="F26" s="56">
        <f>IF($H$5="","",IF(INDEX('Work Orders'!$AB$11:$AB$1010,$H$5)="","",INDEX('Work Orders'!$AB$11:$AB$1010,$H$5)))</f>
        <v/>
      </c>
    </row>
    <row r="27">
      <c r="B27" s="53" t="inlineStr">
        <is>
          <t>Receivables</t>
        </is>
      </c>
      <c r="E27" s="54" t="inlineStr">
        <is>
          <t>Payment / admin fees</t>
        </is>
      </c>
      <c r="F27" s="56">
        <f>IF($H$5="","",IF(INDEX('Work Orders'!$AC$11:$AC$1010,$H$5)="","",INDEX('Work Orders'!$AC$11:$AC$1010,$H$5)))</f>
        <v/>
      </c>
    </row>
    <row r="28">
      <c r="B28" s="54" t="inlineStr">
        <is>
          <t>Aging bucket</t>
        </is>
      </c>
      <c r="C28" s="59">
        <f>IF($H$5="","",IF(INDEX('Work Orders'!$AL$11:$AL$1010,$H$5)="","",INDEX('Work Orders'!$AL$11:$AL$1010,$H$5)))</f>
        <v/>
      </c>
      <c r="E28" s="54" t="inlineStr">
        <is>
          <t>Other expenses / tax</t>
        </is>
      </c>
      <c r="F28" s="56">
        <f>IF($H$5="","",IF(INDEX('Work Orders'!$AD$11:$AD$1010,$H$5)="","",INDEX('Work Orders'!$AD$11:$AD$1010,$H$5)))</f>
        <v/>
      </c>
    </row>
    <row r="29">
      <c r="B29" s="54" t="inlineStr">
        <is>
          <t>Days overdue</t>
        </is>
      </c>
      <c r="C29" s="64">
        <f>IF($H$5="","",IF(INDEX('Work Orders'!$AM$11:$AM$1010,$H$5)="","",INDEX('Work Orders'!$AM$11:$AM$1010,$H$5)))</f>
        <v/>
      </c>
      <c r="E29" s="54" t="inlineStr">
        <is>
          <t>Net profit</t>
        </is>
      </c>
      <c r="F29" s="58">
        <f>IF($H$5="","",IF(INDEX('Work Orders'!$AE$11:$AE$1010,$H$5)="","",INDEX('Work Orders'!$AE$11:$AE$1010,$H$5)))</f>
        <v/>
      </c>
    </row>
    <row r="30">
      <c r="E30" s="54" t="inlineStr">
        <is>
          <t>Net margin %</t>
        </is>
      </c>
      <c r="F30" s="63">
        <f>IF($H$5="","",IF(INDEX('Work Orders'!$AF$11:$AF$1010,$H$5)="","",INDEX('Work Orders'!$AF$11:$AF$1010,$H$5)))</f>
        <v/>
      </c>
    </row>
    <row r="32">
      <c r="E32" s="53" t="inlineStr">
        <is>
          <t>Payment</t>
        </is>
      </c>
    </row>
    <row r="33">
      <c r="E33" s="54" t="inlineStr">
        <is>
          <t>Payment method</t>
        </is>
      </c>
      <c r="F33" s="55">
        <f>IF($H$5="","",IF(INDEX('Work Orders'!$W$11:$W$1010,$H$5)="","",INDEX('Work Orders'!$W$11:$W$1010,$H$5)))</f>
        <v/>
      </c>
    </row>
    <row r="34">
      <c r="E34" s="54" t="inlineStr">
        <is>
          <t>Amount received</t>
        </is>
      </c>
      <c r="F34" s="56">
        <f>IF($H$5="","",IF(INDEX('Work Orders'!$AG$11:$AG$1010,$H$5)="","",INDEX('Work Orders'!$AG$11:$AG$1010,$H$5)))</f>
        <v/>
      </c>
    </row>
    <row r="35">
      <c r="E35" s="54" t="inlineStr">
        <is>
          <t>Balance due</t>
        </is>
      </c>
      <c r="F35" s="58">
        <f>IF($H$5="","",IF(INDEX('Work Orders'!$AH$11:$AH$1010,$H$5)="","",INDEX('Work Orders'!$AH$11:$AH$1010,$H$5)))</f>
        <v/>
      </c>
    </row>
    <row r="36">
      <c r="E36" s="54" t="inlineStr">
        <is>
          <t>Financial input status</t>
        </is>
      </c>
      <c r="F36" s="59">
        <f>IF($H$5="","",IF(INDEX('Work Orders'!$AK$11:$AK$1010,$H$5)="","",INDEX('Work Orders'!$AK$11:$AK$1010,$H$5)))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8">
    <mergeCell ref="B7:C7"/>
    <mergeCell ref="E32:F32"/>
    <mergeCell ref="E7:F7"/>
    <mergeCell ref="E25:F25"/>
    <mergeCell ref="B27:C27"/>
    <mergeCell ref="B23:C23"/>
    <mergeCell ref="E14:F14"/>
    <mergeCell ref="B18:C18"/>
  </mergeCells>
  <dataValidations count="1">
    <dataValidation sqref="C5" showDropDown="0" showInputMessage="0" showErrorMessage="0" allowBlank="1" type="list">
      <formula1>='Work Orders'!$A$11:$A$1010</formula1>
    </dataValidation>
  </dataValidations>
  <pageMargins left="0.75" right="0.75" top="1" bottom="1" header="0.5" footer="0.5"/>
  <pageSetup orientation="portrait" fitToHeight="1" fitToWidth="1"/>
</worksheet>
</file>

<file path=xl/worksheets/sheet4.xml><?xml version="1.0" encoding="utf-8"?>
<worksheet xmlns="http://schemas.openxmlformats.org/spreadsheetml/2006/main">
  <sheetPr>
    <tabColor rgb="00B42318"/>
    <outlinePr summaryBelow="1" summaryRight="1"/>
    <pageSetUpPr/>
  </sheetPr>
  <dimension ref="A2:O1006"/>
  <sheetViews>
    <sheetView showGridLines="0" tabSelected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hidden="1" width="5" customWidth="1" min="2" max="2"/>
    <col width="14" customWidth="1" min="3" max="3"/>
    <col width="22" customWidth="1" min="4" max="4"/>
    <col width="22" customWidth="1" min="5" max="5"/>
    <col width="13" customWidth="1" min="6" max="6"/>
    <col width="15" customWidth="1" min="7" max="7"/>
    <col width="12" customWidth="1" min="8" max="8"/>
    <col width="12" customWidth="1" min="9" max="9"/>
    <col width="15" customWidth="1" min="10" max="10"/>
    <col width="14" customWidth="1" min="11" max="11"/>
    <col width="15" customWidth="1" min="12" max="12"/>
    <col width="12" customWidth="1" min="13" max="13"/>
    <col width="15" customWidth="1" min="14" max="14"/>
    <col width="14" customWidth="1" min="15" max="15"/>
  </cols>
  <sheetData>
    <row r="2">
      <c r="C2" s="50" t="inlineStr">
        <is>
          <t>Receivables</t>
        </is>
      </c>
    </row>
    <row r="3">
      <c r="C3" s="28" t="inlineStr">
        <is>
          <t>Open balances on sent invoices, most overdue first. Updates automatically from the Work Orders sheet.</t>
        </is>
      </c>
    </row>
    <row r="4">
      <c r="C4" s="65" t="inlineStr">
        <is>
          <t>Open balance</t>
        </is>
      </c>
      <c r="D4" s="66">
        <f>SUM(L7:L1006)</f>
        <v/>
      </c>
      <c r="F4" s="65" t="inlineStr">
        <is>
          <t>Overdue</t>
        </is>
      </c>
      <c r="G4" s="66">
        <f>SUMIF(M7:M1006,"&gt;0",L7:L1006)</f>
        <v/>
      </c>
      <c r="I4" s="65" t="inlineStr">
        <is>
          <t>Invoices open</t>
        </is>
      </c>
      <c r="J4" s="67">
        <f>COUNT(L7:L1006)</f>
        <v/>
      </c>
    </row>
    <row r="6" ht="30" customHeight="1">
      <c r="A6" s="42" t="inlineStr">
        <is>
          <t>#</t>
        </is>
      </c>
      <c r="B6" s="42" t="inlineStr">
        <is>
          <t>Row</t>
        </is>
      </c>
      <c r="C6" s="42" t="inlineStr">
        <is>
          <t>WO #</t>
        </is>
      </c>
      <c r="D6" s="42" t="inlineStr">
        <is>
          <t>Client</t>
        </is>
      </c>
      <c r="E6" s="42" t="inlineStr">
        <is>
          <t>Store name</t>
        </is>
      </c>
      <c r="F6" s="42" t="inlineStr">
        <is>
          <t>Invoice #</t>
        </is>
      </c>
      <c r="G6" s="42" t="inlineStr">
        <is>
          <t>Invoice status</t>
        </is>
      </c>
      <c r="H6" s="42" t="inlineStr">
        <is>
          <t>Invoice sent</t>
        </is>
      </c>
      <c r="I6" s="42" t="inlineStr">
        <is>
          <t>Payment due</t>
        </is>
      </c>
      <c r="J6" s="42" t="inlineStr">
        <is>
          <t>Invoice revenue</t>
        </is>
      </c>
      <c r="K6" s="42" t="inlineStr">
        <is>
          <t>Received</t>
        </is>
      </c>
      <c r="L6" s="42" t="inlineStr">
        <is>
          <t>Balance due</t>
        </is>
      </c>
      <c r="M6" s="42" t="inlineStr">
        <is>
          <t>Days overdue</t>
        </is>
      </c>
      <c r="N6" s="42" t="inlineStr">
        <is>
          <t>Aging</t>
        </is>
      </c>
      <c r="O6" s="42" t="inlineStr">
        <is>
          <t>Handler</t>
        </is>
      </c>
    </row>
    <row r="7">
      <c r="A7" s="68" t="n">
        <v>1</v>
      </c>
      <c r="B7">
        <f>IFERROR(MATCH(A7,'Work Orders'!$AO$11:$AO$1010,0),"")</f>
        <v/>
      </c>
      <c r="C7" s="43">
        <f>IF($B7="","",IF(INDEX('Work Orders'!$A$11:$A$1010,$B7)="","",INDEX('Work Orders'!$A$11:$A$1010,$B7)))</f>
        <v/>
      </c>
      <c r="D7" s="43">
        <f>IF($B7="","",IF(INDEX('Work Orders'!$B$11:$B$1010,$B7)="","",INDEX('Work Orders'!$B$11:$B$1010,$B7)))</f>
        <v/>
      </c>
      <c r="E7" s="43">
        <f>IF($B7="","",IF(INDEX('Work Orders'!$D$11:$D$1010,$B7)="","",INDEX('Work Orders'!$D$11:$D$1010,$B7)))</f>
        <v/>
      </c>
      <c r="F7" s="43">
        <f>IF($B7="","",IF(INDEX('Work Orders'!$Q$11:$Q$1010,$B7)="","",INDEX('Work Orders'!$Q$11:$Q$1010,$B7)))</f>
        <v/>
      </c>
      <c r="G7" s="43">
        <f>IF($B7="","",IF(INDEX('Work Orders'!$V$11:$V$1010,$B7)="","",INDEX('Work Orders'!$V$11:$V$1010,$B7)))</f>
        <v/>
      </c>
      <c r="H7" s="47">
        <f>IF($B7="","",IF(INDEX('Work Orders'!$U$11:$U$1010,$B7)="","",INDEX('Work Orders'!$U$11:$U$1010,$B7)))</f>
        <v/>
      </c>
      <c r="I7" s="47">
        <f>IF($B7="","",IF(INDEX('Work Orders'!$X$11:$X$1010,$B7)="","",INDEX('Work Orders'!$X$11:$X$1010,$B7)))</f>
        <v/>
      </c>
      <c r="J7" s="44">
        <f>IF($B7="","",IF(INDEX('Work Orders'!$Z$11:$Z$1010,$B7)="","",INDEX('Work Orders'!$Z$11:$Z$1010,$B7)))</f>
        <v/>
      </c>
      <c r="K7" s="44">
        <f>IF($B7="","",IF(INDEX('Work Orders'!$AG$11:$AG$1010,$B7)="","",INDEX('Work Orders'!$AG$11:$AG$1010,$B7)))</f>
        <v/>
      </c>
      <c r="L7" s="44">
        <f>IF($B7="","",IF(INDEX('Work Orders'!$AH$11:$AH$1010,$B7)="","",INDEX('Work Orders'!$AH$11:$AH$1010,$B7)))</f>
        <v/>
      </c>
      <c r="M7" s="46">
        <f>IF($B7="","",IF(INDEX('Work Orders'!$AM$11:$AM$1010,$B7)="","",INDEX('Work Orders'!$AM$11:$AM$1010,$B7)))</f>
        <v/>
      </c>
      <c r="N7" s="43">
        <f>IF($B7="","",IF(INDEX('Work Orders'!$AL$11:$AL$1010,$B7)="","",INDEX('Work Orders'!$AL$11:$AL$1010,$B7)))</f>
        <v/>
      </c>
      <c r="O7" s="43">
        <f>IF($B7="","",IF(INDEX('Work Orders'!$N$11:$N$1010,$B7)="","",INDEX('Work Orders'!$N$11:$N$1010,$B7)))</f>
        <v/>
      </c>
    </row>
    <row r="8">
      <c r="A8" s="68" t="n">
        <v>2</v>
      </c>
      <c r="B8">
        <f>IFERROR(MATCH(A8,'Work Orders'!$AO$11:$AO$1010,0),"")</f>
        <v/>
      </c>
      <c r="C8" s="43">
        <f>IF($B8="","",IF(INDEX('Work Orders'!$A$11:$A$1010,$B8)="","",INDEX('Work Orders'!$A$11:$A$1010,$B8)))</f>
        <v/>
      </c>
      <c r="D8" s="43">
        <f>IF($B8="","",IF(INDEX('Work Orders'!$B$11:$B$1010,$B8)="","",INDEX('Work Orders'!$B$11:$B$1010,$B8)))</f>
        <v/>
      </c>
      <c r="E8" s="43">
        <f>IF($B8="","",IF(INDEX('Work Orders'!$D$11:$D$1010,$B8)="","",INDEX('Work Orders'!$D$11:$D$1010,$B8)))</f>
        <v/>
      </c>
      <c r="F8" s="43">
        <f>IF($B8="","",IF(INDEX('Work Orders'!$Q$11:$Q$1010,$B8)="","",INDEX('Work Orders'!$Q$11:$Q$1010,$B8)))</f>
        <v/>
      </c>
      <c r="G8" s="43">
        <f>IF($B8="","",IF(INDEX('Work Orders'!$V$11:$V$1010,$B8)="","",INDEX('Work Orders'!$V$11:$V$1010,$B8)))</f>
        <v/>
      </c>
      <c r="H8" s="47">
        <f>IF($B8="","",IF(INDEX('Work Orders'!$U$11:$U$1010,$B8)="","",INDEX('Work Orders'!$U$11:$U$1010,$B8)))</f>
        <v/>
      </c>
      <c r="I8" s="47">
        <f>IF($B8="","",IF(INDEX('Work Orders'!$X$11:$X$1010,$B8)="","",INDEX('Work Orders'!$X$11:$X$1010,$B8)))</f>
        <v/>
      </c>
      <c r="J8" s="44">
        <f>IF($B8="","",IF(INDEX('Work Orders'!$Z$11:$Z$1010,$B8)="","",INDEX('Work Orders'!$Z$11:$Z$1010,$B8)))</f>
        <v/>
      </c>
      <c r="K8" s="44">
        <f>IF($B8="","",IF(INDEX('Work Orders'!$AG$11:$AG$1010,$B8)="","",INDEX('Work Orders'!$AG$11:$AG$1010,$B8)))</f>
        <v/>
      </c>
      <c r="L8" s="44">
        <f>IF($B8="","",IF(INDEX('Work Orders'!$AH$11:$AH$1010,$B8)="","",INDEX('Work Orders'!$AH$11:$AH$1010,$B8)))</f>
        <v/>
      </c>
      <c r="M8" s="46">
        <f>IF($B8="","",IF(INDEX('Work Orders'!$AM$11:$AM$1010,$B8)="","",INDEX('Work Orders'!$AM$11:$AM$1010,$B8)))</f>
        <v/>
      </c>
      <c r="N8" s="43">
        <f>IF($B8="","",IF(INDEX('Work Orders'!$AL$11:$AL$1010,$B8)="","",INDEX('Work Orders'!$AL$11:$AL$1010,$B8)))</f>
        <v/>
      </c>
      <c r="O8" s="43">
        <f>IF($B8="","",IF(INDEX('Work Orders'!$N$11:$N$1010,$B8)="","",INDEX('Work Orders'!$N$11:$N$1010,$B8)))</f>
        <v/>
      </c>
    </row>
    <row r="9">
      <c r="A9" s="68" t="n">
        <v>3</v>
      </c>
      <c r="B9">
        <f>IFERROR(MATCH(A9,'Work Orders'!$AO$11:$AO$1010,0),"")</f>
        <v/>
      </c>
      <c r="C9" s="43">
        <f>IF($B9="","",IF(INDEX('Work Orders'!$A$11:$A$1010,$B9)="","",INDEX('Work Orders'!$A$11:$A$1010,$B9)))</f>
        <v/>
      </c>
      <c r="D9" s="43">
        <f>IF($B9="","",IF(INDEX('Work Orders'!$B$11:$B$1010,$B9)="","",INDEX('Work Orders'!$B$11:$B$1010,$B9)))</f>
        <v/>
      </c>
      <c r="E9" s="43">
        <f>IF($B9="","",IF(INDEX('Work Orders'!$D$11:$D$1010,$B9)="","",INDEX('Work Orders'!$D$11:$D$1010,$B9)))</f>
        <v/>
      </c>
      <c r="F9" s="43">
        <f>IF($B9="","",IF(INDEX('Work Orders'!$Q$11:$Q$1010,$B9)="","",INDEX('Work Orders'!$Q$11:$Q$1010,$B9)))</f>
        <v/>
      </c>
      <c r="G9" s="43">
        <f>IF($B9="","",IF(INDEX('Work Orders'!$V$11:$V$1010,$B9)="","",INDEX('Work Orders'!$V$11:$V$1010,$B9)))</f>
        <v/>
      </c>
      <c r="H9" s="47">
        <f>IF($B9="","",IF(INDEX('Work Orders'!$U$11:$U$1010,$B9)="","",INDEX('Work Orders'!$U$11:$U$1010,$B9)))</f>
        <v/>
      </c>
      <c r="I9" s="47">
        <f>IF($B9="","",IF(INDEX('Work Orders'!$X$11:$X$1010,$B9)="","",INDEX('Work Orders'!$X$11:$X$1010,$B9)))</f>
        <v/>
      </c>
      <c r="J9" s="44">
        <f>IF($B9="","",IF(INDEX('Work Orders'!$Z$11:$Z$1010,$B9)="","",INDEX('Work Orders'!$Z$11:$Z$1010,$B9)))</f>
        <v/>
      </c>
      <c r="K9" s="44">
        <f>IF($B9="","",IF(INDEX('Work Orders'!$AG$11:$AG$1010,$B9)="","",INDEX('Work Orders'!$AG$11:$AG$1010,$B9)))</f>
        <v/>
      </c>
      <c r="L9" s="44">
        <f>IF($B9="","",IF(INDEX('Work Orders'!$AH$11:$AH$1010,$B9)="","",INDEX('Work Orders'!$AH$11:$AH$1010,$B9)))</f>
        <v/>
      </c>
      <c r="M9" s="46">
        <f>IF($B9="","",IF(INDEX('Work Orders'!$AM$11:$AM$1010,$B9)="","",INDEX('Work Orders'!$AM$11:$AM$1010,$B9)))</f>
        <v/>
      </c>
      <c r="N9" s="43">
        <f>IF($B9="","",IF(INDEX('Work Orders'!$AL$11:$AL$1010,$B9)="","",INDEX('Work Orders'!$AL$11:$AL$1010,$B9)))</f>
        <v/>
      </c>
      <c r="O9" s="43">
        <f>IF($B9="","",IF(INDEX('Work Orders'!$N$11:$N$1010,$B9)="","",INDEX('Work Orders'!$N$11:$N$1010,$B9)))</f>
        <v/>
      </c>
    </row>
    <row r="10">
      <c r="A10" s="68" t="n">
        <v>4</v>
      </c>
      <c r="B10">
        <f>IFERROR(MATCH(A10,'Work Orders'!$AO$11:$AO$1010,0),"")</f>
        <v/>
      </c>
      <c r="C10" s="43">
        <f>IF($B10="","",IF(INDEX('Work Orders'!$A$11:$A$1010,$B10)="","",INDEX('Work Orders'!$A$11:$A$1010,$B10)))</f>
        <v/>
      </c>
      <c r="D10" s="43">
        <f>IF($B10="","",IF(INDEX('Work Orders'!$B$11:$B$1010,$B10)="","",INDEX('Work Orders'!$B$11:$B$1010,$B10)))</f>
        <v/>
      </c>
      <c r="E10" s="43">
        <f>IF($B10="","",IF(INDEX('Work Orders'!$D$11:$D$1010,$B10)="","",INDEX('Work Orders'!$D$11:$D$1010,$B10)))</f>
        <v/>
      </c>
      <c r="F10" s="43">
        <f>IF($B10="","",IF(INDEX('Work Orders'!$Q$11:$Q$1010,$B10)="","",INDEX('Work Orders'!$Q$11:$Q$1010,$B10)))</f>
        <v/>
      </c>
      <c r="G10" s="43">
        <f>IF($B10="","",IF(INDEX('Work Orders'!$V$11:$V$1010,$B10)="","",INDEX('Work Orders'!$V$11:$V$1010,$B10)))</f>
        <v/>
      </c>
      <c r="H10" s="47">
        <f>IF($B10="","",IF(INDEX('Work Orders'!$U$11:$U$1010,$B10)="","",INDEX('Work Orders'!$U$11:$U$1010,$B10)))</f>
        <v/>
      </c>
      <c r="I10" s="47">
        <f>IF($B10="","",IF(INDEX('Work Orders'!$X$11:$X$1010,$B10)="","",INDEX('Work Orders'!$X$11:$X$1010,$B10)))</f>
        <v/>
      </c>
      <c r="J10" s="44">
        <f>IF($B10="","",IF(INDEX('Work Orders'!$Z$11:$Z$1010,$B10)="","",INDEX('Work Orders'!$Z$11:$Z$1010,$B10)))</f>
        <v/>
      </c>
      <c r="K10" s="44">
        <f>IF($B10="","",IF(INDEX('Work Orders'!$AG$11:$AG$1010,$B10)="","",INDEX('Work Orders'!$AG$11:$AG$1010,$B10)))</f>
        <v/>
      </c>
      <c r="L10" s="44">
        <f>IF($B10="","",IF(INDEX('Work Orders'!$AH$11:$AH$1010,$B10)="","",INDEX('Work Orders'!$AH$11:$AH$1010,$B10)))</f>
        <v/>
      </c>
      <c r="M10" s="46">
        <f>IF($B10="","",IF(INDEX('Work Orders'!$AM$11:$AM$1010,$B10)="","",INDEX('Work Orders'!$AM$11:$AM$1010,$B10)))</f>
        <v/>
      </c>
      <c r="N10" s="43">
        <f>IF($B10="","",IF(INDEX('Work Orders'!$AL$11:$AL$1010,$B10)="","",INDEX('Work Orders'!$AL$11:$AL$1010,$B10)))</f>
        <v/>
      </c>
      <c r="O10" s="43">
        <f>IF($B10="","",IF(INDEX('Work Orders'!$N$11:$N$1010,$B10)="","",INDEX('Work Orders'!$N$11:$N$1010,$B10)))</f>
        <v/>
      </c>
    </row>
    <row r="11">
      <c r="A11" s="68" t="n">
        <v>5</v>
      </c>
      <c r="B11">
        <f>IFERROR(MATCH(A11,'Work Orders'!$AO$11:$AO$1010,0),"")</f>
        <v/>
      </c>
      <c r="C11" s="43">
        <f>IF($B11="","",IF(INDEX('Work Orders'!$A$11:$A$1010,$B11)="","",INDEX('Work Orders'!$A$11:$A$1010,$B11)))</f>
        <v/>
      </c>
      <c r="D11" s="43">
        <f>IF($B11="","",IF(INDEX('Work Orders'!$B$11:$B$1010,$B11)="","",INDEX('Work Orders'!$B$11:$B$1010,$B11)))</f>
        <v/>
      </c>
      <c r="E11" s="43">
        <f>IF($B11="","",IF(INDEX('Work Orders'!$D$11:$D$1010,$B11)="","",INDEX('Work Orders'!$D$11:$D$1010,$B11)))</f>
        <v/>
      </c>
      <c r="F11" s="43">
        <f>IF($B11="","",IF(INDEX('Work Orders'!$Q$11:$Q$1010,$B11)="","",INDEX('Work Orders'!$Q$11:$Q$1010,$B11)))</f>
        <v/>
      </c>
      <c r="G11" s="43">
        <f>IF($B11="","",IF(INDEX('Work Orders'!$V$11:$V$1010,$B11)="","",INDEX('Work Orders'!$V$11:$V$1010,$B11)))</f>
        <v/>
      </c>
      <c r="H11" s="47">
        <f>IF($B11="","",IF(INDEX('Work Orders'!$U$11:$U$1010,$B11)="","",INDEX('Work Orders'!$U$11:$U$1010,$B11)))</f>
        <v/>
      </c>
      <c r="I11" s="47">
        <f>IF($B11="","",IF(INDEX('Work Orders'!$X$11:$X$1010,$B11)="","",INDEX('Work Orders'!$X$11:$X$1010,$B11)))</f>
        <v/>
      </c>
      <c r="J11" s="44">
        <f>IF($B11="","",IF(INDEX('Work Orders'!$Z$11:$Z$1010,$B11)="","",INDEX('Work Orders'!$Z$11:$Z$1010,$B11)))</f>
        <v/>
      </c>
      <c r="K11" s="44">
        <f>IF($B11="","",IF(INDEX('Work Orders'!$AG$11:$AG$1010,$B11)="","",INDEX('Work Orders'!$AG$11:$AG$1010,$B11)))</f>
        <v/>
      </c>
      <c r="L11" s="44">
        <f>IF($B11="","",IF(INDEX('Work Orders'!$AH$11:$AH$1010,$B11)="","",INDEX('Work Orders'!$AH$11:$AH$1010,$B11)))</f>
        <v/>
      </c>
      <c r="M11" s="46">
        <f>IF($B11="","",IF(INDEX('Work Orders'!$AM$11:$AM$1010,$B11)="","",INDEX('Work Orders'!$AM$11:$AM$1010,$B11)))</f>
        <v/>
      </c>
      <c r="N11" s="43">
        <f>IF($B11="","",IF(INDEX('Work Orders'!$AL$11:$AL$1010,$B11)="","",INDEX('Work Orders'!$AL$11:$AL$1010,$B11)))</f>
        <v/>
      </c>
      <c r="O11" s="43">
        <f>IF($B11="","",IF(INDEX('Work Orders'!$N$11:$N$1010,$B11)="","",INDEX('Work Orders'!$N$11:$N$1010,$B11)))</f>
        <v/>
      </c>
    </row>
    <row r="12">
      <c r="A12" s="68" t="n">
        <v>6</v>
      </c>
      <c r="B12">
        <f>IFERROR(MATCH(A12,'Work Orders'!$AO$11:$AO$1010,0),"")</f>
        <v/>
      </c>
      <c r="C12" s="43">
        <f>IF($B12="","",IF(INDEX('Work Orders'!$A$11:$A$1010,$B12)="","",INDEX('Work Orders'!$A$11:$A$1010,$B12)))</f>
        <v/>
      </c>
      <c r="D12" s="43">
        <f>IF($B12="","",IF(INDEX('Work Orders'!$B$11:$B$1010,$B12)="","",INDEX('Work Orders'!$B$11:$B$1010,$B12)))</f>
        <v/>
      </c>
      <c r="E12" s="43">
        <f>IF($B12="","",IF(INDEX('Work Orders'!$D$11:$D$1010,$B12)="","",INDEX('Work Orders'!$D$11:$D$1010,$B12)))</f>
        <v/>
      </c>
      <c r="F12" s="43">
        <f>IF($B12="","",IF(INDEX('Work Orders'!$Q$11:$Q$1010,$B12)="","",INDEX('Work Orders'!$Q$11:$Q$1010,$B12)))</f>
        <v/>
      </c>
      <c r="G12" s="43">
        <f>IF($B12="","",IF(INDEX('Work Orders'!$V$11:$V$1010,$B12)="","",INDEX('Work Orders'!$V$11:$V$1010,$B12)))</f>
        <v/>
      </c>
      <c r="H12" s="47">
        <f>IF($B12="","",IF(INDEX('Work Orders'!$U$11:$U$1010,$B12)="","",INDEX('Work Orders'!$U$11:$U$1010,$B12)))</f>
        <v/>
      </c>
      <c r="I12" s="47">
        <f>IF($B12="","",IF(INDEX('Work Orders'!$X$11:$X$1010,$B12)="","",INDEX('Work Orders'!$X$11:$X$1010,$B12)))</f>
        <v/>
      </c>
      <c r="J12" s="44">
        <f>IF($B12="","",IF(INDEX('Work Orders'!$Z$11:$Z$1010,$B12)="","",INDEX('Work Orders'!$Z$11:$Z$1010,$B12)))</f>
        <v/>
      </c>
      <c r="K12" s="44">
        <f>IF($B12="","",IF(INDEX('Work Orders'!$AG$11:$AG$1010,$B12)="","",INDEX('Work Orders'!$AG$11:$AG$1010,$B12)))</f>
        <v/>
      </c>
      <c r="L12" s="44">
        <f>IF($B12="","",IF(INDEX('Work Orders'!$AH$11:$AH$1010,$B12)="","",INDEX('Work Orders'!$AH$11:$AH$1010,$B12)))</f>
        <v/>
      </c>
      <c r="M12" s="46">
        <f>IF($B12="","",IF(INDEX('Work Orders'!$AM$11:$AM$1010,$B12)="","",INDEX('Work Orders'!$AM$11:$AM$1010,$B12)))</f>
        <v/>
      </c>
      <c r="N12" s="43">
        <f>IF($B12="","",IF(INDEX('Work Orders'!$AL$11:$AL$1010,$B12)="","",INDEX('Work Orders'!$AL$11:$AL$1010,$B12)))</f>
        <v/>
      </c>
      <c r="O12" s="43">
        <f>IF($B12="","",IF(INDEX('Work Orders'!$N$11:$N$1010,$B12)="","",INDEX('Work Orders'!$N$11:$N$1010,$B12)))</f>
        <v/>
      </c>
    </row>
    <row r="13">
      <c r="A13" s="68" t="n">
        <v>7</v>
      </c>
      <c r="B13">
        <f>IFERROR(MATCH(A13,'Work Orders'!$AO$11:$AO$1010,0),"")</f>
        <v/>
      </c>
      <c r="C13" s="43">
        <f>IF($B13="","",IF(INDEX('Work Orders'!$A$11:$A$1010,$B13)="","",INDEX('Work Orders'!$A$11:$A$1010,$B13)))</f>
        <v/>
      </c>
      <c r="D13" s="43">
        <f>IF($B13="","",IF(INDEX('Work Orders'!$B$11:$B$1010,$B13)="","",INDEX('Work Orders'!$B$11:$B$1010,$B13)))</f>
        <v/>
      </c>
      <c r="E13" s="43">
        <f>IF($B13="","",IF(INDEX('Work Orders'!$D$11:$D$1010,$B13)="","",INDEX('Work Orders'!$D$11:$D$1010,$B13)))</f>
        <v/>
      </c>
      <c r="F13" s="43">
        <f>IF($B13="","",IF(INDEX('Work Orders'!$Q$11:$Q$1010,$B13)="","",INDEX('Work Orders'!$Q$11:$Q$1010,$B13)))</f>
        <v/>
      </c>
      <c r="G13" s="43">
        <f>IF($B13="","",IF(INDEX('Work Orders'!$V$11:$V$1010,$B13)="","",INDEX('Work Orders'!$V$11:$V$1010,$B13)))</f>
        <v/>
      </c>
      <c r="H13" s="47">
        <f>IF($B13="","",IF(INDEX('Work Orders'!$U$11:$U$1010,$B13)="","",INDEX('Work Orders'!$U$11:$U$1010,$B13)))</f>
        <v/>
      </c>
      <c r="I13" s="47">
        <f>IF($B13="","",IF(INDEX('Work Orders'!$X$11:$X$1010,$B13)="","",INDEX('Work Orders'!$X$11:$X$1010,$B13)))</f>
        <v/>
      </c>
      <c r="J13" s="44">
        <f>IF($B13="","",IF(INDEX('Work Orders'!$Z$11:$Z$1010,$B13)="","",INDEX('Work Orders'!$Z$11:$Z$1010,$B13)))</f>
        <v/>
      </c>
      <c r="K13" s="44">
        <f>IF($B13="","",IF(INDEX('Work Orders'!$AG$11:$AG$1010,$B13)="","",INDEX('Work Orders'!$AG$11:$AG$1010,$B13)))</f>
        <v/>
      </c>
      <c r="L13" s="44">
        <f>IF($B13="","",IF(INDEX('Work Orders'!$AH$11:$AH$1010,$B13)="","",INDEX('Work Orders'!$AH$11:$AH$1010,$B13)))</f>
        <v/>
      </c>
      <c r="M13" s="46">
        <f>IF($B13="","",IF(INDEX('Work Orders'!$AM$11:$AM$1010,$B13)="","",INDEX('Work Orders'!$AM$11:$AM$1010,$B13)))</f>
        <v/>
      </c>
      <c r="N13" s="43">
        <f>IF($B13="","",IF(INDEX('Work Orders'!$AL$11:$AL$1010,$B13)="","",INDEX('Work Orders'!$AL$11:$AL$1010,$B13)))</f>
        <v/>
      </c>
      <c r="O13" s="43">
        <f>IF($B13="","",IF(INDEX('Work Orders'!$N$11:$N$1010,$B13)="","",INDEX('Work Orders'!$N$11:$N$1010,$B13)))</f>
        <v/>
      </c>
    </row>
    <row r="14">
      <c r="A14" s="68" t="n">
        <v>8</v>
      </c>
      <c r="B14">
        <f>IFERROR(MATCH(A14,'Work Orders'!$AO$11:$AO$1010,0),"")</f>
        <v/>
      </c>
      <c r="C14" s="43">
        <f>IF($B14="","",IF(INDEX('Work Orders'!$A$11:$A$1010,$B14)="","",INDEX('Work Orders'!$A$11:$A$1010,$B14)))</f>
        <v/>
      </c>
      <c r="D14" s="43">
        <f>IF($B14="","",IF(INDEX('Work Orders'!$B$11:$B$1010,$B14)="","",INDEX('Work Orders'!$B$11:$B$1010,$B14)))</f>
        <v/>
      </c>
      <c r="E14" s="43">
        <f>IF($B14="","",IF(INDEX('Work Orders'!$D$11:$D$1010,$B14)="","",INDEX('Work Orders'!$D$11:$D$1010,$B14)))</f>
        <v/>
      </c>
      <c r="F14" s="43">
        <f>IF($B14="","",IF(INDEX('Work Orders'!$Q$11:$Q$1010,$B14)="","",INDEX('Work Orders'!$Q$11:$Q$1010,$B14)))</f>
        <v/>
      </c>
      <c r="G14" s="43">
        <f>IF($B14="","",IF(INDEX('Work Orders'!$V$11:$V$1010,$B14)="","",INDEX('Work Orders'!$V$11:$V$1010,$B14)))</f>
        <v/>
      </c>
      <c r="H14" s="47">
        <f>IF($B14="","",IF(INDEX('Work Orders'!$U$11:$U$1010,$B14)="","",INDEX('Work Orders'!$U$11:$U$1010,$B14)))</f>
        <v/>
      </c>
      <c r="I14" s="47">
        <f>IF($B14="","",IF(INDEX('Work Orders'!$X$11:$X$1010,$B14)="","",INDEX('Work Orders'!$X$11:$X$1010,$B14)))</f>
        <v/>
      </c>
      <c r="J14" s="44">
        <f>IF($B14="","",IF(INDEX('Work Orders'!$Z$11:$Z$1010,$B14)="","",INDEX('Work Orders'!$Z$11:$Z$1010,$B14)))</f>
        <v/>
      </c>
      <c r="K14" s="44">
        <f>IF($B14="","",IF(INDEX('Work Orders'!$AG$11:$AG$1010,$B14)="","",INDEX('Work Orders'!$AG$11:$AG$1010,$B14)))</f>
        <v/>
      </c>
      <c r="L14" s="44">
        <f>IF($B14="","",IF(INDEX('Work Orders'!$AH$11:$AH$1010,$B14)="","",INDEX('Work Orders'!$AH$11:$AH$1010,$B14)))</f>
        <v/>
      </c>
      <c r="M14" s="46">
        <f>IF($B14="","",IF(INDEX('Work Orders'!$AM$11:$AM$1010,$B14)="","",INDEX('Work Orders'!$AM$11:$AM$1010,$B14)))</f>
        <v/>
      </c>
      <c r="N14" s="43">
        <f>IF($B14="","",IF(INDEX('Work Orders'!$AL$11:$AL$1010,$B14)="","",INDEX('Work Orders'!$AL$11:$AL$1010,$B14)))</f>
        <v/>
      </c>
      <c r="O14" s="43">
        <f>IF($B14="","",IF(INDEX('Work Orders'!$N$11:$N$1010,$B14)="","",INDEX('Work Orders'!$N$11:$N$1010,$B14)))</f>
        <v/>
      </c>
    </row>
    <row r="15">
      <c r="A15" s="68" t="n">
        <v>9</v>
      </c>
      <c r="B15">
        <f>IFERROR(MATCH(A15,'Work Orders'!$AO$11:$AO$1010,0),"")</f>
        <v/>
      </c>
      <c r="C15" s="43">
        <f>IF($B15="","",IF(INDEX('Work Orders'!$A$11:$A$1010,$B15)="","",INDEX('Work Orders'!$A$11:$A$1010,$B15)))</f>
        <v/>
      </c>
      <c r="D15" s="43">
        <f>IF($B15="","",IF(INDEX('Work Orders'!$B$11:$B$1010,$B15)="","",INDEX('Work Orders'!$B$11:$B$1010,$B15)))</f>
        <v/>
      </c>
      <c r="E15" s="43">
        <f>IF($B15="","",IF(INDEX('Work Orders'!$D$11:$D$1010,$B15)="","",INDEX('Work Orders'!$D$11:$D$1010,$B15)))</f>
        <v/>
      </c>
      <c r="F15" s="43">
        <f>IF($B15="","",IF(INDEX('Work Orders'!$Q$11:$Q$1010,$B15)="","",INDEX('Work Orders'!$Q$11:$Q$1010,$B15)))</f>
        <v/>
      </c>
      <c r="G15" s="43">
        <f>IF($B15="","",IF(INDEX('Work Orders'!$V$11:$V$1010,$B15)="","",INDEX('Work Orders'!$V$11:$V$1010,$B15)))</f>
        <v/>
      </c>
      <c r="H15" s="47">
        <f>IF($B15="","",IF(INDEX('Work Orders'!$U$11:$U$1010,$B15)="","",INDEX('Work Orders'!$U$11:$U$1010,$B15)))</f>
        <v/>
      </c>
      <c r="I15" s="47">
        <f>IF($B15="","",IF(INDEX('Work Orders'!$X$11:$X$1010,$B15)="","",INDEX('Work Orders'!$X$11:$X$1010,$B15)))</f>
        <v/>
      </c>
      <c r="J15" s="44">
        <f>IF($B15="","",IF(INDEX('Work Orders'!$Z$11:$Z$1010,$B15)="","",INDEX('Work Orders'!$Z$11:$Z$1010,$B15)))</f>
        <v/>
      </c>
      <c r="K15" s="44">
        <f>IF($B15="","",IF(INDEX('Work Orders'!$AG$11:$AG$1010,$B15)="","",INDEX('Work Orders'!$AG$11:$AG$1010,$B15)))</f>
        <v/>
      </c>
      <c r="L15" s="44">
        <f>IF($B15="","",IF(INDEX('Work Orders'!$AH$11:$AH$1010,$B15)="","",INDEX('Work Orders'!$AH$11:$AH$1010,$B15)))</f>
        <v/>
      </c>
      <c r="M15" s="46">
        <f>IF($B15="","",IF(INDEX('Work Orders'!$AM$11:$AM$1010,$B15)="","",INDEX('Work Orders'!$AM$11:$AM$1010,$B15)))</f>
        <v/>
      </c>
      <c r="N15" s="43">
        <f>IF($B15="","",IF(INDEX('Work Orders'!$AL$11:$AL$1010,$B15)="","",INDEX('Work Orders'!$AL$11:$AL$1010,$B15)))</f>
        <v/>
      </c>
      <c r="O15" s="43">
        <f>IF($B15="","",IF(INDEX('Work Orders'!$N$11:$N$1010,$B15)="","",INDEX('Work Orders'!$N$11:$N$1010,$B15)))</f>
        <v/>
      </c>
    </row>
    <row r="16">
      <c r="A16" s="68" t="n">
        <v>10</v>
      </c>
      <c r="B16">
        <f>IFERROR(MATCH(A16,'Work Orders'!$AO$11:$AO$1010,0),"")</f>
        <v/>
      </c>
      <c r="C16" s="43">
        <f>IF($B16="","",IF(INDEX('Work Orders'!$A$11:$A$1010,$B16)="","",INDEX('Work Orders'!$A$11:$A$1010,$B16)))</f>
        <v/>
      </c>
      <c r="D16" s="43">
        <f>IF($B16="","",IF(INDEX('Work Orders'!$B$11:$B$1010,$B16)="","",INDEX('Work Orders'!$B$11:$B$1010,$B16)))</f>
        <v/>
      </c>
      <c r="E16" s="43">
        <f>IF($B16="","",IF(INDEX('Work Orders'!$D$11:$D$1010,$B16)="","",INDEX('Work Orders'!$D$11:$D$1010,$B16)))</f>
        <v/>
      </c>
      <c r="F16" s="43">
        <f>IF($B16="","",IF(INDEX('Work Orders'!$Q$11:$Q$1010,$B16)="","",INDEX('Work Orders'!$Q$11:$Q$1010,$B16)))</f>
        <v/>
      </c>
      <c r="G16" s="43">
        <f>IF($B16="","",IF(INDEX('Work Orders'!$V$11:$V$1010,$B16)="","",INDEX('Work Orders'!$V$11:$V$1010,$B16)))</f>
        <v/>
      </c>
      <c r="H16" s="47">
        <f>IF($B16="","",IF(INDEX('Work Orders'!$U$11:$U$1010,$B16)="","",INDEX('Work Orders'!$U$11:$U$1010,$B16)))</f>
        <v/>
      </c>
      <c r="I16" s="47">
        <f>IF($B16="","",IF(INDEX('Work Orders'!$X$11:$X$1010,$B16)="","",INDEX('Work Orders'!$X$11:$X$1010,$B16)))</f>
        <v/>
      </c>
      <c r="J16" s="44">
        <f>IF($B16="","",IF(INDEX('Work Orders'!$Z$11:$Z$1010,$B16)="","",INDEX('Work Orders'!$Z$11:$Z$1010,$B16)))</f>
        <v/>
      </c>
      <c r="K16" s="44">
        <f>IF($B16="","",IF(INDEX('Work Orders'!$AG$11:$AG$1010,$B16)="","",INDEX('Work Orders'!$AG$11:$AG$1010,$B16)))</f>
        <v/>
      </c>
      <c r="L16" s="44">
        <f>IF($B16="","",IF(INDEX('Work Orders'!$AH$11:$AH$1010,$B16)="","",INDEX('Work Orders'!$AH$11:$AH$1010,$B16)))</f>
        <v/>
      </c>
      <c r="M16" s="46">
        <f>IF($B16="","",IF(INDEX('Work Orders'!$AM$11:$AM$1010,$B16)="","",INDEX('Work Orders'!$AM$11:$AM$1010,$B16)))</f>
        <v/>
      </c>
      <c r="N16" s="43">
        <f>IF($B16="","",IF(INDEX('Work Orders'!$AL$11:$AL$1010,$B16)="","",INDEX('Work Orders'!$AL$11:$AL$1010,$B16)))</f>
        <v/>
      </c>
      <c r="O16" s="43">
        <f>IF($B16="","",IF(INDEX('Work Orders'!$N$11:$N$1010,$B16)="","",INDEX('Work Orders'!$N$11:$N$1010,$B16)))</f>
        <v/>
      </c>
    </row>
    <row r="17">
      <c r="A17" s="68" t="n">
        <v>11</v>
      </c>
      <c r="B17">
        <f>IFERROR(MATCH(A17,'Work Orders'!$AO$11:$AO$1010,0),"")</f>
        <v/>
      </c>
      <c r="C17" s="43">
        <f>IF($B17="","",IF(INDEX('Work Orders'!$A$11:$A$1010,$B17)="","",INDEX('Work Orders'!$A$11:$A$1010,$B17)))</f>
        <v/>
      </c>
      <c r="D17" s="43">
        <f>IF($B17="","",IF(INDEX('Work Orders'!$B$11:$B$1010,$B17)="","",INDEX('Work Orders'!$B$11:$B$1010,$B17)))</f>
        <v/>
      </c>
      <c r="E17" s="43">
        <f>IF($B17="","",IF(INDEX('Work Orders'!$D$11:$D$1010,$B17)="","",INDEX('Work Orders'!$D$11:$D$1010,$B17)))</f>
        <v/>
      </c>
      <c r="F17" s="43">
        <f>IF($B17="","",IF(INDEX('Work Orders'!$Q$11:$Q$1010,$B17)="","",INDEX('Work Orders'!$Q$11:$Q$1010,$B17)))</f>
        <v/>
      </c>
      <c r="G17" s="43">
        <f>IF($B17="","",IF(INDEX('Work Orders'!$V$11:$V$1010,$B17)="","",INDEX('Work Orders'!$V$11:$V$1010,$B17)))</f>
        <v/>
      </c>
      <c r="H17" s="47">
        <f>IF($B17="","",IF(INDEX('Work Orders'!$U$11:$U$1010,$B17)="","",INDEX('Work Orders'!$U$11:$U$1010,$B17)))</f>
        <v/>
      </c>
      <c r="I17" s="47">
        <f>IF($B17="","",IF(INDEX('Work Orders'!$X$11:$X$1010,$B17)="","",INDEX('Work Orders'!$X$11:$X$1010,$B17)))</f>
        <v/>
      </c>
      <c r="J17" s="44">
        <f>IF($B17="","",IF(INDEX('Work Orders'!$Z$11:$Z$1010,$B17)="","",INDEX('Work Orders'!$Z$11:$Z$1010,$B17)))</f>
        <v/>
      </c>
      <c r="K17" s="44">
        <f>IF($B17="","",IF(INDEX('Work Orders'!$AG$11:$AG$1010,$B17)="","",INDEX('Work Orders'!$AG$11:$AG$1010,$B17)))</f>
        <v/>
      </c>
      <c r="L17" s="44">
        <f>IF($B17="","",IF(INDEX('Work Orders'!$AH$11:$AH$1010,$B17)="","",INDEX('Work Orders'!$AH$11:$AH$1010,$B17)))</f>
        <v/>
      </c>
      <c r="M17" s="46">
        <f>IF($B17="","",IF(INDEX('Work Orders'!$AM$11:$AM$1010,$B17)="","",INDEX('Work Orders'!$AM$11:$AM$1010,$B17)))</f>
        <v/>
      </c>
      <c r="N17" s="43">
        <f>IF($B17="","",IF(INDEX('Work Orders'!$AL$11:$AL$1010,$B17)="","",INDEX('Work Orders'!$AL$11:$AL$1010,$B17)))</f>
        <v/>
      </c>
      <c r="O17" s="43">
        <f>IF($B17="","",IF(INDEX('Work Orders'!$N$11:$N$1010,$B17)="","",INDEX('Work Orders'!$N$11:$N$1010,$B17)))</f>
        <v/>
      </c>
    </row>
    <row r="18">
      <c r="A18" s="68" t="n">
        <v>12</v>
      </c>
      <c r="B18">
        <f>IFERROR(MATCH(A18,'Work Orders'!$AO$11:$AO$1010,0),"")</f>
        <v/>
      </c>
      <c r="C18" s="43">
        <f>IF($B18="","",IF(INDEX('Work Orders'!$A$11:$A$1010,$B18)="","",INDEX('Work Orders'!$A$11:$A$1010,$B18)))</f>
        <v/>
      </c>
      <c r="D18" s="43">
        <f>IF($B18="","",IF(INDEX('Work Orders'!$B$11:$B$1010,$B18)="","",INDEX('Work Orders'!$B$11:$B$1010,$B18)))</f>
        <v/>
      </c>
      <c r="E18" s="43">
        <f>IF($B18="","",IF(INDEX('Work Orders'!$D$11:$D$1010,$B18)="","",INDEX('Work Orders'!$D$11:$D$1010,$B18)))</f>
        <v/>
      </c>
      <c r="F18" s="43">
        <f>IF($B18="","",IF(INDEX('Work Orders'!$Q$11:$Q$1010,$B18)="","",INDEX('Work Orders'!$Q$11:$Q$1010,$B18)))</f>
        <v/>
      </c>
      <c r="G18" s="43">
        <f>IF($B18="","",IF(INDEX('Work Orders'!$V$11:$V$1010,$B18)="","",INDEX('Work Orders'!$V$11:$V$1010,$B18)))</f>
        <v/>
      </c>
      <c r="H18" s="47">
        <f>IF($B18="","",IF(INDEX('Work Orders'!$U$11:$U$1010,$B18)="","",INDEX('Work Orders'!$U$11:$U$1010,$B18)))</f>
        <v/>
      </c>
      <c r="I18" s="47">
        <f>IF($B18="","",IF(INDEX('Work Orders'!$X$11:$X$1010,$B18)="","",INDEX('Work Orders'!$X$11:$X$1010,$B18)))</f>
        <v/>
      </c>
      <c r="J18" s="44">
        <f>IF($B18="","",IF(INDEX('Work Orders'!$Z$11:$Z$1010,$B18)="","",INDEX('Work Orders'!$Z$11:$Z$1010,$B18)))</f>
        <v/>
      </c>
      <c r="K18" s="44">
        <f>IF($B18="","",IF(INDEX('Work Orders'!$AG$11:$AG$1010,$B18)="","",INDEX('Work Orders'!$AG$11:$AG$1010,$B18)))</f>
        <v/>
      </c>
      <c r="L18" s="44">
        <f>IF($B18="","",IF(INDEX('Work Orders'!$AH$11:$AH$1010,$B18)="","",INDEX('Work Orders'!$AH$11:$AH$1010,$B18)))</f>
        <v/>
      </c>
      <c r="M18" s="46">
        <f>IF($B18="","",IF(INDEX('Work Orders'!$AM$11:$AM$1010,$B18)="","",INDEX('Work Orders'!$AM$11:$AM$1010,$B18)))</f>
        <v/>
      </c>
      <c r="N18" s="43">
        <f>IF($B18="","",IF(INDEX('Work Orders'!$AL$11:$AL$1010,$B18)="","",INDEX('Work Orders'!$AL$11:$AL$1010,$B18)))</f>
        <v/>
      </c>
      <c r="O18" s="43">
        <f>IF($B18="","",IF(INDEX('Work Orders'!$N$11:$N$1010,$B18)="","",INDEX('Work Orders'!$N$11:$N$1010,$B18)))</f>
        <v/>
      </c>
    </row>
    <row r="19">
      <c r="A19" s="68" t="n">
        <v>13</v>
      </c>
      <c r="B19">
        <f>IFERROR(MATCH(A19,'Work Orders'!$AO$11:$AO$1010,0),"")</f>
        <v/>
      </c>
      <c r="C19" s="43">
        <f>IF($B19="","",IF(INDEX('Work Orders'!$A$11:$A$1010,$B19)="","",INDEX('Work Orders'!$A$11:$A$1010,$B19)))</f>
        <v/>
      </c>
      <c r="D19" s="43">
        <f>IF($B19="","",IF(INDEX('Work Orders'!$B$11:$B$1010,$B19)="","",INDEX('Work Orders'!$B$11:$B$1010,$B19)))</f>
        <v/>
      </c>
      <c r="E19" s="43">
        <f>IF($B19="","",IF(INDEX('Work Orders'!$D$11:$D$1010,$B19)="","",INDEX('Work Orders'!$D$11:$D$1010,$B19)))</f>
        <v/>
      </c>
      <c r="F19" s="43">
        <f>IF($B19="","",IF(INDEX('Work Orders'!$Q$11:$Q$1010,$B19)="","",INDEX('Work Orders'!$Q$11:$Q$1010,$B19)))</f>
        <v/>
      </c>
      <c r="G19" s="43">
        <f>IF($B19="","",IF(INDEX('Work Orders'!$V$11:$V$1010,$B19)="","",INDEX('Work Orders'!$V$11:$V$1010,$B19)))</f>
        <v/>
      </c>
      <c r="H19" s="47">
        <f>IF($B19="","",IF(INDEX('Work Orders'!$U$11:$U$1010,$B19)="","",INDEX('Work Orders'!$U$11:$U$1010,$B19)))</f>
        <v/>
      </c>
      <c r="I19" s="47">
        <f>IF($B19="","",IF(INDEX('Work Orders'!$X$11:$X$1010,$B19)="","",INDEX('Work Orders'!$X$11:$X$1010,$B19)))</f>
        <v/>
      </c>
      <c r="J19" s="44">
        <f>IF($B19="","",IF(INDEX('Work Orders'!$Z$11:$Z$1010,$B19)="","",INDEX('Work Orders'!$Z$11:$Z$1010,$B19)))</f>
        <v/>
      </c>
      <c r="K19" s="44">
        <f>IF($B19="","",IF(INDEX('Work Orders'!$AG$11:$AG$1010,$B19)="","",INDEX('Work Orders'!$AG$11:$AG$1010,$B19)))</f>
        <v/>
      </c>
      <c r="L19" s="44">
        <f>IF($B19="","",IF(INDEX('Work Orders'!$AH$11:$AH$1010,$B19)="","",INDEX('Work Orders'!$AH$11:$AH$1010,$B19)))</f>
        <v/>
      </c>
      <c r="M19" s="46">
        <f>IF($B19="","",IF(INDEX('Work Orders'!$AM$11:$AM$1010,$B19)="","",INDEX('Work Orders'!$AM$11:$AM$1010,$B19)))</f>
        <v/>
      </c>
      <c r="N19" s="43">
        <f>IF($B19="","",IF(INDEX('Work Orders'!$AL$11:$AL$1010,$B19)="","",INDEX('Work Orders'!$AL$11:$AL$1010,$B19)))</f>
        <v/>
      </c>
      <c r="O19" s="43">
        <f>IF($B19="","",IF(INDEX('Work Orders'!$N$11:$N$1010,$B19)="","",INDEX('Work Orders'!$N$11:$N$1010,$B19)))</f>
        <v/>
      </c>
    </row>
    <row r="20">
      <c r="A20" s="68" t="n">
        <v>14</v>
      </c>
      <c r="B20">
        <f>IFERROR(MATCH(A20,'Work Orders'!$AO$11:$AO$1010,0),"")</f>
        <v/>
      </c>
      <c r="C20" s="43">
        <f>IF($B20="","",IF(INDEX('Work Orders'!$A$11:$A$1010,$B20)="","",INDEX('Work Orders'!$A$11:$A$1010,$B20)))</f>
        <v/>
      </c>
      <c r="D20" s="43">
        <f>IF($B20="","",IF(INDEX('Work Orders'!$B$11:$B$1010,$B20)="","",INDEX('Work Orders'!$B$11:$B$1010,$B20)))</f>
        <v/>
      </c>
      <c r="E20" s="43">
        <f>IF($B20="","",IF(INDEX('Work Orders'!$D$11:$D$1010,$B20)="","",INDEX('Work Orders'!$D$11:$D$1010,$B20)))</f>
        <v/>
      </c>
      <c r="F20" s="43">
        <f>IF($B20="","",IF(INDEX('Work Orders'!$Q$11:$Q$1010,$B20)="","",INDEX('Work Orders'!$Q$11:$Q$1010,$B20)))</f>
        <v/>
      </c>
      <c r="G20" s="43">
        <f>IF($B20="","",IF(INDEX('Work Orders'!$V$11:$V$1010,$B20)="","",INDEX('Work Orders'!$V$11:$V$1010,$B20)))</f>
        <v/>
      </c>
      <c r="H20" s="47">
        <f>IF($B20="","",IF(INDEX('Work Orders'!$U$11:$U$1010,$B20)="","",INDEX('Work Orders'!$U$11:$U$1010,$B20)))</f>
        <v/>
      </c>
      <c r="I20" s="47">
        <f>IF($B20="","",IF(INDEX('Work Orders'!$X$11:$X$1010,$B20)="","",INDEX('Work Orders'!$X$11:$X$1010,$B20)))</f>
        <v/>
      </c>
      <c r="J20" s="44">
        <f>IF($B20="","",IF(INDEX('Work Orders'!$Z$11:$Z$1010,$B20)="","",INDEX('Work Orders'!$Z$11:$Z$1010,$B20)))</f>
        <v/>
      </c>
      <c r="K20" s="44">
        <f>IF($B20="","",IF(INDEX('Work Orders'!$AG$11:$AG$1010,$B20)="","",INDEX('Work Orders'!$AG$11:$AG$1010,$B20)))</f>
        <v/>
      </c>
      <c r="L20" s="44">
        <f>IF($B20="","",IF(INDEX('Work Orders'!$AH$11:$AH$1010,$B20)="","",INDEX('Work Orders'!$AH$11:$AH$1010,$B20)))</f>
        <v/>
      </c>
      <c r="M20" s="46">
        <f>IF($B20="","",IF(INDEX('Work Orders'!$AM$11:$AM$1010,$B20)="","",INDEX('Work Orders'!$AM$11:$AM$1010,$B20)))</f>
        <v/>
      </c>
      <c r="N20" s="43">
        <f>IF($B20="","",IF(INDEX('Work Orders'!$AL$11:$AL$1010,$B20)="","",INDEX('Work Orders'!$AL$11:$AL$1010,$B20)))</f>
        <v/>
      </c>
      <c r="O20" s="43">
        <f>IF($B20="","",IF(INDEX('Work Orders'!$N$11:$N$1010,$B20)="","",INDEX('Work Orders'!$N$11:$N$1010,$B20)))</f>
        <v/>
      </c>
    </row>
    <row r="21">
      <c r="A21" s="68" t="n">
        <v>15</v>
      </c>
      <c r="B21">
        <f>IFERROR(MATCH(A21,'Work Orders'!$AO$11:$AO$1010,0),"")</f>
        <v/>
      </c>
      <c r="C21" s="43">
        <f>IF($B21="","",IF(INDEX('Work Orders'!$A$11:$A$1010,$B21)="","",INDEX('Work Orders'!$A$11:$A$1010,$B21)))</f>
        <v/>
      </c>
      <c r="D21" s="43">
        <f>IF($B21="","",IF(INDEX('Work Orders'!$B$11:$B$1010,$B21)="","",INDEX('Work Orders'!$B$11:$B$1010,$B21)))</f>
        <v/>
      </c>
      <c r="E21" s="43">
        <f>IF($B21="","",IF(INDEX('Work Orders'!$D$11:$D$1010,$B21)="","",INDEX('Work Orders'!$D$11:$D$1010,$B21)))</f>
        <v/>
      </c>
      <c r="F21" s="43">
        <f>IF($B21="","",IF(INDEX('Work Orders'!$Q$11:$Q$1010,$B21)="","",INDEX('Work Orders'!$Q$11:$Q$1010,$B21)))</f>
        <v/>
      </c>
      <c r="G21" s="43">
        <f>IF($B21="","",IF(INDEX('Work Orders'!$V$11:$V$1010,$B21)="","",INDEX('Work Orders'!$V$11:$V$1010,$B21)))</f>
        <v/>
      </c>
      <c r="H21" s="47">
        <f>IF($B21="","",IF(INDEX('Work Orders'!$U$11:$U$1010,$B21)="","",INDEX('Work Orders'!$U$11:$U$1010,$B21)))</f>
        <v/>
      </c>
      <c r="I21" s="47">
        <f>IF($B21="","",IF(INDEX('Work Orders'!$X$11:$X$1010,$B21)="","",INDEX('Work Orders'!$X$11:$X$1010,$B21)))</f>
        <v/>
      </c>
      <c r="J21" s="44">
        <f>IF($B21="","",IF(INDEX('Work Orders'!$Z$11:$Z$1010,$B21)="","",INDEX('Work Orders'!$Z$11:$Z$1010,$B21)))</f>
        <v/>
      </c>
      <c r="K21" s="44">
        <f>IF($B21="","",IF(INDEX('Work Orders'!$AG$11:$AG$1010,$B21)="","",INDEX('Work Orders'!$AG$11:$AG$1010,$B21)))</f>
        <v/>
      </c>
      <c r="L21" s="44">
        <f>IF($B21="","",IF(INDEX('Work Orders'!$AH$11:$AH$1010,$B21)="","",INDEX('Work Orders'!$AH$11:$AH$1010,$B21)))</f>
        <v/>
      </c>
      <c r="M21" s="46">
        <f>IF($B21="","",IF(INDEX('Work Orders'!$AM$11:$AM$1010,$B21)="","",INDEX('Work Orders'!$AM$11:$AM$1010,$B21)))</f>
        <v/>
      </c>
      <c r="N21" s="43">
        <f>IF($B21="","",IF(INDEX('Work Orders'!$AL$11:$AL$1010,$B21)="","",INDEX('Work Orders'!$AL$11:$AL$1010,$B21)))</f>
        <v/>
      </c>
      <c r="O21" s="43">
        <f>IF($B21="","",IF(INDEX('Work Orders'!$N$11:$N$1010,$B21)="","",INDEX('Work Orders'!$N$11:$N$1010,$B21)))</f>
        <v/>
      </c>
    </row>
    <row r="22">
      <c r="A22" s="68" t="n">
        <v>16</v>
      </c>
      <c r="B22">
        <f>IFERROR(MATCH(A22,'Work Orders'!$AO$11:$AO$1010,0),"")</f>
        <v/>
      </c>
      <c r="C22" s="43">
        <f>IF($B22="","",IF(INDEX('Work Orders'!$A$11:$A$1010,$B22)="","",INDEX('Work Orders'!$A$11:$A$1010,$B22)))</f>
        <v/>
      </c>
      <c r="D22" s="43">
        <f>IF($B22="","",IF(INDEX('Work Orders'!$B$11:$B$1010,$B22)="","",INDEX('Work Orders'!$B$11:$B$1010,$B22)))</f>
        <v/>
      </c>
      <c r="E22" s="43">
        <f>IF($B22="","",IF(INDEX('Work Orders'!$D$11:$D$1010,$B22)="","",INDEX('Work Orders'!$D$11:$D$1010,$B22)))</f>
        <v/>
      </c>
      <c r="F22" s="43">
        <f>IF($B22="","",IF(INDEX('Work Orders'!$Q$11:$Q$1010,$B22)="","",INDEX('Work Orders'!$Q$11:$Q$1010,$B22)))</f>
        <v/>
      </c>
      <c r="G22" s="43">
        <f>IF($B22="","",IF(INDEX('Work Orders'!$V$11:$V$1010,$B22)="","",INDEX('Work Orders'!$V$11:$V$1010,$B22)))</f>
        <v/>
      </c>
      <c r="H22" s="47">
        <f>IF($B22="","",IF(INDEX('Work Orders'!$U$11:$U$1010,$B22)="","",INDEX('Work Orders'!$U$11:$U$1010,$B22)))</f>
        <v/>
      </c>
      <c r="I22" s="47">
        <f>IF($B22="","",IF(INDEX('Work Orders'!$X$11:$X$1010,$B22)="","",INDEX('Work Orders'!$X$11:$X$1010,$B22)))</f>
        <v/>
      </c>
      <c r="J22" s="44">
        <f>IF($B22="","",IF(INDEX('Work Orders'!$Z$11:$Z$1010,$B22)="","",INDEX('Work Orders'!$Z$11:$Z$1010,$B22)))</f>
        <v/>
      </c>
      <c r="K22" s="44">
        <f>IF($B22="","",IF(INDEX('Work Orders'!$AG$11:$AG$1010,$B22)="","",INDEX('Work Orders'!$AG$11:$AG$1010,$B22)))</f>
        <v/>
      </c>
      <c r="L22" s="44">
        <f>IF($B22="","",IF(INDEX('Work Orders'!$AH$11:$AH$1010,$B22)="","",INDEX('Work Orders'!$AH$11:$AH$1010,$B22)))</f>
        <v/>
      </c>
      <c r="M22" s="46">
        <f>IF($B22="","",IF(INDEX('Work Orders'!$AM$11:$AM$1010,$B22)="","",INDEX('Work Orders'!$AM$11:$AM$1010,$B22)))</f>
        <v/>
      </c>
      <c r="N22" s="43">
        <f>IF($B22="","",IF(INDEX('Work Orders'!$AL$11:$AL$1010,$B22)="","",INDEX('Work Orders'!$AL$11:$AL$1010,$B22)))</f>
        <v/>
      </c>
      <c r="O22" s="43">
        <f>IF($B22="","",IF(INDEX('Work Orders'!$N$11:$N$1010,$B22)="","",INDEX('Work Orders'!$N$11:$N$1010,$B22)))</f>
        <v/>
      </c>
    </row>
    <row r="23">
      <c r="A23" s="68" t="n">
        <v>17</v>
      </c>
      <c r="B23">
        <f>IFERROR(MATCH(A23,'Work Orders'!$AO$11:$AO$1010,0),"")</f>
        <v/>
      </c>
      <c r="C23" s="43">
        <f>IF($B23="","",IF(INDEX('Work Orders'!$A$11:$A$1010,$B23)="","",INDEX('Work Orders'!$A$11:$A$1010,$B23)))</f>
        <v/>
      </c>
      <c r="D23" s="43">
        <f>IF($B23="","",IF(INDEX('Work Orders'!$B$11:$B$1010,$B23)="","",INDEX('Work Orders'!$B$11:$B$1010,$B23)))</f>
        <v/>
      </c>
      <c r="E23" s="43">
        <f>IF($B23="","",IF(INDEX('Work Orders'!$D$11:$D$1010,$B23)="","",INDEX('Work Orders'!$D$11:$D$1010,$B23)))</f>
        <v/>
      </c>
      <c r="F23" s="43">
        <f>IF($B23="","",IF(INDEX('Work Orders'!$Q$11:$Q$1010,$B23)="","",INDEX('Work Orders'!$Q$11:$Q$1010,$B23)))</f>
        <v/>
      </c>
      <c r="G23" s="43">
        <f>IF($B23="","",IF(INDEX('Work Orders'!$V$11:$V$1010,$B23)="","",INDEX('Work Orders'!$V$11:$V$1010,$B23)))</f>
        <v/>
      </c>
      <c r="H23" s="47">
        <f>IF($B23="","",IF(INDEX('Work Orders'!$U$11:$U$1010,$B23)="","",INDEX('Work Orders'!$U$11:$U$1010,$B23)))</f>
        <v/>
      </c>
      <c r="I23" s="47">
        <f>IF($B23="","",IF(INDEX('Work Orders'!$X$11:$X$1010,$B23)="","",INDEX('Work Orders'!$X$11:$X$1010,$B23)))</f>
        <v/>
      </c>
      <c r="J23" s="44">
        <f>IF($B23="","",IF(INDEX('Work Orders'!$Z$11:$Z$1010,$B23)="","",INDEX('Work Orders'!$Z$11:$Z$1010,$B23)))</f>
        <v/>
      </c>
      <c r="K23" s="44">
        <f>IF($B23="","",IF(INDEX('Work Orders'!$AG$11:$AG$1010,$B23)="","",INDEX('Work Orders'!$AG$11:$AG$1010,$B23)))</f>
        <v/>
      </c>
      <c r="L23" s="44">
        <f>IF($B23="","",IF(INDEX('Work Orders'!$AH$11:$AH$1010,$B23)="","",INDEX('Work Orders'!$AH$11:$AH$1010,$B23)))</f>
        <v/>
      </c>
      <c r="M23" s="46">
        <f>IF($B23="","",IF(INDEX('Work Orders'!$AM$11:$AM$1010,$B23)="","",INDEX('Work Orders'!$AM$11:$AM$1010,$B23)))</f>
        <v/>
      </c>
      <c r="N23" s="43">
        <f>IF($B23="","",IF(INDEX('Work Orders'!$AL$11:$AL$1010,$B23)="","",INDEX('Work Orders'!$AL$11:$AL$1010,$B23)))</f>
        <v/>
      </c>
      <c r="O23" s="43">
        <f>IF($B23="","",IF(INDEX('Work Orders'!$N$11:$N$1010,$B23)="","",INDEX('Work Orders'!$N$11:$N$1010,$B23)))</f>
        <v/>
      </c>
    </row>
    <row r="24">
      <c r="A24" s="68" t="n">
        <v>18</v>
      </c>
      <c r="B24">
        <f>IFERROR(MATCH(A24,'Work Orders'!$AO$11:$AO$1010,0),"")</f>
        <v/>
      </c>
      <c r="C24" s="43">
        <f>IF($B24="","",IF(INDEX('Work Orders'!$A$11:$A$1010,$B24)="","",INDEX('Work Orders'!$A$11:$A$1010,$B24)))</f>
        <v/>
      </c>
      <c r="D24" s="43">
        <f>IF($B24="","",IF(INDEX('Work Orders'!$B$11:$B$1010,$B24)="","",INDEX('Work Orders'!$B$11:$B$1010,$B24)))</f>
        <v/>
      </c>
      <c r="E24" s="43">
        <f>IF($B24="","",IF(INDEX('Work Orders'!$D$11:$D$1010,$B24)="","",INDEX('Work Orders'!$D$11:$D$1010,$B24)))</f>
        <v/>
      </c>
      <c r="F24" s="43">
        <f>IF($B24="","",IF(INDEX('Work Orders'!$Q$11:$Q$1010,$B24)="","",INDEX('Work Orders'!$Q$11:$Q$1010,$B24)))</f>
        <v/>
      </c>
      <c r="G24" s="43">
        <f>IF($B24="","",IF(INDEX('Work Orders'!$V$11:$V$1010,$B24)="","",INDEX('Work Orders'!$V$11:$V$1010,$B24)))</f>
        <v/>
      </c>
      <c r="H24" s="47">
        <f>IF($B24="","",IF(INDEX('Work Orders'!$U$11:$U$1010,$B24)="","",INDEX('Work Orders'!$U$11:$U$1010,$B24)))</f>
        <v/>
      </c>
      <c r="I24" s="47">
        <f>IF($B24="","",IF(INDEX('Work Orders'!$X$11:$X$1010,$B24)="","",INDEX('Work Orders'!$X$11:$X$1010,$B24)))</f>
        <v/>
      </c>
      <c r="J24" s="44">
        <f>IF($B24="","",IF(INDEX('Work Orders'!$Z$11:$Z$1010,$B24)="","",INDEX('Work Orders'!$Z$11:$Z$1010,$B24)))</f>
        <v/>
      </c>
      <c r="K24" s="44">
        <f>IF($B24="","",IF(INDEX('Work Orders'!$AG$11:$AG$1010,$B24)="","",INDEX('Work Orders'!$AG$11:$AG$1010,$B24)))</f>
        <v/>
      </c>
      <c r="L24" s="44">
        <f>IF($B24="","",IF(INDEX('Work Orders'!$AH$11:$AH$1010,$B24)="","",INDEX('Work Orders'!$AH$11:$AH$1010,$B24)))</f>
        <v/>
      </c>
      <c r="M24" s="46">
        <f>IF($B24="","",IF(INDEX('Work Orders'!$AM$11:$AM$1010,$B24)="","",INDEX('Work Orders'!$AM$11:$AM$1010,$B24)))</f>
        <v/>
      </c>
      <c r="N24" s="43">
        <f>IF($B24="","",IF(INDEX('Work Orders'!$AL$11:$AL$1010,$B24)="","",INDEX('Work Orders'!$AL$11:$AL$1010,$B24)))</f>
        <v/>
      </c>
      <c r="O24" s="43">
        <f>IF($B24="","",IF(INDEX('Work Orders'!$N$11:$N$1010,$B24)="","",INDEX('Work Orders'!$N$11:$N$1010,$B24)))</f>
        <v/>
      </c>
    </row>
    <row r="25">
      <c r="A25" s="68" t="n">
        <v>19</v>
      </c>
      <c r="B25">
        <f>IFERROR(MATCH(A25,'Work Orders'!$AO$11:$AO$1010,0),"")</f>
        <v/>
      </c>
      <c r="C25" s="43">
        <f>IF($B25="","",IF(INDEX('Work Orders'!$A$11:$A$1010,$B25)="","",INDEX('Work Orders'!$A$11:$A$1010,$B25)))</f>
        <v/>
      </c>
      <c r="D25" s="43">
        <f>IF($B25="","",IF(INDEX('Work Orders'!$B$11:$B$1010,$B25)="","",INDEX('Work Orders'!$B$11:$B$1010,$B25)))</f>
        <v/>
      </c>
      <c r="E25" s="43">
        <f>IF($B25="","",IF(INDEX('Work Orders'!$D$11:$D$1010,$B25)="","",INDEX('Work Orders'!$D$11:$D$1010,$B25)))</f>
        <v/>
      </c>
      <c r="F25" s="43">
        <f>IF($B25="","",IF(INDEX('Work Orders'!$Q$11:$Q$1010,$B25)="","",INDEX('Work Orders'!$Q$11:$Q$1010,$B25)))</f>
        <v/>
      </c>
      <c r="G25" s="43">
        <f>IF($B25="","",IF(INDEX('Work Orders'!$V$11:$V$1010,$B25)="","",INDEX('Work Orders'!$V$11:$V$1010,$B25)))</f>
        <v/>
      </c>
      <c r="H25" s="47">
        <f>IF($B25="","",IF(INDEX('Work Orders'!$U$11:$U$1010,$B25)="","",INDEX('Work Orders'!$U$11:$U$1010,$B25)))</f>
        <v/>
      </c>
      <c r="I25" s="47">
        <f>IF($B25="","",IF(INDEX('Work Orders'!$X$11:$X$1010,$B25)="","",INDEX('Work Orders'!$X$11:$X$1010,$B25)))</f>
        <v/>
      </c>
      <c r="J25" s="44">
        <f>IF($B25="","",IF(INDEX('Work Orders'!$Z$11:$Z$1010,$B25)="","",INDEX('Work Orders'!$Z$11:$Z$1010,$B25)))</f>
        <v/>
      </c>
      <c r="K25" s="44">
        <f>IF($B25="","",IF(INDEX('Work Orders'!$AG$11:$AG$1010,$B25)="","",INDEX('Work Orders'!$AG$11:$AG$1010,$B25)))</f>
        <v/>
      </c>
      <c r="L25" s="44">
        <f>IF($B25="","",IF(INDEX('Work Orders'!$AH$11:$AH$1010,$B25)="","",INDEX('Work Orders'!$AH$11:$AH$1010,$B25)))</f>
        <v/>
      </c>
      <c r="M25" s="46">
        <f>IF($B25="","",IF(INDEX('Work Orders'!$AM$11:$AM$1010,$B25)="","",INDEX('Work Orders'!$AM$11:$AM$1010,$B25)))</f>
        <v/>
      </c>
      <c r="N25" s="43">
        <f>IF($B25="","",IF(INDEX('Work Orders'!$AL$11:$AL$1010,$B25)="","",INDEX('Work Orders'!$AL$11:$AL$1010,$B25)))</f>
        <v/>
      </c>
      <c r="O25" s="43">
        <f>IF($B25="","",IF(INDEX('Work Orders'!$N$11:$N$1010,$B25)="","",INDEX('Work Orders'!$N$11:$N$1010,$B25)))</f>
        <v/>
      </c>
    </row>
    <row r="26">
      <c r="A26" s="68" t="n">
        <v>20</v>
      </c>
      <c r="B26">
        <f>IFERROR(MATCH(A26,'Work Orders'!$AO$11:$AO$1010,0),"")</f>
        <v/>
      </c>
      <c r="C26" s="43">
        <f>IF($B26="","",IF(INDEX('Work Orders'!$A$11:$A$1010,$B26)="","",INDEX('Work Orders'!$A$11:$A$1010,$B26)))</f>
        <v/>
      </c>
      <c r="D26" s="43">
        <f>IF($B26="","",IF(INDEX('Work Orders'!$B$11:$B$1010,$B26)="","",INDEX('Work Orders'!$B$11:$B$1010,$B26)))</f>
        <v/>
      </c>
      <c r="E26" s="43">
        <f>IF($B26="","",IF(INDEX('Work Orders'!$D$11:$D$1010,$B26)="","",INDEX('Work Orders'!$D$11:$D$1010,$B26)))</f>
        <v/>
      </c>
      <c r="F26" s="43">
        <f>IF($B26="","",IF(INDEX('Work Orders'!$Q$11:$Q$1010,$B26)="","",INDEX('Work Orders'!$Q$11:$Q$1010,$B26)))</f>
        <v/>
      </c>
      <c r="G26" s="43">
        <f>IF($B26="","",IF(INDEX('Work Orders'!$V$11:$V$1010,$B26)="","",INDEX('Work Orders'!$V$11:$V$1010,$B26)))</f>
        <v/>
      </c>
      <c r="H26" s="47">
        <f>IF($B26="","",IF(INDEX('Work Orders'!$U$11:$U$1010,$B26)="","",INDEX('Work Orders'!$U$11:$U$1010,$B26)))</f>
        <v/>
      </c>
      <c r="I26" s="47">
        <f>IF($B26="","",IF(INDEX('Work Orders'!$X$11:$X$1010,$B26)="","",INDEX('Work Orders'!$X$11:$X$1010,$B26)))</f>
        <v/>
      </c>
      <c r="J26" s="44">
        <f>IF($B26="","",IF(INDEX('Work Orders'!$Z$11:$Z$1010,$B26)="","",INDEX('Work Orders'!$Z$11:$Z$1010,$B26)))</f>
        <v/>
      </c>
      <c r="K26" s="44">
        <f>IF($B26="","",IF(INDEX('Work Orders'!$AG$11:$AG$1010,$B26)="","",INDEX('Work Orders'!$AG$11:$AG$1010,$B26)))</f>
        <v/>
      </c>
      <c r="L26" s="44">
        <f>IF($B26="","",IF(INDEX('Work Orders'!$AH$11:$AH$1010,$B26)="","",INDEX('Work Orders'!$AH$11:$AH$1010,$B26)))</f>
        <v/>
      </c>
      <c r="M26" s="46">
        <f>IF($B26="","",IF(INDEX('Work Orders'!$AM$11:$AM$1010,$B26)="","",INDEX('Work Orders'!$AM$11:$AM$1010,$B26)))</f>
        <v/>
      </c>
      <c r="N26" s="43">
        <f>IF($B26="","",IF(INDEX('Work Orders'!$AL$11:$AL$1010,$B26)="","",INDEX('Work Orders'!$AL$11:$AL$1010,$B26)))</f>
        <v/>
      </c>
      <c r="O26" s="43">
        <f>IF($B26="","",IF(INDEX('Work Orders'!$N$11:$N$1010,$B26)="","",INDEX('Work Orders'!$N$11:$N$1010,$B26)))</f>
        <v/>
      </c>
    </row>
    <row r="27">
      <c r="A27" s="68" t="n">
        <v>21</v>
      </c>
      <c r="B27">
        <f>IFERROR(MATCH(A27,'Work Orders'!$AO$11:$AO$1010,0),"")</f>
        <v/>
      </c>
      <c r="C27" s="43">
        <f>IF($B27="","",IF(INDEX('Work Orders'!$A$11:$A$1010,$B27)="","",INDEX('Work Orders'!$A$11:$A$1010,$B27)))</f>
        <v/>
      </c>
      <c r="D27" s="43">
        <f>IF($B27="","",IF(INDEX('Work Orders'!$B$11:$B$1010,$B27)="","",INDEX('Work Orders'!$B$11:$B$1010,$B27)))</f>
        <v/>
      </c>
      <c r="E27" s="43">
        <f>IF($B27="","",IF(INDEX('Work Orders'!$D$11:$D$1010,$B27)="","",INDEX('Work Orders'!$D$11:$D$1010,$B27)))</f>
        <v/>
      </c>
      <c r="F27" s="43">
        <f>IF($B27="","",IF(INDEX('Work Orders'!$Q$11:$Q$1010,$B27)="","",INDEX('Work Orders'!$Q$11:$Q$1010,$B27)))</f>
        <v/>
      </c>
      <c r="G27" s="43">
        <f>IF($B27="","",IF(INDEX('Work Orders'!$V$11:$V$1010,$B27)="","",INDEX('Work Orders'!$V$11:$V$1010,$B27)))</f>
        <v/>
      </c>
      <c r="H27" s="47">
        <f>IF($B27="","",IF(INDEX('Work Orders'!$U$11:$U$1010,$B27)="","",INDEX('Work Orders'!$U$11:$U$1010,$B27)))</f>
        <v/>
      </c>
      <c r="I27" s="47">
        <f>IF($B27="","",IF(INDEX('Work Orders'!$X$11:$X$1010,$B27)="","",INDEX('Work Orders'!$X$11:$X$1010,$B27)))</f>
        <v/>
      </c>
      <c r="J27" s="44">
        <f>IF($B27="","",IF(INDEX('Work Orders'!$Z$11:$Z$1010,$B27)="","",INDEX('Work Orders'!$Z$11:$Z$1010,$B27)))</f>
        <v/>
      </c>
      <c r="K27" s="44">
        <f>IF($B27="","",IF(INDEX('Work Orders'!$AG$11:$AG$1010,$B27)="","",INDEX('Work Orders'!$AG$11:$AG$1010,$B27)))</f>
        <v/>
      </c>
      <c r="L27" s="44">
        <f>IF($B27="","",IF(INDEX('Work Orders'!$AH$11:$AH$1010,$B27)="","",INDEX('Work Orders'!$AH$11:$AH$1010,$B27)))</f>
        <v/>
      </c>
      <c r="M27" s="46">
        <f>IF($B27="","",IF(INDEX('Work Orders'!$AM$11:$AM$1010,$B27)="","",INDEX('Work Orders'!$AM$11:$AM$1010,$B27)))</f>
        <v/>
      </c>
      <c r="N27" s="43">
        <f>IF($B27="","",IF(INDEX('Work Orders'!$AL$11:$AL$1010,$B27)="","",INDEX('Work Orders'!$AL$11:$AL$1010,$B27)))</f>
        <v/>
      </c>
      <c r="O27" s="43">
        <f>IF($B27="","",IF(INDEX('Work Orders'!$N$11:$N$1010,$B27)="","",INDEX('Work Orders'!$N$11:$N$1010,$B27)))</f>
        <v/>
      </c>
    </row>
    <row r="28">
      <c r="A28" s="68" t="n">
        <v>22</v>
      </c>
      <c r="B28">
        <f>IFERROR(MATCH(A28,'Work Orders'!$AO$11:$AO$1010,0),"")</f>
        <v/>
      </c>
      <c r="C28" s="43">
        <f>IF($B28="","",IF(INDEX('Work Orders'!$A$11:$A$1010,$B28)="","",INDEX('Work Orders'!$A$11:$A$1010,$B28)))</f>
        <v/>
      </c>
      <c r="D28" s="43">
        <f>IF($B28="","",IF(INDEX('Work Orders'!$B$11:$B$1010,$B28)="","",INDEX('Work Orders'!$B$11:$B$1010,$B28)))</f>
        <v/>
      </c>
      <c r="E28" s="43">
        <f>IF($B28="","",IF(INDEX('Work Orders'!$D$11:$D$1010,$B28)="","",INDEX('Work Orders'!$D$11:$D$1010,$B28)))</f>
        <v/>
      </c>
      <c r="F28" s="43">
        <f>IF($B28="","",IF(INDEX('Work Orders'!$Q$11:$Q$1010,$B28)="","",INDEX('Work Orders'!$Q$11:$Q$1010,$B28)))</f>
        <v/>
      </c>
      <c r="G28" s="43">
        <f>IF($B28="","",IF(INDEX('Work Orders'!$V$11:$V$1010,$B28)="","",INDEX('Work Orders'!$V$11:$V$1010,$B28)))</f>
        <v/>
      </c>
      <c r="H28" s="47">
        <f>IF($B28="","",IF(INDEX('Work Orders'!$U$11:$U$1010,$B28)="","",INDEX('Work Orders'!$U$11:$U$1010,$B28)))</f>
        <v/>
      </c>
      <c r="I28" s="47">
        <f>IF($B28="","",IF(INDEX('Work Orders'!$X$11:$X$1010,$B28)="","",INDEX('Work Orders'!$X$11:$X$1010,$B28)))</f>
        <v/>
      </c>
      <c r="J28" s="44">
        <f>IF($B28="","",IF(INDEX('Work Orders'!$Z$11:$Z$1010,$B28)="","",INDEX('Work Orders'!$Z$11:$Z$1010,$B28)))</f>
        <v/>
      </c>
      <c r="K28" s="44">
        <f>IF($B28="","",IF(INDEX('Work Orders'!$AG$11:$AG$1010,$B28)="","",INDEX('Work Orders'!$AG$11:$AG$1010,$B28)))</f>
        <v/>
      </c>
      <c r="L28" s="44">
        <f>IF($B28="","",IF(INDEX('Work Orders'!$AH$11:$AH$1010,$B28)="","",INDEX('Work Orders'!$AH$11:$AH$1010,$B28)))</f>
        <v/>
      </c>
      <c r="M28" s="46">
        <f>IF($B28="","",IF(INDEX('Work Orders'!$AM$11:$AM$1010,$B28)="","",INDEX('Work Orders'!$AM$11:$AM$1010,$B28)))</f>
        <v/>
      </c>
      <c r="N28" s="43">
        <f>IF($B28="","",IF(INDEX('Work Orders'!$AL$11:$AL$1010,$B28)="","",INDEX('Work Orders'!$AL$11:$AL$1010,$B28)))</f>
        <v/>
      </c>
      <c r="O28" s="43">
        <f>IF($B28="","",IF(INDEX('Work Orders'!$N$11:$N$1010,$B28)="","",INDEX('Work Orders'!$N$11:$N$1010,$B28)))</f>
        <v/>
      </c>
    </row>
    <row r="29">
      <c r="A29" s="68" t="n">
        <v>23</v>
      </c>
      <c r="B29">
        <f>IFERROR(MATCH(A29,'Work Orders'!$AO$11:$AO$1010,0),"")</f>
        <v/>
      </c>
      <c r="C29" s="43">
        <f>IF($B29="","",IF(INDEX('Work Orders'!$A$11:$A$1010,$B29)="","",INDEX('Work Orders'!$A$11:$A$1010,$B29)))</f>
        <v/>
      </c>
      <c r="D29" s="43">
        <f>IF($B29="","",IF(INDEX('Work Orders'!$B$11:$B$1010,$B29)="","",INDEX('Work Orders'!$B$11:$B$1010,$B29)))</f>
        <v/>
      </c>
      <c r="E29" s="43">
        <f>IF($B29="","",IF(INDEX('Work Orders'!$D$11:$D$1010,$B29)="","",INDEX('Work Orders'!$D$11:$D$1010,$B29)))</f>
        <v/>
      </c>
      <c r="F29" s="43">
        <f>IF($B29="","",IF(INDEX('Work Orders'!$Q$11:$Q$1010,$B29)="","",INDEX('Work Orders'!$Q$11:$Q$1010,$B29)))</f>
        <v/>
      </c>
      <c r="G29" s="43">
        <f>IF($B29="","",IF(INDEX('Work Orders'!$V$11:$V$1010,$B29)="","",INDEX('Work Orders'!$V$11:$V$1010,$B29)))</f>
        <v/>
      </c>
      <c r="H29" s="47">
        <f>IF($B29="","",IF(INDEX('Work Orders'!$U$11:$U$1010,$B29)="","",INDEX('Work Orders'!$U$11:$U$1010,$B29)))</f>
        <v/>
      </c>
      <c r="I29" s="47">
        <f>IF($B29="","",IF(INDEX('Work Orders'!$X$11:$X$1010,$B29)="","",INDEX('Work Orders'!$X$11:$X$1010,$B29)))</f>
        <v/>
      </c>
      <c r="J29" s="44">
        <f>IF($B29="","",IF(INDEX('Work Orders'!$Z$11:$Z$1010,$B29)="","",INDEX('Work Orders'!$Z$11:$Z$1010,$B29)))</f>
        <v/>
      </c>
      <c r="K29" s="44">
        <f>IF($B29="","",IF(INDEX('Work Orders'!$AG$11:$AG$1010,$B29)="","",INDEX('Work Orders'!$AG$11:$AG$1010,$B29)))</f>
        <v/>
      </c>
      <c r="L29" s="44">
        <f>IF($B29="","",IF(INDEX('Work Orders'!$AH$11:$AH$1010,$B29)="","",INDEX('Work Orders'!$AH$11:$AH$1010,$B29)))</f>
        <v/>
      </c>
      <c r="M29" s="46">
        <f>IF($B29="","",IF(INDEX('Work Orders'!$AM$11:$AM$1010,$B29)="","",INDEX('Work Orders'!$AM$11:$AM$1010,$B29)))</f>
        <v/>
      </c>
      <c r="N29" s="43">
        <f>IF($B29="","",IF(INDEX('Work Orders'!$AL$11:$AL$1010,$B29)="","",INDEX('Work Orders'!$AL$11:$AL$1010,$B29)))</f>
        <v/>
      </c>
      <c r="O29" s="43">
        <f>IF($B29="","",IF(INDEX('Work Orders'!$N$11:$N$1010,$B29)="","",INDEX('Work Orders'!$N$11:$N$1010,$B29)))</f>
        <v/>
      </c>
    </row>
    <row r="30">
      <c r="A30" s="68" t="n">
        <v>24</v>
      </c>
      <c r="B30">
        <f>IFERROR(MATCH(A30,'Work Orders'!$AO$11:$AO$1010,0),"")</f>
        <v/>
      </c>
      <c r="C30" s="43">
        <f>IF($B30="","",IF(INDEX('Work Orders'!$A$11:$A$1010,$B30)="","",INDEX('Work Orders'!$A$11:$A$1010,$B30)))</f>
        <v/>
      </c>
      <c r="D30" s="43">
        <f>IF($B30="","",IF(INDEX('Work Orders'!$B$11:$B$1010,$B30)="","",INDEX('Work Orders'!$B$11:$B$1010,$B30)))</f>
        <v/>
      </c>
      <c r="E30" s="43">
        <f>IF($B30="","",IF(INDEX('Work Orders'!$D$11:$D$1010,$B30)="","",INDEX('Work Orders'!$D$11:$D$1010,$B30)))</f>
        <v/>
      </c>
      <c r="F30" s="43">
        <f>IF($B30="","",IF(INDEX('Work Orders'!$Q$11:$Q$1010,$B30)="","",INDEX('Work Orders'!$Q$11:$Q$1010,$B30)))</f>
        <v/>
      </c>
      <c r="G30" s="43">
        <f>IF($B30="","",IF(INDEX('Work Orders'!$V$11:$V$1010,$B30)="","",INDEX('Work Orders'!$V$11:$V$1010,$B30)))</f>
        <v/>
      </c>
      <c r="H30" s="47">
        <f>IF($B30="","",IF(INDEX('Work Orders'!$U$11:$U$1010,$B30)="","",INDEX('Work Orders'!$U$11:$U$1010,$B30)))</f>
        <v/>
      </c>
      <c r="I30" s="47">
        <f>IF($B30="","",IF(INDEX('Work Orders'!$X$11:$X$1010,$B30)="","",INDEX('Work Orders'!$X$11:$X$1010,$B30)))</f>
        <v/>
      </c>
      <c r="J30" s="44">
        <f>IF($B30="","",IF(INDEX('Work Orders'!$Z$11:$Z$1010,$B30)="","",INDEX('Work Orders'!$Z$11:$Z$1010,$B30)))</f>
        <v/>
      </c>
      <c r="K30" s="44">
        <f>IF($B30="","",IF(INDEX('Work Orders'!$AG$11:$AG$1010,$B30)="","",INDEX('Work Orders'!$AG$11:$AG$1010,$B30)))</f>
        <v/>
      </c>
      <c r="L30" s="44">
        <f>IF($B30="","",IF(INDEX('Work Orders'!$AH$11:$AH$1010,$B30)="","",INDEX('Work Orders'!$AH$11:$AH$1010,$B30)))</f>
        <v/>
      </c>
      <c r="M30" s="46">
        <f>IF($B30="","",IF(INDEX('Work Orders'!$AM$11:$AM$1010,$B30)="","",INDEX('Work Orders'!$AM$11:$AM$1010,$B30)))</f>
        <v/>
      </c>
      <c r="N30" s="43">
        <f>IF($B30="","",IF(INDEX('Work Orders'!$AL$11:$AL$1010,$B30)="","",INDEX('Work Orders'!$AL$11:$AL$1010,$B30)))</f>
        <v/>
      </c>
      <c r="O30" s="43">
        <f>IF($B30="","",IF(INDEX('Work Orders'!$N$11:$N$1010,$B30)="","",INDEX('Work Orders'!$N$11:$N$1010,$B30)))</f>
        <v/>
      </c>
    </row>
    <row r="31">
      <c r="A31" s="68" t="n">
        <v>25</v>
      </c>
      <c r="B31">
        <f>IFERROR(MATCH(A31,'Work Orders'!$AO$11:$AO$1010,0),"")</f>
        <v/>
      </c>
      <c r="C31" s="43">
        <f>IF($B31="","",IF(INDEX('Work Orders'!$A$11:$A$1010,$B31)="","",INDEX('Work Orders'!$A$11:$A$1010,$B31)))</f>
        <v/>
      </c>
      <c r="D31" s="43">
        <f>IF($B31="","",IF(INDEX('Work Orders'!$B$11:$B$1010,$B31)="","",INDEX('Work Orders'!$B$11:$B$1010,$B31)))</f>
        <v/>
      </c>
      <c r="E31" s="43">
        <f>IF($B31="","",IF(INDEX('Work Orders'!$D$11:$D$1010,$B31)="","",INDEX('Work Orders'!$D$11:$D$1010,$B31)))</f>
        <v/>
      </c>
      <c r="F31" s="43">
        <f>IF($B31="","",IF(INDEX('Work Orders'!$Q$11:$Q$1010,$B31)="","",INDEX('Work Orders'!$Q$11:$Q$1010,$B31)))</f>
        <v/>
      </c>
      <c r="G31" s="43">
        <f>IF($B31="","",IF(INDEX('Work Orders'!$V$11:$V$1010,$B31)="","",INDEX('Work Orders'!$V$11:$V$1010,$B31)))</f>
        <v/>
      </c>
      <c r="H31" s="47">
        <f>IF($B31="","",IF(INDEX('Work Orders'!$U$11:$U$1010,$B31)="","",INDEX('Work Orders'!$U$11:$U$1010,$B31)))</f>
        <v/>
      </c>
      <c r="I31" s="47">
        <f>IF($B31="","",IF(INDEX('Work Orders'!$X$11:$X$1010,$B31)="","",INDEX('Work Orders'!$X$11:$X$1010,$B31)))</f>
        <v/>
      </c>
      <c r="J31" s="44">
        <f>IF($B31="","",IF(INDEX('Work Orders'!$Z$11:$Z$1010,$B31)="","",INDEX('Work Orders'!$Z$11:$Z$1010,$B31)))</f>
        <v/>
      </c>
      <c r="K31" s="44">
        <f>IF($B31="","",IF(INDEX('Work Orders'!$AG$11:$AG$1010,$B31)="","",INDEX('Work Orders'!$AG$11:$AG$1010,$B31)))</f>
        <v/>
      </c>
      <c r="L31" s="44">
        <f>IF($B31="","",IF(INDEX('Work Orders'!$AH$11:$AH$1010,$B31)="","",INDEX('Work Orders'!$AH$11:$AH$1010,$B31)))</f>
        <v/>
      </c>
      <c r="M31" s="46">
        <f>IF($B31="","",IF(INDEX('Work Orders'!$AM$11:$AM$1010,$B31)="","",INDEX('Work Orders'!$AM$11:$AM$1010,$B31)))</f>
        <v/>
      </c>
      <c r="N31" s="43">
        <f>IF($B31="","",IF(INDEX('Work Orders'!$AL$11:$AL$1010,$B31)="","",INDEX('Work Orders'!$AL$11:$AL$1010,$B31)))</f>
        <v/>
      </c>
      <c r="O31" s="43">
        <f>IF($B31="","",IF(INDEX('Work Orders'!$N$11:$N$1010,$B31)="","",INDEX('Work Orders'!$N$11:$N$1010,$B31)))</f>
        <v/>
      </c>
    </row>
    <row r="32">
      <c r="A32" s="68" t="n">
        <v>26</v>
      </c>
      <c r="B32">
        <f>IFERROR(MATCH(A32,'Work Orders'!$AO$11:$AO$1010,0),"")</f>
        <v/>
      </c>
      <c r="C32" s="43">
        <f>IF($B32="","",IF(INDEX('Work Orders'!$A$11:$A$1010,$B32)="","",INDEX('Work Orders'!$A$11:$A$1010,$B32)))</f>
        <v/>
      </c>
      <c r="D32" s="43">
        <f>IF($B32="","",IF(INDEX('Work Orders'!$B$11:$B$1010,$B32)="","",INDEX('Work Orders'!$B$11:$B$1010,$B32)))</f>
        <v/>
      </c>
      <c r="E32" s="43">
        <f>IF($B32="","",IF(INDEX('Work Orders'!$D$11:$D$1010,$B32)="","",INDEX('Work Orders'!$D$11:$D$1010,$B32)))</f>
        <v/>
      </c>
      <c r="F32" s="43">
        <f>IF($B32="","",IF(INDEX('Work Orders'!$Q$11:$Q$1010,$B32)="","",INDEX('Work Orders'!$Q$11:$Q$1010,$B32)))</f>
        <v/>
      </c>
      <c r="G32" s="43">
        <f>IF($B32="","",IF(INDEX('Work Orders'!$V$11:$V$1010,$B32)="","",INDEX('Work Orders'!$V$11:$V$1010,$B32)))</f>
        <v/>
      </c>
      <c r="H32" s="47">
        <f>IF($B32="","",IF(INDEX('Work Orders'!$U$11:$U$1010,$B32)="","",INDEX('Work Orders'!$U$11:$U$1010,$B32)))</f>
        <v/>
      </c>
      <c r="I32" s="47">
        <f>IF($B32="","",IF(INDEX('Work Orders'!$X$11:$X$1010,$B32)="","",INDEX('Work Orders'!$X$11:$X$1010,$B32)))</f>
        <v/>
      </c>
      <c r="J32" s="44">
        <f>IF($B32="","",IF(INDEX('Work Orders'!$Z$11:$Z$1010,$B32)="","",INDEX('Work Orders'!$Z$11:$Z$1010,$B32)))</f>
        <v/>
      </c>
      <c r="K32" s="44">
        <f>IF($B32="","",IF(INDEX('Work Orders'!$AG$11:$AG$1010,$B32)="","",INDEX('Work Orders'!$AG$11:$AG$1010,$B32)))</f>
        <v/>
      </c>
      <c r="L32" s="44">
        <f>IF($B32="","",IF(INDEX('Work Orders'!$AH$11:$AH$1010,$B32)="","",INDEX('Work Orders'!$AH$11:$AH$1010,$B32)))</f>
        <v/>
      </c>
      <c r="M32" s="46">
        <f>IF($B32="","",IF(INDEX('Work Orders'!$AM$11:$AM$1010,$B32)="","",INDEX('Work Orders'!$AM$11:$AM$1010,$B32)))</f>
        <v/>
      </c>
      <c r="N32" s="43">
        <f>IF($B32="","",IF(INDEX('Work Orders'!$AL$11:$AL$1010,$B32)="","",INDEX('Work Orders'!$AL$11:$AL$1010,$B32)))</f>
        <v/>
      </c>
      <c r="O32" s="43">
        <f>IF($B32="","",IF(INDEX('Work Orders'!$N$11:$N$1010,$B32)="","",INDEX('Work Orders'!$N$11:$N$1010,$B32)))</f>
        <v/>
      </c>
    </row>
    <row r="33">
      <c r="A33" s="68" t="n">
        <v>27</v>
      </c>
      <c r="B33">
        <f>IFERROR(MATCH(A33,'Work Orders'!$AO$11:$AO$1010,0),"")</f>
        <v/>
      </c>
      <c r="C33" s="43">
        <f>IF($B33="","",IF(INDEX('Work Orders'!$A$11:$A$1010,$B33)="","",INDEX('Work Orders'!$A$11:$A$1010,$B33)))</f>
        <v/>
      </c>
      <c r="D33" s="43">
        <f>IF($B33="","",IF(INDEX('Work Orders'!$B$11:$B$1010,$B33)="","",INDEX('Work Orders'!$B$11:$B$1010,$B33)))</f>
        <v/>
      </c>
      <c r="E33" s="43">
        <f>IF($B33="","",IF(INDEX('Work Orders'!$D$11:$D$1010,$B33)="","",INDEX('Work Orders'!$D$11:$D$1010,$B33)))</f>
        <v/>
      </c>
      <c r="F33" s="43">
        <f>IF($B33="","",IF(INDEX('Work Orders'!$Q$11:$Q$1010,$B33)="","",INDEX('Work Orders'!$Q$11:$Q$1010,$B33)))</f>
        <v/>
      </c>
      <c r="G33" s="43">
        <f>IF($B33="","",IF(INDEX('Work Orders'!$V$11:$V$1010,$B33)="","",INDEX('Work Orders'!$V$11:$V$1010,$B33)))</f>
        <v/>
      </c>
      <c r="H33" s="47">
        <f>IF($B33="","",IF(INDEX('Work Orders'!$U$11:$U$1010,$B33)="","",INDEX('Work Orders'!$U$11:$U$1010,$B33)))</f>
        <v/>
      </c>
      <c r="I33" s="47">
        <f>IF($B33="","",IF(INDEX('Work Orders'!$X$11:$X$1010,$B33)="","",INDEX('Work Orders'!$X$11:$X$1010,$B33)))</f>
        <v/>
      </c>
      <c r="J33" s="44">
        <f>IF($B33="","",IF(INDEX('Work Orders'!$Z$11:$Z$1010,$B33)="","",INDEX('Work Orders'!$Z$11:$Z$1010,$B33)))</f>
        <v/>
      </c>
      <c r="K33" s="44">
        <f>IF($B33="","",IF(INDEX('Work Orders'!$AG$11:$AG$1010,$B33)="","",INDEX('Work Orders'!$AG$11:$AG$1010,$B33)))</f>
        <v/>
      </c>
      <c r="L33" s="44">
        <f>IF($B33="","",IF(INDEX('Work Orders'!$AH$11:$AH$1010,$B33)="","",INDEX('Work Orders'!$AH$11:$AH$1010,$B33)))</f>
        <v/>
      </c>
      <c r="M33" s="46">
        <f>IF($B33="","",IF(INDEX('Work Orders'!$AM$11:$AM$1010,$B33)="","",INDEX('Work Orders'!$AM$11:$AM$1010,$B33)))</f>
        <v/>
      </c>
      <c r="N33" s="43">
        <f>IF($B33="","",IF(INDEX('Work Orders'!$AL$11:$AL$1010,$B33)="","",INDEX('Work Orders'!$AL$11:$AL$1010,$B33)))</f>
        <v/>
      </c>
      <c r="O33" s="43">
        <f>IF($B33="","",IF(INDEX('Work Orders'!$N$11:$N$1010,$B33)="","",INDEX('Work Orders'!$N$11:$N$1010,$B33)))</f>
        <v/>
      </c>
    </row>
    <row r="34">
      <c r="A34" s="68" t="n">
        <v>28</v>
      </c>
      <c r="B34">
        <f>IFERROR(MATCH(A34,'Work Orders'!$AO$11:$AO$1010,0),"")</f>
        <v/>
      </c>
      <c r="C34" s="43">
        <f>IF($B34="","",IF(INDEX('Work Orders'!$A$11:$A$1010,$B34)="","",INDEX('Work Orders'!$A$11:$A$1010,$B34)))</f>
        <v/>
      </c>
      <c r="D34" s="43">
        <f>IF($B34="","",IF(INDEX('Work Orders'!$B$11:$B$1010,$B34)="","",INDEX('Work Orders'!$B$11:$B$1010,$B34)))</f>
        <v/>
      </c>
      <c r="E34" s="43">
        <f>IF($B34="","",IF(INDEX('Work Orders'!$D$11:$D$1010,$B34)="","",INDEX('Work Orders'!$D$11:$D$1010,$B34)))</f>
        <v/>
      </c>
      <c r="F34" s="43">
        <f>IF($B34="","",IF(INDEX('Work Orders'!$Q$11:$Q$1010,$B34)="","",INDEX('Work Orders'!$Q$11:$Q$1010,$B34)))</f>
        <v/>
      </c>
      <c r="G34" s="43">
        <f>IF($B34="","",IF(INDEX('Work Orders'!$V$11:$V$1010,$B34)="","",INDEX('Work Orders'!$V$11:$V$1010,$B34)))</f>
        <v/>
      </c>
      <c r="H34" s="47">
        <f>IF($B34="","",IF(INDEX('Work Orders'!$U$11:$U$1010,$B34)="","",INDEX('Work Orders'!$U$11:$U$1010,$B34)))</f>
        <v/>
      </c>
      <c r="I34" s="47">
        <f>IF($B34="","",IF(INDEX('Work Orders'!$X$11:$X$1010,$B34)="","",INDEX('Work Orders'!$X$11:$X$1010,$B34)))</f>
        <v/>
      </c>
      <c r="J34" s="44">
        <f>IF($B34="","",IF(INDEX('Work Orders'!$Z$11:$Z$1010,$B34)="","",INDEX('Work Orders'!$Z$11:$Z$1010,$B34)))</f>
        <v/>
      </c>
      <c r="K34" s="44">
        <f>IF($B34="","",IF(INDEX('Work Orders'!$AG$11:$AG$1010,$B34)="","",INDEX('Work Orders'!$AG$11:$AG$1010,$B34)))</f>
        <v/>
      </c>
      <c r="L34" s="44">
        <f>IF($B34="","",IF(INDEX('Work Orders'!$AH$11:$AH$1010,$B34)="","",INDEX('Work Orders'!$AH$11:$AH$1010,$B34)))</f>
        <v/>
      </c>
      <c r="M34" s="46">
        <f>IF($B34="","",IF(INDEX('Work Orders'!$AM$11:$AM$1010,$B34)="","",INDEX('Work Orders'!$AM$11:$AM$1010,$B34)))</f>
        <v/>
      </c>
      <c r="N34" s="43">
        <f>IF($B34="","",IF(INDEX('Work Orders'!$AL$11:$AL$1010,$B34)="","",INDEX('Work Orders'!$AL$11:$AL$1010,$B34)))</f>
        <v/>
      </c>
      <c r="O34" s="43">
        <f>IF($B34="","",IF(INDEX('Work Orders'!$N$11:$N$1010,$B34)="","",INDEX('Work Orders'!$N$11:$N$1010,$B34)))</f>
        <v/>
      </c>
    </row>
    <row r="35">
      <c r="A35" s="68" t="n">
        <v>29</v>
      </c>
      <c r="B35">
        <f>IFERROR(MATCH(A35,'Work Orders'!$AO$11:$AO$1010,0),"")</f>
        <v/>
      </c>
      <c r="C35" s="43">
        <f>IF($B35="","",IF(INDEX('Work Orders'!$A$11:$A$1010,$B35)="","",INDEX('Work Orders'!$A$11:$A$1010,$B35)))</f>
        <v/>
      </c>
      <c r="D35" s="43">
        <f>IF($B35="","",IF(INDEX('Work Orders'!$B$11:$B$1010,$B35)="","",INDEX('Work Orders'!$B$11:$B$1010,$B35)))</f>
        <v/>
      </c>
      <c r="E35" s="43">
        <f>IF($B35="","",IF(INDEX('Work Orders'!$D$11:$D$1010,$B35)="","",INDEX('Work Orders'!$D$11:$D$1010,$B35)))</f>
        <v/>
      </c>
      <c r="F35" s="43">
        <f>IF($B35="","",IF(INDEX('Work Orders'!$Q$11:$Q$1010,$B35)="","",INDEX('Work Orders'!$Q$11:$Q$1010,$B35)))</f>
        <v/>
      </c>
      <c r="G35" s="43">
        <f>IF($B35="","",IF(INDEX('Work Orders'!$V$11:$V$1010,$B35)="","",INDEX('Work Orders'!$V$11:$V$1010,$B35)))</f>
        <v/>
      </c>
      <c r="H35" s="47">
        <f>IF($B35="","",IF(INDEX('Work Orders'!$U$11:$U$1010,$B35)="","",INDEX('Work Orders'!$U$11:$U$1010,$B35)))</f>
        <v/>
      </c>
      <c r="I35" s="47">
        <f>IF($B35="","",IF(INDEX('Work Orders'!$X$11:$X$1010,$B35)="","",INDEX('Work Orders'!$X$11:$X$1010,$B35)))</f>
        <v/>
      </c>
      <c r="J35" s="44">
        <f>IF($B35="","",IF(INDEX('Work Orders'!$Z$11:$Z$1010,$B35)="","",INDEX('Work Orders'!$Z$11:$Z$1010,$B35)))</f>
        <v/>
      </c>
      <c r="K35" s="44">
        <f>IF($B35="","",IF(INDEX('Work Orders'!$AG$11:$AG$1010,$B35)="","",INDEX('Work Orders'!$AG$11:$AG$1010,$B35)))</f>
        <v/>
      </c>
      <c r="L35" s="44">
        <f>IF($B35="","",IF(INDEX('Work Orders'!$AH$11:$AH$1010,$B35)="","",INDEX('Work Orders'!$AH$11:$AH$1010,$B35)))</f>
        <v/>
      </c>
      <c r="M35" s="46">
        <f>IF($B35="","",IF(INDEX('Work Orders'!$AM$11:$AM$1010,$B35)="","",INDEX('Work Orders'!$AM$11:$AM$1010,$B35)))</f>
        <v/>
      </c>
      <c r="N35" s="43">
        <f>IF($B35="","",IF(INDEX('Work Orders'!$AL$11:$AL$1010,$B35)="","",INDEX('Work Orders'!$AL$11:$AL$1010,$B35)))</f>
        <v/>
      </c>
      <c r="O35" s="43">
        <f>IF($B35="","",IF(INDEX('Work Orders'!$N$11:$N$1010,$B35)="","",INDEX('Work Orders'!$N$11:$N$1010,$B35)))</f>
        <v/>
      </c>
    </row>
    <row r="36">
      <c r="A36" s="68" t="n">
        <v>30</v>
      </c>
      <c r="B36">
        <f>IFERROR(MATCH(A36,'Work Orders'!$AO$11:$AO$1010,0),"")</f>
        <v/>
      </c>
      <c r="C36" s="43">
        <f>IF($B36="","",IF(INDEX('Work Orders'!$A$11:$A$1010,$B36)="","",INDEX('Work Orders'!$A$11:$A$1010,$B36)))</f>
        <v/>
      </c>
      <c r="D36" s="43">
        <f>IF($B36="","",IF(INDEX('Work Orders'!$B$11:$B$1010,$B36)="","",INDEX('Work Orders'!$B$11:$B$1010,$B36)))</f>
        <v/>
      </c>
      <c r="E36" s="43">
        <f>IF($B36="","",IF(INDEX('Work Orders'!$D$11:$D$1010,$B36)="","",INDEX('Work Orders'!$D$11:$D$1010,$B36)))</f>
        <v/>
      </c>
      <c r="F36" s="43">
        <f>IF($B36="","",IF(INDEX('Work Orders'!$Q$11:$Q$1010,$B36)="","",INDEX('Work Orders'!$Q$11:$Q$1010,$B36)))</f>
        <v/>
      </c>
      <c r="G36" s="43">
        <f>IF($B36="","",IF(INDEX('Work Orders'!$V$11:$V$1010,$B36)="","",INDEX('Work Orders'!$V$11:$V$1010,$B36)))</f>
        <v/>
      </c>
      <c r="H36" s="47">
        <f>IF($B36="","",IF(INDEX('Work Orders'!$U$11:$U$1010,$B36)="","",INDEX('Work Orders'!$U$11:$U$1010,$B36)))</f>
        <v/>
      </c>
      <c r="I36" s="47">
        <f>IF($B36="","",IF(INDEX('Work Orders'!$X$11:$X$1010,$B36)="","",INDEX('Work Orders'!$X$11:$X$1010,$B36)))</f>
        <v/>
      </c>
      <c r="J36" s="44">
        <f>IF($B36="","",IF(INDEX('Work Orders'!$Z$11:$Z$1010,$B36)="","",INDEX('Work Orders'!$Z$11:$Z$1010,$B36)))</f>
        <v/>
      </c>
      <c r="K36" s="44">
        <f>IF($B36="","",IF(INDEX('Work Orders'!$AG$11:$AG$1010,$B36)="","",INDEX('Work Orders'!$AG$11:$AG$1010,$B36)))</f>
        <v/>
      </c>
      <c r="L36" s="44">
        <f>IF($B36="","",IF(INDEX('Work Orders'!$AH$11:$AH$1010,$B36)="","",INDEX('Work Orders'!$AH$11:$AH$1010,$B36)))</f>
        <v/>
      </c>
      <c r="M36" s="46">
        <f>IF($B36="","",IF(INDEX('Work Orders'!$AM$11:$AM$1010,$B36)="","",INDEX('Work Orders'!$AM$11:$AM$1010,$B36)))</f>
        <v/>
      </c>
      <c r="N36" s="43">
        <f>IF($B36="","",IF(INDEX('Work Orders'!$AL$11:$AL$1010,$B36)="","",INDEX('Work Orders'!$AL$11:$AL$1010,$B36)))</f>
        <v/>
      </c>
      <c r="O36" s="43">
        <f>IF($B36="","",IF(INDEX('Work Orders'!$N$11:$N$1010,$B36)="","",INDEX('Work Orders'!$N$11:$N$1010,$B36)))</f>
        <v/>
      </c>
    </row>
    <row r="37">
      <c r="A37" s="68" t="n">
        <v>31</v>
      </c>
      <c r="B37">
        <f>IFERROR(MATCH(A37,'Work Orders'!$AO$11:$AO$1010,0),"")</f>
        <v/>
      </c>
      <c r="C37" s="43">
        <f>IF($B37="","",IF(INDEX('Work Orders'!$A$11:$A$1010,$B37)="","",INDEX('Work Orders'!$A$11:$A$1010,$B37)))</f>
        <v/>
      </c>
      <c r="D37" s="43">
        <f>IF($B37="","",IF(INDEX('Work Orders'!$B$11:$B$1010,$B37)="","",INDEX('Work Orders'!$B$11:$B$1010,$B37)))</f>
        <v/>
      </c>
      <c r="E37" s="43">
        <f>IF($B37="","",IF(INDEX('Work Orders'!$D$11:$D$1010,$B37)="","",INDEX('Work Orders'!$D$11:$D$1010,$B37)))</f>
        <v/>
      </c>
      <c r="F37" s="43">
        <f>IF($B37="","",IF(INDEX('Work Orders'!$Q$11:$Q$1010,$B37)="","",INDEX('Work Orders'!$Q$11:$Q$1010,$B37)))</f>
        <v/>
      </c>
      <c r="G37" s="43">
        <f>IF($B37="","",IF(INDEX('Work Orders'!$V$11:$V$1010,$B37)="","",INDEX('Work Orders'!$V$11:$V$1010,$B37)))</f>
        <v/>
      </c>
      <c r="H37" s="47">
        <f>IF($B37="","",IF(INDEX('Work Orders'!$U$11:$U$1010,$B37)="","",INDEX('Work Orders'!$U$11:$U$1010,$B37)))</f>
        <v/>
      </c>
      <c r="I37" s="47">
        <f>IF($B37="","",IF(INDEX('Work Orders'!$X$11:$X$1010,$B37)="","",INDEX('Work Orders'!$X$11:$X$1010,$B37)))</f>
        <v/>
      </c>
      <c r="J37" s="44">
        <f>IF($B37="","",IF(INDEX('Work Orders'!$Z$11:$Z$1010,$B37)="","",INDEX('Work Orders'!$Z$11:$Z$1010,$B37)))</f>
        <v/>
      </c>
      <c r="K37" s="44">
        <f>IF($B37="","",IF(INDEX('Work Orders'!$AG$11:$AG$1010,$B37)="","",INDEX('Work Orders'!$AG$11:$AG$1010,$B37)))</f>
        <v/>
      </c>
      <c r="L37" s="44">
        <f>IF($B37="","",IF(INDEX('Work Orders'!$AH$11:$AH$1010,$B37)="","",INDEX('Work Orders'!$AH$11:$AH$1010,$B37)))</f>
        <v/>
      </c>
      <c r="M37" s="46">
        <f>IF($B37="","",IF(INDEX('Work Orders'!$AM$11:$AM$1010,$B37)="","",INDEX('Work Orders'!$AM$11:$AM$1010,$B37)))</f>
        <v/>
      </c>
      <c r="N37" s="43">
        <f>IF($B37="","",IF(INDEX('Work Orders'!$AL$11:$AL$1010,$B37)="","",INDEX('Work Orders'!$AL$11:$AL$1010,$B37)))</f>
        <v/>
      </c>
      <c r="O37" s="43">
        <f>IF($B37="","",IF(INDEX('Work Orders'!$N$11:$N$1010,$B37)="","",INDEX('Work Orders'!$N$11:$N$1010,$B37)))</f>
        <v/>
      </c>
    </row>
    <row r="38">
      <c r="A38" s="68" t="n">
        <v>32</v>
      </c>
      <c r="B38">
        <f>IFERROR(MATCH(A38,'Work Orders'!$AO$11:$AO$1010,0),"")</f>
        <v/>
      </c>
      <c r="C38" s="43">
        <f>IF($B38="","",IF(INDEX('Work Orders'!$A$11:$A$1010,$B38)="","",INDEX('Work Orders'!$A$11:$A$1010,$B38)))</f>
        <v/>
      </c>
      <c r="D38" s="43">
        <f>IF($B38="","",IF(INDEX('Work Orders'!$B$11:$B$1010,$B38)="","",INDEX('Work Orders'!$B$11:$B$1010,$B38)))</f>
        <v/>
      </c>
      <c r="E38" s="43">
        <f>IF($B38="","",IF(INDEX('Work Orders'!$D$11:$D$1010,$B38)="","",INDEX('Work Orders'!$D$11:$D$1010,$B38)))</f>
        <v/>
      </c>
      <c r="F38" s="43">
        <f>IF($B38="","",IF(INDEX('Work Orders'!$Q$11:$Q$1010,$B38)="","",INDEX('Work Orders'!$Q$11:$Q$1010,$B38)))</f>
        <v/>
      </c>
      <c r="G38" s="43">
        <f>IF($B38="","",IF(INDEX('Work Orders'!$V$11:$V$1010,$B38)="","",INDEX('Work Orders'!$V$11:$V$1010,$B38)))</f>
        <v/>
      </c>
      <c r="H38" s="47">
        <f>IF($B38="","",IF(INDEX('Work Orders'!$U$11:$U$1010,$B38)="","",INDEX('Work Orders'!$U$11:$U$1010,$B38)))</f>
        <v/>
      </c>
      <c r="I38" s="47">
        <f>IF($B38="","",IF(INDEX('Work Orders'!$X$11:$X$1010,$B38)="","",INDEX('Work Orders'!$X$11:$X$1010,$B38)))</f>
        <v/>
      </c>
      <c r="J38" s="44">
        <f>IF($B38="","",IF(INDEX('Work Orders'!$Z$11:$Z$1010,$B38)="","",INDEX('Work Orders'!$Z$11:$Z$1010,$B38)))</f>
        <v/>
      </c>
      <c r="K38" s="44">
        <f>IF($B38="","",IF(INDEX('Work Orders'!$AG$11:$AG$1010,$B38)="","",INDEX('Work Orders'!$AG$11:$AG$1010,$B38)))</f>
        <v/>
      </c>
      <c r="L38" s="44">
        <f>IF($B38="","",IF(INDEX('Work Orders'!$AH$11:$AH$1010,$B38)="","",INDEX('Work Orders'!$AH$11:$AH$1010,$B38)))</f>
        <v/>
      </c>
      <c r="M38" s="46">
        <f>IF($B38="","",IF(INDEX('Work Orders'!$AM$11:$AM$1010,$B38)="","",INDEX('Work Orders'!$AM$11:$AM$1010,$B38)))</f>
        <v/>
      </c>
      <c r="N38" s="43">
        <f>IF($B38="","",IF(INDEX('Work Orders'!$AL$11:$AL$1010,$B38)="","",INDEX('Work Orders'!$AL$11:$AL$1010,$B38)))</f>
        <v/>
      </c>
      <c r="O38" s="43">
        <f>IF($B38="","",IF(INDEX('Work Orders'!$N$11:$N$1010,$B38)="","",INDEX('Work Orders'!$N$11:$N$1010,$B38)))</f>
        <v/>
      </c>
    </row>
    <row r="39">
      <c r="A39" s="68" t="n">
        <v>33</v>
      </c>
      <c r="B39">
        <f>IFERROR(MATCH(A39,'Work Orders'!$AO$11:$AO$1010,0),"")</f>
        <v/>
      </c>
      <c r="C39" s="43">
        <f>IF($B39="","",IF(INDEX('Work Orders'!$A$11:$A$1010,$B39)="","",INDEX('Work Orders'!$A$11:$A$1010,$B39)))</f>
        <v/>
      </c>
      <c r="D39" s="43">
        <f>IF($B39="","",IF(INDEX('Work Orders'!$B$11:$B$1010,$B39)="","",INDEX('Work Orders'!$B$11:$B$1010,$B39)))</f>
        <v/>
      </c>
      <c r="E39" s="43">
        <f>IF($B39="","",IF(INDEX('Work Orders'!$D$11:$D$1010,$B39)="","",INDEX('Work Orders'!$D$11:$D$1010,$B39)))</f>
        <v/>
      </c>
      <c r="F39" s="43">
        <f>IF($B39="","",IF(INDEX('Work Orders'!$Q$11:$Q$1010,$B39)="","",INDEX('Work Orders'!$Q$11:$Q$1010,$B39)))</f>
        <v/>
      </c>
      <c r="G39" s="43">
        <f>IF($B39="","",IF(INDEX('Work Orders'!$V$11:$V$1010,$B39)="","",INDEX('Work Orders'!$V$11:$V$1010,$B39)))</f>
        <v/>
      </c>
      <c r="H39" s="47">
        <f>IF($B39="","",IF(INDEX('Work Orders'!$U$11:$U$1010,$B39)="","",INDEX('Work Orders'!$U$11:$U$1010,$B39)))</f>
        <v/>
      </c>
      <c r="I39" s="47">
        <f>IF($B39="","",IF(INDEX('Work Orders'!$X$11:$X$1010,$B39)="","",INDEX('Work Orders'!$X$11:$X$1010,$B39)))</f>
        <v/>
      </c>
      <c r="J39" s="44">
        <f>IF($B39="","",IF(INDEX('Work Orders'!$Z$11:$Z$1010,$B39)="","",INDEX('Work Orders'!$Z$11:$Z$1010,$B39)))</f>
        <v/>
      </c>
      <c r="K39" s="44">
        <f>IF($B39="","",IF(INDEX('Work Orders'!$AG$11:$AG$1010,$B39)="","",INDEX('Work Orders'!$AG$11:$AG$1010,$B39)))</f>
        <v/>
      </c>
      <c r="L39" s="44">
        <f>IF($B39="","",IF(INDEX('Work Orders'!$AH$11:$AH$1010,$B39)="","",INDEX('Work Orders'!$AH$11:$AH$1010,$B39)))</f>
        <v/>
      </c>
      <c r="M39" s="46">
        <f>IF($B39="","",IF(INDEX('Work Orders'!$AM$11:$AM$1010,$B39)="","",INDEX('Work Orders'!$AM$11:$AM$1010,$B39)))</f>
        <v/>
      </c>
      <c r="N39" s="43">
        <f>IF($B39="","",IF(INDEX('Work Orders'!$AL$11:$AL$1010,$B39)="","",INDEX('Work Orders'!$AL$11:$AL$1010,$B39)))</f>
        <v/>
      </c>
      <c r="O39" s="43">
        <f>IF($B39="","",IF(INDEX('Work Orders'!$N$11:$N$1010,$B39)="","",INDEX('Work Orders'!$N$11:$N$1010,$B39)))</f>
        <v/>
      </c>
    </row>
    <row r="40">
      <c r="A40" s="68" t="n">
        <v>34</v>
      </c>
      <c r="B40">
        <f>IFERROR(MATCH(A40,'Work Orders'!$AO$11:$AO$1010,0),"")</f>
        <v/>
      </c>
      <c r="C40" s="43">
        <f>IF($B40="","",IF(INDEX('Work Orders'!$A$11:$A$1010,$B40)="","",INDEX('Work Orders'!$A$11:$A$1010,$B40)))</f>
        <v/>
      </c>
      <c r="D40" s="43">
        <f>IF($B40="","",IF(INDEX('Work Orders'!$B$11:$B$1010,$B40)="","",INDEX('Work Orders'!$B$11:$B$1010,$B40)))</f>
        <v/>
      </c>
      <c r="E40" s="43">
        <f>IF($B40="","",IF(INDEX('Work Orders'!$D$11:$D$1010,$B40)="","",INDEX('Work Orders'!$D$11:$D$1010,$B40)))</f>
        <v/>
      </c>
      <c r="F40" s="43">
        <f>IF($B40="","",IF(INDEX('Work Orders'!$Q$11:$Q$1010,$B40)="","",INDEX('Work Orders'!$Q$11:$Q$1010,$B40)))</f>
        <v/>
      </c>
      <c r="G40" s="43">
        <f>IF($B40="","",IF(INDEX('Work Orders'!$V$11:$V$1010,$B40)="","",INDEX('Work Orders'!$V$11:$V$1010,$B40)))</f>
        <v/>
      </c>
      <c r="H40" s="47">
        <f>IF($B40="","",IF(INDEX('Work Orders'!$U$11:$U$1010,$B40)="","",INDEX('Work Orders'!$U$11:$U$1010,$B40)))</f>
        <v/>
      </c>
      <c r="I40" s="47">
        <f>IF($B40="","",IF(INDEX('Work Orders'!$X$11:$X$1010,$B40)="","",INDEX('Work Orders'!$X$11:$X$1010,$B40)))</f>
        <v/>
      </c>
      <c r="J40" s="44">
        <f>IF($B40="","",IF(INDEX('Work Orders'!$Z$11:$Z$1010,$B40)="","",INDEX('Work Orders'!$Z$11:$Z$1010,$B40)))</f>
        <v/>
      </c>
      <c r="K40" s="44">
        <f>IF($B40="","",IF(INDEX('Work Orders'!$AG$11:$AG$1010,$B40)="","",INDEX('Work Orders'!$AG$11:$AG$1010,$B40)))</f>
        <v/>
      </c>
      <c r="L40" s="44">
        <f>IF($B40="","",IF(INDEX('Work Orders'!$AH$11:$AH$1010,$B40)="","",INDEX('Work Orders'!$AH$11:$AH$1010,$B40)))</f>
        <v/>
      </c>
      <c r="M40" s="46">
        <f>IF($B40="","",IF(INDEX('Work Orders'!$AM$11:$AM$1010,$B40)="","",INDEX('Work Orders'!$AM$11:$AM$1010,$B40)))</f>
        <v/>
      </c>
      <c r="N40" s="43">
        <f>IF($B40="","",IF(INDEX('Work Orders'!$AL$11:$AL$1010,$B40)="","",INDEX('Work Orders'!$AL$11:$AL$1010,$B40)))</f>
        <v/>
      </c>
      <c r="O40" s="43">
        <f>IF($B40="","",IF(INDEX('Work Orders'!$N$11:$N$1010,$B40)="","",INDEX('Work Orders'!$N$11:$N$1010,$B40)))</f>
        <v/>
      </c>
    </row>
    <row r="41">
      <c r="A41" s="68" t="n">
        <v>35</v>
      </c>
      <c r="B41">
        <f>IFERROR(MATCH(A41,'Work Orders'!$AO$11:$AO$1010,0),"")</f>
        <v/>
      </c>
      <c r="C41" s="43">
        <f>IF($B41="","",IF(INDEX('Work Orders'!$A$11:$A$1010,$B41)="","",INDEX('Work Orders'!$A$11:$A$1010,$B41)))</f>
        <v/>
      </c>
      <c r="D41" s="43">
        <f>IF($B41="","",IF(INDEX('Work Orders'!$B$11:$B$1010,$B41)="","",INDEX('Work Orders'!$B$11:$B$1010,$B41)))</f>
        <v/>
      </c>
      <c r="E41" s="43">
        <f>IF($B41="","",IF(INDEX('Work Orders'!$D$11:$D$1010,$B41)="","",INDEX('Work Orders'!$D$11:$D$1010,$B41)))</f>
        <v/>
      </c>
      <c r="F41" s="43">
        <f>IF($B41="","",IF(INDEX('Work Orders'!$Q$11:$Q$1010,$B41)="","",INDEX('Work Orders'!$Q$11:$Q$1010,$B41)))</f>
        <v/>
      </c>
      <c r="G41" s="43">
        <f>IF($B41="","",IF(INDEX('Work Orders'!$V$11:$V$1010,$B41)="","",INDEX('Work Orders'!$V$11:$V$1010,$B41)))</f>
        <v/>
      </c>
      <c r="H41" s="47">
        <f>IF($B41="","",IF(INDEX('Work Orders'!$U$11:$U$1010,$B41)="","",INDEX('Work Orders'!$U$11:$U$1010,$B41)))</f>
        <v/>
      </c>
      <c r="I41" s="47">
        <f>IF($B41="","",IF(INDEX('Work Orders'!$X$11:$X$1010,$B41)="","",INDEX('Work Orders'!$X$11:$X$1010,$B41)))</f>
        <v/>
      </c>
      <c r="J41" s="44">
        <f>IF($B41="","",IF(INDEX('Work Orders'!$Z$11:$Z$1010,$B41)="","",INDEX('Work Orders'!$Z$11:$Z$1010,$B41)))</f>
        <v/>
      </c>
      <c r="K41" s="44">
        <f>IF($B41="","",IF(INDEX('Work Orders'!$AG$11:$AG$1010,$B41)="","",INDEX('Work Orders'!$AG$11:$AG$1010,$B41)))</f>
        <v/>
      </c>
      <c r="L41" s="44">
        <f>IF($B41="","",IF(INDEX('Work Orders'!$AH$11:$AH$1010,$B41)="","",INDEX('Work Orders'!$AH$11:$AH$1010,$B41)))</f>
        <v/>
      </c>
      <c r="M41" s="46">
        <f>IF($B41="","",IF(INDEX('Work Orders'!$AM$11:$AM$1010,$B41)="","",INDEX('Work Orders'!$AM$11:$AM$1010,$B41)))</f>
        <v/>
      </c>
      <c r="N41" s="43">
        <f>IF($B41="","",IF(INDEX('Work Orders'!$AL$11:$AL$1010,$B41)="","",INDEX('Work Orders'!$AL$11:$AL$1010,$B41)))</f>
        <v/>
      </c>
      <c r="O41" s="43">
        <f>IF($B41="","",IF(INDEX('Work Orders'!$N$11:$N$1010,$B41)="","",INDEX('Work Orders'!$N$11:$N$1010,$B41)))</f>
        <v/>
      </c>
    </row>
    <row r="42">
      <c r="A42" s="68" t="n">
        <v>36</v>
      </c>
      <c r="B42">
        <f>IFERROR(MATCH(A42,'Work Orders'!$AO$11:$AO$1010,0),"")</f>
        <v/>
      </c>
      <c r="C42" s="43">
        <f>IF($B42="","",IF(INDEX('Work Orders'!$A$11:$A$1010,$B42)="","",INDEX('Work Orders'!$A$11:$A$1010,$B42)))</f>
        <v/>
      </c>
      <c r="D42" s="43">
        <f>IF($B42="","",IF(INDEX('Work Orders'!$B$11:$B$1010,$B42)="","",INDEX('Work Orders'!$B$11:$B$1010,$B42)))</f>
        <v/>
      </c>
      <c r="E42" s="43">
        <f>IF($B42="","",IF(INDEX('Work Orders'!$D$11:$D$1010,$B42)="","",INDEX('Work Orders'!$D$11:$D$1010,$B42)))</f>
        <v/>
      </c>
      <c r="F42" s="43">
        <f>IF($B42="","",IF(INDEX('Work Orders'!$Q$11:$Q$1010,$B42)="","",INDEX('Work Orders'!$Q$11:$Q$1010,$B42)))</f>
        <v/>
      </c>
      <c r="G42" s="43">
        <f>IF($B42="","",IF(INDEX('Work Orders'!$V$11:$V$1010,$B42)="","",INDEX('Work Orders'!$V$11:$V$1010,$B42)))</f>
        <v/>
      </c>
      <c r="H42" s="47">
        <f>IF($B42="","",IF(INDEX('Work Orders'!$U$11:$U$1010,$B42)="","",INDEX('Work Orders'!$U$11:$U$1010,$B42)))</f>
        <v/>
      </c>
      <c r="I42" s="47">
        <f>IF($B42="","",IF(INDEX('Work Orders'!$X$11:$X$1010,$B42)="","",INDEX('Work Orders'!$X$11:$X$1010,$B42)))</f>
        <v/>
      </c>
      <c r="J42" s="44">
        <f>IF($B42="","",IF(INDEX('Work Orders'!$Z$11:$Z$1010,$B42)="","",INDEX('Work Orders'!$Z$11:$Z$1010,$B42)))</f>
        <v/>
      </c>
      <c r="K42" s="44">
        <f>IF($B42="","",IF(INDEX('Work Orders'!$AG$11:$AG$1010,$B42)="","",INDEX('Work Orders'!$AG$11:$AG$1010,$B42)))</f>
        <v/>
      </c>
      <c r="L42" s="44">
        <f>IF($B42="","",IF(INDEX('Work Orders'!$AH$11:$AH$1010,$B42)="","",INDEX('Work Orders'!$AH$11:$AH$1010,$B42)))</f>
        <v/>
      </c>
      <c r="M42" s="46">
        <f>IF($B42="","",IF(INDEX('Work Orders'!$AM$11:$AM$1010,$B42)="","",INDEX('Work Orders'!$AM$11:$AM$1010,$B42)))</f>
        <v/>
      </c>
      <c r="N42" s="43">
        <f>IF($B42="","",IF(INDEX('Work Orders'!$AL$11:$AL$1010,$B42)="","",INDEX('Work Orders'!$AL$11:$AL$1010,$B42)))</f>
        <v/>
      </c>
      <c r="O42" s="43">
        <f>IF($B42="","",IF(INDEX('Work Orders'!$N$11:$N$1010,$B42)="","",INDEX('Work Orders'!$N$11:$N$1010,$B42)))</f>
        <v/>
      </c>
    </row>
    <row r="43">
      <c r="A43" s="68" t="n">
        <v>37</v>
      </c>
      <c r="B43">
        <f>IFERROR(MATCH(A43,'Work Orders'!$AO$11:$AO$1010,0),"")</f>
        <v/>
      </c>
      <c r="C43" s="43">
        <f>IF($B43="","",IF(INDEX('Work Orders'!$A$11:$A$1010,$B43)="","",INDEX('Work Orders'!$A$11:$A$1010,$B43)))</f>
        <v/>
      </c>
      <c r="D43" s="43">
        <f>IF($B43="","",IF(INDEX('Work Orders'!$B$11:$B$1010,$B43)="","",INDEX('Work Orders'!$B$11:$B$1010,$B43)))</f>
        <v/>
      </c>
      <c r="E43" s="43">
        <f>IF($B43="","",IF(INDEX('Work Orders'!$D$11:$D$1010,$B43)="","",INDEX('Work Orders'!$D$11:$D$1010,$B43)))</f>
        <v/>
      </c>
      <c r="F43" s="43">
        <f>IF($B43="","",IF(INDEX('Work Orders'!$Q$11:$Q$1010,$B43)="","",INDEX('Work Orders'!$Q$11:$Q$1010,$B43)))</f>
        <v/>
      </c>
      <c r="G43" s="43">
        <f>IF($B43="","",IF(INDEX('Work Orders'!$V$11:$V$1010,$B43)="","",INDEX('Work Orders'!$V$11:$V$1010,$B43)))</f>
        <v/>
      </c>
      <c r="H43" s="47">
        <f>IF($B43="","",IF(INDEX('Work Orders'!$U$11:$U$1010,$B43)="","",INDEX('Work Orders'!$U$11:$U$1010,$B43)))</f>
        <v/>
      </c>
      <c r="I43" s="47">
        <f>IF($B43="","",IF(INDEX('Work Orders'!$X$11:$X$1010,$B43)="","",INDEX('Work Orders'!$X$11:$X$1010,$B43)))</f>
        <v/>
      </c>
      <c r="J43" s="44">
        <f>IF($B43="","",IF(INDEX('Work Orders'!$Z$11:$Z$1010,$B43)="","",INDEX('Work Orders'!$Z$11:$Z$1010,$B43)))</f>
        <v/>
      </c>
      <c r="K43" s="44">
        <f>IF($B43="","",IF(INDEX('Work Orders'!$AG$11:$AG$1010,$B43)="","",INDEX('Work Orders'!$AG$11:$AG$1010,$B43)))</f>
        <v/>
      </c>
      <c r="L43" s="44">
        <f>IF($B43="","",IF(INDEX('Work Orders'!$AH$11:$AH$1010,$B43)="","",INDEX('Work Orders'!$AH$11:$AH$1010,$B43)))</f>
        <v/>
      </c>
      <c r="M43" s="46">
        <f>IF($B43="","",IF(INDEX('Work Orders'!$AM$11:$AM$1010,$B43)="","",INDEX('Work Orders'!$AM$11:$AM$1010,$B43)))</f>
        <v/>
      </c>
      <c r="N43" s="43">
        <f>IF($B43="","",IF(INDEX('Work Orders'!$AL$11:$AL$1010,$B43)="","",INDEX('Work Orders'!$AL$11:$AL$1010,$B43)))</f>
        <v/>
      </c>
      <c r="O43" s="43">
        <f>IF($B43="","",IF(INDEX('Work Orders'!$N$11:$N$1010,$B43)="","",INDEX('Work Orders'!$N$11:$N$1010,$B43)))</f>
        <v/>
      </c>
    </row>
    <row r="44">
      <c r="A44" s="68" t="n">
        <v>38</v>
      </c>
      <c r="B44">
        <f>IFERROR(MATCH(A44,'Work Orders'!$AO$11:$AO$1010,0),"")</f>
        <v/>
      </c>
      <c r="C44" s="43">
        <f>IF($B44="","",IF(INDEX('Work Orders'!$A$11:$A$1010,$B44)="","",INDEX('Work Orders'!$A$11:$A$1010,$B44)))</f>
        <v/>
      </c>
      <c r="D44" s="43">
        <f>IF($B44="","",IF(INDEX('Work Orders'!$B$11:$B$1010,$B44)="","",INDEX('Work Orders'!$B$11:$B$1010,$B44)))</f>
        <v/>
      </c>
      <c r="E44" s="43">
        <f>IF($B44="","",IF(INDEX('Work Orders'!$D$11:$D$1010,$B44)="","",INDEX('Work Orders'!$D$11:$D$1010,$B44)))</f>
        <v/>
      </c>
      <c r="F44" s="43">
        <f>IF($B44="","",IF(INDEX('Work Orders'!$Q$11:$Q$1010,$B44)="","",INDEX('Work Orders'!$Q$11:$Q$1010,$B44)))</f>
        <v/>
      </c>
      <c r="G44" s="43">
        <f>IF($B44="","",IF(INDEX('Work Orders'!$V$11:$V$1010,$B44)="","",INDEX('Work Orders'!$V$11:$V$1010,$B44)))</f>
        <v/>
      </c>
      <c r="H44" s="47">
        <f>IF($B44="","",IF(INDEX('Work Orders'!$U$11:$U$1010,$B44)="","",INDEX('Work Orders'!$U$11:$U$1010,$B44)))</f>
        <v/>
      </c>
      <c r="I44" s="47">
        <f>IF($B44="","",IF(INDEX('Work Orders'!$X$11:$X$1010,$B44)="","",INDEX('Work Orders'!$X$11:$X$1010,$B44)))</f>
        <v/>
      </c>
      <c r="J44" s="44">
        <f>IF($B44="","",IF(INDEX('Work Orders'!$Z$11:$Z$1010,$B44)="","",INDEX('Work Orders'!$Z$11:$Z$1010,$B44)))</f>
        <v/>
      </c>
      <c r="K44" s="44">
        <f>IF($B44="","",IF(INDEX('Work Orders'!$AG$11:$AG$1010,$B44)="","",INDEX('Work Orders'!$AG$11:$AG$1010,$B44)))</f>
        <v/>
      </c>
      <c r="L44" s="44">
        <f>IF($B44="","",IF(INDEX('Work Orders'!$AH$11:$AH$1010,$B44)="","",INDEX('Work Orders'!$AH$11:$AH$1010,$B44)))</f>
        <v/>
      </c>
      <c r="M44" s="46">
        <f>IF($B44="","",IF(INDEX('Work Orders'!$AM$11:$AM$1010,$B44)="","",INDEX('Work Orders'!$AM$11:$AM$1010,$B44)))</f>
        <v/>
      </c>
      <c r="N44" s="43">
        <f>IF($B44="","",IF(INDEX('Work Orders'!$AL$11:$AL$1010,$B44)="","",INDEX('Work Orders'!$AL$11:$AL$1010,$B44)))</f>
        <v/>
      </c>
      <c r="O44" s="43">
        <f>IF($B44="","",IF(INDEX('Work Orders'!$N$11:$N$1010,$B44)="","",INDEX('Work Orders'!$N$11:$N$1010,$B44)))</f>
        <v/>
      </c>
    </row>
    <row r="45">
      <c r="A45" s="68" t="n">
        <v>39</v>
      </c>
      <c r="B45">
        <f>IFERROR(MATCH(A45,'Work Orders'!$AO$11:$AO$1010,0),"")</f>
        <v/>
      </c>
      <c r="C45" s="43">
        <f>IF($B45="","",IF(INDEX('Work Orders'!$A$11:$A$1010,$B45)="","",INDEX('Work Orders'!$A$11:$A$1010,$B45)))</f>
        <v/>
      </c>
      <c r="D45" s="43">
        <f>IF($B45="","",IF(INDEX('Work Orders'!$B$11:$B$1010,$B45)="","",INDEX('Work Orders'!$B$11:$B$1010,$B45)))</f>
        <v/>
      </c>
      <c r="E45" s="43">
        <f>IF($B45="","",IF(INDEX('Work Orders'!$D$11:$D$1010,$B45)="","",INDEX('Work Orders'!$D$11:$D$1010,$B45)))</f>
        <v/>
      </c>
      <c r="F45" s="43">
        <f>IF($B45="","",IF(INDEX('Work Orders'!$Q$11:$Q$1010,$B45)="","",INDEX('Work Orders'!$Q$11:$Q$1010,$B45)))</f>
        <v/>
      </c>
      <c r="G45" s="43">
        <f>IF($B45="","",IF(INDEX('Work Orders'!$V$11:$V$1010,$B45)="","",INDEX('Work Orders'!$V$11:$V$1010,$B45)))</f>
        <v/>
      </c>
      <c r="H45" s="47">
        <f>IF($B45="","",IF(INDEX('Work Orders'!$U$11:$U$1010,$B45)="","",INDEX('Work Orders'!$U$11:$U$1010,$B45)))</f>
        <v/>
      </c>
      <c r="I45" s="47">
        <f>IF($B45="","",IF(INDEX('Work Orders'!$X$11:$X$1010,$B45)="","",INDEX('Work Orders'!$X$11:$X$1010,$B45)))</f>
        <v/>
      </c>
      <c r="J45" s="44">
        <f>IF($B45="","",IF(INDEX('Work Orders'!$Z$11:$Z$1010,$B45)="","",INDEX('Work Orders'!$Z$11:$Z$1010,$B45)))</f>
        <v/>
      </c>
      <c r="K45" s="44">
        <f>IF($B45="","",IF(INDEX('Work Orders'!$AG$11:$AG$1010,$B45)="","",INDEX('Work Orders'!$AG$11:$AG$1010,$B45)))</f>
        <v/>
      </c>
      <c r="L45" s="44">
        <f>IF($B45="","",IF(INDEX('Work Orders'!$AH$11:$AH$1010,$B45)="","",INDEX('Work Orders'!$AH$11:$AH$1010,$B45)))</f>
        <v/>
      </c>
      <c r="M45" s="46">
        <f>IF($B45="","",IF(INDEX('Work Orders'!$AM$11:$AM$1010,$B45)="","",INDEX('Work Orders'!$AM$11:$AM$1010,$B45)))</f>
        <v/>
      </c>
      <c r="N45" s="43">
        <f>IF($B45="","",IF(INDEX('Work Orders'!$AL$11:$AL$1010,$B45)="","",INDEX('Work Orders'!$AL$11:$AL$1010,$B45)))</f>
        <v/>
      </c>
      <c r="O45" s="43">
        <f>IF($B45="","",IF(INDEX('Work Orders'!$N$11:$N$1010,$B45)="","",INDEX('Work Orders'!$N$11:$N$1010,$B45)))</f>
        <v/>
      </c>
    </row>
    <row r="46">
      <c r="A46" s="68" t="n">
        <v>40</v>
      </c>
      <c r="B46">
        <f>IFERROR(MATCH(A46,'Work Orders'!$AO$11:$AO$1010,0),"")</f>
        <v/>
      </c>
      <c r="C46" s="43">
        <f>IF($B46="","",IF(INDEX('Work Orders'!$A$11:$A$1010,$B46)="","",INDEX('Work Orders'!$A$11:$A$1010,$B46)))</f>
        <v/>
      </c>
      <c r="D46" s="43">
        <f>IF($B46="","",IF(INDEX('Work Orders'!$B$11:$B$1010,$B46)="","",INDEX('Work Orders'!$B$11:$B$1010,$B46)))</f>
        <v/>
      </c>
      <c r="E46" s="43">
        <f>IF($B46="","",IF(INDEX('Work Orders'!$D$11:$D$1010,$B46)="","",INDEX('Work Orders'!$D$11:$D$1010,$B46)))</f>
        <v/>
      </c>
      <c r="F46" s="43">
        <f>IF($B46="","",IF(INDEX('Work Orders'!$Q$11:$Q$1010,$B46)="","",INDEX('Work Orders'!$Q$11:$Q$1010,$B46)))</f>
        <v/>
      </c>
      <c r="G46" s="43">
        <f>IF($B46="","",IF(INDEX('Work Orders'!$V$11:$V$1010,$B46)="","",INDEX('Work Orders'!$V$11:$V$1010,$B46)))</f>
        <v/>
      </c>
      <c r="H46" s="47">
        <f>IF($B46="","",IF(INDEX('Work Orders'!$U$11:$U$1010,$B46)="","",INDEX('Work Orders'!$U$11:$U$1010,$B46)))</f>
        <v/>
      </c>
      <c r="I46" s="47">
        <f>IF($B46="","",IF(INDEX('Work Orders'!$X$11:$X$1010,$B46)="","",INDEX('Work Orders'!$X$11:$X$1010,$B46)))</f>
        <v/>
      </c>
      <c r="J46" s="44">
        <f>IF($B46="","",IF(INDEX('Work Orders'!$Z$11:$Z$1010,$B46)="","",INDEX('Work Orders'!$Z$11:$Z$1010,$B46)))</f>
        <v/>
      </c>
      <c r="K46" s="44">
        <f>IF($B46="","",IF(INDEX('Work Orders'!$AG$11:$AG$1010,$B46)="","",INDEX('Work Orders'!$AG$11:$AG$1010,$B46)))</f>
        <v/>
      </c>
      <c r="L46" s="44">
        <f>IF($B46="","",IF(INDEX('Work Orders'!$AH$11:$AH$1010,$B46)="","",INDEX('Work Orders'!$AH$11:$AH$1010,$B46)))</f>
        <v/>
      </c>
      <c r="M46" s="46">
        <f>IF($B46="","",IF(INDEX('Work Orders'!$AM$11:$AM$1010,$B46)="","",INDEX('Work Orders'!$AM$11:$AM$1010,$B46)))</f>
        <v/>
      </c>
      <c r="N46" s="43">
        <f>IF($B46="","",IF(INDEX('Work Orders'!$AL$11:$AL$1010,$B46)="","",INDEX('Work Orders'!$AL$11:$AL$1010,$B46)))</f>
        <v/>
      </c>
      <c r="O46" s="43">
        <f>IF($B46="","",IF(INDEX('Work Orders'!$N$11:$N$1010,$B46)="","",INDEX('Work Orders'!$N$11:$N$1010,$B46)))</f>
        <v/>
      </c>
    </row>
    <row r="47">
      <c r="A47" s="68" t="n">
        <v>41</v>
      </c>
      <c r="B47">
        <f>IFERROR(MATCH(A47,'Work Orders'!$AO$11:$AO$1010,0),"")</f>
        <v/>
      </c>
      <c r="C47" s="43">
        <f>IF($B47="","",IF(INDEX('Work Orders'!$A$11:$A$1010,$B47)="","",INDEX('Work Orders'!$A$11:$A$1010,$B47)))</f>
        <v/>
      </c>
      <c r="D47" s="43">
        <f>IF($B47="","",IF(INDEX('Work Orders'!$B$11:$B$1010,$B47)="","",INDEX('Work Orders'!$B$11:$B$1010,$B47)))</f>
        <v/>
      </c>
      <c r="E47" s="43">
        <f>IF($B47="","",IF(INDEX('Work Orders'!$D$11:$D$1010,$B47)="","",INDEX('Work Orders'!$D$11:$D$1010,$B47)))</f>
        <v/>
      </c>
      <c r="F47" s="43">
        <f>IF($B47="","",IF(INDEX('Work Orders'!$Q$11:$Q$1010,$B47)="","",INDEX('Work Orders'!$Q$11:$Q$1010,$B47)))</f>
        <v/>
      </c>
      <c r="G47" s="43">
        <f>IF($B47="","",IF(INDEX('Work Orders'!$V$11:$V$1010,$B47)="","",INDEX('Work Orders'!$V$11:$V$1010,$B47)))</f>
        <v/>
      </c>
      <c r="H47" s="47">
        <f>IF($B47="","",IF(INDEX('Work Orders'!$U$11:$U$1010,$B47)="","",INDEX('Work Orders'!$U$11:$U$1010,$B47)))</f>
        <v/>
      </c>
      <c r="I47" s="47">
        <f>IF($B47="","",IF(INDEX('Work Orders'!$X$11:$X$1010,$B47)="","",INDEX('Work Orders'!$X$11:$X$1010,$B47)))</f>
        <v/>
      </c>
      <c r="J47" s="44">
        <f>IF($B47="","",IF(INDEX('Work Orders'!$Z$11:$Z$1010,$B47)="","",INDEX('Work Orders'!$Z$11:$Z$1010,$B47)))</f>
        <v/>
      </c>
      <c r="K47" s="44">
        <f>IF($B47="","",IF(INDEX('Work Orders'!$AG$11:$AG$1010,$B47)="","",INDEX('Work Orders'!$AG$11:$AG$1010,$B47)))</f>
        <v/>
      </c>
      <c r="L47" s="44">
        <f>IF($B47="","",IF(INDEX('Work Orders'!$AH$11:$AH$1010,$B47)="","",INDEX('Work Orders'!$AH$11:$AH$1010,$B47)))</f>
        <v/>
      </c>
      <c r="M47" s="46">
        <f>IF($B47="","",IF(INDEX('Work Orders'!$AM$11:$AM$1010,$B47)="","",INDEX('Work Orders'!$AM$11:$AM$1010,$B47)))</f>
        <v/>
      </c>
      <c r="N47" s="43">
        <f>IF($B47="","",IF(INDEX('Work Orders'!$AL$11:$AL$1010,$B47)="","",INDEX('Work Orders'!$AL$11:$AL$1010,$B47)))</f>
        <v/>
      </c>
      <c r="O47" s="43">
        <f>IF($B47="","",IF(INDEX('Work Orders'!$N$11:$N$1010,$B47)="","",INDEX('Work Orders'!$N$11:$N$1010,$B47)))</f>
        <v/>
      </c>
    </row>
    <row r="48">
      <c r="A48" s="68" t="n">
        <v>42</v>
      </c>
      <c r="B48">
        <f>IFERROR(MATCH(A48,'Work Orders'!$AO$11:$AO$1010,0),"")</f>
        <v/>
      </c>
      <c r="C48" s="43">
        <f>IF($B48="","",IF(INDEX('Work Orders'!$A$11:$A$1010,$B48)="","",INDEX('Work Orders'!$A$11:$A$1010,$B48)))</f>
        <v/>
      </c>
      <c r="D48" s="43">
        <f>IF($B48="","",IF(INDEX('Work Orders'!$B$11:$B$1010,$B48)="","",INDEX('Work Orders'!$B$11:$B$1010,$B48)))</f>
        <v/>
      </c>
      <c r="E48" s="43">
        <f>IF($B48="","",IF(INDEX('Work Orders'!$D$11:$D$1010,$B48)="","",INDEX('Work Orders'!$D$11:$D$1010,$B48)))</f>
        <v/>
      </c>
      <c r="F48" s="43">
        <f>IF($B48="","",IF(INDEX('Work Orders'!$Q$11:$Q$1010,$B48)="","",INDEX('Work Orders'!$Q$11:$Q$1010,$B48)))</f>
        <v/>
      </c>
      <c r="G48" s="43">
        <f>IF($B48="","",IF(INDEX('Work Orders'!$V$11:$V$1010,$B48)="","",INDEX('Work Orders'!$V$11:$V$1010,$B48)))</f>
        <v/>
      </c>
      <c r="H48" s="47">
        <f>IF($B48="","",IF(INDEX('Work Orders'!$U$11:$U$1010,$B48)="","",INDEX('Work Orders'!$U$11:$U$1010,$B48)))</f>
        <v/>
      </c>
      <c r="I48" s="47">
        <f>IF($B48="","",IF(INDEX('Work Orders'!$X$11:$X$1010,$B48)="","",INDEX('Work Orders'!$X$11:$X$1010,$B48)))</f>
        <v/>
      </c>
      <c r="J48" s="44">
        <f>IF($B48="","",IF(INDEX('Work Orders'!$Z$11:$Z$1010,$B48)="","",INDEX('Work Orders'!$Z$11:$Z$1010,$B48)))</f>
        <v/>
      </c>
      <c r="K48" s="44">
        <f>IF($B48="","",IF(INDEX('Work Orders'!$AG$11:$AG$1010,$B48)="","",INDEX('Work Orders'!$AG$11:$AG$1010,$B48)))</f>
        <v/>
      </c>
      <c r="L48" s="44">
        <f>IF($B48="","",IF(INDEX('Work Orders'!$AH$11:$AH$1010,$B48)="","",INDEX('Work Orders'!$AH$11:$AH$1010,$B48)))</f>
        <v/>
      </c>
      <c r="M48" s="46">
        <f>IF($B48="","",IF(INDEX('Work Orders'!$AM$11:$AM$1010,$B48)="","",INDEX('Work Orders'!$AM$11:$AM$1010,$B48)))</f>
        <v/>
      </c>
      <c r="N48" s="43">
        <f>IF($B48="","",IF(INDEX('Work Orders'!$AL$11:$AL$1010,$B48)="","",INDEX('Work Orders'!$AL$11:$AL$1010,$B48)))</f>
        <v/>
      </c>
      <c r="O48" s="43">
        <f>IF($B48="","",IF(INDEX('Work Orders'!$N$11:$N$1010,$B48)="","",INDEX('Work Orders'!$N$11:$N$1010,$B48)))</f>
        <v/>
      </c>
    </row>
    <row r="49">
      <c r="A49" s="68" t="n">
        <v>43</v>
      </c>
      <c r="B49">
        <f>IFERROR(MATCH(A49,'Work Orders'!$AO$11:$AO$1010,0),"")</f>
        <v/>
      </c>
      <c r="C49" s="43">
        <f>IF($B49="","",IF(INDEX('Work Orders'!$A$11:$A$1010,$B49)="","",INDEX('Work Orders'!$A$11:$A$1010,$B49)))</f>
        <v/>
      </c>
      <c r="D49" s="43">
        <f>IF($B49="","",IF(INDEX('Work Orders'!$B$11:$B$1010,$B49)="","",INDEX('Work Orders'!$B$11:$B$1010,$B49)))</f>
        <v/>
      </c>
      <c r="E49" s="43">
        <f>IF($B49="","",IF(INDEX('Work Orders'!$D$11:$D$1010,$B49)="","",INDEX('Work Orders'!$D$11:$D$1010,$B49)))</f>
        <v/>
      </c>
      <c r="F49" s="43">
        <f>IF($B49="","",IF(INDEX('Work Orders'!$Q$11:$Q$1010,$B49)="","",INDEX('Work Orders'!$Q$11:$Q$1010,$B49)))</f>
        <v/>
      </c>
      <c r="G49" s="43">
        <f>IF($B49="","",IF(INDEX('Work Orders'!$V$11:$V$1010,$B49)="","",INDEX('Work Orders'!$V$11:$V$1010,$B49)))</f>
        <v/>
      </c>
      <c r="H49" s="47">
        <f>IF($B49="","",IF(INDEX('Work Orders'!$U$11:$U$1010,$B49)="","",INDEX('Work Orders'!$U$11:$U$1010,$B49)))</f>
        <v/>
      </c>
      <c r="I49" s="47">
        <f>IF($B49="","",IF(INDEX('Work Orders'!$X$11:$X$1010,$B49)="","",INDEX('Work Orders'!$X$11:$X$1010,$B49)))</f>
        <v/>
      </c>
      <c r="J49" s="44">
        <f>IF($B49="","",IF(INDEX('Work Orders'!$Z$11:$Z$1010,$B49)="","",INDEX('Work Orders'!$Z$11:$Z$1010,$B49)))</f>
        <v/>
      </c>
      <c r="K49" s="44">
        <f>IF($B49="","",IF(INDEX('Work Orders'!$AG$11:$AG$1010,$B49)="","",INDEX('Work Orders'!$AG$11:$AG$1010,$B49)))</f>
        <v/>
      </c>
      <c r="L49" s="44">
        <f>IF($B49="","",IF(INDEX('Work Orders'!$AH$11:$AH$1010,$B49)="","",INDEX('Work Orders'!$AH$11:$AH$1010,$B49)))</f>
        <v/>
      </c>
      <c r="M49" s="46">
        <f>IF($B49="","",IF(INDEX('Work Orders'!$AM$11:$AM$1010,$B49)="","",INDEX('Work Orders'!$AM$11:$AM$1010,$B49)))</f>
        <v/>
      </c>
      <c r="N49" s="43">
        <f>IF($B49="","",IF(INDEX('Work Orders'!$AL$11:$AL$1010,$B49)="","",INDEX('Work Orders'!$AL$11:$AL$1010,$B49)))</f>
        <v/>
      </c>
      <c r="O49" s="43">
        <f>IF($B49="","",IF(INDEX('Work Orders'!$N$11:$N$1010,$B49)="","",INDEX('Work Orders'!$N$11:$N$1010,$B49)))</f>
        <v/>
      </c>
    </row>
    <row r="50">
      <c r="A50" s="68" t="n">
        <v>44</v>
      </c>
      <c r="B50">
        <f>IFERROR(MATCH(A50,'Work Orders'!$AO$11:$AO$1010,0),"")</f>
        <v/>
      </c>
      <c r="C50" s="43">
        <f>IF($B50="","",IF(INDEX('Work Orders'!$A$11:$A$1010,$B50)="","",INDEX('Work Orders'!$A$11:$A$1010,$B50)))</f>
        <v/>
      </c>
      <c r="D50" s="43">
        <f>IF($B50="","",IF(INDEX('Work Orders'!$B$11:$B$1010,$B50)="","",INDEX('Work Orders'!$B$11:$B$1010,$B50)))</f>
        <v/>
      </c>
      <c r="E50" s="43">
        <f>IF($B50="","",IF(INDEX('Work Orders'!$D$11:$D$1010,$B50)="","",INDEX('Work Orders'!$D$11:$D$1010,$B50)))</f>
        <v/>
      </c>
      <c r="F50" s="43">
        <f>IF($B50="","",IF(INDEX('Work Orders'!$Q$11:$Q$1010,$B50)="","",INDEX('Work Orders'!$Q$11:$Q$1010,$B50)))</f>
        <v/>
      </c>
      <c r="G50" s="43">
        <f>IF($B50="","",IF(INDEX('Work Orders'!$V$11:$V$1010,$B50)="","",INDEX('Work Orders'!$V$11:$V$1010,$B50)))</f>
        <v/>
      </c>
      <c r="H50" s="47">
        <f>IF($B50="","",IF(INDEX('Work Orders'!$U$11:$U$1010,$B50)="","",INDEX('Work Orders'!$U$11:$U$1010,$B50)))</f>
        <v/>
      </c>
      <c r="I50" s="47">
        <f>IF($B50="","",IF(INDEX('Work Orders'!$X$11:$X$1010,$B50)="","",INDEX('Work Orders'!$X$11:$X$1010,$B50)))</f>
        <v/>
      </c>
      <c r="J50" s="44">
        <f>IF($B50="","",IF(INDEX('Work Orders'!$Z$11:$Z$1010,$B50)="","",INDEX('Work Orders'!$Z$11:$Z$1010,$B50)))</f>
        <v/>
      </c>
      <c r="K50" s="44">
        <f>IF($B50="","",IF(INDEX('Work Orders'!$AG$11:$AG$1010,$B50)="","",INDEX('Work Orders'!$AG$11:$AG$1010,$B50)))</f>
        <v/>
      </c>
      <c r="L50" s="44">
        <f>IF($B50="","",IF(INDEX('Work Orders'!$AH$11:$AH$1010,$B50)="","",INDEX('Work Orders'!$AH$11:$AH$1010,$B50)))</f>
        <v/>
      </c>
      <c r="M50" s="46">
        <f>IF($B50="","",IF(INDEX('Work Orders'!$AM$11:$AM$1010,$B50)="","",INDEX('Work Orders'!$AM$11:$AM$1010,$B50)))</f>
        <v/>
      </c>
      <c r="N50" s="43">
        <f>IF($B50="","",IF(INDEX('Work Orders'!$AL$11:$AL$1010,$B50)="","",INDEX('Work Orders'!$AL$11:$AL$1010,$B50)))</f>
        <v/>
      </c>
      <c r="O50" s="43">
        <f>IF($B50="","",IF(INDEX('Work Orders'!$N$11:$N$1010,$B50)="","",INDEX('Work Orders'!$N$11:$N$1010,$B50)))</f>
        <v/>
      </c>
    </row>
    <row r="51">
      <c r="A51" s="68" t="n">
        <v>45</v>
      </c>
      <c r="B51">
        <f>IFERROR(MATCH(A51,'Work Orders'!$AO$11:$AO$1010,0),"")</f>
        <v/>
      </c>
      <c r="C51" s="43">
        <f>IF($B51="","",IF(INDEX('Work Orders'!$A$11:$A$1010,$B51)="","",INDEX('Work Orders'!$A$11:$A$1010,$B51)))</f>
        <v/>
      </c>
      <c r="D51" s="43">
        <f>IF($B51="","",IF(INDEX('Work Orders'!$B$11:$B$1010,$B51)="","",INDEX('Work Orders'!$B$11:$B$1010,$B51)))</f>
        <v/>
      </c>
      <c r="E51" s="43">
        <f>IF($B51="","",IF(INDEX('Work Orders'!$D$11:$D$1010,$B51)="","",INDEX('Work Orders'!$D$11:$D$1010,$B51)))</f>
        <v/>
      </c>
      <c r="F51" s="43">
        <f>IF($B51="","",IF(INDEX('Work Orders'!$Q$11:$Q$1010,$B51)="","",INDEX('Work Orders'!$Q$11:$Q$1010,$B51)))</f>
        <v/>
      </c>
      <c r="G51" s="43">
        <f>IF($B51="","",IF(INDEX('Work Orders'!$V$11:$V$1010,$B51)="","",INDEX('Work Orders'!$V$11:$V$1010,$B51)))</f>
        <v/>
      </c>
      <c r="H51" s="47">
        <f>IF($B51="","",IF(INDEX('Work Orders'!$U$11:$U$1010,$B51)="","",INDEX('Work Orders'!$U$11:$U$1010,$B51)))</f>
        <v/>
      </c>
      <c r="I51" s="47">
        <f>IF($B51="","",IF(INDEX('Work Orders'!$X$11:$X$1010,$B51)="","",INDEX('Work Orders'!$X$11:$X$1010,$B51)))</f>
        <v/>
      </c>
      <c r="J51" s="44">
        <f>IF($B51="","",IF(INDEX('Work Orders'!$Z$11:$Z$1010,$B51)="","",INDEX('Work Orders'!$Z$11:$Z$1010,$B51)))</f>
        <v/>
      </c>
      <c r="K51" s="44">
        <f>IF($B51="","",IF(INDEX('Work Orders'!$AG$11:$AG$1010,$B51)="","",INDEX('Work Orders'!$AG$11:$AG$1010,$B51)))</f>
        <v/>
      </c>
      <c r="L51" s="44">
        <f>IF($B51="","",IF(INDEX('Work Orders'!$AH$11:$AH$1010,$B51)="","",INDEX('Work Orders'!$AH$11:$AH$1010,$B51)))</f>
        <v/>
      </c>
      <c r="M51" s="46">
        <f>IF($B51="","",IF(INDEX('Work Orders'!$AM$11:$AM$1010,$B51)="","",INDEX('Work Orders'!$AM$11:$AM$1010,$B51)))</f>
        <v/>
      </c>
      <c r="N51" s="43">
        <f>IF($B51="","",IF(INDEX('Work Orders'!$AL$11:$AL$1010,$B51)="","",INDEX('Work Orders'!$AL$11:$AL$1010,$B51)))</f>
        <v/>
      </c>
      <c r="O51" s="43">
        <f>IF($B51="","",IF(INDEX('Work Orders'!$N$11:$N$1010,$B51)="","",INDEX('Work Orders'!$N$11:$N$1010,$B51)))</f>
        <v/>
      </c>
    </row>
    <row r="52">
      <c r="A52" s="68" t="n">
        <v>46</v>
      </c>
      <c r="B52">
        <f>IFERROR(MATCH(A52,'Work Orders'!$AO$11:$AO$1010,0),"")</f>
        <v/>
      </c>
      <c r="C52" s="43">
        <f>IF($B52="","",IF(INDEX('Work Orders'!$A$11:$A$1010,$B52)="","",INDEX('Work Orders'!$A$11:$A$1010,$B52)))</f>
        <v/>
      </c>
      <c r="D52" s="43">
        <f>IF($B52="","",IF(INDEX('Work Orders'!$B$11:$B$1010,$B52)="","",INDEX('Work Orders'!$B$11:$B$1010,$B52)))</f>
        <v/>
      </c>
      <c r="E52" s="43">
        <f>IF($B52="","",IF(INDEX('Work Orders'!$D$11:$D$1010,$B52)="","",INDEX('Work Orders'!$D$11:$D$1010,$B52)))</f>
        <v/>
      </c>
      <c r="F52" s="43">
        <f>IF($B52="","",IF(INDEX('Work Orders'!$Q$11:$Q$1010,$B52)="","",INDEX('Work Orders'!$Q$11:$Q$1010,$B52)))</f>
        <v/>
      </c>
      <c r="G52" s="43">
        <f>IF($B52="","",IF(INDEX('Work Orders'!$V$11:$V$1010,$B52)="","",INDEX('Work Orders'!$V$11:$V$1010,$B52)))</f>
        <v/>
      </c>
      <c r="H52" s="47">
        <f>IF($B52="","",IF(INDEX('Work Orders'!$U$11:$U$1010,$B52)="","",INDEX('Work Orders'!$U$11:$U$1010,$B52)))</f>
        <v/>
      </c>
      <c r="I52" s="47">
        <f>IF($B52="","",IF(INDEX('Work Orders'!$X$11:$X$1010,$B52)="","",INDEX('Work Orders'!$X$11:$X$1010,$B52)))</f>
        <v/>
      </c>
      <c r="J52" s="44">
        <f>IF($B52="","",IF(INDEX('Work Orders'!$Z$11:$Z$1010,$B52)="","",INDEX('Work Orders'!$Z$11:$Z$1010,$B52)))</f>
        <v/>
      </c>
      <c r="K52" s="44">
        <f>IF($B52="","",IF(INDEX('Work Orders'!$AG$11:$AG$1010,$B52)="","",INDEX('Work Orders'!$AG$11:$AG$1010,$B52)))</f>
        <v/>
      </c>
      <c r="L52" s="44">
        <f>IF($B52="","",IF(INDEX('Work Orders'!$AH$11:$AH$1010,$B52)="","",INDEX('Work Orders'!$AH$11:$AH$1010,$B52)))</f>
        <v/>
      </c>
      <c r="M52" s="46">
        <f>IF($B52="","",IF(INDEX('Work Orders'!$AM$11:$AM$1010,$B52)="","",INDEX('Work Orders'!$AM$11:$AM$1010,$B52)))</f>
        <v/>
      </c>
      <c r="N52" s="43">
        <f>IF($B52="","",IF(INDEX('Work Orders'!$AL$11:$AL$1010,$B52)="","",INDEX('Work Orders'!$AL$11:$AL$1010,$B52)))</f>
        <v/>
      </c>
      <c r="O52" s="43">
        <f>IF($B52="","",IF(INDEX('Work Orders'!$N$11:$N$1010,$B52)="","",INDEX('Work Orders'!$N$11:$N$1010,$B52)))</f>
        <v/>
      </c>
    </row>
    <row r="53">
      <c r="A53" s="68" t="n">
        <v>47</v>
      </c>
      <c r="B53">
        <f>IFERROR(MATCH(A53,'Work Orders'!$AO$11:$AO$1010,0),"")</f>
        <v/>
      </c>
      <c r="C53" s="43">
        <f>IF($B53="","",IF(INDEX('Work Orders'!$A$11:$A$1010,$B53)="","",INDEX('Work Orders'!$A$11:$A$1010,$B53)))</f>
        <v/>
      </c>
      <c r="D53" s="43">
        <f>IF($B53="","",IF(INDEX('Work Orders'!$B$11:$B$1010,$B53)="","",INDEX('Work Orders'!$B$11:$B$1010,$B53)))</f>
        <v/>
      </c>
      <c r="E53" s="43">
        <f>IF($B53="","",IF(INDEX('Work Orders'!$D$11:$D$1010,$B53)="","",INDEX('Work Orders'!$D$11:$D$1010,$B53)))</f>
        <v/>
      </c>
      <c r="F53" s="43">
        <f>IF($B53="","",IF(INDEX('Work Orders'!$Q$11:$Q$1010,$B53)="","",INDEX('Work Orders'!$Q$11:$Q$1010,$B53)))</f>
        <v/>
      </c>
      <c r="G53" s="43">
        <f>IF($B53="","",IF(INDEX('Work Orders'!$V$11:$V$1010,$B53)="","",INDEX('Work Orders'!$V$11:$V$1010,$B53)))</f>
        <v/>
      </c>
      <c r="H53" s="47">
        <f>IF($B53="","",IF(INDEX('Work Orders'!$U$11:$U$1010,$B53)="","",INDEX('Work Orders'!$U$11:$U$1010,$B53)))</f>
        <v/>
      </c>
      <c r="I53" s="47">
        <f>IF($B53="","",IF(INDEX('Work Orders'!$X$11:$X$1010,$B53)="","",INDEX('Work Orders'!$X$11:$X$1010,$B53)))</f>
        <v/>
      </c>
      <c r="J53" s="44">
        <f>IF($B53="","",IF(INDEX('Work Orders'!$Z$11:$Z$1010,$B53)="","",INDEX('Work Orders'!$Z$11:$Z$1010,$B53)))</f>
        <v/>
      </c>
      <c r="K53" s="44">
        <f>IF($B53="","",IF(INDEX('Work Orders'!$AG$11:$AG$1010,$B53)="","",INDEX('Work Orders'!$AG$11:$AG$1010,$B53)))</f>
        <v/>
      </c>
      <c r="L53" s="44">
        <f>IF($B53="","",IF(INDEX('Work Orders'!$AH$11:$AH$1010,$B53)="","",INDEX('Work Orders'!$AH$11:$AH$1010,$B53)))</f>
        <v/>
      </c>
      <c r="M53" s="46">
        <f>IF($B53="","",IF(INDEX('Work Orders'!$AM$11:$AM$1010,$B53)="","",INDEX('Work Orders'!$AM$11:$AM$1010,$B53)))</f>
        <v/>
      </c>
      <c r="N53" s="43">
        <f>IF($B53="","",IF(INDEX('Work Orders'!$AL$11:$AL$1010,$B53)="","",INDEX('Work Orders'!$AL$11:$AL$1010,$B53)))</f>
        <v/>
      </c>
      <c r="O53" s="43">
        <f>IF($B53="","",IF(INDEX('Work Orders'!$N$11:$N$1010,$B53)="","",INDEX('Work Orders'!$N$11:$N$1010,$B53)))</f>
        <v/>
      </c>
    </row>
    <row r="54">
      <c r="A54" s="68" t="n">
        <v>48</v>
      </c>
      <c r="B54">
        <f>IFERROR(MATCH(A54,'Work Orders'!$AO$11:$AO$1010,0),"")</f>
        <v/>
      </c>
      <c r="C54" s="43">
        <f>IF($B54="","",IF(INDEX('Work Orders'!$A$11:$A$1010,$B54)="","",INDEX('Work Orders'!$A$11:$A$1010,$B54)))</f>
        <v/>
      </c>
      <c r="D54" s="43">
        <f>IF($B54="","",IF(INDEX('Work Orders'!$B$11:$B$1010,$B54)="","",INDEX('Work Orders'!$B$11:$B$1010,$B54)))</f>
        <v/>
      </c>
      <c r="E54" s="43">
        <f>IF($B54="","",IF(INDEX('Work Orders'!$D$11:$D$1010,$B54)="","",INDEX('Work Orders'!$D$11:$D$1010,$B54)))</f>
        <v/>
      </c>
      <c r="F54" s="43">
        <f>IF($B54="","",IF(INDEX('Work Orders'!$Q$11:$Q$1010,$B54)="","",INDEX('Work Orders'!$Q$11:$Q$1010,$B54)))</f>
        <v/>
      </c>
      <c r="G54" s="43">
        <f>IF($B54="","",IF(INDEX('Work Orders'!$V$11:$V$1010,$B54)="","",INDEX('Work Orders'!$V$11:$V$1010,$B54)))</f>
        <v/>
      </c>
      <c r="H54" s="47">
        <f>IF($B54="","",IF(INDEX('Work Orders'!$U$11:$U$1010,$B54)="","",INDEX('Work Orders'!$U$11:$U$1010,$B54)))</f>
        <v/>
      </c>
      <c r="I54" s="47">
        <f>IF($B54="","",IF(INDEX('Work Orders'!$X$11:$X$1010,$B54)="","",INDEX('Work Orders'!$X$11:$X$1010,$B54)))</f>
        <v/>
      </c>
      <c r="J54" s="44">
        <f>IF($B54="","",IF(INDEX('Work Orders'!$Z$11:$Z$1010,$B54)="","",INDEX('Work Orders'!$Z$11:$Z$1010,$B54)))</f>
        <v/>
      </c>
      <c r="K54" s="44">
        <f>IF($B54="","",IF(INDEX('Work Orders'!$AG$11:$AG$1010,$B54)="","",INDEX('Work Orders'!$AG$11:$AG$1010,$B54)))</f>
        <v/>
      </c>
      <c r="L54" s="44">
        <f>IF($B54="","",IF(INDEX('Work Orders'!$AH$11:$AH$1010,$B54)="","",INDEX('Work Orders'!$AH$11:$AH$1010,$B54)))</f>
        <v/>
      </c>
      <c r="M54" s="46">
        <f>IF($B54="","",IF(INDEX('Work Orders'!$AM$11:$AM$1010,$B54)="","",INDEX('Work Orders'!$AM$11:$AM$1010,$B54)))</f>
        <v/>
      </c>
      <c r="N54" s="43">
        <f>IF($B54="","",IF(INDEX('Work Orders'!$AL$11:$AL$1010,$B54)="","",INDEX('Work Orders'!$AL$11:$AL$1010,$B54)))</f>
        <v/>
      </c>
      <c r="O54" s="43">
        <f>IF($B54="","",IF(INDEX('Work Orders'!$N$11:$N$1010,$B54)="","",INDEX('Work Orders'!$N$11:$N$1010,$B54)))</f>
        <v/>
      </c>
    </row>
    <row r="55">
      <c r="A55" s="68" t="n">
        <v>49</v>
      </c>
      <c r="B55">
        <f>IFERROR(MATCH(A55,'Work Orders'!$AO$11:$AO$1010,0),"")</f>
        <v/>
      </c>
      <c r="C55" s="43">
        <f>IF($B55="","",IF(INDEX('Work Orders'!$A$11:$A$1010,$B55)="","",INDEX('Work Orders'!$A$11:$A$1010,$B55)))</f>
        <v/>
      </c>
      <c r="D55" s="43">
        <f>IF($B55="","",IF(INDEX('Work Orders'!$B$11:$B$1010,$B55)="","",INDEX('Work Orders'!$B$11:$B$1010,$B55)))</f>
        <v/>
      </c>
      <c r="E55" s="43">
        <f>IF($B55="","",IF(INDEX('Work Orders'!$D$11:$D$1010,$B55)="","",INDEX('Work Orders'!$D$11:$D$1010,$B55)))</f>
        <v/>
      </c>
      <c r="F55" s="43">
        <f>IF($B55="","",IF(INDEX('Work Orders'!$Q$11:$Q$1010,$B55)="","",INDEX('Work Orders'!$Q$11:$Q$1010,$B55)))</f>
        <v/>
      </c>
      <c r="G55" s="43">
        <f>IF($B55="","",IF(INDEX('Work Orders'!$V$11:$V$1010,$B55)="","",INDEX('Work Orders'!$V$11:$V$1010,$B55)))</f>
        <v/>
      </c>
      <c r="H55" s="47">
        <f>IF($B55="","",IF(INDEX('Work Orders'!$U$11:$U$1010,$B55)="","",INDEX('Work Orders'!$U$11:$U$1010,$B55)))</f>
        <v/>
      </c>
      <c r="I55" s="47">
        <f>IF($B55="","",IF(INDEX('Work Orders'!$X$11:$X$1010,$B55)="","",INDEX('Work Orders'!$X$11:$X$1010,$B55)))</f>
        <v/>
      </c>
      <c r="J55" s="44">
        <f>IF($B55="","",IF(INDEX('Work Orders'!$Z$11:$Z$1010,$B55)="","",INDEX('Work Orders'!$Z$11:$Z$1010,$B55)))</f>
        <v/>
      </c>
      <c r="K55" s="44">
        <f>IF($B55="","",IF(INDEX('Work Orders'!$AG$11:$AG$1010,$B55)="","",INDEX('Work Orders'!$AG$11:$AG$1010,$B55)))</f>
        <v/>
      </c>
      <c r="L55" s="44">
        <f>IF($B55="","",IF(INDEX('Work Orders'!$AH$11:$AH$1010,$B55)="","",INDEX('Work Orders'!$AH$11:$AH$1010,$B55)))</f>
        <v/>
      </c>
      <c r="M55" s="46">
        <f>IF($B55="","",IF(INDEX('Work Orders'!$AM$11:$AM$1010,$B55)="","",INDEX('Work Orders'!$AM$11:$AM$1010,$B55)))</f>
        <v/>
      </c>
      <c r="N55" s="43">
        <f>IF($B55="","",IF(INDEX('Work Orders'!$AL$11:$AL$1010,$B55)="","",INDEX('Work Orders'!$AL$11:$AL$1010,$B55)))</f>
        <v/>
      </c>
      <c r="O55" s="43">
        <f>IF($B55="","",IF(INDEX('Work Orders'!$N$11:$N$1010,$B55)="","",INDEX('Work Orders'!$N$11:$N$1010,$B55)))</f>
        <v/>
      </c>
    </row>
    <row r="56">
      <c r="A56" s="68" t="n">
        <v>50</v>
      </c>
      <c r="B56">
        <f>IFERROR(MATCH(A56,'Work Orders'!$AO$11:$AO$1010,0),"")</f>
        <v/>
      </c>
      <c r="C56" s="43">
        <f>IF($B56="","",IF(INDEX('Work Orders'!$A$11:$A$1010,$B56)="","",INDEX('Work Orders'!$A$11:$A$1010,$B56)))</f>
        <v/>
      </c>
      <c r="D56" s="43">
        <f>IF($B56="","",IF(INDEX('Work Orders'!$B$11:$B$1010,$B56)="","",INDEX('Work Orders'!$B$11:$B$1010,$B56)))</f>
        <v/>
      </c>
      <c r="E56" s="43">
        <f>IF($B56="","",IF(INDEX('Work Orders'!$D$11:$D$1010,$B56)="","",INDEX('Work Orders'!$D$11:$D$1010,$B56)))</f>
        <v/>
      </c>
      <c r="F56" s="43">
        <f>IF($B56="","",IF(INDEX('Work Orders'!$Q$11:$Q$1010,$B56)="","",INDEX('Work Orders'!$Q$11:$Q$1010,$B56)))</f>
        <v/>
      </c>
      <c r="G56" s="43">
        <f>IF($B56="","",IF(INDEX('Work Orders'!$V$11:$V$1010,$B56)="","",INDEX('Work Orders'!$V$11:$V$1010,$B56)))</f>
        <v/>
      </c>
      <c r="H56" s="47">
        <f>IF($B56="","",IF(INDEX('Work Orders'!$U$11:$U$1010,$B56)="","",INDEX('Work Orders'!$U$11:$U$1010,$B56)))</f>
        <v/>
      </c>
      <c r="I56" s="47">
        <f>IF($B56="","",IF(INDEX('Work Orders'!$X$11:$X$1010,$B56)="","",INDEX('Work Orders'!$X$11:$X$1010,$B56)))</f>
        <v/>
      </c>
      <c r="J56" s="44">
        <f>IF($B56="","",IF(INDEX('Work Orders'!$Z$11:$Z$1010,$B56)="","",INDEX('Work Orders'!$Z$11:$Z$1010,$B56)))</f>
        <v/>
      </c>
      <c r="K56" s="44">
        <f>IF($B56="","",IF(INDEX('Work Orders'!$AG$11:$AG$1010,$B56)="","",INDEX('Work Orders'!$AG$11:$AG$1010,$B56)))</f>
        <v/>
      </c>
      <c r="L56" s="44">
        <f>IF($B56="","",IF(INDEX('Work Orders'!$AH$11:$AH$1010,$B56)="","",INDEX('Work Orders'!$AH$11:$AH$1010,$B56)))</f>
        <v/>
      </c>
      <c r="M56" s="46">
        <f>IF($B56="","",IF(INDEX('Work Orders'!$AM$11:$AM$1010,$B56)="","",INDEX('Work Orders'!$AM$11:$AM$1010,$B56)))</f>
        <v/>
      </c>
      <c r="N56" s="43">
        <f>IF($B56="","",IF(INDEX('Work Orders'!$AL$11:$AL$1010,$B56)="","",INDEX('Work Orders'!$AL$11:$AL$1010,$B56)))</f>
        <v/>
      </c>
      <c r="O56" s="43">
        <f>IF($B56="","",IF(INDEX('Work Orders'!$N$11:$N$1010,$B56)="","",INDEX('Work Orders'!$N$11:$N$1010,$B56)))</f>
        <v/>
      </c>
    </row>
    <row r="57">
      <c r="A57" s="68" t="n">
        <v>51</v>
      </c>
      <c r="B57">
        <f>IFERROR(MATCH(A57,'Work Orders'!$AO$11:$AO$1010,0),"")</f>
        <v/>
      </c>
      <c r="C57" s="43">
        <f>IF($B57="","",IF(INDEX('Work Orders'!$A$11:$A$1010,$B57)="","",INDEX('Work Orders'!$A$11:$A$1010,$B57)))</f>
        <v/>
      </c>
      <c r="D57" s="43">
        <f>IF($B57="","",IF(INDEX('Work Orders'!$B$11:$B$1010,$B57)="","",INDEX('Work Orders'!$B$11:$B$1010,$B57)))</f>
        <v/>
      </c>
      <c r="E57" s="43">
        <f>IF($B57="","",IF(INDEX('Work Orders'!$D$11:$D$1010,$B57)="","",INDEX('Work Orders'!$D$11:$D$1010,$B57)))</f>
        <v/>
      </c>
      <c r="F57" s="43">
        <f>IF($B57="","",IF(INDEX('Work Orders'!$Q$11:$Q$1010,$B57)="","",INDEX('Work Orders'!$Q$11:$Q$1010,$B57)))</f>
        <v/>
      </c>
      <c r="G57" s="43">
        <f>IF($B57="","",IF(INDEX('Work Orders'!$V$11:$V$1010,$B57)="","",INDEX('Work Orders'!$V$11:$V$1010,$B57)))</f>
        <v/>
      </c>
      <c r="H57" s="47">
        <f>IF($B57="","",IF(INDEX('Work Orders'!$U$11:$U$1010,$B57)="","",INDEX('Work Orders'!$U$11:$U$1010,$B57)))</f>
        <v/>
      </c>
      <c r="I57" s="47">
        <f>IF($B57="","",IF(INDEX('Work Orders'!$X$11:$X$1010,$B57)="","",INDEX('Work Orders'!$X$11:$X$1010,$B57)))</f>
        <v/>
      </c>
      <c r="J57" s="44">
        <f>IF($B57="","",IF(INDEX('Work Orders'!$Z$11:$Z$1010,$B57)="","",INDEX('Work Orders'!$Z$11:$Z$1010,$B57)))</f>
        <v/>
      </c>
      <c r="K57" s="44">
        <f>IF($B57="","",IF(INDEX('Work Orders'!$AG$11:$AG$1010,$B57)="","",INDEX('Work Orders'!$AG$11:$AG$1010,$B57)))</f>
        <v/>
      </c>
      <c r="L57" s="44">
        <f>IF($B57="","",IF(INDEX('Work Orders'!$AH$11:$AH$1010,$B57)="","",INDEX('Work Orders'!$AH$11:$AH$1010,$B57)))</f>
        <v/>
      </c>
      <c r="M57" s="46">
        <f>IF($B57="","",IF(INDEX('Work Orders'!$AM$11:$AM$1010,$B57)="","",INDEX('Work Orders'!$AM$11:$AM$1010,$B57)))</f>
        <v/>
      </c>
      <c r="N57" s="43">
        <f>IF($B57="","",IF(INDEX('Work Orders'!$AL$11:$AL$1010,$B57)="","",INDEX('Work Orders'!$AL$11:$AL$1010,$B57)))</f>
        <v/>
      </c>
      <c r="O57" s="43">
        <f>IF($B57="","",IF(INDEX('Work Orders'!$N$11:$N$1010,$B57)="","",INDEX('Work Orders'!$N$11:$N$1010,$B57)))</f>
        <v/>
      </c>
    </row>
    <row r="58">
      <c r="A58" s="68" t="n">
        <v>52</v>
      </c>
      <c r="B58">
        <f>IFERROR(MATCH(A58,'Work Orders'!$AO$11:$AO$1010,0),"")</f>
        <v/>
      </c>
      <c r="C58" s="43">
        <f>IF($B58="","",IF(INDEX('Work Orders'!$A$11:$A$1010,$B58)="","",INDEX('Work Orders'!$A$11:$A$1010,$B58)))</f>
        <v/>
      </c>
      <c r="D58" s="43">
        <f>IF($B58="","",IF(INDEX('Work Orders'!$B$11:$B$1010,$B58)="","",INDEX('Work Orders'!$B$11:$B$1010,$B58)))</f>
        <v/>
      </c>
      <c r="E58" s="43">
        <f>IF($B58="","",IF(INDEX('Work Orders'!$D$11:$D$1010,$B58)="","",INDEX('Work Orders'!$D$11:$D$1010,$B58)))</f>
        <v/>
      </c>
      <c r="F58" s="43">
        <f>IF($B58="","",IF(INDEX('Work Orders'!$Q$11:$Q$1010,$B58)="","",INDEX('Work Orders'!$Q$11:$Q$1010,$B58)))</f>
        <v/>
      </c>
      <c r="G58" s="43">
        <f>IF($B58="","",IF(INDEX('Work Orders'!$V$11:$V$1010,$B58)="","",INDEX('Work Orders'!$V$11:$V$1010,$B58)))</f>
        <v/>
      </c>
      <c r="H58" s="47">
        <f>IF($B58="","",IF(INDEX('Work Orders'!$U$11:$U$1010,$B58)="","",INDEX('Work Orders'!$U$11:$U$1010,$B58)))</f>
        <v/>
      </c>
      <c r="I58" s="47">
        <f>IF($B58="","",IF(INDEX('Work Orders'!$X$11:$X$1010,$B58)="","",INDEX('Work Orders'!$X$11:$X$1010,$B58)))</f>
        <v/>
      </c>
      <c r="J58" s="44">
        <f>IF($B58="","",IF(INDEX('Work Orders'!$Z$11:$Z$1010,$B58)="","",INDEX('Work Orders'!$Z$11:$Z$1010,$B58)))</f>
        <v/>
      </c>
      <c r="K58" s="44">
        <f>IF($B58="","",IF(INDEX('Work Orders'!$AG$11:$AG$1010,$B58)="","",INDEX('Work Orders'!$AG$11:$AG$1010,$B58)))</f>
        <v/>
      </c>
      <c r="L58" s="44">
        <f>IF($B58="","",IF(INDEX('Work Orders'!$AH$11:$AH$1010,$B58)="","",INDEX('Work Orders'!$AH$11:$AH$1010,$B58)))</f>
        <v/>
      </c>
      <c r="M58" s="46">
        <f>IF($B58="","",IF(INDEX('Work Orders'!$AM$11:$AM$1010,$B58)="","",INDEX('Work Orders'!$AM$11:$AM$1010,$B58)))</f>
        <v/>
      </c>
      <c r="N58" s="43">
        <f>IF($B58="","",IF(INDEX('Work Orders'!$AL$11:$AL$1010,$B58)="","",INDEX('Work Orders'!$AL$11:$AL$1010,$B58)))</f>
        <v/>
      </c>
      <c r="O58" s="43">
        <f>IF($B58="","",IF(INDEX('Work Orders'!$N$11:$N$1010,$B58)="","",INDEX('Work Orders'!$N$11:$N$1010,$B58)))</f>
        <v/>
      </c>
    </row>
    <row r="59">
      <c r="A59" s="68" t="n">
        <v>53</v>
      </c>
      <c r="B59">
        <f>IFERROR(MATCH(A59,'Work Orders'!$AO$11:$AO$1010,0),"")</f>
        <v/>
      </c>
      <c r="C59" s="43">
        <f>IF($B59="","",IF(INDEX('Work Orders'!$A$11:$A$1010,$B59)="","",INDEX('Work Orders'!$A$11:$A$1010,$B59)))</f>
        <v/>
      </c>
      <c r="D59" s="43">
        <f>IF($B59="","",IF(INDEX('Work Orders'!$B$11:$B$1010,$B59)="","",INDEX('Work Orders'!$B$11:$B$1010,$B59)))</f>
        <v/>
      </c>
      <c r="E59" s="43">
        <f>IF($B59="","",IF(INDEX('Work Orders'!$D$11:$D$1010,$B59)="","",INDEX('Work Orders'!$D$11:$D$1010,$B59)))</f>
        <v/>
      </c>
      <c r="F59" s="43">
        <f>IF($B59="","",IF(INDEX('Work Orders'!$Q$11:$Q$1010,$B59)="","",INDEX('Work Orders'!$Q$11:$Q$1010,$B59)))</f>
        <v/>
      </c>
      <c r="G59" s="43">
        <f>IF($B59="","",IF(INDEX('Work Orders'!$V$11:$V$1010,$B59)="","",INDEX('Work Orders'!$V$11:$V$1010,$B59)))</f>
        <v/>
      </c>
      <c r="H59" s="47">
        <f>IF($B59="","",IF(INDEX('Work Orders'!$U$11:$U$1010,$B59)="","",INDEX('Work Orders'!$U$11:$U$1010,$B59)))</f>
        <v/>
      </c>
      <c r="I59" s="47">
        <f>IF($B59="","",IF(INDEX('Work Orders'!$X$11:$X$1010,$B59)="","",INDEX('Work Orders'!$X$11:$X$1010,$B59)))</f>
        <v/>
      </c>
      <c r="J59" s="44">
        <f>IF($B59="","",IF(INDEX('Work Orders'!$Z$11:$Z$1010,$B59)="","",INDEX('Work Orders'!$Z$11:$Z$1010,$B59)))</f>
        <v/>
      </c>
      <c r="K59" s="44">
        <f>IF($B59="","",IF(INDEX('Work Orders'!$AG$11:$AG$1010,$B59)="","",INDEX('Work Orders'!$AG$11:$AG$1010,$B59)))</f>
        <v/>
      </c>
      <c r="L59" s="44">
        <f>IF($B59="","",IF(INDEX('Work Orders'!$AH$11:$AH$1010,$B59)="","",INDEX('Work Orders'!$AH$11:$AH$1010,$B59)))</f>
        <v/>
      </c>
      <c r="M59" s="46">
        <f>IF($B59="","",IF(INDEX('Work Orders'!$AM$11:$AM$1010,$B59)="","",INDEX('Work Orders'!$AM$11:$AM$1010,$B59)))</f>
        <v/>
      </c>
      <c r="N59" s="43">
        <f>IF($B59="","",IF(INDEX('Work Orders'!$AL$11:$AL$1010,$B59)="","",INDEX('Work Orders'!$AL$11:$AL$1010,$B59)))</f>
        <v/>
      </c>
      <c r="O59" s="43">
        <f>IF($B59="","",IF(INDEX('Work Orders'!$N$11:$N$1010,$B59)="","",INDEX('Work Orders'!$N$11:$N$1010,$B59)))</f>
        <v/>
      </c>
    </row>
    <row r="60">
      <c r="A60" s="68" t="n">
        <v>54</v>
      </c>
      <c r="B60">
        <f>IFERROR(MATCH(A60,'Work Orders'!$AO$11:$AO$1010,0),"")</f>
        <v/>
      </c>
      <c r="C60" s="43">
        <f>IF($B60="","",IF(INDEX('Work Orders'!$A$11:$A$1010,$B60)="","",INDEX('Work Orders'!$A$11:$A$1010,$B60)))</f>
        <v/>
      </c>
      <c r="D60" s="43">
        <f>IF($B60="","",IF(INDEX('Work Orders'!$B$11:$B$1010,$B60)="","",INDEX('Work Orders'!$B$11:$B$1010,$B60)))</f>
        <v/>
      </c>
      <c r="E60" s="43">
        <f>IF($B60="","",IF(INDEX('Work Orders'!$D$11:$D$1010,$B60)="","",INDEX('Work Orders'!$D$11:$D$1010,$B60)))</f>
        <v/>
      </c>
      <c r="F60" s="43">
        <f>IF($B60="","",IF(INDEX('Work Orders'!$Q$11:$Q$1010,$B60)="","",INDEX('Work Orders'!$Q$11:$Q$1010,$B60)))</f>
        <v/>
      </c>
      <c r="G60" s="43">
        <f>IF($B60="","",IF(INDEX('Work Orders'!$V$11:$V$1010,$B60)="","",INDEX('Work Orders'!$V$11:$V$1010,$B60)))</f>
        <v/>
      </c>
      <c r="H60" s="47">
        <f>IF($B60="","",IF(INDEX('Work Orders'!$U$11:$U$1010,$B60)="","",INDEX('Work Orders'!$U$11:$U$1010,$B60)))</f>
        <v/>
      </c>
      <c r="I60" s="47">
        <f>IF($B60="","",IF(INDEX('Work Orders'!$X$11:$X$1010,$B60)="","",INDEX('Work Orders'!$X$11:$X$1010,$B60)))</f>
        <v/>
      </c>
      <c r="J60" s="44">
        <f>IF($B60="","",IF(INDEX('Work Orders'!$Z$11:$Z$1010,$B60)="","",INDEX('Work Orders'!$Z$11:$Z$1010,$B60)))</f>
        <v/>
      </c>
      <c r="K60" s="44">
        <f>IF($B60="","",IF(INDEX('Work Orders'!$AG$11:$AG$1010,$B60)="","",INDEX('Work Orders'!$AG$11:$AG$1010,$B60)))</f>
        <v/>
      </c>
      <c r="L60" s="44">
        <f>IF($B60="","",IF(INDEX('Work Orders'!$AH$11:$AH$1010,$B60)="","",INDEX('Work Orders'!$AH$11:$AH$1010,$B60)))</f>
        <v/>
      </c>
      <c r="M60" s="46">
        <f>IF($B60="","",IF(INDEX('Work Orders'!$AM$11:$AM$1010,$B60)="","",INDEX('Work Orders'!$AM$11:$AM$1010,$B60)))</f>
        <v/>
      </c>
      <c r="N60" s="43">
        <f>IF($B60="","",IF(INDEX('Work Orders'!$AL$11:$AL$1010,$B60)="","",INDEX('Work Orders'!$AL$11:$AL$1010,$B60)))</f>
        <v/>
      </c>
      <c r="O60" s="43">
        <f>IF($B60="","",IF(INDEX('Work Orders'!$N$11:$N$1010,$B60)="","",INDEX('Work Orders'!$N$11:$N$1010,$B60)))</f>
        <v/>
      </c>
    </row>
    <row r="61">
      <c r="A61" s="68" t="n">
        <v>55</v>
      </c>
      <c r="B61">
        <f>IFERROR(MATCH(A61,'Work Orders'!$AO$11:$AO$1010,0),"")</f>
        <v/>
      </c>
      <c r="C61" s="43">
        <f>IF($B61="","",IF(INDEX('Work Orders'!$A$11:$A$1010,$B61)="","",INDEX('Work Orders'!$A$11:$A$1010,$B61)))</f>
        <v/>
      </c>
      <c r="D61" s="43">
        <f>IF($B61="","",IF(INDEX('Work Orders'!$B$11:$B$1010,$B61)="","",INDEX('Work Orders'!$B$11:$B$1010,$B61)))</f>
        <v/>
      </c>
      <c r="E61" s="43">
        <f>IF($B61="","",IF(INDEX('Work Orders'!$D$11:$D$1010,$B61)="","",INDEX('Work Orders'!$D$11:$D$1010,$B61)))</f>
        <v/>
      </c>
      <c r="F61" s="43">
        <f>IF($B61="","",IF(INDEX('Work Orders'!$Q$11:$Q$1010,$B61)="","",INDEX('Work Orders'!$Q$11:$Q$1010,$B61)))</f>
        <v/>
      </c>
      <c r="G61" s="43">
        <f>IF($B61="","",IF(INDEX('Work Orders'!$V$11:$V$1010,$B61)="","",INDEX('Work Orders'!$V$11:$V$1010,$B61)))</f>
        <v/>
      </c>
      <c r="H61" s="47">
        <f>IF($B61="","",IF(INDEX('Work Orders'!$U$11:$U$1010,$B61)="","",INDEX('Work Orders'!$U$11:$U$1010,$B61)))</f>
        <v/>
      </c>
      <c r="I61" s="47">
        <f>IF($B61="","",IF(INDEX('Work Orders'!$X$11:$X$1010,$B61)="","",INDEX('Work Orders'!$X$11:$X$1010,$B61)))</f>
        <v/>
      </c>
      <c r="J61" s="44">
        <f>IF($B61="","",IF(INDEX('Work Orders'!$Z$11:$Z$1010,$B61)="","",INDEX('Work Orders'!$Z$11:$Z$1010,$B61)))</f>
        <v/>
      </c>
      <c r="K61" s="44">
        <f>IF($B61="","",IF(INDEX('Work Orders'!$AG$11:$AG$1010,$B61)="","",INDEX('Work Orders'!$AG$11:$AG$1010,$B61)))</f>
        <v/>
      </c>
      <c r="L61" s="44">
        <f>IF($B61="","",IF(INDEX('Work Orders'!$AH$11:$AH$1010,$B61)="","",INDEX('Work Orders'!$AH$11:$AH$1010,$B61)))</f>
        <v/>
      </c>
      <c r="M61" s="46">
        <f>IF($B61="","",IF(INDEX('Work Orders'!$AM$11:$AM$1010,$B61)="","",INDEX('Work Orders'!$AM$11:$AM$1010,$B61)))</f>
        <v/>
      </c>
      <c r="N61" s="43">
        <f>IF($B61="","",IF(INDEX('Work Orders'!$AL$11:$AL$1010,$B61)="","",INDEX('Work Orders'!$AL$11:$AL$1010,$B61)))</f>
        <v/>
      </c>
      <c r="O61" s="43">
        <f>IF($B61="","",IF(INDEX('Work Orders'!$N$11:$N$1010,$B61)="","",INDEX('Work Orders'!$N$11:$N$1010,$B61)))</f>
        <v/>
      </c>
    </row>
    <row r="62">
      <c r="A62" s="68" t="n">
        <v>56</v>
      </c>
      <c r="B62">
        <f>IFERROR(MATCH(A62,'Work Orders'!$AO$11:$AO$1010,0),"")</f>
        <v/>
      </c>
      <c r="C62" s="43">
        <f>IF($B62="","",IF(INDEX('Work Orders'!$A$11:$A$1010,$B62)="","",INDEX('Work Orders'!$A$11:$A$1010,$B62)))</f>
        <v/>
      </c>
      <c r="D62" s="43">
        <f>IF($B62="","",IF(INDEX('Work Orders'!$B$11:$B$1010,$B62)="","",INDEX('Work Orders'!$B$11:$B$1010,$B62)))</f>
        <v/>
      </c>
      <c r="E62" s="43">
        <f>IF($B62="","",IF(INDEX('Work Orders'!$D$11:$D$1010,$B62)="","",INDEX('Work Orders'!$D$11:$D$1010,$B62)))</f>
        <v/>
      </c>
      <c r="F62" s="43">
        <f>IF($B62="","",IF(INDEX('Work Orders'!$Q$11:$Q$1010,$B62)="","",INDEX('Work Orders'!$Q$11:$Q$1010,$B62)))</f>
        <v/>
      </c>
      <c r="G62" s="43">
        <f>IF($B62="","",IF(INDEX('Work Orders'!$V$11:$V$1010,$B62)="","",INDEX('Work Orders'!$V$11:$V$1010,$B62)))</f>
        <v/>
      </c>
      <c r="H62" s="47">
        <f>IF($B62="","",IF(INDEX('Work Orders'!$U$11:$U$1010,$B62)="","",INDEX('Work Orders'!$U$11:$U$1010,$B62)))</f>
        <v/>
      </c>
      <c r="I62" s="47">
        <f>IF($B62="","",IF(INDEX('Work Orders'!$X$11:$X$1010,$B62)="","",INDEX('Work Orders'!$X$11:$X$1010,$B62)))</f>
        <v/>
      </c>
      <c r="J62" s="44">
        <f>IF($B62="","",IF(INDEX('Work Orders'!$Z$11:$Z$1010,$B62)="","",INDEX('Work Orders'!$Z$11:$Z$1010,$B62)))</f>
        <v/>
      </c>
      <c r="K62" s="44">
        <f>IF($B62="","",IF(INDEX('Work Orders'!$AG$11:$AG$1010,$B62)="","",INDEX('Work Orders'!$AG$11:$AG$1010,$B62)))</f>
        <v/>
      </c>
      <c r="L62" s="44">
        <f>IF($B62="","",IF(INDEX('Work Orders'!$AH$11:$AH$1010,$B62)="","",INDEX('Work Orders'!$AH$11:$AH$1010,$B62)))</f>
        <v/>
      </c>
      <c r="M62" s="46">
        <f>IF($B62="","",IF(INDEX('Work Orders'!$AM$11:$AM$1010,$B62)="","",INDEX('Work Orders'!$AM$11:$AM$1010,$B62)))</f>
        <v/>
      </c>
      <c r="N62" s="43">
        <f>IF($B62="","",IF(INDEX('Work Orders'!$AL$11:$AL$1010,$B62)="","",INDEX('Work Orders'!$AL$11:$AL$1010,$B62)))</f>
        <v/>
      </c>
      <c r="O62" s="43">
        <f>IF($B62="","",IF(INDEX('Work Orders'!$N$11:$N$1010,$B62)="","",INDEX('Work Orders'!$N$11:$N$1010,$B62)))</f>
        <v/>
      </c>
    </row>
    <row r="63">
      <c r="A63" s="68" t="n">
        <v>57</v>
      </c>
      <c r="B63">
        <f>IFERROR(MATCH(A63,'Work Orders'!$AO$11:$AO$1010,0),"")</f>
        <v/>
      </c>
      <c r="C63" s="43">
        <f>IF($B63="","",IF(INDEX('Work Orders'!$A$11:$A$1010,$B63)="","",INDEX('Work Orders'!$A$11:$A$1010,$B63)))</f>
        <v/>
      </c>
      <c r="D63" s="43">
        <f>IF($B63="","",IF(INDEX('Work Orders'!$B$11:$B$1010,$B63)="","",INDEX('Work Orders'!$B$11:$B$1010,$B63)))</f>
        <v/>
      </c>
      <c r="E63" s="43">
        <f>IF($B63="","",IF(INDEX('Work Orders'!$D$11:$D$1010,$B63)="","",INDEX('Work Orders'!$D$11:$D$1010,$B63)))</f>
        <v/>
      </c>
      <c r="F63" s="43">
        <f>IF($B63="","",IF(INDEX('Work Orders'!$Q$11:$Q$1010,$B63)="","",INDEX('Work Orders'!$Q$11:$Q$1010,$B63)))</f>
        <v/>
      </c>
      <c r="G63" s="43">
        <f>IF($B63="","",IF(INDEX('Work Orders'!$V$11:$V$1010,$B63)="","",INDEX('Work Orders'!$V$11:$V$1010,$B63)))</f>
        <v/>
      </c>
      <c r="H63" s="47">
        <f>IF($B63="","",IF(INDEX('Work Orders'!$U$11:$U$1010,$B63)="","",INDEX('Work Orders'!$U$11:$U$1010,$B63)))</f>
        <v/>
      </c>
      <c r="I63" s="47">
        <f>IF($B63="","",IF(INDEX('Work Orders'!$X$11:$X$1010,$B63)="","",INDEX('Work Orders'!$X$11:$X$1010,$B63)))</f>
        <v/>
      </c>
      <c r="J63" s="44">
        <f>IF($B63="","",IF(INDEX('Work Orders'!$Z$11:$Z$1010,$B63)="","",INDEX('Work Orders'!$Z$11:$Z$1010,$B63)))</f>
        <v/>
      </c>
      <c r="K63" s="44">
        <f>IF($B63="","",IF(INDEX('Work Orders'!$AG$11:$AG$1010,$B63)="","",INDEX('Work Orders'!$AG$11:$AG$1010,$B63)))</f>
        <v/>
      </c>
      <c r="L63" s="44">
        <f>IF($B63="","",IF(INDEX('Work Orders'!$AH$11:$AH$1010,$B63)="","",INDEX('Work Orders'!$AH$11:$AH$1010,$B63)))</f>
        <v/>
      </c>
      <c r="M63" s="46">
        <f>IF($B63="","",IF(INDEX('Work Orders'!$AM$11:$AM$1010,$B63)="","",INDEX('Work Orders'!$AM$11:$AM$1010,$B63)))</f>
        <v/>
      </c>
      <c r="N63" s="43">
        <f>IF($B63="","",IF(INDEX('Work Orders'!$AL$11:$AL$1010,$B63)="","",INDEX('Work Orders'!$AL$11:$AL$1010,$B63)))</f>
        <v/>
      </c>
      <c r="O63" s="43">
        <f>IF($B63="","",IF(INDEX('Work Orders'!$N$11:$N$1010,$B63)="","",INDEX('Work Orders'!$N$11:$N$1010,$B63)))</f>
        <v/>
      </c>
    </row>
    <row r="64">
      <c r="A64" s="68" t="n">
        <v>58</v>
      </c>
      <c r="B64">
        <f>IFERROR(MATCH(A64,'Work Orders'!$AO$11:$AO$1010,0),"")</f>
        <v/>
      </c>
      <c r="C64" s="43">
        <f>IF($B64="","",IF(INDEX('Work Orders'!$A$11:$A$1010,$B64)="","",INDEX('Work Orders'!$A$11:$A$1010,$B64)))</f>
        <v/>
      </c>
      <c r="D64" s="43">
        <f>IF($B64="","",IF(INDEX('Work Orders'!$B$11:$B$1010,$B64)="","",INDEX('Work Orders'!$B$11:$B$1010,$B64)))</f>
        <v/>
      </c>
      <c r="E64" s="43">
        <f>IF($B64="","",IF(INDEX('Work Orders'!$D$11:$D$1010,$B64)="","",INDEX('Work Orders'!$D$11:$D$1010,$B64)))</f>
        <v/>
      </c>
      <c r="F64" s="43">
        <f>IF($B64="","",IF(INDEX('Work Orders'!$Q$11:$Q$1010,$B64)="","",INDEX('Work Orders'!$Q$11:$Q$1010,$B64)))</f>
        <v/>
      </c>
      <c r="G64" s="43">
        <f>IF($B64="","",IF(INDEX('Work Orders'!$V$11:$V$1010,$B64)="","",INDEX('Work Orders'!$V$11:$V$1010,$B64)))</f>
        <v/>
      </c>
      <c r="H64" s="47">
        <f>IF($B64="","",IF(INDEX('Work Orders'!$U$11:$U$1010,$B64)="","",INDEX('Work Orders'!$U$11:$U$1010,$B64)))</f>
        <v/>
      </c>
      <c r="I64" s="47">
        <f>IF($B64="","",IF(INDEX('Work Orders'!$X$11:$X$1010,$B64)="","",INDEX('Work Orders'!$X$11:$X$1010,$B64)))</f>
        <v/>
      </c>
      <c r="J64" s="44">
        <f>IF($B64="","",IF(INDEX('Work Orders'!$Z$11:$Z$1010,$B64)="","",INDEX('Work Orders'!$Z$11:$Z$1010,$B64)))</f>
        <v/>
      </c>
      <c r="K64" s="44">
        <f>IF($B64="","",IF(INDEX('Work Orders'!$AG$11:$AG$1010,$B64)="","",INDEX('Work Orders'!$AG$11:$AG$1010,$B64)))</f>
        <v/>
      </c>
      <c r="L64" s="44">
        <f>IF($B64="","",IF(INDEX('Work Orders'!$AH$11:$AH$1010,$B64)="","",INDEX('Work Orders'!$AH$11:$AH$1010,$B64)))</f>
        <v/>
      </c>
      <c r="M64" s="46">
        <f>IF($B64="","",IF(INDEX('Work Orders'!$AM$11:$AM$1010,$B64)="","",INDEX('Work Orders'!$AM$11:$AM$1010,$B64)))</f>
        <v/>
      </c>
      <c r="N64" s="43">
        <f>IF($B64="","",IF(INDEX('Work Orders'!$AL$11:$AL$1010,$B64)="","",INDEX('Work Orders'!$AL$11:$AL$1010,$B64)))</f>
        <v/>
      </c>
      <c r="O64" s="43">
        <f>IF($B64="","",IF(INDEX('Work Orders'!$N$11:$N$1010,$B64)="","",INDEX('Work Orders'!$N$11:$N$1010,$B64)))</f>
        <v/>
      </c>
    </row>
    <row r="65">
      <c r="A65" s="68" t="n">
        <v>59</v>
      </c>
      <c r="B65">
        <f>IFERROR(MATCH(A65,'Work Orders'!$AO$11:$AO$1010,0),"")</f>
        <v/>
      </c>
      <c r="C65" s="43">
        <f>IF($B65="","",IF(INDEX('Work Orders'!$A$11:$A$1010,$B65)="","",INDEX('Work Orders'!$A$11:$A$1010,$B65)))</f>
        <v/>
      </c>
      <c r="D65" s="43">
        <f>IF($B65="","",IF(INDEX('Work Orders'!$B$11:$B$1010,$B65)="","",INDEX('Work Orders'!$B$11:$B$1010,$B65)))</f>
        <v/>
      </c>
      <c r="E65" s="43">
        <f>IF($B65="","",IF(INDEX('Work Orders'!$D$11:$D$1010,$B65)="","",INDEX('Work Orders'!$D$11:$D$1010,$B65)))</f>
        <v/>
      </c>
      <c r="F65" s="43">
        <f>IF($B65="","",IF(INDEX('Work Orders'!$Q$11:$Q$1010,$B65)="","",INDEX('Work Orders'!$Q$11:$Q$1010,$B65)))</f>
        <v/>
      </c>
      <c r="G65" s="43">
        <f>IF($B65="","",IF(INDEX('Work Orders'!$V$11:$V$1010,$B65)="","",INDEX('Work Orders'!$V$11:$V$1010,$B65)))</f>
        <v/>
      </c>
      <c r="H65" s="47">
        <f>IF($B65="","",IF(INDEX('Work Orders'!$U$11:$U$1010,$B65)="","",INDEX('Work Orders'!$U$11:$U$1010,$B65)))</f>
        <v/>
      </c>
      <c r="I65" s="47">
        <f>IF($B65="","",IF(INDEX('Work Orders'!$X$11:$X$1010,$B65)="","",INDEX('Work Orders'!$X$11:$X$1010,$B65)))</f>
        <v/>
      </c>
      <c r="J65" s="44">
        <f>IF($B65="","",IF(INDEX('Work Orders'!$Z$11:$Z$1010,$B65)="","",INDEX('Work Orders'!$Z$11:$Z$1010,$B65)))</f>
        <v/>
      </c>
      <c r="K65" s="44">
        <f>IF($B65="","",IF(INDEX('Work Orders'!$AG$11:$AG$1010,$B65)="","",INDEX('Work Orders'!$AG$11:$AG$1010,$B65)))</f>
        <v/>
      </c>
      <c r="L65" s="44">
        <f>IF($B65="","",IF(INDEX('Work Orders'!$AH$11:$AH$1010,$B65)="","",INDEX('Work Orders'!$AH$11:$AH$1010,$B65)))</f>
        <v/>
      </c>
      <c r="M65" s="46">
        <f>IF($B65="","",IF(INDEX('Work Orders'!$AM$11:$AM$1010,$B65)="","",INDEX('Work Orders'!$AM$11:$AM$1010,$B65)))</f>
        <v/>
      </c>
      <c r="N65" s="43">
        <f>IF($B65="","",IF(INDEX('Work Orders'!$AL$11:$AL$1010,$B65)="","",INDEX('Work Orders'!$AL$11:$AL$1010,$B65)))</f>
        <v/>
      </c>
      <c r="O65" s="43">
        <f>IF($B65="","",IF(INDEX('Work Orders'!$N$11:$N$1010,$B65)="","",INDEX('Work Orders'!$N$11:$N$1010,$B65)))</f>
        <v/>
      </c>
    </row>
    <row r="66">
      <c r="A66" s="68" t="n">
        <v>60</v>
      </c>
      <c r="B66">
        <f>IFERROR(MATCH(A66,'Work Orders'!$AO$11:$AO$1010,0),"")</f>
        <v/>
      </c>
      <c r="C66" s="43">
        <f>IF($B66="","",IF(INDEX('Work Orders'!$A$11:$A$1010,$B66)="","",INDEX('Work Orders'!$A$11:$A$1010,$B66)))</f>
        <v/>
      </c>
      <c r="D66" s="43">
        <f>IF($B66="","",IF(INDEX('Work Orders'!$B$11:$B$1010,$B66)="","",INDEX('Work Orders'!$B$11:$B$1010,$B66)))</f>
        <v/>
      </c>
      <c r="E66" s="43">
        <f>IF($B66="","",IF(INDEX('Work Orders'!$D$11:$D$1010,$B66)="","",INDEX('Work Orders'!$D$11:$D$1010,$B66)))</f>
        <v/>
      </c>
      <c r="F66" s="43">
        <f>IF($B66="","",IF(INDEX('Work Orders'!$Q$11:$Q$1010,$B66)="","",INDEX('Work Orders'!$Q$11:$Q$1010,$B66)))</f>
        <v/>
      </c>
      <c r="G66" s="43">
        <f>IF($B66="","",IF(INDEX('Work Orders'!$V$11:$V$1010,$B66)="","",INDEX('Work Orders'!$V$11:$V$1010,$B66)))</f>
        <v/>
      </c>
      <c r="H66" s="47">
        <f>IF($B66="","",IF(INDEX('Work Orders'!$U$11:$U$1010,$B66)="","",INDEX('Work Orders'!$U$11:$U$1010,$B66)))</f>
        <v/>
      </c>
      <c r="I66" s="47">
        <f>IF($B66="","",IF(INDEX('Work Orders'!$X$11:$X$1010,$B66)="","",INDEX('Work Orders'!$X$11:$X$1010,$B66)))</f>
        <v/>
      </c>
      <c r="J66" s="44">
        <f>IF($B66="","",IF(INDEX('Work Orders'!$Z$11:$Z$1010,$B66)="","",INDEX('Work Orders'!$Z$11:$Z$1010,$B66)))</f>
        <v/>
      </c>
      <c r="K66" s="44">
        <f>IF($B66="","",IF(INDEX('Work Orders'!$AG$11:$AG$1010,$B66)="","",INDEX('Work Orders'!$AG$11:$AG$1010,$B66)))</f>
        <v/>
      </c>
      <c r="L66" s="44">
        <f>IF($B66="","",IF(INDEX('Work Orders'!$AH$11:$AH$1010,$B66)="","",INDEX('Work Orders'!$AH$11:$AH$1010,$B66)))</f>
        <v/>
      </c>
      <c r="M66" s="46">
        <f>IF($B66="","",IF(INDEX('Work Orders'!$AM$11:$AM$1010,$B66)="","",INDEX('Work Orders'!$AM$11:$AM$1010,$B66)))</f>
        <v/>
      </c>
      <c r="N66" s="43">
        <f>IF($B66="","",IF(INDEX('Work Orders'!$AL$11:$AL$1010,$B66)="","",INDEX('Work Orders'!$AL$11:$AL$1010,$B66)))</f>
        <v/>
      </c>
      <c r="O66" s="43">
        <f>IF($B66="","",IF(INDEX('Work Orders'!$N$11:$N$1010,$B66)="","",INDEX('Work Orders'!$N$11:$N$1010,$B66)))</f>
        <v/>
      </c>
    </row>
    <row r="67">
      <c r="A67" s="68" t="n">
        <v>61</v>
      </c>
      <c r="B67">
        <f>IFERROR(MATCH(A67,'Work Orders'!$AO$11:$AO$1010,0),"")</f>
        <v/>
      </c>
      <c r="C67" s="43">
        <f>IF($B67="","",IF(INDEX('Work Orders'!$A$11:$A$1010,$B67)="","",INDEX('Work Orders'!$A$11:$A$1010,$B67)))</f>
        <v/>
      </c>
      <c r="D67" s="43">
        <f>IF($B67="","",IF(INDEX('Work Orders'!$B$11:$B$1010,$B67)="","",INDEX('Work Orders'!$B$11:$B$1010,$B67)))</f>
        <v/>
      </c>
      <c r="E67" s="43">
        <f>IF($B67="","",IF(INDEX('Work Orders'!$D$11:$D$1010,$B67)="","",INDEX('Work Orders'!$D$11:$D$1010,$B67)))</f>
        <v/>
      </c>
      <c r="F67" s="43">
        <f>IF($B67="","",IF(INDEX('Work Orders'!$Q$11:$Q$1010,$B67)="","",INDEX('Work Orders'!$Q$11:$Q$1010,$B67)))</f>
        <v/>
      </c>
      <c r="G67" s="43">
        <f>IF($B67="","",IF(INDEX('Work Orders'!$V$11:$V$1010,$B67)="","",INDEX('Work Orders'!$V$11:$V$1010,$B67)))</f>
        <v/>
      </c>
      <c r="H67" s="47">
        <f>IF($B67="","",IF(INDEX('Work Orders'!$U$11:$U$1010,$B67)="","",INDEX('Work Orders'!$U$11:$U$1010,$B67)))</f>
        <v/>
      </c>
      <c r="I67" s="47">
        <f>IF($B67="","",IF(INDEX('Work Orders'!$X$11:$X$1010,$B67)="","",INDEX('Work Orders'!$X$11:$X$1010,$B67)))</f>
        <v/>
      </c>
      <c r="J67" s="44">
        <f>IF($B67="","",IF(INDEX('Work Orders'!$Z$11:$Z$1010,$B67)="","",INDEX('Work Orders'!$Z$11:$Z$1010,$B67)))</f>
        <v/>
      </c>
      <c r="K67" s="44">
        <f>IF($B67="","",IF(INDEX('Work Orders'!$AG$11:$AG$1010,$B67)="","",INDEX('Work Orders'!$AG$11:$AG$1010,$B67)))</f>
        <v/>
      </c>
      <c r="L67" s="44">
        <f>IF($B67="","",IF(INDEX('Work Orders'!$AH$11:$AH$1010,$B67)="","",INDEX('Work Orders'!$AH$11:$AH$1010,$B67)))</f>
        <v/>
      </c>
      <c r="M67" s="46">
        <f>IF($B67="","",IF(INDEX('Work Orders'!$AM$11:$AM$1010,$B67)="","",INDEX('Work Orders'!$AM$11:$AM$1010,$B67)))</f>
        <v/>
      </c>
      <c r="N67" s="43">
        <f>IF($B67="","",IF(INDEX('Work Orders'!$AL$11:$AL$1010,$B67)="","",INDEX('Work Orders'!$AL$11:$AL$1010,$B67)))</f>
        <v/>
      </c>
      <c r="O67" s="43">
        <f>IF($B67="","",IF(INDEX('Work Orders'!$N$11:$N$1010,$B67)="","",INDEX('Work Orders'!$N$11:$N$1010,$B67)))</f>
        <v/>
      </c>
    </row>
    <row r="68">
      <c r="A68" s="68" t="n">
        <v>62</v>
      </c>
      <c r="B68">
        <f>IFERROR(MATCH(A68,'Work Orders'!$AO$11:$AO$1010,0),"")</f>
        <v/>
      </c>
      <c r="C68" s="43">
        <f>IF($B68="","",IF(INDEX('Work Orders'!$A$11:$A$1010,$B68)="","",INDEX('Work Orders'!$A$11:$A$1010,$B68)))</f>
        <v/>
      </c>
      <c r="D68" s="43">
        <f>IF($B68="","",IF(INDEX('Work Orders'!$B$11:$B$1010,$B68)="","",INDEX('Work Orders'!$B$11:$B$1010,$B68)))</f>
        <v/>
      </c>
      <c r="E68" s="43">
        <f>IF($B68="","",IF(INDEX('Work Orders'!$D$11:$D$1010,$B68)="","",INDEX('Work Orders'!$D$11:$D$1010,$B68)))</f>
        <v/>
      </c>
      <c r="F68" s="43">
        <f>IF($B68="","",IF(INDEX('Work Orders'!$Q$11:$Q$1010,$B68)="","",INDEX('Work Orders'!$Q$11:$Q$1010,$B68)))</f>
        <v/>
      </c>
      <c r="G68" s="43">
        <f>IF($B68="","",IF(INDEX('Work Orders'!$V$11:$V$1010,$B68)="","",INDEX('Work Orders'!$V$11:$V$1010,$B68)))</f>
        <v/>
      </c>
      <c r="H68" s="47">
        <f>IF($B68="","",IF(INDEX('Work Orders'!$U$11:$U$1010,$B68)="","",INDEX('Work Orders'!$U$11:$U$1010,$B68)))</f>
        <v/>
      </c>
      <c r="I68" s="47">
        <f>IF($B68="","",IF(INDEX('Work Orders'!$X$11:$X$1010,$B68)="","",INDEX('Work Orders'!$X$11:$X$1010,$B68)))</f>
        <v/>
      </c>
      <c r="J68" s="44">
        <f>IF($B68="","",IF(INDEX('Work Orders'!$Z$11:$Z$1010,$B68)="","",INDEX('Work Orders'!$Z$11:$Z$1010,$B68)))</f>
        <v/>
      </c>
      <c r="K68" s="44">
        <f>IF($B68="","",IF(INDEX('Work Orders'!$AG$11:$AG$1010,$B68)="","",INDEX('Work Orders'!$AG$11:$AG$1010,$B68)))</f>
        <v/>
      </c>
      <c r="L68" s="44">
        <f>IF($B68="","",IF(INDEX('Work Orders'!$AH$11:$AH$1010,$B68)="","",INDEX('Work Orders'!$AH$11:$AH$1010,$B68)))</f>
        <v/>
      </c>
      <c r="M68" s="46">
        <f>IF($B68="","",IF(INDEX('Work Orders'!$AM$11:$AM$1010,$B68)="","",INDEX('Work Orders'!$AM$11:$AM$1010,$B68)))</f>
        <v/>
      </c>
      <c r="N68" s="43">
        <f>IF($B68="","",IF(INDEX('Work Orders'!$AL$11:$AL$1010,$B68)="","",INDEX('Work Orders'!$AL$11:$AL$1010,$B68)))</f>
        <v/>
      </c>
      <c r="O68" s="43">
        <f>IF($B68="","",IF(INDEX('Work Orders'!$N$11:$N$1010,$B68)="","",INDEX('Work Orders'!$N$11:$N$1010,$B68)))</f>
        <v/>
      </c>
    </row>
    <row r="69">
      <c r="A69" s="68" t="n">
        <v>63</v>
      </c>
      <c r="B69">
        <f>IFERROR(MATCH(A69,'Work Orders'!$AO$11:$AO$1010,0),"")</f>
        <v/>
      </c>
      <c r="C69" s="43">
        <f>IF($B69="","",IF(INDEX('Work Orders'!$A$11:$A$1010,$B69)="","",INDEX('Work Orders'!$A$11:$A$1010,$B69)))</f>
        <v/>
      </c>
      <c r="D69" s="43">
        <f>IF($B69="","",IF(INDEX('Work Orders'!$B$11:$B$1010,$B69)="","",INDEX('Work Orders'!$B$11:$B$1010,$B69)))</f>
        <v/>
      </c>
      <c r="E69" s="43">
        <f>IF($B69="","",IF(INDEX('Work Orders'!$D$11:$D$1010,$B69)="","",INDEX('Work Orders'!$D$11:$D$1010,$B69)))</f>
        <v/>
      </c>
      <c r="F69" s="43">
        <f>IF($B69="","",IF(INDEX('Work Orders'!$Q$11:$Q$1010,$B69)="","",INDEX('Work Orders'!$Q$11:$Q$1010,$B69)))</f>
        <v/>
      </c>
      <c r="G69" s="43">
        <f>IF($B69="","",IF(INDEX('Work Orders'!$V$11:$V$1010,$B69)="","",INDEX('Work Orders'!$V$11:$V$1010,$B69)))</f>
        <v/>
      </c>
      <c r="H69" s="47">
        <f>IF($B69="","",IF(INDEX('Work Orders'!$U$11:$U$1010,$B69)="","",INDEX('Work Orders'!$U$11:$U$1010,$B69)))</f>
        <v/>
      </c>
      <c r="I69" s="47">
        <f>IF($B69="","",IF(INDEX('Work Orders'!$X$11:$X$1010,$B69)="","",INDEX('Work Orders'!$X$11:$X$1010,$B69)))</f>
        <v/>
      </c>
      <c r="J69" s="44">
        <f>IF($B69="","",IF(INDEX('Work Orders'!$Z$11:$Z$1010,$B69)="","",INDEX('Work Orders'!$Z$11:$Z$1010,$B69)))</f>
        <v/>
      </c>
      <c r="K69" s="44">
        <f>IF($B69="","",IF(INDEX('Work Orders'!$AG$11:$AG$1010,$B69)="","",INDEX('Work Orders'!$AG$11:$AG$1010,$B69)))</f>
        <v/>
      </c>
      <c r="L69" s="44">
        <f>IF($B69="","",IF(INDEX('Work Orders'!$AH$11:$AH$1010,$B69)="","",INDEX('Work Orders'!$AH$11:$AH$1010,$B69)))</f>
        <v/>
      </c>
      <c r="M69" s="46">
        <f>IF($B69="","",IF(INDEX('Work Orders'!$AM$11:$AM$1010,$B69)="","",INDEX('Work Orders'!$AM$11:$AM$1010,$B69)))</f>
        <v/>
      </c>
      <c r="N69" s="43">
        <f>IF($B69="","",IF(INDEX('Work Orders'!$AL$11:$AL$1010,$B69)="","",INDEX('Work Orders'!$AL$11:$AL$1010,$B69)))</f>
        <v/>
      </c>
      <c r="O69" s="43">
        <f>IF($B69="","",IF(INDEX('Work Orders'!$N$11:$N$1010,$B69)="","",INDEX('Work Orders'!$N$11:$N$1010,$B69)))</f>
        <v/>
      </c>
    </row>
    <row r="70">
      <c r="A70" s="68" t="n">
        <v>64</v>
      </c>
      <c r="B70">
        <f>IFERROR(MATCH(A70,'Work Orders'!$AO$11:$AO$1010,0),"")</f>
        <v/>
      </c>
      <c r="C70" s="43">
        <f>IF($B70="","",IF(INDEX('Work Orders'!$A$11:$A$1010,$B70)="","",INDEX('Work Orders'!$A$11:$A$1010,$B70)))</f>
        <v/>
      </c>
      <c r="D70" s="43">
        <f>IF($B70="","",IF(INDEX('Work Orders'!$B$11:$B$1010,$B70)="","",INDEX('Work Orders'!$B$11:$B$1010,$B70)))</f>
        <v/>
      </c>
      <c r="E70" s="43">
        <f>IF($B70="","",IF(INDEX('Work Orders'!$D$11:$D$1010,$B70)="","",INDEX('Work Orders'!$D$11:$D$1010,$B70)))</f>
        <v/>
      </c>
      <c r="F70" s="43">
        <f>IF($B70="","",IF(INDEX('Work Orders'!$Q$11:$Q$1010,$B70)="","",INDEX('Work Orders'!$Q$11:$Q$1010,$B70)))</f>
        <v/>
      </c>
      <c r="G70" s="43">
        <f>IF($B70="","",IF(INDEX('Work Orders'!$V$11:$V$1010,$B70)="","",INDEX('Work Orders'!$V$11:$V$1010,$B70)))</f>
        <v/>
      </c>
      <c r="H70" s="47">
        <f>IF($B70="","",IF(INDEX('Work Orders'!$U$11:$U$1010,$B70)="","",INDEX('Work Orders'!$U$11:$U$1010,$B70)))</f>
        <v/>
      </c>
      <c r="I70" s="47">
        <f>IF($B70="","",IF(INDEX('Work Orders'!$X$11:$X$1010,$B70)="","",INDEX('Work Orders'!$X$11:$X$1010,$B70)))</f>
        <v/>
      </c>
      <c r="J70" s="44">
        <f>IF($B70="","",IF(INDEX('Work Orders'!$Z$11:$Z$1010,$B70)="","",INDEX('Work Orders'!$Z$11:$Z$1010,$B70)))</f>
        <v/>
      </c>
      <c r="K70" s="44">
        <f>IF($B70="","",IF(INDEX('Work Orders'!$AG$11:$AG$1010,$B70)="","",INDEX('Work Orders'!$AG$11:$AG$1010,$B70)))</f>
        <v/>
      </c>
      <c r="L70" s="44">
        <f>IF($B70="","",IF(INDEX('Work Orders'!$AH$11:$AH$1010,$B70)="","",INDEX('Work Orders'!$AH$11:$AH$1010,$B70)))</f>
        <v/>
      </c>
      <c r="M70" s="46">
        <f>IF($B70="","",IF(INDEX('Work Orders'!$AM$11:$AM$1010,$B70)="","",INDEX('Work Orders'!$AM$11:$AM$1010,$B70)))</f>
        <v/>
      </c>
      <c r="N70" s="43">
        <f>IF($B70="","",IF(INDEX('Work Orders'!$AL$11:$AL$1010,$B70)="","",INDEX('Work Orders'!$AL$11:$AL$1010,$B70)))</f>
        <v/>
      </c>
      <c r="O70" s="43">
        <f>IF($B70="","",IF(INDEX('Work Orders'!$N$11:$N$1010,$B70)="","",INDEX('Work Orders'!$N$11:$N$1010,$B70)))</f>
        <v/>
      </c>
    </row>
    <row r="71">
      <c r="A71" s="68" t="n">
        <v>65</v>
      </c>
      <c r="B71">
        <f>IFERROR(MATCH(A71,'Work Orders'!$AO$11:$AO$1010,0),"")</f>
        <v/>
      </c>
      <c r="C71" s="43">
        <f>IF($B71="","",IF(INDEX('Work Orders'!$A$11:$A$1010,$B71)="","",INDEX('Work Orders'!$A$11:$A$1010,$B71)))</f>
        <v/>
      </c>
      <c r="D71" s="43">
        <f>IF($B71="","",IF(INDEX('Work Orders'!$B$11:$B$1010,$B71)="","",INDEX('Work Orders'!$B$11:$B$1010,$B71)))</f>
        <v/>
      </c>
      <c r="E71" s="43">
        <f>IF($B71="","",IF(INDEX('Work Orders'!$D$11:$D$1010,$B71)="","",INDEX('Work Orders'!$D$11:$D$1010,$B71)))</f>
        <v/>
      </c>
      <c r="F71" s="43">
        <f>IF($B71="","",IF(INDEX('Work Orders'!$Q$11:$Q$1010,$B71)="","",INDEX('Work Orders'!$Q$11:$Q$1010,$B71)))</f>
        <v/>
      </c>
      <c r="G71" s="43">
        <f>IF($B71="","",IF(INDEX('Work Orders'!$V$11:$V$1010,$B71)="","",INDEX('Work Orders'!$V$11:$V$1010,$B71)))</f>
        <v/>
      </c>
      <c r="H71" s="47">
        <f>IF($B71="","",IF(INDEX('Work Orders'!$U$11:$U$1010,$B71)="","",INDEX('Work Orders'!$U$11:$U$1010,$B71)))</f>
        <v/>
      </c>
      <c r="I71" s="47">
        <f>IF($B71="","",IF(INDEX('Work Orders'!$X$11:$X$1010,$B71)="","",INDEX('Work Orders'!$X$11:$X$1010,$B71)))</f>
        <v/>
      </c>
      <c r="J71" s="44">
        <f>IF($B71="","",IF(INDEX('Work Orders'!$Z$11:$Z$1010,$B71)="","",INDEX('Work Orders'!$Z$11:$Z$1010,$B71)))</f>
        <v/>
      </c>
      <c r="K71" s="44">
        <f>IF($B71="","",IF(INDEX('Work Orders'!$AG$11:$AG$1010,$B71)="","",INDEX('Work Orders'!$AG$11:$AG$1010,$B71)))</f>
        <v/>
      </c>
      <c r="L71" s="44">
        <f>IF($B71="","",IF(INDEX('Work Orders'!$AH$11:$AH$1010,$B71)="","",INDEX('Work Orders'!$AH$11:$AH$1010,$B71)))</f>
        <v/>
      </c>
      <c r="M71" s="46">
        <f>IF($B71="","",IF(INDEX('Work Orders'!$AM$11:$AM$1010,$B71)="","",INDEX('Work Orders'!$AM$11:$AM$1010,$B71)))</f>
        <v/>
      </c>
      <c r="N71" s="43">
        <f>IF($B71="","",IF(INDEX('Work Orders'!$AL$11:$AL$1010,$B71)="","",INDEX('Work Orders'!$AL$11:$AL$1010,$B71)))</f>
        <v/>
      </c>
      <c r="O71" s="43">
        <f>IF($B71="","",IF(INDEX('Work Orders'!$N$11:$N$1010,$B71)="","",INDEX('Work Orders'!$N$11:$N$1010,$B71)))</f>
        <v/>
      </c>
    </row>
    <row r="72">
      <c r="A72" s="68" t="n">
        <v>66</v>
      </c>
      <c r="B72">
        <f>IFERROR(MATCH(A72,'Work Orders'!$AO$11:$AO$1010,0),"")</f>
        <v/>
      </c>
      <c r="C72" s="43">
        <f>IF($B72="","",IF(INDEX('Work Orders'!$A$11:$A$1010,$B72)="","",INDEX('Work Orders'!$A$11:$A$1010,$B72)))</f>
        <v/>
      </c>
      <c r="D72" s="43">
        <f>IF($B72="","",IF(INDEX('Work Orders'!$B$11:$B$1010,$B72)="","",INDEX('Work Orders'!$B$11:$B$1010,$B72)))</f>
        <v/>
      </c>
      <c r="E72" s="43">
        <f>IF($B72="","",IF(INDEX('Work Orders'!$D$11:$D$1010,$B72)="","",INDEX('Work Orders'!$D$11:$D$1010,$B72)))</f>
        <v/>
      </c>
      <c r="F72" s="43">
        <f>IF($B72="","",IF(INDEX('Work Orders'!$Q$11:$Q$1010,$B72)="","",INDEX('Work Orders'!$Q$11:$Q$1010,$B72)))</f>
        <v/>
      </c>
      <c r="G72" s="43">
        <f>IF($B72="","",IF(INDEX('Work Orders'!$V$11:$V$1010,$B72)="","",INDEX('Work Orders'!$V$11:$V$1010,$B72)))</f>
        <v/>
      </c>
      <c r="H72" s="47">
        <f>IF($B72="","",IF(INDEX('Work Orders'!$U$11:$U$1010,$B72)="","",INDEX('Work Orders'!$U$11:$U$1010,$B72)))</f>
        <v/>
      </c>
      <c r="I72" s="47">
        <f>IF($B72="","",IF(INDEX('Work Orders'!$X$11:$X$1010,$B72)="","",INDEX('Work Orders'!$X$11:$X$1010,$B72)))</f>
        <v/>
      </c>
      <c r="J72" s="44">
        <f>IF($B72="","",IF(INDEX('Work Orders'!$Z$11:$Z$1010,$B72)="","",INDEX('Work Orders'!$Z$11:$Z$1010,$B72)))</f>
        <v/>
      </c>
      <c r="K72" s="44">
        <f>IF($B72="","",IF(INDEX('Work Orders'!$AG$11:$AG$1010,$B72)="","",INDEX('Work Orders'!$AG$11:$AG$1010,$B72)))</f>
        <v/>
      </c>
      <c r="L72" s="44">
        <f>IF($B72="","",IF(INDEX('Work Orders'!$AH$11:$AH$1010,$B72)="","",INDEX('Work Orders'!$AH$11:$AH$1010,$B72)))</f>
        <v/>
      </c>
      <c r="M72" s="46">
        <f>IF($B72="","",IF(INDEX('Work Orders'!$AM$11:$AM$1010,$B72)="","",INDEX('Work Orders'!$AM$11:$AM$1010,$B72)))</f>
        <v/>
      </c>
      <c r="N72" s="43">
        <f>IF($B72="","",IF(INDEX('Work Orders'!$AL$11:$AL$1010,$B72)="","",INDEX('Work Orders'!$AL$11:$AL$1010,$B72)))</f>
        <v/>
      </c>
      <c r="O72" s="43">
        <f>IF($B72="","",IF(INDEX('Work Orders'!$N$11:$N$1010,$B72)="","",INDEX('Work Orders'!$N$11:$N$1010,$B72)))</f>
        <v/>
      </c>
    </row>
    <row r="73">
      <c r="A73" s="68" t="n">
        <v>67</v>
      </c>
      <c r="B73">
        <f>IFERROR(MATCH(A73,'Work Orders'!$AO$11:$AO$1010,0),"")</f>
        <v/>
      </c>
      <c r="C73" s="43">
        <f>IF($B73="","",IF(INDEX('Work Orders'!$A$11:$A$1010,$B73)="","",INDEX('Work Orders'!$A$11:$A$1010,$B73)))</f>
        <v/>
      </c>
      <c r="D73" s="43">
        <f>IF($B73="","",IF(INDEX('Work Orders'!$B$11:$B$1010,$B73)="","",INDEX('Work Orders'!$B$11:$B$1010,$B73)))</f>
        <v/>
      </c>
      <c r="E73" s="43">
        <f>IF($B73="","",IF(INDEX('Work Orders'!$D$11:$D$1010,$B73)="","",INDEX('Work Orders'!$D$11:$D$1010,$B73)))</f>
        <v/>
      </c>
      <c r="F73" s="43">
        <f>IF($B73="","",IF(INDEX('Work Orders'!$Q$11:$Q$1010,$B73)="","",INDEX('Work Orders'!$Q$11:$Q$1010,$B73)))</f>
        <v/>
      </c>
      <c r="G73" s="43">
        <f>IF($B73="","",IF(INDEX('Work Orders'!$V$11:$V$1010,$B73)="","",INDEX('Work Orders'!$V$11:$V$1010,$B73)))</f>
        <v/>
      </c>
      <c r="H73" s="47">
        <f>IF($B73="","",IF(INDEX('Work Orders'!$U$11:$U$1010,$B73)="","",INDEX('Work Orders'!$U$11:$U$1010,$B73)))</f>
        <v/>
      </c>
      <c r="I73" s="47">
        <f>IF($B73="","",IF(INDEX('Work Orders'!$X$11:$X$1010,$B73)="","",INDEX('Work Orders'!$X$11:$X$1010,$B73)))</f>
        <v/>
      </c>
      <c r="J73" s="44">
        <f>IF($B73="","",IF(INDEX('Work Orders'!$Z$11:$Z$1010,$B73)="","",INDEX('Work Orders'!$Z$11:$Z$1010,$B73)))</f>
        <v/>
      </c>
      <c r="K73" s="44">
        <f>IF($B73="","",IF(INDEX('Work Orders'!$AG$11:$AG$1010,$B73)="","",INDEX('Work Orders'!$AG$11:$AG$1010,$B73)))</f>
        <v/>
      </c>
      <c r="L73" s="44">
        <f>IF($B73="","",IF(INDEX('Work Orders'!$AH$11:$AH$1010,$B73)="","",INDEX('Work Orders'!$AH$11:$AH$1010,$B73)))</f>
        <v/>
      </c>
      <c r="M73" s="46">
        <f>IF($B73="","",IF(INDEX('Work Orders'!$AM$11:$AM$1010,$B73)="","",INDEX('Work Orders'!$AM$11:$AM$1010,$B73)))</f>
        <v/>
      </c>
      <c r="N73" s="43">
        <f>IF($B73="","",IF(INDEX('Work Orders'!$AL$11:$AL$1010,$B73)="","",INDEX('Work Orders'!$AL$11:$AL$1010,$B73)))</f>
        <v/>
      </c>
      <c r="O73" s="43">
        <f>IF($B73="","",IF(INDEX('Work Orders'!$N$11:$N$1010,$B73)="","",INDEX('Work Orders'!$N$11:$N$1010,$B73)))</f>
        <v/>
      </c>
    </row>
    <row r="74">
      <c r="A74" s="68" t="n">
        <v>68</v>
      </c>
      <c r="B74">
        <f>IFERROR(MATCH(A74,'Work Orders'!$AO$11:$AO$1010,0),"")</f>
        <v/>
      </c>
      <c r="C74" s="43">
        <f>IF($B74="","",IF(INDEX('Work Orders'!$A$11:$A$1010,$B74)="","",INDEX('Work Orders'!$A$11:$A$1010,$B74)))</f>
        <v/>
      </c>
      <c r="D74" s="43">
        <f>IF($B74="","",IF(INDEX('Work Orders'!$B$11:$B$1010,$B74)="","",INDEX('Work Orders'!$B$11:$B$1010,$B74)))</f>
        <v/>
      </c>
      <c r="E74" s="43">
        <f>IF($B74="","",IF(INDEX('Work Orders'!$D$11:$D$1010,$B74)="","",INDEX('Work Orders'!$D$11:$D$1010,$B74)))</f>
        <v/>
      </c>
      <c r="F74" s="43">
        <f>IF($B74="","",IF(INDEX('Work Orders'!$Q$11:$Q$1010,$B74)="","",INDEX('Work Orders'!$Q$11:$Q$1010,$B74)))</f>
        <v/>
      </c>
      <c r="G74" s="43">
        <f>IF($B74="","",IF(INDEX('Work Orders'!$V$11:$V$1010,$B74)="","",INDEX('Work Orders'!$V$11:$V$1010,$B74)))</f>
        <v/>
      </c>
      <c r="H74" s="47">
        <f>IF($B74="","",IF(INDEX('Work Orders'!$U$11:$U$1010,$B74)="","",INDEX('Work Orders'!$U$11:$U$1010,$B74)))</f>
        <v/>
      </c>
      <c r="I74" s="47">
        <f>IF($B74="","",IF(INDEX('Work Orders'!$X$11:$X$1010,$B74)="","",INDEX('Work Orders'!$X$11:$X$1010,$B74)))</f>
        <v/>
      </c>
      <c r="J74" s="44">
        <f>IF($B74="","",IF(INDEX('Work Orders'!$Z$11:$Z$1010,$B74)="","",INDEX('Work Orders'!$Z$11:$Z$1010,$B74)))</f>
        <v/>
      </c>
      <c r="K74" s="44">
        <f>IF($B74="","",IF(INDEX('Work Orders'!$AG$11:$AG$1010,$B74)="","",INDEX('Work Orders'!$AG$11:$AG$1010,$B74)))</f>
        <v/>
      </c>
      <c r="L74" s="44">
        <f>IF($B74="","",IF(INDEX('Work Orders'!$AH$11:$AH$1010,$B74)="","",INDEX('Work Orders'!$AH$11:$AH$1010,$B74)))</f>
        <v/>
      </c>
      <c r="M74" s="46">
        <f>IF($B74="","",IF(INDEX('Work Orders'!$AM$11:$AM$1010,$B74)="","",INDEX('Work Orders'!$AM$11:$AM$1010,$B74)))</f>
        <v/>
      </c>
      <c r="N74" s="43">
        <f>IF($B74="","",IF(INDEX('Work Orders'!$AL$11:$AL$1010,$B74)="","",INDEX('Work Orders'!$AL$11:$AL$1010,$B74)))</f>
        <v/>
      </c>
      <c r="O74" s="43">
        <f>IF($B74="","",IF(INDEX('Work Orders'!$N$11:$N$1010,$B74)="","",INDEX('Work Orders'!$N$11:$N$1010,$B74)))</f>
        <v/>
      </c>
    </row>
    <row r="75">
      <c r="A75" s="68" t="n">
        <v>69</v>
      </c>
      <c r="B75">
        <f>IFERROR(MATCH(A75,'Work Orders'!$AO$11:$AO$1010,0),"")</f>
        <v/>
      </c>
      <c r="C75" s="43">
        <f>IF($B75="","",IF(INDEX('Work Orders'!$A$11:$A$1010,$B75)="","",INDEX('Work Orders'!$A$11:$A$1010,$B75)))</f>
        <v/>
      </c>
      <c r="D75" s="43">
        <f>IF($B75="","",IF(INDEX('Work Orders'!$B$11:$B$1010,$B75)="","",INDEX('Work Orders'!$B$11:$B$1010,$B75)))</f>
        <v/>
      </c>
      <c r="E75" s="43">
        <f>IF($B75="","",IF(INDEX('Work Orders'!$D$11:$D$1010,$B75)="","",INDEX('Work Orders'!$D$11:$D$1010,$B75)))</f>
        <v/>
      </c>
      <c r="F75" s="43">
        <f>IF($B75="","",IF(INDEX('Work Orders'!$Q$11:$Q$1010,$B75)="","",INDEX('Work Orders'!$Q$11:$Q$1010,$B75)))</f>
        <v/>
      </c>
      <c r="G75" s="43">
        <f>IF($B75="","",IF(INDEX('Work Orders'!$V$11:$V$1010,$B75)="","",INDEX('Work Orders'!$V$11:$V$1010,$B75)))</f>
        <v/>
      </c>
      <c r="H75" s="47">
        <f>IF($B75="","",IF(INDEX('Work Orders'!$U$11:$U$1010,$B75)="","",INDEX('Work Orders'!$U$11:$U$1010,$B75)))</f>
        <v/>
      </c>
      <c r="I75" s="47">
        <f>IF($B75="","",IF(INDEX('Work Orders'!$X$11:$X$1010,$B75)="","",INDEX('Work Orders'!$X$11:$X$1010,$B75)))</f>
        <v/>
      </c>
      <c r="J75" s="44">
        <f>IF($B75="","",IF(INDEX('Work Orders'!$Z$11:$Z$1010,$B75)="","",INDEX('Work Orders'!$Z$11:$Z$1010,$B75)))</f>
        <v/>
      </c>
      <c r="K75" s="44">
        <f>IF($B75="","",IF(INDEX('Work Orders'!$AG$11:$AG$1010,$B75)="","",INDEX('Work Orders'!$AG$11:$AG$1010,$B75)))</f>
        <v/>
      </c>
      <c r="L75" s="44">
        <f>IF($B75="","",IF(INDEX('Work Orders'!$AH$11:$AH$1010,$B75)="","",INDEX('Work Orders'!$AH$11:$AH$1010,$B75)))</f>
        <v/>
      </c>
      <c r="M75" s="46">
        <f>IF($B75="","",IF(INDEX('Work Orders'!$AM$11:$AM$1010,$B75)="","",INDEX('Work Orders'!$AM$11:$AM$1010,$B75)))</f>
        <v/>
      </c>
      <c r="N75" s="43">
        <f>IF($B75="","",IF(INDEX('Work Orders'!$AL$11:$AL$1010,$B75)="","",INDEX('Work Orders'!$AL$11:$AL$1010,$B75)))</f>
        <v/>
      </c>
      <c r="O75" s="43">
        <f>IF($B75="","",IF(INDEX('Work Orders'!$N$11:$N$1010,$B75)="","",INDEX('Work Orders'!$N$11:$N$1010,$B75)))</f>
        <v/>
      </c>
    </row>
    <row r="76">
      <c r="A76" s="68" t="n">
        <v>70</v>
      </c>
      <c r="B76">
        <f>IFERROR(MATCH(A76,'Work Orders'!$AO$11:$AO$1010,0),"")</f>
        <v/>
      </c>
      <c r="C76" s="43">
        <f>IF($B76="","",IF(INDEX('Work Orders'!$A$11:$A$1010,$B76)="","",INDEX('Work Orders'!$A$11:$A$1010,$B76)))</f>
        <v/>
      </c>
      <c r="D76" s="43">
        <f>IF($B76="","",IF(INDEX('Work Orders'!$B$11:$B$1010,$B76)="","",INDEX('Work Orders'!$B$11:$B$1010,$B76)))</f>
        <v/>
      </c>
      <c r="E76" s="43">
        <f>IF($B76="","",IF(INDEX('Work Orders'!$D$11:$D$1010,$B76)="","",INDEX('Work Orders'!$D$11:$D$1010,$B76)))</f>
        <v/>
      </c>
      <c r="F76" s="43">
        <f>IF($B76="","",IF(INDEX('Work Orders'!$Q$11:$Q$1010,$B76)="","",INDEX('Work Orders'!$Q$11:$Q$1010,$B76)))</f>
        <v/>
      </c>
      <c r="G76" s="43">
        <f>IF($B76="","",IF(INDEX('Work Orders'!$V$11:$V$1010,$B76)="","",INDEX('Work Orders'!$V$11:$V$1010,$B76)))</f>
        <v/>
      </c>
      <c r="H76" s="47">
        <f>IF($B76="","",IF(INDEX('Work Orders'!$U$11:$U$1010,$B76)="","",INDEX('Work Orders'!$U$11:$U$1010,$B76)))</f>
        <v/>
      </c>
      <c r="I76" s="47">
        <f>IF($B76="","",IF(INDEX('Work Orders'!$X$11:$X$1010,$B76)="","",INDEX('Work Orders'!$X$11:$X$1010,$B76)))</f>
        <v/>
      </c>
      <c r="J76" s="44">
        <f>IF($B76="","",IF(INDEX('Work Orders'!$Z$11:$Z$1010,$B76)="","",INDEX('Work Orders'!$Z$11:$Z$1010,$B76)))</f>
        <v/>
      </c>
      <c r="K76" s="44">
        <f>IF($B76="","",IF(INDEX('Work Orders'!$AG$11:$AG$1010,$B76)="","",INDEX('Work Orders'!$AG$11:$AG$1010,$B76)))</f>
        <v/>
      </c>
      <c r="L76" s="44">
        <f>IF($B76="","",IF(INDEX('Work Orders'!$AH$11:$AH$1010,$B76)="","",INDEX('Work Orders'!$AH$11:$AH$1010,$B76)))</f>
        <v/>
      </c>
      <c r="M76" s="46">
        <f>IF($B76="","",IF(INDEX('Work Orders'!$AM$11:$AM$1010,$B76)="","",INDEX('Work Orders'!$AM$11:$AM$1010,$B76)))</f>
        <v/>
      </c>
      <c r="N76" s="43">
        <f>IF($B76="","",IF(INDEX('Work Orders'!$AL$11:$AL$1010,$B76)="","",INDEX('Work Orders'!$AL$11:$AL$1010,$B76)))</f>
        <v/>
      </c>
      <c r="O76" s="43">
        <f>IF($B76="","",IF(INDEX('Work Orders'!$N$11:$N$1010,$B76)="","",INDEX('Work Orders'!$N$11:$N$1010,$B76)))</f>
        <v/>
      </c>
    </row>
    <row r="77">
      <c r="A77" s="68" t="n">
        <v>71</v>
      </c>
      <c r="B77">
        <f>IFERROR(MATCH(A77,'Work Orders'!$AO$11:$AO$1010,0),"")</f>
        <v/>
      </c>
      <c r="C77" s="43">
        <f>IF($B77="","",IF(INDEX('Work Orders'!$A$11:$A$1010,$B77)="","",INDEX('Work Orders'!$A$11:$A$1010,$B77)))</f>
        <v/>
      </c>
      <c r="D77" s="43">
        <f>IF($B77="","",IF(INDEX('Work Orders'!$B$11:$B$1010,$B77)="","",INDEX('Work Orders'!$B$11:$B$1010,$B77)))</f>
        <v/>
      </c>
      <c r="E77" s="43">
        <f>IF($B77="","",IF(INDEX('Work Orders'!$D$11:$D$1010,$B77)="","",INDEX('Work Orders'!$D$11:$D$1010,$B77)))</f>
        <v/>
      </c>
      <c r="F77" s="43">
        <f>IF($B77="","",IF(INDEX('Work Orders'!$Q$11:$Q$1010,$B77)="","",INDEX('Work Orders'!$Q$11:$Q$1010,$B77)))</f>
        <v/>
      </c>
      <c r="G77" s="43">
        <f>IF($B77="","",IF(INDEX('Work Orders'!$V$11:$V$1010,$B77)="","",INDEX('Work Orders'!$V$11:$V$1010,$B77)))</f>
        <v/>
      </c>
      <c r="H77" s="47">
        <f>IF($B77="","",IF(INDEX('Work Orders'!$U$11:$U$1010,$B77)="","",INDEX('Work Orders'!$U$11:$U$1010,$B77)))</f>
        <v/>
      </c>
      <c r="I77" s="47">
        <f>IF($B77="","",IF(INDEX('Work Orders'!$X$11:$X$1010,$B77)="","",INDEX('Work Orders'!$X$11:$X$1010,$B77)))</f>
        <v/>
      </c>
      <c r="J77" s="44">
        <f>IF($B77="","",IF(INDEX('Work Orders'!$Z$11:$Z$1010,$B77)="","",INDEX('Work Orders'!$Z$11:$Z$1010,$B77)))</f>
        <v/>
      </c>
      <c r="K77" s="44">
        <f>IF($B77="","",IF(INDEX('Work Orders'!$AG$11:$AG$1010,$B77)="","",INDEX('Work Orders'!$AG$11:$AG$1010,$B77)))</f>
        <v/>
      </c>
      <c r="L77" s="44">
        <f>IF($B77="","",IF(INDEX('Work Orders'!$AH$11:$AH$1010,$B77)="","",INDEX('Work Orders'!$AH$11:$AH$1010,$B77)))</f>
        <v/>
      </c>
      <c r="M77" s="46">
        <f>IF($B77="","",IF(INDEX('Work Orders'!$AM$11:$AM$1010,$B77)="","",INDEX('Work Orders'!$AM$11:$AM$1010,$B77)))</f>
        <v/>
      </c>
      <c r="N77" s="43">
        <f>IF($B77="","",IF(INDEX('Work Orders'!$AL$11:$AL$1010,$B77)="","",INDEX('Work Orders'!$AL$11:$AL$1010,$B77)))</f>
        <v/>
      </c>
      <c r="O77" s="43">
        <f>IF($B77="","",IF(INDEX('Work Orders'!$N$11:$N$1010,$B77)="","",INDEX('Work Orders'!$N$11:$N$1010,$B77)))</f>
        <v/>
      </c>
    </row>
    <row r="78">
      <c r="A78" s="68" t="n">
        <v>72</v>
      </c>
      <c r="B78">
        <f>IFERROR(MATCH(A78,'Work Orders'!$AO$11:$AO$1010,0),"")</f>
        <v/>
      </c>
      <c r="C78" s="43">
        <f>IF($B78="","",IF(INDEX('Work Orders'!$A$11:$A$1010,$B78)="","",INDEX('Work Orders'!$A$11:$A$1010,$B78)))</f>
        <v/>
      </c>
      <c r="D78" s="43">
        <f>IF($B78="","",IF(INDEX('Work Orders'!$B$11:$B$1010,$B78)="","",INDEX('Work Orders'!$B$11:$B$1010,$B78)))</f>
        <v/>
      </c>
      <c r="E78" s="43">
        <f>IF($B78="","",IF(INDEX('Work Orders'!$D$11:$D$1010,$B78)="","",INDEX('Work Orders'!$D$11:$D$1010,$B78)))</f>
        <v/>
      </c>
      <c r="F78" s="43">
        <f>IF($B78="","",IF(INDEX('Work Orders'!$Q$11:$Q$1010,$B78)="","",INDEX('Work Orders'!$Q$11:$Q$1010,$B78)))</f>
        <v/>
      </c>
      <c r="G78" s="43">
        <f>IF($B78="","",IF(INDEX('Work Orders'!$V$11:$V$1010,$B78)="","",INDEX('Work Orders'!$V$11:$V$1010,$B78)))</f>
        <v/>
      </c>
      <c r="H78" s="47">
        <f>IF($B78="","",IF(INDEX('Work Orders'!$U$11:$U$1010,$B78)="","",INDEX('Work Orders'!$U$11:$U$1010,$B78)))</f>
        <v/>
      </c>
      <c r="I78" s="47">
        <f>IF($B78="","",IF(INDEX('Work Orders'!$X$11:$X$1010,$B78)="","",INDEX('Work Orders'!$X$11:$X$1010,$B78)))</f>
        <v/>
      </c>
      <c r="J78" s="44">
        <f>IF($B78="","",IF(INDEX('Work Orders'!$Z$11:$Z$1010,$B78)="","",INDEX('Work Orders'!$Z$11:$Z$1010,$B78)))</f>
        <v/>
      </c>
      <c r="K78" s="44">
        <f>IF($B78="","",IF(INDEX('Work Orders'!$AG$11:$AG$1010,$B78)="","",INDEX('Work Orders'!$AG$11:$AG$1010,$B78)))</f>
        <v/>
      </c>
      <c r="L78" s="44">
        <f>IF($B78="","",IF(INDEX('Work Orders'!$AH$11:$AH$1010,$B78)="","",INDEX('Work Orders'!$AH$11:$AH$1010,$B78)))</f>
        <v/>
      </c>
      <c r="M78" s="46">
        <f>IF($B78="","",IF(INDEX('Work Orders'!$AM$11:$AM$1010,$B78)="","",INDEX('Work Orders'!$AM$11:$AM$1010,$B78)))</f>
        <v/>
      </c>
      <c r="N78" s="43">
        <f>IF($B78="","",IF(INDEX('Work Orders'!$AL$11:$AL$1010,$B78)="","",INDEX('Work Orders'!$AL$11:$AL$1010,$B78)))</f>
        <v/>
      </c>
      <c r="O78" s="43">
        <f>IF($B78="","",IF(INDEX('Work Orders'!$N$11:$N$1010,$B78)="","",INDEX('Work Orders'!$N$11:$N$1010,$B78)))</f>
        <v/>
      </c>
    </row>
    <row r="79">
      <c r="A79" s="68" t="n">
        <v>73</v>
      </c>
      <c r="B79">
        <f>IFERROR(MATCH(A79,'Work Orders'!$AO$11:$AO$1010,0),"")</f>
        <v/>
      </c>
      <c r="C79" s="43">
        <f>IF($B79="","",IF(INDEX('Work Orders'!$A$11:$A$1010,$B79)="","",INDEX('Work Orders'!$A$11:$A$1010,$B79)))</f>
        <v/>
      </c>
      <c r="D79" s="43">
        <f>IF($B79="","",IF(INDEX('Work Orders'!$B$11:$B$1010,$B79)="","",INDEX('Work Orders'!$B$11:$B$1010,$B79)))</f>
        <v/>
      </c>
      <c r="E79" s="43">
        <f>IF($B79="","",IF(INDEX('Work Orders'!$D$11:$D$1010,$B79)="","",INDEX('Work Orders'!$D$11:$D$1010,$B79)))</f>
        <v/>
      </c>
      <c r="F79" s="43">
        <f>IF($B79="","",IF(INDEX('Work Orders'!$Q$11:$Q$1010,$B79)="","",INDEX('Work Orders'!$Q$11:$Q$1010,$B79)))</f>
        <v/>
      </c>
      <c r="G79" s="43">
        <f>IF($B79="","",IF(INDEX('Work Orders'!$V$11:$V$1010,$B79)="","",INDEX('Work Orders'!$V$11:$V$1010,$B79)))</f>
        <v/>
      </c>
      <c r="H79" s="47">
        <f>IF($B79="","",IF(INDEX('Work Orders'!$U$11:$U$1010,$B79)="","",INDEX('Work Orders'!$U$11:$U$1010,$B79)))</f>
        <v/>
      </c>
      <c r="I79" s="47">
        <f>IF($B79="","",IF(INDEX('Work Orders'!$X$11:$X$1010,$B79)="","",INDEX('Work Orders'!$X$11:$X$1010,$B79)))</f>
        <v/>
      </c>
      <c r="J79" s="44">
        <f>IF($B79="","",IF(INDEX('Work Orders'!$Z$11:$Z$1010,$B79)="","",INDEX('Work Orders'!$Z$11:$Z$1010,$B79)))</f>
        <v/>
      </c>
      <c r="K79" s="44">
        <f>IF($B79="","",IF(INDEX('Work Orders'!$AG$11:$AG$1010,$B79)="","",INDEX('Work Orders'!$AG$11:$AG$1010,$B79)))</f>
        <v/>
      </c>
      <c r="L79" s="44">
        <f>IF($B79="","",IF(INDEX('Work Orders'!$AH$11:$AH$1010,$B79)="","",INDEX('Work Orders'!$AH$11:$AH$1010,$B79)))</f>
        <v/>
      </c>
      <c r="M79" s="46">
        <f>IF($B79="","",IF(INDEX('Work Orders'!$AM$11:$AM$1010,$B79)="","",INDEX('Work Orders'!$AM$11:$AM$1010,$B79)))</f>
        <v/>
      </c>
      <c r="N79" s="43">
        <f>IF($B79="","",IF(INDEX('Work Orders'!$AL$11:$AL$1010,$B79)="","",INDEX('Work Orders'!$AL$11:$AL$1010,$B79)))</f>
        <v/>
      </c>
      <c r="O79" s="43">
        <f>IF($B79="","",IF(INDEX('Work Orders'!$N$11:$N$1010,$B79)="","",INDEX('Work Orders'!$N$11:$N$1010,$B79)))</f>
        <v/>
      </c>
    </row>
    <row r="80">
      <c r="A80" s="68" t="n">
        <v>74</v>
      </c>
      <c r="B80">
        <f>IFERROR(MATCH(A80,'Work Orders'!$AO$11:$AO$1010,0),"")</f>
        <v/>
      </c>
      <c r="C80" s="43">
        <f>IF($B80="","",IF(INDEX('Work Orders'!$A$11:$A$1010,$B80)="","",INDEX('Work Orders'!$A$11:$A$1010,$B80)))</f>
        <v/>
      </c>
      <c r="D80" s="43">
        <f>IF($B80="","",IF(INDEX('Work Orders'!$B$11:$B$1010,$B80)="","",INDEX('Work Orders'!$B$11:$B$1010,$B80)))</f>
        <v/>
      </c>
      <c r="E80" s="43">
        <f>IF($B80="","",IF(INDEX('Work Orders'!$D$11:$D$1010,$B80)="","",INDEX('Work Orders'!$D$11:$D$1010,$B80)))</f>
        <v/>
      </c>
      <c r="F80" s="43">
        <f>IF($B80="","",IF(INDEX('Work Orders'!$Q$11:$Q$1010,$B80)="","",INDEX('Work Orders'!$Q$11:$Q$1010,$B80)))</f>
        <v/>
      </c>
      <c r="G80" s="43">
        <f>IF($B80="","",IF(INDEX('Work Orders'!$V$11:$V$1010,$B80)="","",INDEX('Work Orders'!$V$11:$V$1010,$B80)))</f>
        <v/>
      </c>
      <c r="H80" s="47">
        <f>IF($B80="","",IF(INDEX('Work Orders'!$U$11:$U$1010,$B80)="","",INDEX('Work Orders'!$U$11:$U$1010,$B80)))</f>
        <v/>
      </c>
      <c r="I80" s="47">
        <f>IF($B80="","",IF(INDEX('Work Orders'!$X$11:$X$1010,$B80)="","",INDEX('Work Orders'!$X$11:$X$1010,$B80)))</f>
        <v/>
      </c>
      <c r="J80" s="44">
        <f>IF($B80="","",IF(INDEX('Work Orders'!$Z$11:$Z$1010,$B80)="","",INDEX('Work Orders'!$Z$11:$Z$1010,$B80)))</f>
        <v/>
      </c>
      <c r="K80" s="44">
        <f>IF($B80="","",IF(INDEX('Work Orders'!$AG$11:$AG$1010,$B80)="","",INDEX('Work Orders'!$AG$11:$AG$1010,$B80)))</f>
        <v/>
      </c>
      <c r="L80" s="44">
        <f>IF($B80="","",IF(INDEX('Work Orders'!$AH$11:$AH$1010,$B80)="","",INDEX('Work Orders'!$AH$11:$AH$1010,$B80)))</f>
        <v/>
      </c>
      <c r="M80" s="46">
        <f>IF($B80="","",IF(INDEX('Work Orders'!$AM$11:$AM$1010,$B80)="","",INDEX('Work Orders'!$AM$11:$AM$1010,$B80)))</f>
        <v/>
      </c>
      <c r="N80" s="43">
        <f>IF($B80="","",IF(INDEX('Work Orders'!$AL$11:$AL$1010,$B80)="","",INDEX('Work Orders'!$AL$11:$AL$1010,$B80)))</f>
        <v/>
      </c>
      <c r="O80" s="43">
        <f>IF($B80="","",IF(INDEX('Work Orders'!$N$11:$N$1010,$B80)="","",INDEX('Work Orders'!$N$11:$N$1010,$B80)))</f>
        <v/>
      </c>
    </row>
    <row r="81">
      <c r="A81" s="68" t="n">
        <v>75</v>
      </c>
      <c r="B81">
        <f>IFERROR(MATCH(A81,'Work Orders'!$AO$11:$AO$1010,0),"")</f>
        <v/>
      </c>
      <c r="C81" s="43">
        <f>IF($B81="","",IF(INDEX('Work Orders'!$A$11:$A$1010,$B81)="","",INDEX('Work Orders'!$A$11:$A$1010,$B81)))</f>
        <v/>
      </c>
      <c r="D81" s="43">
        <f>IF($B81="","",IF(INDEX('Work Orders'!$B$11:$B$1010,$B81)="","",INDEX('Work Orders'!$B$11:$B$1010,$B81)))</f>
        <v/>
      </c>
      <c r="E81" s="43">
        <f>IF($B81="","",IF(INDEX('Work Orders'!$D$11:$D$1010,$B81)="","",INDEX('Work Orders'!$D$11:$D$1010,$B81)))</f>
        <v/>
      </c>
      <c r="F81" s="43">
        <f>IF($B81="","",IF(INDEX('Work Orders'!$Q$11:$Q$1010,$B81)="","",INDEX('Work Orders'!$Q$11:$Q$1010,$B81)))</f>
        <v/>
      </c>
      <c r="G81" s="43">
        <f>IF($B81="","",IF(INDEX('Work Orders'!$V$11:$V$1010,$B81)="","",INDEX('Work Orders'!$V$11:$V$1010,$B81)))</f>
        <v/>
      </c>
      <c r="H81" s="47">
        <f>IF($B81="","",IF(INDEX('Work Orders'!$U$11:$U$1010,$B81)="","",INDEX('Work Orders'!$U$11:$U$1010,$B81)))</f>
        <v/>
      </c>
      <c r="I81" s="47">
        <f>IF($B81="","",IF(INDEX('Work Orders'!$X$11:$X$1010,$B81)="","",INDEX('Work Orders'!$X$11:$X$1010,$B81)))</f>
        <v/>
      </c>
      <c r="J81" s="44">
        <f>IF($B81="","",IF(INDEX('Work Orders'!$Z$11:$Z$1010,$B81)="","",INDEX('Work Orders'!$Z$11:$Z$1010,$B81)))</f>
        <v/>
      </c>
      <c r="K81" s="44">
        <f>IF($B81="","",IF(INDEX('Work Orders'!$AG$11:$AG$1010,$B81)="","",INDEX('Work Orders'!$AG$11:$AG$1010,$B81)))</f>
        <v/>
      </c>
      <c r="L81" s="44">
        <f>IF($B81="","",IF(INDEX('Work Orders'!$AH$11:$AH$1010,$B81)="","",INDEX('Work Orders'!$AH$11:$AH$1010,$B81)))</f>
        <v/>
      </c>
      <c r="M81" s="46">
        <f>IF($B81="","",IF(INDEX('Work Orders'!$AM$11:$AM$1010,$B81)="","",INDEX('Work Orders'!$AM$11:$AM$1010,$B81)))</f>
        <v/>
      </c>
      <c r="N81" s="43">
        <f>IF($B81="","",IF(INDEX('Work Orders'!$AL$11:$AL$1010,$B81)="","",INDEX('Work Orders'!$AL$11:$AL$1010,$B81)))</f>
        <v/>
      </c>
      <c r="O81" s="43">
        <f>IF($B81="","",IF(INDEX('Work Orders'!$N$11:$N$1010,$B81)="","",INDEX('Work Orders'!$N$11:$N$1010,$B81)))</f>
        <v/>
      </c>
    </row>
    <row r="82">
      <c r="A82" s="68" t="n">
        <v>76</v>
      </c>
      <c r="B82">
        <f>IFERROR(MATCH(A82,'Work Orders'!$AO$11:$AO$1010,0),"")</f>
        <v/>
      </c>
      <c r="C82" s="43">
        <f>IF($B82="","",IF(INDEX('Work Orders'!$A$11:$A$1010,$B82)="","",INDEX('Work Orders'!$A$11:$A$1010,$B82)))</f>
        <v/>
      </c>
      <c r="D82" s="43">
        <f>IF($B82="","",IF(INDEX('Work Orders'!$B$11:$B$1010,$B82)="","",INDEX('Work Orders'!$B$11:$B$1010,$B82)))</f>
        <v/>
      </c>
      <c r="E82" s="43">
        <f>IF($B82="","",IF(INDEX('Work Orders'!$D$11:$D$1010,$B82)="","",INDEX('Work Orders'!$D$11:$D$1010,$B82)))</f>
        <v/>
      </c>
      <c r="F82" s="43">
        <f>IF($B82="","",IF(INDEX('Work Orders'!$Q$11:$Q$1010,$B82)="","",INDEX('Work Orders'!$Q$11:$Q$1010,$B82)))</f>
        <v/>
      </c>
      <c r="G82" s="43">
        <f>IF($B82="","",IF(INDEX('Work Orders'!$V$11:$V$1010,$B82)="","",INDEX('Work Orders'!$V$11:$V$1010,$B82)))</f>
        <v/>
      </c>
      <c r="H82" s="47">
        <f>IF($B82="","",IF(INDEX('Work Orders'!$U$11:$U$1010,$B82)="","",INDEX('Work Orders'!$U$11:$U$1010,$B82)))</f>
        <v/>
      </c>
      <c r="I82" s="47">
        <f>IF($B82="","",IF(INDEX('Work Orders'!$X$11:$X$1010,$B82)="","",INDEX('Work Orders'!$X$11:$X$1010,$B82)))</f>
        <v/>
      </c>
      <c r="J82" s="44">
        <f>IF($B82="","",IF(INDEX('Work Orders'!$Z$11:$Z$1010,$B82)="","",INDEX('Work Orders'!$Z$11:$Z$1010,$B82)))</f>
        <v/>
      </c>
      <c r="K82" s="44">
        <f>IF($B82="","",IF(INDEX('Work Orders'!$AG$11:$AG$1010,$B82)="","",INDEX('Work Orders'!$AG$11:$AG$1010,$B82)))</f>
        <v/>
      </c>
      <c r="L82" s="44">
        <f>IF($B82="","",IF(INDEX('Work Orders'!$AH$11:$AH$1010,$B82)="","",INDEX('Work Orders'!$AH$11:$AH$1010,$B82)))</f>
        <v/>
      </c>
      <c r="M82" s="46">
        <f>IF($B82="","",IF(INDEX('Work Orders'!$AM$11:$AM$1010,$B82)="","",INDEX('Work Orders'!$AM$11:$AM$1010,$B82)))</f>
        <v/>
      </c>
      <c r="N82" s="43">
        <f>IF($B82="","",IF(INDEX('Work Orders'!$AL$11:$AL$1010,$B82)="","",INDEX('Work Orders'!$AL$11:$AL$1010,$B82)))</f>
        <v/>
      </c>
      <c r="O82" s="43">
        <f>IF($B82="","",IF(INDEX('Work Orders'!$N$11:$N$1010,$B82)="","",INDEX('Work Orders'!$N$11:$N$1010,$B82)))</f>
        <v/>
      </c>
    </row>
    <row r="83">
      <c r="A83" s="68" t="n">
        <v>77</v>
      </c>
      <c r="B83">
        <f>IFERROR(MATCH(A83,'Work Orders'!$AO$11:$AO$1010,0),"")</f>
        <v/>
      </c>
      <c r="C83" s="43">
        <f>IF($B83="","",IF(INDEX('Work Orders'!$A$11:$A$1010,$B83)="","",INDEX('Work Orders'!$A$11:$A$1010,$B83)))</f>
        <v/>
      </c>
      <c r="D83" s="43">
        <f>IF($B83="","",IF(INDEX('Work Orders'!$B$11:$B$1010,$B83)="","",INDEX('Work Orders'!$B$11:$B$1010,$B83)))</f>
        <v/>
      </c>
      <c r="E83" s="43">
        <f>IF($B83="","",IF(INDEX('Work Orders'!$D$11:$D$1010,$B83)="","",INDEX('Work Orders'!$D$11:$D$1010,$B83)))</f>
        <v/>
      </c>
      <c r="F83" s="43">
        <f>IF($B83="","",IF(INDEX('Work Orders'!$Q$11:$Q$1010,$B83)="","",INDEX('Work Orders'!$Q$11:$Q$1010,$B83)))</f>
        <v/>
      </c>
      <c r="G83" s="43">
        <f>IF($B83="","",IF(INDEX('Work Orders'!$V$11:$V$1010,$B83)="","",INDEX('Work Orders'!$V$11:$V$1010,$B83)))</f>
        <v/>
      </c>
      <c r="H83" s="47">
        <f>IF($B83="","",IF(INDEX('Work Orders'!$U$11:$U$1010,$B83)="","",INDEX('Work Orders'!$U$11:$U$1010,$B83)))</f>
        <v/>
      </c>
      <c r="I83" s="47">
        <f>IF($B83="","",IF(INDEX('Work Orders'!$X$11:$X$1010,$B83)="","",INDEX('Work Orders'!$X$11:$X$1010,$B83)))</f>
        <v/>
      </c>
      <c r="J83" s="44">
        <f>IF($B83="","",IF(INDEX('Work Orders'!$Z$11:$Z$1010,$B83)="","",INDEX('Work Orders'!$Z$11:$Z$1010,$B83)))</f>
        <v/>
      </c>
      <c r="K83" s="44">
        <f>IF($B83="","",IF(INDEX('Work Orders'!$AG$11:$AG$1010,$B83)="","",INDEX('Work Orders'!$AG$11:$AG$1010,$B83)))</f>
        <v/>
      </c>
      <c r="L83" s="44">
        <f>IF($B83="","",IF(INDEX('Work Orders'!$AH$11:$AH$1010,$B83)="","",INDEX('Work Orders'!$AH$11:$AH$1010,$B83)))</f>
        <v/>
      </c>
      <c r="M83" s="46">
        <f>IF($B83="","",IF(INDEX('Work Orders'!$AM$11:$AM$1010,$B83)="","",INDEX('Work Orders'!$AM$11:$AM$1010,$B83)))</f>
        <v/>
      </c>
      <c r="N83" s="43">
        <f>IF($B83="","",IF(INDEX('Work Orders'!$AL$11:$AL$1010,$B83)="","",INDEX('Work Orders'!$AL$11:$AL$1010,$B83)))</f>
        <v/>
      </c>
      <c r="O83" s="43">
        <f>IF($B83="","",IF(INDEX('Work Orders'!$N$11:$N$1010,$B83)="","",INDEX('Work Orders'!$N$11:$N$1010,$B83)))</f>
        <v/>
      </c>
    </row>
    <row r="84">
      <c r="A84" s="68" t="n">
        <v>78</v>
      </c>
      <c r="B84">
        <f>IFERROR(MATCH(A84,'Work Orders'!$AO$11:$AO$1010,0),"")</f>
        <v/>
      </c>
      <c r="C84" s="43">
        <f>IF($B84="","",IF(INDEX('Work Orders'!$A$11:$A$1010,$B84)="","",INDEX('Work Orders'!$A$11:$A$1010,$B84)))</f>
        <v/>
      </c>
      <c r="D84" s="43">
        <f>IF($B84="","",IF(INDEX('Work Orders'!$B$11:$B$1010,$B84)="","",INDEX('Work Orders'!$B$11:$B$1010,$B84)))</f>
        <v/>
      </c>
      <c r="E84" s="43">
        <f>IF($B84="","",IF(INDEX('Work Orders'!$D$11:$D$1010,$B84)="","",INDEX('Work Orders'!$D$11:$D$1010,$B84)))</f>
        <v/>
      </c>
      <c r="F84" s="43">
        <f>IF($B84="","",IF(INDEX('Work Orders'!$Q$11:$Q$1010,$B84)="","",INDEX('Work Orders'!$Q$11:$Q$1010,$B84)))</f>
        <v/>
      </c>
      <c r="G84" s="43">
        <f>IF($B84="","",IF(INDEX('Work Orders'!$V$11:$V$1010,$B84)="","",INDEX('Work Orders'!$V$11:$V$1010,$B84)))</f>
        <v/>
      </c>
      <c r="H84" s="47">
        <f>IF($B84="","",IF(INDEX('Work Orders'!$U$11:$U$1010,$B84)="","",INDEX('Work Orders'!$U$11:$U$1010,$B84)))</f>
        <v/>
      </c>
      <c r="I84" s="47">
        <f>IF($B84="","",IF(INDEX('Work Orders'!$X$11:$X$1010,$B84)="","",INDEX('Work Orders'!$X$11:$X$1010,$B84)))</f>
        <v/>
      </c>
      <c r="J84" s="44">
        <f>IF($B84="","",IF(INDEX('Work Orders'!$Z$11:$Z$1010,$B84)="","",INDEX('Work Orders'!$Z$11:$Z$1010,$B84)))</f>
        <v/>
      </c>
      <c r="K84" s="44">
        <f>IF($B84="","",IF(INDEX('Work Orders'!$AG$11:$AG$1010,$B84)="","",INDEX('Work Orders'!$AG$11:$AG$1010,$B84)))</f>
        <v/>
      </c>
      <c r="L84" s="44">
        <f>IF($B84="","",IF(INDEX('Work Orders'!$AH$11:$AH$1010,$B84)="","",INDEX('Work Orders'!$AH$11:$AH$1010,$B84)))</f>
        <v/>
      </c>
      <c r="M84" s="46">
        <f>IF($B84="","",IF(INDEX('Work Orders'!$AM$11:$AM$1010,$B84)="","",INDEX('Work Orders'!$AM$11:$AM$1010,$B84)))</f>
        <v/>
      </c>
      <c r="N84" s="43">
        <f>IF($B84="","",IF(INDEX('Work Orders'!$AL$11:$AL$1010,$B84)="","",INDEX('Work Orders'!$AL$11:$AL$1010,$B84)))</f>
        <v/>
      </c>
      <c r="O84" s="43">
        <f>IF($B84="","",IF(INDEX('Work Orders'!$N$11:$N$1010,$B84)="","",INDEX('Work Orders'!$N$11:$N$1010,$B84)))</f>
        <v/>
      </c>
    </row>
    <row r="85">
      <c r="A85" s="68" t="n">
        <v>79</v>
      </c>
      <c r="B85">
        <f>IFERROR(MATCH(A85,'Work Orders'!$AO$11:$AO$1010,0),"")</f>
        <v/>
      </c>
      <c r="C85" s="43">
        <f>IF($B85="","",IF(INDEX('Work Orders'!$A$11:$A$1010,$B85)="","",INDEX('Work Orders'!$A$11:$A$1010,$B85)))</f>
        <v/>
      </c>
      <c r="D85" s="43">
        <f>IF($B85="","",IF(INDEX('Work Orders'!$B$11:$B$1010,$B85)="","",INDEX('Work Orders'!$B$11:$B$1010,$B85)))</f>
        <v/>
      </c>
      <c r="E85" s="43">
        <f>IF($B85="","",IF(INDEX('Work Orders'!$D$11:$D$1010,$B85)="","",INDEX('Work Orders'!$D$11:$D$1010,$B85)))</f>
        <v/>
      </c>
      <c r="F85" s="43">
        <f>IF($B85="","",IF(INDEX('Work Orders'!$Q$11:$Q$1010,$B85)="","",INDEX('Work Orders'!$Q$11:$Q$1010,$B85)))</f>
        <v/>
      </c>
      <c r="G85" s="43">
        <f>IF($B85="","",IF(INDEX('Work Orders'!$V$11:$V$1010,$B85)="","",INDEX('Work Orders'!$V$11:$V$1010,$B85)))</f>
        <v/>
      </c>
      <c r="H85" s="47">
        <f>IF($B85="","",IF(INDEX('Work Orders'!$U$11:$U$1010,$B85)="","",INDEX('Work Orders'!$U$11:$U$1010,$B85)))</f>
        <v/>
      </c>
      <c r="I85" s="47">
        <f>IF($B85="","",IF(INDEX('Work Orders'!$X$11:$X$1010,$B85)="","",INDEX('Work Orders'!$X$11:$X$1010,$B85)))</f>
        <v/>
      </c>
      <c r="J85" s="44">
        <f>IF($B85="","",IF(INDEX('Work Orders'!$Z$11:$Z$1010,$B85)="","",INDEX('Work Orders'!$Z$11:$Z$1010,$B85)))</f>
        <v/>
      </c>
      <c r="K85" s="44">
        <f>IF($B85="","",IF(INDEX('Work Orders'!$AG$11:$AG$1010,$B85)="","",INDEX('Work Orders'!$AG$11:$AG$1010,$B85)))</f>
        <v/>
      </c>
      <c r="L85" s="44">
        <f>IF($B85="","",IF(INDEX('Work Orders'!$AH$11:$AH$1010,$B85)="","",INDEX('Work Orders'!$AH$11:$AH$1010,$B85)))</f>
        <v/>
      </c>
      <c r="M85" s="46">
        <f>IF($B85="","",IF(INDEX('Work Orders'!$AM$11:$AM$1010,$B85)="","",INDEX('Work Orders'!$AM$11:$AM$1010,$B85)))</f>
        <v/>
      </c>
      <c r="N85" s="43">
        <f>IF($B85="","",IF(INDEX('Work Orders'!$AL$11:$AL$1010,$B85)="","",INDEX('Work Orders'!$AL$11:$AL$1010,$B85)))</f>
        <v/>
      </c>
      <c r="O85" s="43">
        <f>IF($B85="","",IF(INDEX('Work Orders'!$N$11:$N$1010,$B85)="","",INDEX('Work Orders'!$N$11:$N$1010,$B85)))</f>
        <v/>
      </c>
    </row>
    <row r="86">
      <c r="A86" s="68" t="n">
        <v>80</v>
      </c>
      <c r="B86">
        <f>IFERROR(MATCH(A86,'Work Orders'!$AO$11:$AO$1010,0),"")</f>
        <v/>
      </c>
      <c r="C86" s="43">
        <f>IF($B86="","",IF(INDEX('Work Orders'!$A$11:$A$1010,$B86)="","",INDEX('Work Orders'!$A$11:$A$1010,$B86)))</f>
        <v/>
      </c>
      <c r="D86" s="43">
        <f>IF($B86="","",IF(INDEX('Work Orders'!$B$11:$B$1010,$B86)="","",INDEX('Work Orders'!$B$11:$B$1010,$B86)))</f>
        <v/>
      </c>
      <c r="E86" s="43">
        <f>IF($B86="","",IF(INDEX('Work Orders'!$D$11:$D$1010,$B86)="","",INDEX('Work Orders'!$D$11:$D$1010,$B86)))</f>
        <v/>
      </c>
      <c r="F86" s="43">
        <f>IF($B86="","",IF(INDEX('Work Orders'!$Q$11:$Q$1010,$B86)="","",INDEX('Work Orders'!$Q$11:$Q$1010,$B86)))</f>
        <v/>
      </c>
      <c r="G86" s="43">
        <f>IF($B86="","",IF(INDEX('Work Orders'!$V$11:$V$1010,$B86)="","",INDEX('Work Orders'!$V$11:$V$1010,$B86)))</f>
        <v/>
      </c>
      <c r="H86" s="47">
        <f>IF($B86="","",IF(INDEX('Work Orders'!$U$11:$U$1010,$B86)="","",INDEX('Work Orders'!$U$11:$U$1010,$B86)))</f>
        <v/>
      </c>
      <c r="I86" s="47">
        <f>IF($B86="","",IF(INDEX('Work Orders'!$X$11:$X$1010,$B86)="","",INDEX('Work Orders'!$X$11:$X$1010,$B86)))</f>
        <v/>
      </c>
      <c r="J86" s="44">
        <f>IF($B86="","",IF(INDEX('Work Orders'!$Z$11:$Z$1010,$B86)="","",INDEX('Work Orders'!$Z$11:$Z$1010,$B86)))</f>
        <v/>
      </c>
      <c r="K86" s="44">
        <f>IF($B86="","",IF(INDEX('Work Orders'!$AG$11:$AG$1010,$B86)="","",INDEX('Work Orders'!$AG$11:$AG$1010,$B86)))</f>
        <v/>
      </c>
      <c r="L86" s="44">
        <f>IF($B86="","",IF(INDEX('Work Orders'!$AH$11:$AH$1010,$B86)="","",INDEX('Work Orders'!$AH$11:$AH$1010,$B86)))</f>
        <v/>
      </c>
      <c r="M86" s="46">
        <f>IF($B86="","",IF(INDEX('Work Orders'!$AM$11:$AM$1010,$B86)="","",INDEX('Work Orders'!$AM$11:$AM$1010,$B86)))</f>
        <v/>
      </c>
      <c r="N86" s="43">
        <f>IF($B86="","",IF(INDEX('Work Orders'!$AL$11:$AL$1010,$B86)="","",INDEX('Work Orders'!$AL$11:$AL$1010,$B86)))</f>
        <v/>
      </c>
      <c r="O86" s="43">
        <f>IF($B86="","",IF(INDEX('Work Orders'!$N$11:$N$1010,$B86)="","",INDEX('Work Orders'!$N$11:$N$1010,$B86)))</f>
        <v/>
      </c>
    </row>
    <row r="87">
      <c r="A87" s="68" t="n">
        <v>81</v>
      </c>
      <c r="B87">
        <f>IFERROR(MATCH(A87,'Work Orders'!$AO$11:$AO$1010,0),"")</f>
        <v/>
      </c>
      <c r="C87" s="43">
        <f>IF($B87="","",IF(INDEX('Work Orders'!$A$11:$A$1010,$B87)="","",INDEX('Work Orders'!$A$11:$A$1010,$B87)))</f>
        <v/>
      </c>
      <c r="D87" s="43">
        <f>IF($B87="","",IF(INDEX('Work Orders'!$B$11:$B$1010,$B87)="","",INDEX('Work Orders'!$B$11:$B$1010,$B87)))</f>
        <v/>
      </c>
      <c r="E87" s="43">
        <f>IF($B87="","",IF(INDEX('Work Orders'!$D$11:$D$1010,$B87)="","",INDEX('Work Orders'!$D$11:$D$1010,$B87)))</f>
        <v/>
      </c>
      <c r="F87" s="43">
        <f>IF($B87="","",IF(INDEX('Work Orders'!$Q$11:$Q$1010,$B87)="","",INDEX('Work Orders'!$Q$11:$Q$1010,$B87)))</f>
        <v/>
      </c>
      <c r="G87" s="43">
        <f>IF($B87="","",IF(INDEX('Work Orders'!$V$11:$V$1010,$B87)="","",INDEX('Work Orders'!$V$11:$V$1010,$B87)))</f>
        <v/>
      </c>
      <c r="H87" s="47">
        <f>IF($B87="","",IF(INDEX('Work Orders'!$U$11:$U$1010,$B87)="","",INDEX('Work Orders'!$U$11:$U$1010,$B87)))</f>
        <v/>
      </c>
      <c r="I87" s="47">
        <f>IF($B87="","",IF(INDEX('Work Orders'!$X$11:$X$1010,$B87)="","",INDEX('Work Orders'!$X$11:$X$1010,$B87)))</f>
        <v/>
      </c>
      <c r="J87" s="44">
        <f>IF($B87="","",IF(INDEX('Work Orders'!$Z$11:$Z$1010,$B87)="","",INDEX('Work Orders'!$Z$11:$Z$1010,$B87)))</f>
        <v/>
      </c>
      <c r="K87" s="44">
        <f>IF($B87="","",IF(INDEX('Work Orders'!$AG$11:$AG$1010,$B87)="","",INDEX('Work Orders'!$AG$11:$AG$1010,$B87)))</f>
        <v/>
      </c>
      <c r="L87" s="44">
        <f>IF($B87="","",IF(INDEX('Work Orders'!$AH$11:$AH$1010,$B87)="","",INDEX('Work Orders'!$AH$11:$AH$1010,$B87)))</f>
        <v/>
      </c>
      <c r="M87" s="46">
        <f>IF($B87="","",IF(INDEX('Work Orders'!$AM$11:$AM$1010,$B87)="","",INDEX('Work Orders'!$AM$11:$AM$1010,$B87)))</f>
        <v/>
      </c>
      <c r="N87" s="43">
        <f>IF($B87="","",IF(INDEX('Work Orders'!$AL$11:$AL$1010,$B87)="","",INDEX('Work Orders'!$AL$11:$AL$1010,$B87)))</f>
        <v/>
      </c>
      <c r="O87" s="43">
        <f>IF($B87="","",IF(INDEX('Work Orders'!$N$11:$N$1010,$B87)="","",INDEX('Work Orders'!$N$11:$N$1010,$B87)))</f>
        <v/>
      </c>
    </row>
    <row r="88">
      <c r="A88" s="68" t="n">
        <v>82</v>
      </c>
      <c r="B88">
        <f>IFERROR(MATCH(A88,'Work Orders'!$AO$11:$AO$1010,0),"")</f>
        <v/>
      </c>
      <c r="C88" s="43">
        <f>IF($B88="","",IF(INDEX('Work Orders'!$A$11:$A$1010,$B88)="","",INDEX('Work Orders'!$A$11:$A$1010,$B88)))</f>
        <v/>
      </c>
      <c r="D88" s="43">
        <f>IF($B88="","",IF(INDEX('Work Orders'!$B$11:$B$1010,$B88)="","",INDEX('Work Orders'!$B$11:$B$1010,$B88)))</f>
        <v/>
      </c>
      <c r="E88" s="43">
        <f>IF($B88="","",IF(INDEX('Work Orders'!$D$11:$D$1010,$B88)="","",INDEX('Work Orders'!$D$11:$D$1010,$B88)))</f>
        <v/>
      </c>
      <c r="F88" s="43">
        <f>IF($B88="","",IF(INDEX('Work Orders'!$Q$11:$Q$1010,$B88)="","",INDEX('Work Orders'!$Q$11:$Q$1010,$B88)))</f>
        <v/>
      </c>
      <c r="G88" s="43">
        <f>IF($B88="","",IF(INDEX('Work Orders'!$V$11:$V$1010,$B88)="","",INDEX('Work Orders'!$V$11:$V$1010,$B88)))</f>
        <v/>
      </c>
      <c r="H88" s="47">
        <f>IF($B88="","",IF(INDEX('Work Orders'!$U$11:$U$1010,$B88)="","",INDEX('Work Orders'!$U$11:$U$1010,$B88)))</f>
        <v/>
      </c>
      <c r="I88" s="47">
        <f>IF($B88="","",IF(INDEX('Work Orders'!$X$11:$X$1010,$B88)="","",INDEX('Work Orders'!$X$11:$X$1010,$B88)))</f>
        <v/>
      </c>
      <c r="J88" s="44">
        <f>IF($B88="","",IF(INDEX('Work Orders'!$Z$11:$Z$1010,$B88)="","",INDEX('Work Orders'!$Z$11:$Z$1010,$B88)))</f>
        <v/>
      </c>
      <c r="K88" s="44">
        <f>IF($B88="","",IF(INDEX('Work Orders'!$AG$11:$AG$1010,$B88)="","",INDEX('Work Orders'!$AG$11:$AG$1010,$B88)))</f>
        <v/>
      </c>
      <c r="L88" s="44">
        <f>IF($B88="","",IF(INDEX('Work Orders'!$AH$11:$AH$1010,$B88)="","",INDEX('Work Orders'!$AH$11:$AH$1010,$B88)))</f>
        <v/>
      </c>
      <c r="M88" s="46">
        <f>IF($B88="","",IF(INDEX('Work Orders'!$AM$11:$AM$1010,$B88)="","",INDEX('Work Orders'!$AM$11:$AM$1010,$B88)))</f>
        <v/>
      </c>
      <c r="N88" s="43">
        <f>IF($B88="","",IF(INDEX('Work Orders'!$AL$11:$AL$1010,$B88)="","",INDEX('Work Orders'!$AL$11:$AL$1010,$B88)))</f>
        <v/>
      </c>
      <c r="O88" s="43">
        <f>IF($B88="","",IF(INDEX('Work Orders'!$N$11:$N$1010,$B88)="","",INDEX('Work Orders'!$N$11:$N$1010,$B88)))</f>
        <v/>
      </c>
    </row>
    <row r="89">
      <c r="A89" s="68" t="n">
        <v>83</v>
      </c>
      <c r="B89">
        <f>IFERROR(MATCH(A89,'Work Orders'!$AO$11:$AO$1010,0),"")</f>
        <v/>
      </c>
      <c r="C89" s="43">
        <f>IF($B89="","",IF(INDEX('Work Orders'!$A$11:$A$1010,$B89)="","",INDEX('Work Orders'!$A$11:$A$1010,$B89)))</f>
        <v/>
      </c>
      <c r="D89" s="43">
        <f>IF($B89="","",IF(INDEX('Work Orders'!$B$11:$B$1010,$B89)="","",INDEX('Work Orders'!$B$11:$B$1010,$B89)))</f>
        <v/>
      </c>
      <c r="E89" s="43">
        <f>IF($B89="","",IF(INDEX('Work Orders'!$D$11:$D$1010,$B89)="","",INDEX('Work Orders'!$D$11:$D$1010,$B89)))</f>
        <v/>
      </c>
      <c r="F89" s="43">
        <f>IF($B89="","",IF(INDEX('Work Orders'!$Q$11:$Q$1010,$B89)="","",INDEX('Work Orders'!$Q$11:$Q$1010,$B89)))</f>
        <v/>
      </c>
      <c r="G89" s="43">
        <f>IF($B89="","",IF(INDEX('Work Orders'!$V$11:$V$1010,$B89)="","",INDEX('Work Orders'!$V$11:$V$1010,$B89)))</f>
        <v/>
      </c>
      <c r="H89" s="47">
        <f>IF($B89="","",IF(INDEX('Work Orders'!$U$11:$U$1010,$B89)="","",INDEX('Work Orders'!$U$11:$U$1010,$B89)))</f>
        <v/>
      </c>
      <c r="I89" s="47">
        <f>IF($B89="","",IF(INDEX('Work Orders'!$X$11:$X$1010,$B89)="","",INDEX('Work Orders'!$X$11:$X$1010,$B89)))</f>
        <v/>
      </c>
      <c r="J89" s="44">
        <f>IF($B89="","",IF(INDEX('Work Orders'!$Z$11:$Z$1010,$B89)="","",INDEX('Work Orders'!$Z$11:$Z$1010,$B89)))</f>
        <v/>
      </c>
      <c r="K89" s="44">
        <f>IF($B89="","",IF(INDEX('Work Orders'!$AG$11:$AG$1010,$B89)="","",INDEX('Work Orders'!$AG$11:$AG$1010,$B89)))</f>
        <v/>
      </c>
      <c r="L89" s="44">
        <f>IF($B89="","",IF(INDEX('Work Orders'!$AH$11:$AH$1010,$B89)="","",INDEX('Work Orders'!$AH$11:$AH$1010,$B89)))</f>
        <v/>
      </c>
      <c r="M89" s="46">
        <f>IF($B89="","",IF(INDEX('Work Orders'!$AM$11:$AM$1010,$B89)="","",INDEX('Work Orders'!$AM$11:$AM$1010,$B89)))</f>
        <v/>
      </c>
      <c r="N89" s="43">
        <f>IF($B89="","",IF(INDEX('Work Orders'!$AL$11:$AL$1010,$B89)="","",INDEX('Work Orders'!$AL$11:$AL$1010,$B89)))</f>
        <v/>
      </c>
      <c r="O89" s="43">
        <f>IF($B89="","",IF(INDEX('Work Orders'!$N$11:$N$1010,$B89)="","",INDEX('Work Orders'!$N$11:$N$1010,$B89)))</f>
        <v/>
      </c>
    </row>
    <row r="90">
      <c r="A90" s="68" t="n">
        <v>84</v>
      </c>
      <c r="B90">
        <f>IFERROR(MATCH(A90,'Work Orders'!$AO$11:$AO$1010,0),"")</f>
        <v/>
      </c>
      <c r="C90" s="43">
        <f>IF($B90="","",IF(INDEX('Work Orders'!$A$11:$A$1010,$B90)="","",INDEX('Work Orders'!$A$11:$A$1010,$B90)))</f>
        <v/>
      </c>
      <c r="D90" s="43">
        <f>IF($B90="","",IF(INDEX('Work Orders'!$B$11:$B$1010,$B90)="","",INDEX('Work Orders'!$B$11:$B$1010,$B90)))</f>
        <v/>
      </c>
      <c r="E90" s="43">
        <f>IF($B90="","",IF(INDEX('Work Orders'!$D$11:$D$1010,$B90)="","",INDEX('Work Orders'!$D$11:$D$1010,$B90)))</f>
        <v/>
      </c>
      <c r="F90" s="43">
        <f>IF($B90="","",IF(INDEX('Work Orders'!$Q$11:$Q$1010,$B90)="","",INDEX('Work Orders'!$Q$11:$Q$1010,$B90)))</f>
        <v/>
      </c>
      <c r="G90" s="43">
        <f>IF($B90="","",IF(INDEX('Work Orders'!$V$11:$V$1010,$B90)="","",INDEX('Work Orders'!$V$11:$V$1010,$B90)))</f>
        <v/>
      </c>
      <c r="H90" s="47">
        <f>IF($B90="","",IF(INDEX('Work Orders'!$U$11:$U$1010,$B90)="","",INDEX('Work Orders'!$U$11:$U$1010,$B90)))</f>
        <v/>
      </c>
      <c r="I90" s="47">
        <f>IF($B90="","",IF(INDEX('Work Orders'!$X$11:$X$1010,$B90)="","",INDEX('Work Orders'!$X$11:$X$1010,$B90)))</f>
        <v/>
      </c>
      <c r="J90" s="44">
        <f>IF($B90="","",IF(INDEX('Work Orders'!$Z$11:$Z$1010,$B90)="","",INDEX('Work Orders'!$Z$11:$Z$1010,$B90)))</f>
        <v/>
      </c>
      <c r="K90" s="44">
        <f>IF($B90="","",IF(INDEX('Work Orders'!$AG$11:$AG$1010,$B90)="","",INDEX('Work Orders'!$AG$11:$AG$1010,$B90)))</f>
        <v/>
      </c>
      <c r="L90" s="44">
        <f>IF($B90="","",IF(INDEX('Work Orders'!$AH$11:$AH$1010,$B90)="","",INDEX('Work Orders'!$AH$11:$AH$1010,$B90)))</f>
        <v/>
      </c>
      <c r="M90" s="46">
        <f>IF($B90="","",IF(INDEX('Work Orders'!$AM$11:$AM$1010,$B90)="","",INDEX('Work Orders'!$AM$11:$AM$1010,$B90)))</f>
        <v/>
      </c>
      <c r="N90" s="43">
        <f>IF($B90="","",IF(INDEX('Work Orders'!$AL$11:$AL$1010,$B90)="","",INDEX('Work Orders'!$AL$11:$AL$1010,$B90)))</f>
        <v/>
      </c>
      <c r="O90" s="43">
        <f>IF($B90="","",IF(INDEX('Work Orders'!$N$11:$N$1010,$B90)="","",INDEX('Work Orders'!$N$11:$N$1010,$B90)))</f>
        <v/>
      </c>
    </row>
    <row r="91">
      <c r="A91" s="68" t="n">
        <v>85</v>
      </c>
      <c r="B91">
        <f>IFERROR(MATCH(A91,'Work Orders'!$AO$11:$AO$1010,0),"")</f>
        <v/>
      </c>
      <c r="C91" s="43">
        <f>IF($B91="","",IF(INDEX('Work Orders'!$A$11:$A$1010,$B91)="","",INDEX('Work Orders'!$A$11:$A$1010,$B91)))</f>
        <v/>
      </c>
      <c r="D91" s="43">
        <f>IF($B91="","",IF(INDEX('Work Orders'!$B$11:$B$1010,$B91)="","",INDEX('Work Orders'!$B$11:$B$1010,$B91)))</f>
        <v/>
      </c>
      <c r="E91" s="43">
        <f>IF($B91="","",IF(INDEX('Work Orders'!$D$11:$D$1010,$B91)="","",INDEX('Work Orders'!$D$11:$D$1010,$B91)))</f>
        <v/>
      </c>
      <c r="F91" s="43">
        <f>IF($B91="","",IF(INDEX('Work Orders'!$Q$11:$Q$1010,$B91)="","",INDEX('Work Orders'!$Q$11:$Q$1010,$B91)))</f>
        <v/>
      </c>
      <c r="G91" s="43">
        <f>IF($B91="","",IF(INDEX('Work Orders'!$V$11:$V$1010,$B91)="","",INDEX('Work Orders'!$V$11:$V$1010,$B91)))</f>
        <v/>
      </c>
      <c r="H91" s="47">
        <f>IF($B91="","",IF(INDEX('Work Orders'!$U$11:$U$1010,$B91)="","",INDEX('Work Orders'!$U$11:$U$1010,$B91)))</f>
        <v/>
      </c>
      <c r="I91" s="47">
        <f>IF($B91="","",IF(INDEX('Work Orders'!$X$11:$X$1010,$B91)="","",INDEX('Work Orders'!$X$11:$X$1010,$B91)))</f>
        <v/>
      </c>
      <c r="J91" s="44">
        <f>IF($B91="","",IF(INDEX('Work Orders'!$Z$11:$Z$1010,$B91)="","",INDEX('Work Orders'!$Z$11:$Z$1010,$B91)))</f>
        <v/>
      </c>
      <c r="K91" s="44">
        <f>IF($B91="","",IF(INDEX('Work Orders'!$AG$11:$AG$1010,$B91)="","",INDEX('Work Orders'!$AG$11:$AG$1010,$B91)))</f>
        <v/>
      </c>
      <c r="L91" s="44">
        <f>IF($B91="","",IF(INDEX('Work Orders'!$AH$11:$AH$1010,$B91)="","",INDEX('Work Orders'!$AH$11:$AH$1010,$B91)))</f>
        <v/>
      </c>
      <c r="M91" s="46">
        <f>IF($B91="","",IF(INDEX('Work Orders'!$AM$11:$AM$1010,$B91)="","",INDEX('Work Orders'!$AM$11:$AM$1010,$B91)))</f>
        <v/>
      </c>
      <c r="N91" s="43">
        <f>IF($B91="","",IF(INDEX('Work Orders'!$AL$11:$AL$1010,$B91)="","",INDEX('Work Orders'!$AL$11:$AL$1010,$B91)))</f>
        <v/>
      </c>
      <c r="O91" s="43">
        <f>IF($B91="","",IF(INDEX('Work Orders'!$N$11:$N$1010,$B91)="","",INDEX('Work Orders'!$N$11:$N$1010,$B91)))</f>
        <v/>
      </c>
    </row>
    <row r="92">
      <c r="A92" s="68" t="n">
        <v>86</v>
      </c>
      <c r="B92">
        <f>IFERROR(MATCH(A92,'Work Orders'!$AO$11:$AO$1010,0),"")</f>
        <v/>
      </c>
      <c r="C92" s="43">
        <f>IF($B92="","",IF(INDEX('Work Orders'!$A$11:$A$1010,$B92)="","",INDEX('Work Orders'!$A$11:$A$1010,$B92)))</f>
        <v/>
      </c>
      <c r="D92" s="43">
        <f>IF($B92="","",IF(INDEX('Work Orders'!$B$11:$B$1010,$B92)="","",INDEX('Work Orders'!$B$11:$B$1010,$B92)))</f>
        <v/>
      </c>
      <c r="E92" s="43">
        <f>IF($B92="","",IF(INDEX('Work Orders'!$D$11:$D$1010,$B92)="","",INDEX('Work Orders'!$D$11:$D$1010,$B92)))</f>
        <v/>
      </c>
      <c r="F92" s="43">
        <f>IF($B92="","",IF(INDEX('Work Orders'!$Q$11:$Q$1010,$B92)="","",INDEX('Work Orders'!$Q$11:$Q$1010,$B92)))</f>
        <v/>
      </c>
      <c r="G92" s="43">
        <f>IF($B92="","",IF(INDEX('Work Orders'!$V$11:$V$1010,$B92)="","",INDEX('Work Orders'!$V$11:$V$1010,$B92)))</f>
        <v/>
      </c>
      <c r="H92" s="47">
        <f>IF($B92="","",IF(INDEX('Work Orders'!$U$11:$U$1010,$B92)="","",INDEX('Work Orders'!$U$11:$U$1010,$B92)))</f>
        <v/>
      </c>
      <c r="I92" s="47">
        <f>IF($B92="","",IF(INDEX('Work Orders'!$X$11:$X$1010,$B92)="","",INDEX('Work Orders'!$X$11:$X$1010,$B92)))</f>
        <v/>
      </c>
      <c r="J92" s="44">
        <f>IF($B92="","",IF(INDEX('Work Orders'!$Z$11:$Z$1010,$B92)="","",INDEX('Work Orders'!$Z$11:$Z$1010,$B92)))</f>
        <v/>
      </c>
      <c r="K92" s="44">
        <f>IF($B92="","",IF(INDEX('Work Orders'!$AG$11:$AG$1010,$B92)="","",INDEX('Work Orders'!$AG$11:$AG$1010,$B92)))</f>
        <v/>
      </c>
      <c r="L92" s="44">
        <f>IF($B92="","",IF(INDEX('Work Orders'!$AH$11:$AH$1010,$B92)="","",INDEX('Work Orders'!$AH$11:$AH$1010,$B92)))</f>
        <v/>
      </c>
      <c r="M92" s="46">
        <f>IF($B92="","",IF(INDEX('Work Orders'!$AM$11:$AM$1010,$B92)="","",INDEX('Work Orders'!$AM$11:$AM$1010,$B92)))</f>
        <v/>
      </c>
      <c r="N92" s="43">
        <f>IF($B92="","",IF(INDEX('Work Orders'!$AL$11:$AL$1010,$B92)="","",INDEX('Work Orders'!$AL$11:$AL$1010,$B92)))</f>
        <v/>
      </c>
      <c r="O92" s="43">
        <f>IF($B92="","",IF(INDEX('Work Orders'!$N$11:$N$1010,$B92)="","",INDEX('Work Orders'!$N$11:$N$1010,$B92)))</f>
        <v/>
      </c>
    </row>
    <row r="93">
      <c r="A93" s="68" t="n">
        <v>87</v>
      </c>
      <c r="B93">
        <f>IFERROR(MATCH(A93,'Work Orders'!$AO$11:$AO$1010,0),"")</f>
        <v/>
      </c>
      <c r="C93" s="43">
        <f>IF($B93="","",IF(INDEX('Work Orders'!$A$11:$A$1010,$B93)="","",INDEX('Work Orders'!$A$11:$A$1010,$B93)))</f>
        <v/>
      </c>
      <c r="D93" s="43">
        <f>IF($B93="","",IF(INDEX('Work Orders'!$B$11:$B$1010,$B93)="","",INDEX('Work Orders'!$B$11:$B$1010,$B93)))</f>
        <v/>
      </c>
      <c r="E93" s="43">
        <f>IF($B93="","",IF(INDEX('Work Orders'!$D$11:$D$1010,$B93)="","",INDEX('Work Orders'!$D$11:$D$1010,$B93)))</f>
        <v/>
      </c>
      <c r="F93" s="43">
        <f>IF($B93="","",IF(INDEX('Work Orders'!$Q$11:$Q$1010,$B93)="","",INDEX('Work Orders'!$Q$11:$Q$1010,$B93)))</f>
        <v/>
      </c>
      <c r="G93" s="43">
        <f>IF($B93="","",IF(INDEX('Work Orders'!$V$11:$V$1010,$B93)="","",INDEX('Work Orders'!$V$11:$V$1010,$B93)))</f>
        <v/>
      </c>
      <c r="H93" s="47">
        <f>IF($B93="","",IF(INDEX('Work Orders'!$U$11:$U$1010,$B93)="","",INDEX('Work Orders'!$U$11:$U$1010,$B93)))</f>
        <v/>
      </c>
      <c r="I93" s="47">
        <f>IF($B93="","",IF(INDEX('Work Orders'!$X$11:$X$1010,$B93)="","",INDEX('Work Orders'!$X$11:$X$1010,$B93)))</f>
        <v/>
      </c>
      <c r="J93" s="44">
        <f>IF($B93="","",IF(INDEX('Work Orders'!$Z$11:$Z$1010,$B93)="","",INDEX('Work Orders'!$Z$11:$Z$1010,$B93)))</f>
        <v/>
      </c>
      <c r="K93" s="44">
        <f>IF($B93="","",IF(INDEX('Work Orders'!$AG$11:$AG$1010,$B93)="","",INDEX('Work Orders'!$AG$11:$AG$1010,$B93)))</f>
        <v/>
      </c>
      <c r="L93" s="44">
        <f>IF($B93="","",IF(INDEX('Work Orders'!$AH$11:$AH$1010,$B93)="","",INDEX('Work Orders'!$AH$11:$AH$1010,$B93)))</f>
        <v/>
      </c>
      <c r="M93" s="46">
        <f>IF($B93="","",IF(INDEX('Work Orders'!$AM$11:$AM$1010,$B93)="","",INDEX('Work Orders'!$AM$11:$AM$1010,$B93)))</f>
        <v/>
      </c>
      <c r="N93" s="43">
        <f>IF($B93="","",IF(INDEX('Work Orders'!$AL$11:$AL$1010,$B93)="","",INDEX('Work Orders'!$AL$11:$AL$1010,$B93)))</f>
        <v/>
      </c>
      <c r="O93" s="43">
        <f>IF($B93="","",IF(INDEX('Work Orders'!$N$11:$N$1010,$B93)="","",INDEX('Work Orders'!$N$11:$N$1010,$B93)))</f>
        <v/>
      </c>
    </row>
    <row r="94">
      <c r="A94" s="68" t="n">
        <v>88</v>
      </c>
      <c r="B94">
        <f>IFERROR(MATCH(A94,'Work Orders'!$AO$11:$AO$1010,0),"")</f>
        <v/>
      </c>
      <c r="C94" s="43">
        <f>IF($B94="","",IF(INDEX('Work Orders'!$A$11:$A$1010,$B94)="","",INDEX('Work Orders'!$A$11:$A$1010,$B94)))</f>
        <v/>
      </c>
      <c r="D94" s="43">
        <f>IF($B94="","",IF(INDEX('Work Orders'!$B$11:$B$1010,$B94)="","",INDEX('Work Orders'!$B$11:$B$1010,$B94)))</f>
        <v/>
      </c>
      <c r="E94" s="43">
        <f>IF($B94="","",IF(INDEX('Work Orders'!$D$11:$D$1010,$B94)="","",INDEX('Work Orders'!$D$11:$D$1010,$B94)))</f>
        <v/>
      </c>
      <c r="F94" s="43">
        <f>IF($B94="","",IF(INDEX('Work Orders'!$Q$11:$Q$1010,$B94)="","",INDEX('Work Orders'!$Q$11:$Q$1010,$B94)))</f>
        <v/>
      </c>
      <c r="G94" s="43">
        <f>IF($B94="","",IF(INDEX('Work Orders'!$V$11:$V$1010,$B94)="","",INDEX('Work Orders'!$V$11:$V$1010,$B94)))</f>
        <v/>
      </c>
      <c r="H94" s="47">
        <f>IF($B94="","",IF(INDEX('Work Orders'!$U$11:$U$1010,$B94)="","",INDEX('Work Orders'!$U$11:$U$1010,$B94)))</f>
        <v/>
      </c>
      <c r="I94" s="47">
        <f>IF($B94="","",IF(INDEX('Work Orders'!$X$11:$X$1010,$B94)="","",INDEX('Work Orders'!$X$11:$X$1010,$B94)))</f>
        <v/>
      </c>
      <c r="J94" s="44">
        <f>IF($B94="","",IF(INDEX('Work Orders'!$Z$11:$Z$1010,$B94)="","",INDEX('Work Orders'!$Z$11:$Z$1010,$B94)))</f>
        <v/>
      </c>
      <c r="K94" s="44">
        <f>IF($B94="","",IF(INDEX('Work Orders'!$AG$11:$AG$1010,$B94)="","",INDEX('Work Orders'!$AG$11:$AG$1010,$B94)))</f>
        <v/>
      </c>
      <c r="L94" s="44">
        <f>IF($B94="","",IF(INDEX('Work Orders'!$AH$11:$AH$1010,$B94)="","",INDEX('Work Orders'!$AH$11:$AH$1010,$B94)))</f>
        <v/>
      </c>
      <c r="M94" s="46">
        <f>IF($B94="","",IF(INDEX('Work Orders'!$AM$11:$AM$1010,$B94)="","",INDEX('Work Orders'!$AM$11:$AM$1010,$B94)))</f>
        <v/>
      </c>
      <c r="N94" s="43">
        <f>IF($B94="","",IF(INDEX('Work Orders'!$AL$11:$AL$1010,$B94)="","",INDEX('Work Orders'!$AL$11:$AL$1010,$B94)))</f>
        <v/>
      </c>
      <c r="O94" s="43">
        <f>IF($B94="","",IF(INDEX('Work Orders'!$N$11:$N$1010,$B94)="","",INDEX('Work Orders'!$N$11:$N$1010,$B94)))</f>
        <v/>
      </c>
    </row>
    <row r="95">
      <c r="A95" s="68" t="n">
        <v>89</v>
      </c>
      <c r="B95">
        <f>IFERROR(MATCH(A95,'Work Orders'!$AO$11:$AO$1010,0),"")</f>
        <v/>
      </c>
      <c r="C95" s="43">
        <f>IF($B95="","",IF(INDEX('Work Orders'!$A$11:$A$1010,$B95)="","",INDEX('Work Orders'!$A$11:$A$1010,$B95)))</f>
        <v/>
      </c>
      <c r="D95" s="43">
        <f>IF($B95="","",IF(INDEX('Work Orders'!$B$11:$B$1010,$B95)="","",INDEX('Work Orders'!$B$11:$B$1010,$B95)))</f>
        <v/>
      </c>
      <c r="E95" s="43">
        <f>IF($B95="","",IF(INDEX('Work Orders'!$D$11:$D$1010,$B95)="","",INDEX('Work Orders'!$D$11:$D$1010,$B95)))</f>
        <v/>
      </c>
      <c r="F95" s="43">
        <f>IF($B95="","",IF(INDEX('Work Orders'!$Q$11:$Q$1010,$B95)="","",INDEX('Work Orders'!$Q$11:$Q$1010,$B95)))</f>
        <v/>
      </c>
      <c r="G95" s="43">
        <f>IF($B95="","",IF(INDEX('Work Orders'!$V$11:$V$1010,$B95)="","",INDEX('Work Orders'!$V$11:$V$1010,$B95)))</f>
        <v/>
      </c>
      <c r="H95" s="47">
        <f>IF($B95="","",IF(INDEX('Work Orders'!$U$11:$U$1010,$B95)="","",INDEX('Work Orders'!$U$11:$U$1010,$B95)))</f>
        <v/>
      </c>
      <c r="I95" s="47">
        <f>IF($B95="","",IF(INDEX('Work Orders'!$X$11:$X$1010,$B95)="","",INDEX('Work Orders'!$X$11:$X$1010,$B95)))</f>
        <v/>
      </c>
      <c r="J95" s="44">
        <f>IF($B95="","",IF(INDEX('Work Orders'!$Z$11:$Z$1010,$B95)="","",INDEX('Work Orders'!$Z$11:$Z$1010,$B95)))</f>
        <v/>
      </c>
      <c r="K95" s="44">
        <f>IF($B95="","",IF(INDEX('Work Orders'!$AG$11:$AG$1010,$B95)="","",INDEX('Work Orders'!$AG$11:$AG$1010,$B95)))</f>
        <v/>
      </c>
      <c r="L95" s="44">
        <f>IF($B95="","",IF(INDEX('Work Orders'!$AH$11:$AH$1010,$B95)="","",INDEX('Work Orders'!$AH$11:$AH$1010,$B95)))</f>
        <v/>
      </c>
      <c r="M95" s="46">
        <f>IF($B95="","",IF(INDEX('Work Orders'!$AM$11:$AM$1010,$B95)="","",INDEX('Work Orders'!$AM$11:$AM$1010,$B95)))</f>
        <v/>
      </c>
      <c r="N95" s="43">
        <f>IF($B95="","",IF(INDEX('Work Orders'!$AL$11:$AL$1010,$B95)="","",INDEX('Work Orders'!$AL$11:$AL$1010,$B95)))</f>
        <v/>
      </c>
      <c r="O95" s="43">
        <f>IF($B95="","",IF(INDEX('Work Orders'!$N$11:$N$1010,$B95)="","",INDEX('Work Orders'!$N$11:$N$1010,$B95)))</f>
        <v/>
      </c>
    </row>
    <row r="96">
      <c r="A96" s="68" t="n">
        <v>90</v>
      </c>
      <c r="B96">
        <f>IFERROR(MATCH(A96,'Work Orders'!$AO$11:$AO$1010,0),"")</f>
        <v/>
      </c>
      <c r="C96" s="43">
        <f>IF($B96="","",IF(INDEX('Work Orders'!$A$11:$A$1010,$B96)="","",INDEX('Work Orders'!$A$11:$A$1010,$B96)))</f>
        <v/>
      </c>
      <c r="D96" s="43">
        <f>IF($B96="","",IF(INDEX('Work Orders'!$B$11:$B$1010,$B96)="","",INDEX('Work Orders'!$B$11:$B$1010,$B96)))</f>
        <v/>
      </c>
      <c r="E96" s="43">
        <f>IF($B96="","",IF(INDEX('Work Orders'!$D$11:$D$1010,$B96)="","",INDEX('Work Orders'!$D$11:$D$1010,$B96)))</f>
        <v/>
      </c>
      <c r="F96" s="43">
        <f>IF($B96="","",IF(INDEX('Work Orders'!$Q$11:$Q$1010,$B96)="","",INDEX('Work Orders'!$Q$11:$Q$1010,$B96)))</f>
        <v/>
      </c>
      <c r="G96" s="43">
        <f>IF($B96="","",IF(INDEX('Work Orders'!$V$11:$V$1010,$B96)="","",INDEX('Work Orders'!$V$11:$V$1010,$B96)))</f>
        <v/>
      </c>
      <c r="H96" s="47">
        <f>IF($B96="","",IF(INDEX('Work Orders'!$U$11:$U$1010,$B96)="","",INDEX('Work Orders'!$U$11:$U$1010,$B96)))</f>
        <v/>
      </c>
      <c r="I96" s="47">
        <f>IF($B96="","",IF(INDEX('Work Orders'!$X$11:$X$1010,$B96)="","",INDEX('Work Orders'!$X$11:$X$1010,$B96)))</f>
        <v/>
      </c>
      <c r="J96" s="44">
        <f>IF($B96="","",IF(INDEX('Work Orders'!$Z$11:$Z$1010,$B96)="","",INDEX('Work Orders'!$Z$11:$Z$1010,$B96)))</f>
        <v/>
      </c>
      <c r="K96" s="44">
        <f>IF($B96="","",IF(INDEX('Work Orders'!$AG$11:$AG$1010,$B96)="","",INDEX('Work Orders'!$AG$11:$AG$1010,$B96)))</f>
        <v/>
      </c>
      <c r="L96" s="44">
        <f>IF($B96="","",IF(INDEX('Work Orders'!$AH$11:$AH$1010,$B96)="","",INDEX('Work Orders'!$AH$11:$AH$1010,$B96)))</f>
        <v/>
      </c>
      <c r="M96" s="46">
        <f>IF($B96="","",IF(INDEX('Work Orders'!$AM$11:$AM$1010,$B96)="","",INDEX('Work Orders'!$AM$11:$AM$1010,$B96)))</f>
        <v/>
      </c>
      <c r="N96" s="43">
        <f>IF($B96="","",IF(INDEX('Work Orders'!$AL$11:$AL$1010,$B96)="","",INDEX('Work Orders'!$AL$11:$AL$1010,$B96)))</f>
        <v/>
      </c>
      <c r="O96" s="43">
        <f>IF($B96="","",IF(INDEX('Work Orders'!$N$11:$N$1010,$B96)="","",INDEX('Work Orders'!$N$11:$N$1010,$B96)))</f>
        <v/>
      </c>
    </row>
    <row r="97">
      <c r="A97" s="68" t="n">
        <v>91</v>
      </c>
      <c r="B97">
        <f>IFERROR(MATCH(A97,'Work Orders'!$AO$11:$AO$1010,0),"")</f>
        <v/>
      </c>
      <c r="C97" s="43">
        <f>IF($B97="","",IF(INDEX('Work Orders'!$A$11:$A$1010,$B97)="","",INDEX('Work Orders'!$A$11:$A$1010,$B97)))</f>
        <v/>
      </c>
      <c r="D97" s="43">
        <f>IF($B97="","",IF(INDEX('Work Orders'!$B$11:$B$1010,$B97)="","",INDEX('Work Orders'!$B$11:$B$1010,$B97)))</f>
        <v/>
      </c>
      <c r="E97" s="43">
        <f>IF($B97="","",IF(INDEX('Work Orders'!$D$11:$D$1010,$B97)="","",INDEX('Work Orders'!$D$11:$D$1010,$B97)))</f>
        <v/>
      </c>
      <c r="F97" s="43">
        <f>IF($B97="","",IF(INDEX('Work Orders'!$Q$11:$Q$1010,$B97)="","",INDEX('Work Orders'!$Q$11:$Q$1010,$B97)))</f>
        <v/>
      </c>
      <c r="G97" s="43">
        <f>IF($B97="","",IF(INDEX('Work Orders'!$V$11:$V$1010,$B97)="","",INDEX('Work Orders'!$V$11:$V$1010,$B97)))</f>
        <v/>
      </c>
      <c r="H97" s="47">
        <f>IF($B97="","",IF(INDEX('Work Orders'!$U$11:$U$1010,$B97)="","",INDEX('Work Orders'!$U$11:$U$1010,$B97)))</f>
        <v/>
      </c>
      <c r="I97" s="47">
        <f>IF($B97="","",IF(INDEX('Work Orders'!$X$11:$X$1010,$B97)="","",INDEX('Work Orders'!$X$11:$X$1010,$B97)))</f>
        <v/>
      </c>
      <c r="J97" s="44">
        <f>IF($B97="","",IF(INDEX('Work Orders'!$Z$11:$Z$1010,$B97)="","",INDEX('Work Orders'!$Z$11:$Z$1010,$B97)))</f>
        <v/>
      </c>
      <c r="K97" s="44">
        <f>IF($B97="","",IF(INDEX('Work Orders'!$AG$11:$AG$1010,$B97)="","",INDEX('Work Orders'!$AG$11:$AG$1010,$B97)))</f>
        <v/>
      </c>
      <c r="L97" s="44">
        <f>IF($B97="","",IF(INDEX('Work Orders'!$AH$11:$AH$1010,$B97)="","",INDEX('Work Orders'!$AH$11:$AH$1010,$B97)))</f>
        <v/>
      </c>
      <c r="M97" s="46">
        <f>IF($B97="","",IF(INDEX('Work Orders'!$AM$11:$AM$1010,$B97)="","",INDEX('Work Orders'!$AM$11:$AM$1010,$B97)))</f>
        <v/>
      </c>
      <c r="N97" s="43">
        <f>IF($B97="","",IF(INDEX('Work Orders'!$AL$11:$AL$1010,$B97)="","",INDEX('Work Orders'!$AL$11:$AL$1010,$B97)))</f>
        <v/>
      </c>
      <c r="O97" s="43">
        <f>IF($B97="","",IF(INDEX('Work Orders'!$N$11:$N$1010,$B97)="","",INDEX('Work Orders'!$N$11:$N$1010,$B97)))</f>
        <v/>
      </c>
    </row>
    <row r="98">
      <c r="A98" s="68" t="n">
        <v>92</v>
      </c>
      <c r="B98">
        <f>IFERROR(MATCH(A98,'Work Orders'!$AO$11:$AO$1010,0),"")</f>
        <v/>
      </c>
      <c r="C98" s="43">
        <f>IF($B98="","",IF(INDEX('Work Orders'!$A$11:$A$1010,$B98)="","",INDEX('Work Orders'!$A$11:$A$1010,$B98)))</f>
        <v/>
      </c>
      <c r="D98" s="43">
        <f>IF($B98="","",IF(INDEX('Work Orders'!$B$11:$B$1010,$B98)="","",INDEX('Work Orders'!$B$11:$B$1010,$B98)))</f>
        <v/>
      </c>
      <c r="E98" s="43">
        <f>IF($B98="","",IF(INDEX('Work Orders'!$D$11:$D$1010,$B98)="","",INDEX('Work Orders'!$D$11:$D$1010,$B98)))</f>
        <v/>
      </c>
      <c r="F98" s="43">
        <f>IF($B98="","",IF(INDEX('Work Orders'!$Q$11:$Q$1010,$B98)="","",INDEX('Work Orders'!$Q$11:$Q$1010,$B98)))</f>
        <v/>
      </c>
      <c r="G98" s="43">
        <f>IF($B98="","",IF(INDEX('Work Orders'!$V$11:$V$1010,$B98)="","",INDEX('Work Orders'!$V$11:$V$1010,$B98)))</f>
        <v/>
      </c>
      <c r="H98" s="47">
        <f>IF($B98="","",IF(INDEX('Work Orders'!$U$11:$U$1010,$B98)="","",INDEX('Work Orders'!$U$11:$U$1010,$B98)))</f>
        <v/>
      </c>
      <c r="I98" s="47">
        <f>IF($B98="","",IF(INDEX('Work Orders'!$X$11:$X$1010,$B98)="","",INDEX('Work Orders'!$X$11:$X$1010,$B98)))</f>
        <v/>
      </c>
      <c r="J98" s="44">
        <f>IF($B98="","",IF(INDEX('Work Orders'!$Z$11:$Z$1010,$B98)="","",INDEX('Work Orders'!$Z$11:$Z$1010,$B98)))</f>
        <v/>
      </c>
      <c r="K98" s="44">
        <f>IF($B98="","",IF(INDEX('Work Orders'!$AG$11:$AG$1010,$B98)="","",INDEX('Work Orders'!$AG$11:$AG$1010,$B98)))</f>
        <v/>
      </c>
      <c r="L98" s="44">
        <f>IF($B98="","",IF(INDEX('Work Orders'!$AH$11:$AH$1010,$B98)="","",INDEX('Work Orders'!$AH$11:$AH$1010,$B98)))</f>
        <v/>
      </c>
      <c r="M98" s="46">
        <f>IF($B98="","",IF(INDEX('Work Orders'!$AM$11:$AM$1010,$B98)="","",INDEX('Work Orders'!$AM$11:$AM$1010,$B98)))</f>
        <v/>
      </c>
      <c r="N98" s="43">
        <f>IF($B98="","",IF(INDEX('Work Orders'!$AL$11:$AL$1010,$B98)="","",INDEX('Work Orders'!$AL$11:$AL$1010,$B98)))</f>
        <v/>
      </c>
      <c r="O98" s="43">
        <f>IF($B98="","",IF(INDEX('Work Orders'!$N$11:$N$1010,$B98)="","",INDEX('Work Orders'!$N$11:$N$1010,$B98)))</f>
        <v/>
      </c>
    </row>
    <row r="99">
      <c r="A99" s="68" t="n">
        <v>93</v>
      </c>
      <c r="B99">
        <f>IFERROR(MATCH(A99,'Work Orders'!$AO$11:$AO$1010,0),"")</f>
        <v/>
      </c>
      <c r="C99" s="43">
        <f>IF($B99="","",IF(INDEX('Work Orders'!$A$11:$A$1010,$B99)="","",INDEX('Work Orders'!$A$11:$A$1010,$B99)))</f>
        <v/>
      </c>
      <c r="D99" s="43">
        <f>IF($B99="","",IF(INDEX('Work Orders'!$B$11:$B$1010,$B99)="","",INDEX('Work Orders'!$B$11:$B$1010,$B99)))</f>
        <v/>
      </c>
      <c r="E99" s="43">
        <f>IF($B99="","",IF(INDEX('Work Orders'!$D$11:$D$1010,$B99)="","",INDEX('Work Orders'!$D$11:$D$1010,$B99)))</f>
        <v/>
      </c>
      <c r="F99" s="43">
        <f>IF($B99="","",IF(INDEX('Work Orders'!$Q$11:$Q$1010,$B99)="","",INDEX('Work Orders'!$Q$11:$Q$1010,$B99)))</f>
        <v/>
      </c>
      <c r="G99" s="43">
        <f>IF($B99="","",IF(INDEX('Work Orders'!$V$11:$V$1010,$B99)="","",INDEX('Work Orders'!$V$11:$V$1010,$B99)))</f>
        <v/>
      </c>
      <c r="H99" s="47">
        <f>IF($B99="","",IF(INDEX('Work Orders'!$U$11:$U$1010,$B99)="","",INDEX('Work Orders'!$U$11:$U$1010,$B99)))</f>
        <v/>
      </c>
      <c r="I99" s="47">
        <f>IF($B99="","",IF(INDEX('Work Orders'!$X$11:$X$1010,$B99)="","",INDEX('Work Orders'!$X$11:$X$1010,$B99)))</f>
        <v/>
      </c>
      <c r="J99" s="44">
        <f>IF($B99="","",IF(INDEX('Work Orders'!$Z$11:$Z$1010,$B99)="","",INDEX('Work Orders'!$Z$11:$Z$1010,$B99)))</f>
        <v/>
      </c>
      <c r="K99" s="44">
        <f>IF($B99="","",IF(INDEX('Work Orders'!$AG$11:$AG$1010,$B99)="","",INDEX('Work Orders'!$AG$11:$AG$1010,$B99)))</f>
        <v/>
      </c>
      <c r="L99" s="44">
        <f>IF($B99="","",IF(INDEX('Work Orders'!$AH$11:$AH$1010,$B99)="","",INDEX('Work Orders'!$AH$11:$AH$1010,$B99)))</f>
        <v/>
      </c>
      <c r="M99" s="46">
        <f>IF($B99="","",IF(INDEX('Work Orders'!$AM$11:$AM$1010,$B99)="","",INDEX('Work Orders'!$AM$11:$AM$1010,$B99)))</f>
        <v/>
      </c>
      <c r="N99" s="43">
        <f>IF($B99="","",IF(INDEX('Work Orders'!$AL$11:$AL$1010,$B99)="","",INDEX('Work Orders'!$AL$11:$AL$1010,$B99)))</f>
        <v/>
      </c>
      <c r="O99" s="43">
        <f>IF($B99="","",IF(INDEX('Work Orders'!$N$11:$N$1010,$B99)="","",INDEX('Work Orders'!$N$11:$N$1010,$B99)))</f>
        <v/>
      </c>
    </row>
    <row r="100">
      <c r="A100" s="68" t="n">
        <v>94</v>
      </c>
      <c r="B100">
        <f>IFERROR(MATCH(A100,'Work Orders'!$AO$11:$AO$1010,0),"")</f>
        <v/>
      </c>
      <c r="C100" s="43">
        <f>IF($B100="","",IF(INDEX('Work Orders'!$A$11:$A$1010,$B100)="","",INDEX('Work Orders'!$A$11:$A$1010,$B100)))</f>
        <v/>
      </c>
      <c r="D100" s="43">
        <f>IF($B100="","",IF(INDEX('Work Orders'!$B$11:$B$1010,$B100)="","",INDEX('Work Orders'!$B$11:$B$1010,$B100)))</f>
        <v/>
      </c>
      <c r="E100" s="43">
        <f>IF($B100="","",IF(INDEX('Work Orders'!$D$11:$D$1010,$B100)="","",INDEX('Work Orders'!$D$11:$D$1010,$B100)))</f>
        <v/>
      </c>
      <c r="F100" s="43">
        <f>IF($B100="","",IF(INDEX('Work Orders'!$Q$11:$Q$1010,$B100)="","",INDEX('Work Orders'!$Q$11:$Q$1010,$B100)))</f>
        <v/>
      </c>
      <c r="G100" s="43">
        <f>IF($B100="","",IF(INDEX('Work Orders'!$V$11:$V$1010,$B100)="","",INDEX('Work Orders'!$V$11:$V$1010,$B100)))</f>
        <v/>
      </c>
      <c r="H100" s="47">
        <f>IF($B100="","",IF(INDEX('Work Orders'!$U$11:$U$1010,$B100)="","",INDEX('Work Orders'!$U$11:$U$1010,$B100)))</f>
        <v/>
      </c>
      <c r="I100" s="47">
        <f>IF($B100="","",IF(INDEX('Work Orders'!$X$11:$X$1010,$B100)="","",INDEX('Work Orders'!$X$11:$X$1010,$B100)))</f>
        <v/>
      </c>
      <c r="J100" s="44">
        <f>IF($B100="","",IF(INDEX('Work Orders'!$Z$11:$Z$1010,$B100)="","",INDEX('Work Orders'!$Z$11:$Z$1010,$B100)))</f>
        <v/>
      </c>
      <c r="K100" s="44">
        <f>IF($B100="","",IF(INDEX('Work Orders'!$AG$11:$AG$1010,$B100)="","",INDEX('Work Orders'!$AG$11:$AG$1010,$B100)))</f>
        <v/>
      </c>
      <c r="L100" s="44">
        <f>IF($B100="","",IF(INDEX('Work Orders'!$AH$11:$AH$1010,$B100)="","",INDEX('Work Orders'!$AH$11:$AH$1010,$B100)))</f>
        <v/>
      </c>
      <c r="M100" s="46">
        <f>IF($B100="","",IF(INDEX('Work Orders'!$AM$11:$AM$1010,$B100)="","",INDEX('Work Orders'!$AM$11:$AM$1010,$B100)))</f>
        <v/>
      </c>
      <c r="N100" s="43">
        <f>IF($B100="","",IF(INDEX('Work Orders'!$AL$11:$AL$1010,$B100)="","",INDEX('Work Orders'!$AL$11:$AL$1010,$B100)))</f>
        <v/>
      </c>
      <c r="O100" s="43">
        <f>IF($B100="","",IF(INDEX('Work Orders'!$N$11:$N$1010,$B100)="","",INDEX('Work Orders'!$N$11:$N$1010,$B100)))</f>
        <v/>
      </c>
    </row>
    <row r="101">
      <c r="A101" s="68" t="n">
        <v>95</v>
      </c>
      <c r="B101">
        <f>IFERROR(MATCH(A101,'Work Orders'!$AO$11:$AO$1010,0),"")</f>
        <v/>
      </c>
      <c r="C101" s="43">
        <f>IF($B101="","",IF(INDEX('Work Orders'!$A$11:$A$1010,$B101)="","",INDEX('Work Orders'!$A$11:$A$1010,$B101)))</f>
        <v/>
      </c>
      <c r="D101" s="43">
        <f>IF($B101="","",IF(INDEX('Work Orders'!$B$11:$B$1010,$B101)="","",INDEX('Work Orders'!$B$11:$B$1010,$B101)))</f>
        <v/>
      </c>
      <c r="E101" s="43">
        <f>IF($B101="","",IF(INDEX('Work Orders'!$D$11:$D$1010,$B101)="","",INDEX('Work Orders'!$D$11:$D$1010,$B101)))</f>
        <v/>
      </c>
      <c r="F101" s="43">
        <f>IF($B101="","",IF(INDEX('Work Orders'!$Q$11:$Q$1010,$B101)="","",INDEX('Work Orders'!$Q$11:$Q$1010,$B101)))</f>
        <v/>
      </c>
      <c r="G101" s="43">
        <f>IF($B101="","",IF(INDEX('Work Orders'!$V$11:$V$1010,$B101)="","",INDEX('Work Orders'!$V$11:$V$1010,$B101)))</f>
        <v/>
      </c>
      <c r="H101" s="47">
        <f>IF($B101="","",IF(INDEX('Work Orders'!$U$11:$U$1010,$B101)="","",INDEX('Work Orders'!$U$11:$U$1010,$B101)))</f>
        <v/>
      </c>
      <c r="I101" s="47">
        <f>IF($B101="","",IF(INDEX('Work Orders'!$X$11:$X$1010,$B101)="","",INDEX('Work Orders'!$X$11:$X$1010,$B101)))</f>
        <v/>
      </c>
      <c r="J101" s="44">
        <f>IF($B101="","",IF(INDEX('Work Orders'!$Z$11:$Z$1010,$B101)="","",INDEX('Work Orders'!$Z$11:$Z$1010,$B101)))</f>
        <v/>
      </c>
      <c r="K101" s="44">
        <f>IF($B101="","",IF(INDEX('Work Orders'!$AG$11:$AG$1010,$B101)="","",INDEX('Work Orders'!$AG$11:$AG$1010,$B101)))</f>
        <v/>
      </c>
      <c r="L101" s="44">
        <f>IF($B101="","",IF(INDEX('Work Orders'!$AH$11:$AH$1010,$B101)="","",INDEX('Work Orders'!$AH$11:$AH$1010,$B101)))</f>
        <v/>
      </c>
      <c r="M101" s="46">
        <f>IF($B101="","",IF(INDEX('Work Orders'!$AM$11:$AM$1010,$B101)="","",INDEX('Work Orders'!$AM$11:$AM$1010,$B101)))</f>
        <v/>
      </c>
      <c r="N101" s="43">
        <f>IF($B101="","",IF(INDEX('Work Orders'!$AL$11:$AL$1010,$B101)="","",INDEX('Work Orders'!$AL$11:$AL$1010,$B101)))</f>
        <v/>
      </c>
      <c r="O101" s="43">
        <f>IF($B101="","",IF(INDEX('Work Orders'!$N$11:$N$1010,$B101)="","",INDEX('Work Orders'!$N$11:$N$1010,$B101)))</f>
        <v/>
      </c>
    </row>
    <row r="102">
      <c r="A102" s="68" t="n">
        <v>96</v>
      </c>
      <c r="B102">
        <f>IFERROR(MATCH(A102,'Work Orders'!$AO$11:$AO$1010,0),"")</f>
        <v/>
      </c>
      <c r="C102" s="43">
        <f>IF($B102="","",IF(INDEX('Work Orders'!$A$11:$A$1010,$B102)="","",INDEX('Work Orders'!$A$11:$A$1010,$B102)))</f>
        <v/>
      </c>
      <c r="D102" s="43">
        <f>IF($B102="","",IF(INDEX('Work Orders'!$B$11:$B$1010,$B102)="","",INDEX('Work Orders'!$B$11:$B$1010,$B102)))</f>
        <v/>
      </c>
      <c r="E102" s="43">
        <f>IF($B102="","",IF(INDEX('Work Orders'!$D$11:$D$1010,$B102)="","",INDEX('Work Orders'!$D$11:$D$1010,$B102)))</f>
        <v/>
      </c>
      <c r="F102" s="43">
        <f>IF($B102="","",IF(INDEX('Work Orders'!$Q$11:$Q$1010,$B102)="","",INDEX('Work Orders'!$Q$11:$Q$1010,$B102)))</f>
        <v/>
      </c>
      <c r="G102" s="43">
        <f>IF($B102="","",IF(INDEX('Work Orders'!$V$11:$V$1010,$B102)="","",INDEX('Work Orders'!$V$11:$V$1010,$B102)))</f>
        <v/>
      </c>
      <c r="H102" s="47">
        <f>IF($B102="","",IF(INDEX('Work Orders'!$U$11:$U$1010,$B102)="","",INDEX('Work Orders'!$U$11:$U$1010,$B102)))</f>
        <v/>
      </c>
      <c r="I102" s="47">
        <f>IF($B102="","",IF(INDEX('Work Orders'!$X$11:$X$1010,$B102)="","",INDEX('Work Orders'!$X$11:$X$1010,$B102)))</f>
        <v/>
      </c>
      <c r="J102" s="44">
        <f>IF($B102="","",IF(INDEX('Work Orders'!$Z$11:$Z$1010,$B102)="","",INDEX('Work Orders'!$Z$11:$Z$1010,$B102)))</f>
        <v/>
      </c>
      <c r="K102" s="44">
        <f>IF($B102="","",IF(INDEX('Work Orders'!$AG$11:$AG$1010,$B102)="","",INDEX('Work Orders'!$AG$11:$AG$1010,$B102)))</f>
        <v/>
      </c>
      <c r="L102" s="44">
        <f>IF($B102="","",IF(INDEX('Work Orders'!$AH$11:$AH$1010,$B102)="","",INDEX('Work Orders'!$AH$11:$AH$1010,$B102)))</f>
        <v/>
      </c>
      <c r="M102" s="46">
        <f>IF($B102="","",IF(INDEX('Work Orders'!$AM$11:$AM$1010,$B102)="","",INDEX('Work Orders'!$AM$11:$AM$1010,$B102)))</f>
        <v/>
      </c>
      <c r="N102" s="43">
        <f>IF($B102="","",IF(INDEX('Work Orders'!$AL$11:$AL$1010,$B102)="","",INDEX('Work Orders'!$AL$11:$AL$1010,$B102)))</f>
        <v/>
      </c>
      <c r="O102" s="43">
        <f>IF($B102="","",IF(INDEX('Work Orders'!$N$11:$N$1010,$B102)="","",INDEX('Work Orders'!$N$11:$N$1010,$B102)))</f>
        <v/>
      </c>
    </row>
    <row r="103">
      <c r="A103" s="68" t="n">
        <v>97</v>
      </c>
      <c r="B103">
        <f>IFERROR(MATCH(A103,'Work Orders'!$AO$11:$AO$1010,0),"")</f>
        <v/>
      </c>
      <c r="C103" s="43">
        <f>IF($B103="","",IF(INDEX('Work Orders'!$A$11:$A$1010,$B103)="","",INDEX('Work Orders'!$A$11:$A$1010,$B103)))</f>
        <v/>
      </c>
      <c r="D103" s="43">
        <f>IF($B103="","",IF(INDEX('Work Orders'!$B$11:$B$1010,$B103)="","",INDEX('Work Orders'!$B$11:$B$1010,$B103)))</f>
        <v/>
      </c>
      <c r="E103" s="43">
        <f>IF($B103="","",IF(INDEX('Work Orders'!$D$11:$D$1010,$B103)="","",INDEX('Work Orders'!$D$11:$D$1010,$B103)))</f>
        <v/>
      </c>
      <c r="F103" s="43">
        <f>IF($B103="","",IF(INDEX('Work Orders'!$Q$11:$Q$1010,$B103)="","",INDEX('Work Orders'!$Q$11:$Q$1010,$B103)))</f>
        <v/>
      </c>
      <c r="G103" s="43">
        <f>IF($B103="","",IF(INDEX('Work Orders'!$V$11:$V$1010,$B103)="","",INDEX('Work Orders'!$V$11:$V$1010,$B103)))</f>
        <v/>
      </c>
      <c r="H103" s="47">
        <f>IF($B103="","",IF(INDEX('Work Orders'!$U$11:$U$1010,$B103)="","",INDEX('Work Orders'!$U$11:$U$1010,$B103)))</f>
        <v/>
      </c>
      <c r="I103" s="47">
        <f>IF($B103="","",IF(INDEX('Work Orders'!$X$11:$X$1010,$B103)="","",INDEX('Work Orders'!$X$11:$X$1010,$B103)))</f>
        <v/>
      </c>
      <c r="J103" s="44">
        <f>IF($B103="","",IF(INDEX('Work Orders'!$Z$11:$Z$1010,$B103)="","",INDEX('Work Orders'!$Z$11:$Z$1010,$B103)))</f>
        <v/>
      </c>
      <c r="K103" s="44">
        <f>IF($B103="","",IF(INDEX('Work Orders'!$AG$11:$AG$1010,$B103)="","",INDEX('Work Orders'!$AG$11:$AG$1010,$B103)))</f>
        <v/>
      </c>
      <c r="L103" s="44">
        <f>IF($B103="","",IF(INDEX('Work Orders'!$AH$11:$AH$1010,$B103)="","",INDEX('Work Orders'!$AH$11:$AH$1010,$B103)))</f>
        <v/>
      </c>
      <c r="M103" s="46">
        <f>IF($B103="","",IF(INDEX('Work Orders'!$AM$11:$AM$1010,$B103)="","",INDEX('Work Orders'!$AM$11:$AM$1010,$B103)))</f>
        <v/>
      </c>
      <c r="N103" s="43">
        <f>IF($B103="","",IF(INDEX('Work Orders'!$AL$11:$AL$1010,$B103)="","",INDEX('Work Orders'!$AL$11:$AL$1010,$B103)))</f>
        <v/>
      </c>
      <c r="O103" s="43">
        <f>IF($B103="","",IF(INDEX('Work Orders'!$N$11:$N$1010,$B103)="","",INDEX('Work Orders'!$N$11:$N$1010,$B103)))</f>
        <v/>
      </c>
    </row>
    <row r="104">
      <c r="A104" s="68" t="n">
        <v>98</v>
      </c>
      <c r="B104">
        <f>IFERROR(MATCH(A104,'Work Orders'!$AO$11:$AO$1010,0),"")</f>
        <v/>
      </c>
      <c r="C104" s="43">
        <f>IF($B104="","",IF(INDEX('Work Orders'!$A$11:$A$1010,$B104)="","",INDEX('Work Orders'!$A$11:$A$1010,$B104)))</f>
        <v/>
      </c>
      <c r="D104" s="43">
        <f>IF($B104="","",IF(INDEX('Work Orders'!$B$11:$B$1010,$B104)="","",INDEX('Work Orders'!$B$11:$B$1010,$B104)))</f>
        <v/>
      </c>
      <c r="E104" s="43">
        <f>IF($B104="","",IF(INDEX('Work Orders'!$D$11:$D$1010,$B104)="","",INDEX('Work Orders'!$D$11:$D$1010,$B104)))</f>
        <v/>
      </c>
      <c r="F104" s="43">
        <f>IF($B104="","",IF(INDEX('Work Orders'!$Q$11:$Q$1010,$B104)="","",INDEX('Work Orders'!$Q$11:$Q$1010,$B104)))</f>
        <v/>
      </c>
      <c r="G104" s="43">
        <f>IF($B104="","",IF(INDEX('Work Orders'!$V$11:$V$1010,$B104)="","",INDEX('Work Orders'!$V$11:$V$1010,$B104)))</f>
        <v/>
      </c>
      <c r="H104" s="47">
        <f>IF($B104="","",IF(INDEX('Work Orders'!$U$11:$U$1010,$B104)="","",INDEX('Work Orders'!$U$11:$U$1010,$B104)))</f>
        <v/>
      </c>
      <c r="I104" s="47">
        <f>IF($B104="","",IF(INDEX('Work Orders'!$X$11:$X$1010,$B104)="","",INDEX('Work Orders'!$X$11:$X$1010,$B104)))</f>
        <v/>
      </c>
      <c r="J104" s="44">
        <f>IF($B104="","",IF(INDEX('Work Orders'!$Z$11:$Z$1010,$B104)="","",INDEX('Work Orders'!$Z$11:$Z$1010,$B104)))</f>
        <v/>
      </c>
      <c r="K104" s="44">
        <f>IF($B104="","",IF(INDEX('Work Orders'!$AG$11:$AG$1010,$B104)="","",INDEX('Work Orders'!$AG$11:$AG$1010,$B104)))</f>
        <v/>
      </c>
      <c r="L104" s="44">
        <f>IF($B104="","",IF(INDEX('Work Orders'!$AH$11:$AH$1010,$B104)="","",INDEX('Work Orders'!$AH$11:$AH$1010,$B104)))</f>
        <v/>
      </c>
      <c r="M104" s="46">
        <f>IF($B104="","",IF(INDEX('Work Orders'!$AM$11:$AM$1010,$B104)="","",INDEX('Work Orders'!$AM$11:$AM$1010,$B104)))</f>
        <v/>
      </c>
      <c r="N104" s="43">
        <f>IF($B104="","",IF(INDEX('Work Orders'!$AL$11:$AL$1010,$B104)="","",INDEX('Work Orders'!$AL$11:$AL$1010,$B104)))</f>
        <v/>
      </c>
      <c r="O104" s="43">
        <f>IF($B104="","",IF(INDEX('Work Orders'!$N$11:$N$1010,$B104)="","",INDEX('Work Orders'!$N$11:$N$1010,$B104)))</f>
        <v/>
      </c>
    </row>
    <row r="105">
      <c r="A105" s="68" t="n">
        <v>99</v>
      </c>
      <c r="B105">
        <f>IFERROR(MATCH(A105,'Work Orders'!$AO$11:$AO$1010,0),"")</f>
        <v/>
      </c>
      <c r="C105" s="43">
        <f>IF($B105="","",IF(INDEX('Work Orders'!$A$11:$A$1010,$B105)="","",INDEX('Work Orders'!$A$11:$A$1010,$B105)))</f>
        <v/>
      </c>
      <c r="D105" s="43">
        <f>IF($B105="","",IF(INDEX('Work Orders'!$B$11:$B$1010,$B105)="","",INDEX('Work Orders'!$B$11:$B$1010,$B105)))</f>
        <v/>
      </c>
      <c r="E105" s="43">
        <f>IF($B105="","",IF(INDEX('Work Orders'!$D$11:$D$1010,$B105)="","",INDEX('Work Orders'!$D$11:$D$1010,$B105)))</f>
        <v/>
      </c>
      <c r="F105" s="43">
        <f>IF($B105="","",IF(INDEX('Work Orders'!$Q$11:$Q$1010,$B105)="","",INDEX('Work Orders'!$Q$11:$Q$1010,$B105)))</f>
        <v/>
      </c>
      <c r="G105" s="43">
        <f>IF($B105="","",IF(INDEX('Work Orders'!$V$11:$V$1010,$B105)="","",INDEX('Work Orders'!$V$11:$V$1010,$B105)))</f>
        <v/>
      </c>
      <c r="H105" s="47">
        <f>IF($B105="","",IF(INDEX('Work Orders'!$U$11:$U$1010,$B105)="","",INDEX('Work Orders'!$U$11:$U$1010,$B105)))</f>
        <v/>
      </c>
      <c r="I105" s="47">
        <f>IF($B105="","",IF(INDEX('Work Orders'!$X$11:$X$1010,$B105)="","",INDEX('Work Orders'!$X$11:$X$1010,$B105)))</f>
        <v/>
      </c>
      <c r="J105" s="44">
        <f>IF($B105="","",IF(INDEX('Work Orders'!$Z$11:$Z$1010,$B105)="","",INDEX('Work Orders'!$Z$11:$Z$1010,$B105)))</f>
        <v/>
      </c>
      <c r="K105" s="44">
        <f>IF($B105="","",IF(INDEX('Work Orders'!$AG$11:$AG$1010,$B105)="","",INDEX('Work Orders'!$AG$11:$AG$1010,$B105)))</f>
        <v/>
      </c>
      <c r="L105" s="44">
        <f>IF($B105="","",IF(INDEX('Work Orders'!$AH$11:$AH$1010,$B105)="","",INDEX('Work Orders'!$AH$11:$AH$1010,$B105)))</f>
        <v/>
      </c>
      <c r="M105" s="46">
        <f>IF($B105="","",IF(INDEX('Work Orders'!$AM$11:$AM$1010,$B105)="","",INDEX('Work Orders'!$AM$11:$AM$1010,$B105)))</f>
        <v/>
      </c>
      <c r="N105" s="43">
        <f>IF($B105="","",IF(INDEX('Work Orders'!$AL$11:$AL$1010,$B105)="","",INDEX('Work Orders'!$AL$11:$AL$1010,$B105)))</f>
        <v/>
      </c>
      <c r="O105" s="43">
        <f>IF($B105="","",IF(INDEX('Work Orders'!$N$11:$N$1010,$B105)="","",INDEX('Work Orders'!$N$11:$N$1010,$B105)))</f>
        <v/>
      </c>
    </row>
    <row r="106">
      <c r="A106" s="68" t="n">
        <v>100</v>
      </c>
      <c r="B106">
        <f>IFERROR(MATCH(A106,'Work Orders'!$AO$11:$AO$1010,0),"")</f>
        <v/>
      </c>
      <c r="C106" s="43">
        <f>IF($B106="","",IF(INDEX('Work Orders'!$A$11:$A$1010,$B106)="","",INDEX('Work Orders'!$A$11:$A$1010,$B106)))</f>
        <v/>
      </c>
      <c r="D106" s="43">
        <f>IF($B106="","",IF(INDEX('Work Orders'!$B$11:$B$1010,$B106)="","",INDEX('Work Orders'!$B$11:$B$1010,$B106)))</f>
        <v/>
      </c>
      <c r="E106" s="43">
        <f>IF($B106="","",IF(INDEX('Work Orders'!$D$11:$D$1010,$B106)="","",INDEX('Work Orders'!$D$11:$D$1010,$B106)))</f>
        <v/>
      </c>
      <c r="F106" s="43">
        <f>IF($B106="","",IF(INDEX('Work Orders'!$Q$11:$Q$1010,$B106)="","",INDEX('Work Orders'!$Q$11:$Q$1010,$B106)))</f>
        <v/>
      </c>
      <c r="G106" s="43">
        <f>IF($B106="","",IF(INDEX('Work Orders'!$V$11:$V$1010,$B106)="","",INDEX('Work Orders'!$V$11:$V$1010,$B106)))</f>
        <v/>
      </c>
      <c r="H106" s="47">
        <f>IF($B106="","",IF(INDEX('Work Orders'!$U$11:$U$1010,$B106)="","",INDEX('Work Orders'!$U$11:$U$1010,$B106)))</f>
        <v/>
      </c>
      <c r="I106" s="47">
        <f>IF($B106="","",IF(INDEX('Work Orders'!$X$11:$X$1010,$B106)="","",INDEX('Work Orders'!$X$11:$X$1010,$B106)))</f>
        <v/>
      </c>
      <c r="J106" s="44">
        <f>IF($B106="","",IF(INDEX('Work Orders'!$Z$11:$Z$1010,$B106)="","",INDEX('Work Orders'!$Z$11:$Z$1010,$B106)))</f>
        <v/>
      </c>
      <c r="K106" s="44">
        <f>IF($B106="","",IF(INDEX('Work Orders'!$AG$11:$AG$1010,$B106)="","",INDEX('Work Orders'!$AG$11:$AG$1010,$B106)))</f>
        <v/>
      </c>
      <c r="L106" s="44">
        <f>IF($B106="","",IF(INDEX('Work Orders'!$AH$11:$AH$1010,$B106)="","",INDEX('Work Orders'!$AH$11:$AH$1010,$B106)))</f>
        <v/>
      </c>
      <c r="M106" s="46">
        <f>IF($B106="","",IF(INDEX('Work Orders'!$AM$11:$AM$1010,$B106)="","",INDEX('Work Orders'!$AM$11:$AM$1010,$B106)))</f>
        <v/>
      </c>
      <c r="N106" s="43">
        <f>IF($B106="","",IF(INDEX('Work Orders'!$AL$11:$AL$1010,$B106)="","",INDEX('Work Orders'!$AL$11:$AL$1010,$B106)))</f>
        <v/>
      </c>
      <c r="O106" s="43">
        <f>IF($B106="","",IF(INDEX('Work Orders'!$N$11:$N$1010,$B106)="","",INDEX('Work Orders'!$N$11:$N$1010,$B106)))</f>
        <v/>
      </c>
    </row>
    <row r="107">
      <c r="A107" s="68" t="n">
        <v>101</v>
      </c>
      <c r="B107">
        <f>IFERROR(MATCH(A107,'Work Orders'!$AO$11:$AO$1010,0),"")</f>
        <v/>
      </c>
      <c r="C107" s="43">
        <f>IF($B107="","",IF(INDEX('Work Orders'!$A$11:$A$1010,$B107)="","",INDEX('Work Orders'!$A$11:$A$1010,$B107)))</f>
        <v/>
      </c>
      <c r="D107" s="43">
        <f>IF($B107="","",IF(INDEX('Work Orders'!$B$11:$B$1010,$B107)="","",INDEX('Work Orders'!$B$11:$B$1010,$B107)))</f>
        <v/>
      </c>
      <c r="E107" s="43">
        <f>IF($B107="","",IF(INDEX('Work Orders'!$D$11:$D$1010,$B107)="","",INDEX('Work Orders'!$D$11:$D$1010,$B107)))</f>
        <v/>
      </c>
      <c r="F107" s="43">
        <f>IF($B107="","",IF(INDEX('Work Orders'!$Q$11:$Q$1010,$B107)="","",INDEX('Work Orders'!$Q$11:$Q$1010,$B107)))</f>
        <v/>
      </c>
      <c r="G107" s="43">
        <f>IF($B107="","",IF(INDEX('Work Orders'!$V$11:$V$1010,$B107)="","",INDEX('Work Orders'!$V$11:$V$1010,$B107)))</f>
        <v/>
      </c>
      <c r="H107" s="47">
        <f>IF($B107="","",IF(INDEX('Work Orders'!$U$11:$U$1010,$B107)="","",INDEX('Work Orders'!$U$11:$U$1010,$B107)))</f>
        <v/>
      </c>
      <c r="I107" s="47">
        <f>IF($B107="","",IF(INDEX('Work Orders'!$X$11:$X$1010,$B107)="","",INDEX('Work Orders'!$X$11:$X$1010,$B107)))</f>
        <v/>
      </c>
      <c r="J107" s="44">
        <f>IF($B107="","",IF(INDEX('Work Orders'!$Z$11:$Z$1010,$B107)="","",INDEX('Work Orders'!$Z$11:$Z$1010,$B107)))</f>
        <v/>
      </c>
      <c r="K107" s="44">
        <f>IF($B107="","",IF(INDEX('Work Orders'!$AG$11:$AG$1010,$B107)="","",INDEX('Work Orders'!$AG$11:$AG$1010,$B107)))</f>
        <v/>
      </c>
      <c r="L107" s="44">
        <f>IF($B107="","",IF(INDEX('Work Orders'!$AH$11:$AH$1010,$B107)="","",INDEX('Work Orders'!$AH$11:$AH$1010,$B107)))</f>
        <v/>
      </c>
      <c r="M107" s="46">
        <f>IF($B107="","",IF(INDEX('Work Orders'!$AM$11:$AM$1010,$B107)="","",INDEX('Work Orders'!$AM$11:$AM$1010,$B107)))</f>
        <v/>
      </c>
      <c r="N107" s="43">
        <f>IF($B107="","",IF(INDEX('Work Orders'!$AL$11:$AL$1010,$B107)="","",INDEX('Work Orders'!$AL$11:$AL$1010,$B107)))</f>
        <v/>
      </c>
      <c r="O107" s="43">
        <f>IF($B107="","",IF(INDEX('Work Orders'!$N$11:$N$1010,$B107)="","",INDEX('Work Orders'!$N$11:$N$1010,$B107)))</f>
        <v/>
      </c>
    </row>
    <row r="108">
      <c r="A108" s="68" t="n">
        <v>102</v>
      </c>
      <c r="B108">
        <f>IFERROR(MATCH(A108,'Work Orders'!$AO$11:$AO$1010,0),"")</f>
        <v/>
      </c>
      <c r="C108" s="43">
        <f>IF($B108="","",IF(INDEX('Work Orders'!$A$11:$A$1010,$B108)="","",INDEX('Work Orders'!$A$11:$A$1010,$B108)))</f>
        <v/>
      </c>
      <c r="D108" s="43">
        <f>IF($B108="","",IF(INDEX('Work Orders'!$B$11:$B$1010,$B108)="","",INDEX('Work Orders'!$B$11:$B$1010,$B108)))</f>
        <v/>
      </c>
      <c r="E108" s="43">
        <f>IF($B108="","",IF(INDEX('Work Orders'!$D$11:$D$1010,$B108)="","",INDEX('Work Orders'!$D$11:$D$1010,$B108)))</f>
        <v/>
      </c>
      <c r="F108" s="43">
        <f>IF($B108="","",IF(INDEX('Work Orders'!$Q$11:$Q$1010,$B108)="","",INDEX('Work Orders'!$Q$11:$Q$1010,$B108)))</f>
        <v/>
      </c>
      <c r="G108" s="43">
        <f>IF($B108="","",IF(INDEX('Work Orders'!$V$11:$V$1010,$B108)="","",INDEX('Work Orders'!$V$11:$V$1010,$B108)))</f>
        <v/>
      </c>
      <c r="H108" s="47">
        <f>IF($B108="","",IF(INDEX('Work Orders'!$U$11:$U$1010,$B108)="","",INDEX('Work Orders'!$U$11:$U$1010,$B108)))</f>
        <v/>
      </c>
      <c r="I108" s="47">
        <f>IF($B108="","",IF(INDEX('Work Orders'!$X$11:$X$1010,$B108)="","",INDEX('Work Orders'!$X$11:$X$1010,$B108)))</f>
        <v/>
      </c>
      <c r="J108" s="44">
        <f>IF($B108="","",IF(INDEX('Work Orders'!$Z$11:$Z$1010,$B108)="","",INDEX('Work Orders'!$Z$11:$Z$1010,$B108)))</f>
        <v/>
      </c>
      <c r="K108" s="44">
        <f>IF($B108="","",IF(INDEX('Work Orders'!$AG$11:$AG$1010,$B108)="","",INDEX('Work Orders'!$AG$11:$AG$1010,$B108)))</f>
        <v/>
      </c>
      <c r="L108" s="44">
        <f>IF($B108="","",IF(INDEX('Work Orders'!$AH$11:$AH$1010,$B108)="","",INDEX('Work Orders'!$AH$11:$AH$1010,$B108)))</f>
        <v/>
      </c>
      <c r="M108" s="46">
        <f>IF($B108="","",IF(INDEX('Work Orders'!$AM$11:$AM$1010,$B108)="","",INDEX('Work Orders'!$AM$11:$AM$1010,$B108)))</f>
        <v/>
      </c>
      <c r="N108" s="43">
        <f>IF($B108="","",IF(INDEX('Work Orders'!$AL$11:$AL$1010,$B108)="","",INDEX('Work Orders'!$AL$11:$AL$1010,$B108)))</f>
        <v/>
      </c>
      <c r="O108" s="43">
        <f>IF($B108="","",IF(INDEX('Work Orders'!$N$11:$N$1010,$B108)="","",INDEX('Work Orders'!$N$11:$N$1010,$B108)))</f>
        <v/>
      </c>
    </row>
    <row r="109">
      <c r="A109" s="68" t="n">
        <v>103</v>
      </c>
      <c r="B109">
        <f>IFERROR(MATCH(A109,'Work Orders'!$AO$11:$AO$1010,0),"")</f>
        <v/>
      </c>
      <c r="C109" s="43">
        <f>IF($B109="","",IF(INDEX('Work Orders'!$A$11:$A$1010,$B109)="","",INDEX('Work Orders'!$A$11:$A$1010,$B109)))</f>
        <v/>
      </c>
      <c r="D109" s="43">
        <f>IF($B109="","",IF(INDEX('Work Orders'!$B$11:$B$1010,$B109)="","",INDEX('Work Orders'!$B$11:$B$1010,$B109)))</f>
        <v/>
      </c>
      <c r="E109" s="43">
        <f>IF($B109="","",IF(INDEX('Work Orders'!$D$11:$D$1010,$B109)="","",INDEX('Work Orders'!$D$11:$D$1010,$B109)))</f>
        <v/>
      </c>
      <c r="F109" s="43">
        <f>IF($B109="","",IF(INDEX('Work Orders'!$Q$11:$Q$1010,$B109)="","",INDEX('Work Orders'!$Q$11:$Q$1010,$B109)))</f>
        <v/>
      </c>
      <c r="G109" s="43">
        <f>IF($B109="","",IF(INDEX('Work Orders'!$V$11:$V$1010,$B109)="","",INDEX('Work Orders'!$V$11:$V$1010,$B109)))</f>
        <v/>
      </c>
      <c r="H109" s="47">
        <f>IF($B109="","",IF(INDEX('Work Orders'!$U$11:$U$1010,$B109)="","",INDEX('Work Orders'!$U$11:$U$1010,$B109)))</f>
        <v/>
      </c>
      <c r="I109" s="47">
        <f>IF($B109="","",IF(INDEX('Work Orders'!$X$11:$X$1010,$B109)="","",INDEX('Work Orders'!$X$11:$X$1010,$B109)))</f>
        <v/>
      </c>
      <c r="J109" s="44">
        <f>IF($B109="","",IF(INDEX('Work Orders'!$Z$11:$Z$1010,$B109)="","",INDEX('Work Orders'!$Z$11:$Z$1010,$B109)))</f>
        <v/>
      </c>
      <c r="K109" s="44">
        <f>IF($B109="","",IF(INDEX('Work Orders'!$AG$11:$AG$1010,$B109)="","",INDEX('Work Orders'!$AG$11:$AG$1010,$B109)))</f>
        <v/>
      </c>
      <c r="L109" s="44">
        <f>IF($B109="","",IF(INDEX('Work Orders'!$AH$11:$AH$1010,$B109)="","",INDEX('Work Orders'!$AH$11:$AH$1010,$B109)))</f>
        <v/>
      </c>
      <c r="M109" s="46">
        <f>IF($B109="","",IF(INDEX('Work Orders'!$AM$11:$AM$1010,$B109)="","",INDEX('Work Orders'!$AM$11:$AM$1010,$B109)))</f>
        <v/>
      </c>
      <c r="N109" s="43">
        <f>IF($B109="","",IF(INDEX('Work Orders'!$AL$11:$AL$1010,$B109)="","",INDEX('Work Orders'!$AL$11:$AL$1010,$B109)))</f>
        <v/>
      </c>
      <c r="O109" s="43">
        <f>IF($B109="","",IF(INDEX('Work Orders'!$N$11:$N$1010,$B109)="","",INDEX('Work Orders'!$N$11:$N$1010,$B109)))</f>
        <v/>
      </c>
    </row>
    <row r="110">
      <c r="A110" s="68" t="n">
        <v>104</v>
      </c>
      <c r="B110">
        <f>IFERROR(MATCH(A110,'Work Orders'!$AO$11:$AO$1010,0),"")</f>
        <v/>
      </c>
      <c r="C110" s="43">
        <f>IF($B110="","",IF(INDEX('Work Orders'!$A$11:$A$1010,$B110)="","",INDEX('Work Orders'!$A$11:$A$1010,$B110)))</f>
        <v/>
      </c>
      <c r="D110" s="43">
        <f>IF($B110="","",IF(INDEX('Work Orders'!$B$11:$B$1010,$B110)="","",INDEX('Work Orders'!$B$11:$B$1010,$B110)))</f>
        <v/>
      </c>
      <c r="E110" s="43">
        <f>IF($B110="","",IF(INDEX('Work Orders'!$D$11:$D$1010,$B110)="","",INDEX('Work Orders'!$D$11:$D$1010,$B110)))</f>
        <v/>
      </c>
      <c r="F110" s="43">
        <f>IF($B110="","",IF(INDEX('Work Orders'!$Q$11:$Q$1010,$B110)="","",INDEX('Work Orders'!$Q$11:$Q$1010,$B110)))</f>
        <v/>
      </c>
      <c r="G110" s="43">
        <f>IF($B110="","",IF(INDEX('Work Orders'!$V$11:$V$1010,$B110)="","",INDEX('Work Orders'!$V$11:$V$1010,$B110)))</f>
        <v/>
      </c>
      <c r="H110" s="47">
        <f>IF($B110="","",IF(INDEX('Work Orders'!$U$11:$U$1010,$B110)="","",INDEX('Work Orders'!$U$11:$U$1010,$B110)))</f>
        <v/>
      </c>
      <c r="I110" s="47">
        <f>IF($B110="","",IF(INDEX('Work Orders'!$X$11:$X$1010,$B110)="","",INDEX('Work Orders'!$X$11:$X$1010,$B110)))</f>
        <v/>
      </c>
      <c r="J110" s="44">
        <f>IF($B110="","",IF(INDEX('Work Orders'!$Z$11:$Z$1010,$B110)="","",INDEX('Work Orders'!$Z$11:$Z$1010,$B110)))</f>
        <v/>
      </c>
      <c r="K110" s="44">
        <f>IF($B110="","",IF(INDEX('Work Orders'!$AG$11:$AG$1010,$B110)="","",INDEX('Work Orders'!$AG$11:$AG$1010,$B110)))</f>
        <v/>
      </c>
      <c r="L110" s="44">
        <f>IF($B110="","",IF(INDEX('Work Orders'!$AH$11:$AH$1010,$B110)="","",INDEX('Work Orders'!$AH$11:$AH$1010,$B110)))</f>
        <v/>
      </c>
      <c r="M110" s="46">
        <f>IF($B110="","",IF(INDEX('Work Orders'!$AM$11:$AM$1010,$B110)="","",INDEX('Work Orders'!$AM$11:$AM$1010,$B110)))</f>
        <v/>
      </c>
      <c r="N110" s="43">
        <f>IF($B110="","",IF(INDEX('Work Orders'!$AL$11:$AL$1010,$B110)="","",INDEX('Work Orders'!$AL$11:$AL$1010,$B110)))</f>
        <v/>
      </c>
      <c r="O110" s="43">
        <f>IF($B110="","",IF(INDEX('Work Orders'!$N$11:$N$1010,$B110)="","",INDEX('Work Orders'!$N$11:$N$1010,$B110)))</f>
        <v/>
      </c>
    </row>
    <row r="111">
      <c r="A111" s="68" t="n">
        <v>105</v>
      </c>
      <c r="B111">
        <f>IFERROR(MATCH(A111,'Work Orders'!$AO$11:$AO$1010,0),"")</f>
        <v/>
      </c>
      <c r="C111" s="43">
        <f>IF($B111="","",IF(INDEX('Work Orders'!$A$11:$A$1010,$B111)="","",INDEX('Work Orders'!$A$11:$A$1010,$B111)))</f>
        <v/>
      </c>
      <c r="D111" s="43">
        <f>IF($B111="","",IF(INDEX('Work Orders'!$B$11:$B$1010,$B111)="","",INDEX('Work Orders'!$B$11:$B$1010,$B111)))</f>
        <v/>
      </c>
      <c r="E111" s="43">
        <f>IF($B111="","",IF(INDEX('Work Orders'!$D$11:$D$1010,$B111)="","",INDEX('Work Orders'!$D$11:$D$1010,$B111)))</f>
        <v/>
      </c>
      <c r="F111" s="43">
        <f>IF($B111="","",IF(INDEX('Work Orders'!$Q$11:$Q$1010,$B111)="","",INDEX('Work Orders'!$Q$11:$Q$1010,$B111)))</f>
        <v/>
      </c>
      <c r="G111" s="43">
        <f>IF($B111="","",IF(INDEX('Work Orders'!$V$11:$V$1010,$B111)="","",INDEX('Work Orders'!$V$11:$V$1010,$B111)))</f>
        <v/>
      </c>
      <c r="H111" s="47">
        <f>IF($B111="","",IF(INDEX('Work Orders'!$U$11:$U$1010,$B111)="","",INDEX('Work Orders'!$U$11:$U$1010,$B111)))</f>
        <v/>
      </c>
      <c r="I111" s="47">
        <f>IF($B111="","",IF(INDEX('Work Orders'!$X$11:$X$1010,$B111)="","",INDEX('Work Orders'!$X$11:$X$1010,$B111)))</f>
        <v/>
      </c>
      <c r="J111" s="44">
        <f>IF($B111="","",IF(INDEX('Work Orders'!$Z$11:$Z$1010,$B111)="","",INDEX('Work Orders'!$Z$11:$Z$1010,$B111)))</f>
        <v/>
      </c>
      <c r="K111" s="44">
        <f>IF($B111="","",IF(INDEX('Work Orders'!$AG$11:$AG$1010,$B111)="","",INDEX('Work Orders'!$AG$11:$AG$1010,$B111)))</f>
        <v/>
      </c>
      <c r="L111" s="44">
        <f>IF($B111="","",IF(INDEX('Work Orders'!$AH$11:$AH$1010,$B111)="","",INDEX('Work Orders'!$AH$11:$AH$1010,$B111)))</f>
        <v/>
      </c>
      <c r="M111" s="46">
        <f>IF($B111="","",IF(INDEX('Work Orders'!$AM$11:$AM$1010,$B111)="","",INDEX('Work Orders'!$AM$11:$AM$1010,$B111)))</f>
        <v/>
      </c>
      <c r="N111" s="43">
        <f>IF($B111="","",IF(INDEX('Work Orders'!$AL$11:$AL$1010,$B111)="","",INDEX('Work Orders'!$AL$11:$AL$1010,$B111)))</f>
        <v/>
      </c>
      <c r="O111" s="43">
        <f>IF($B111="","",IF(INDEX('Work Orders'!$N$11:$N$1010,$B111)="","",INDEX('Work Orders'!$N$11:$N$1010,$B111)))</f>
        <v/>
      </c>
    </row>
    <row r="112">
      <c r="A112" s="68" t="n">
        <v>106</v>
      </c>
      <c r="B112">
        <f>IFERROR(MATCH(A112,'Work Orders'!$AO$11:$AO$1010,0),"")</f>
        <v/>
      </c>
      <c r="C112" s="43">
        <f>IF($B112="","",IF(INDEX('Work Orders'!$A$11:$A$1010,$B112)="","",INDEX('Work Orders'!$A$11:$A$1010,$B112)))</f>
        <v/>
      </c>
      <c r="D112" s="43">
        <f>IF($B112="","",IF(INDEX('Work Orders'!$B$11:$B$1010,$B112)="","",INDEX('Work Orders'!$B$11:$B$1010,$B112)))</f>
        <v/>
      </c>
      <c r="E112" s="43">
        <f>IF($B112="","",IF(INDEX('Work Orders'!$D$11:$D$1010,$B112)="","",INDEX('Work Orders'!$D$11:$D$1010,$B112)))</f>
        <v/>
      </c>
      <c r="F112" s="43">
        <f>IF($B112="","",IF(INDEX('Work Orders'!$Q$11:$Q$1010,$B112)="","",INDEX('Work Orders'!$Q$11:$Q$1010,$B112)))</f>
        <v/>
      </c>
      <c r="G112" s="43">
        <f>IF($B112="","",IF(INDEX('Work Orders'!$V$11:$V$1010,$B112)="","",INDEX('Work Orders'!$V$11:$V$1010,$B112)))</f>
        <v/>
      </c>
      <c r="H112" s="47">
        <f>IF($B112="","",IF(INDEX('Work Orders'!$U$11:$U$1010,$B112)="","",INDEX('Work Orders'!$U$11:$U$1010,$B112)))</f>
        <v/>
      </c>
      <c r="I112" s="47">
        <f>IF($B112="","",IF(INDEX('Work Orders'!$X$11:$X$1010,$B112)="","",INDEX('Work Orders'!$X$11:$X$1010,$B112)))</f>
        <v/>
      </c>
      <c r="J112" s="44">
        <f>IF($B112="","",IF(INDEX('Work Orders'!$Z$11:$Z$1010,$B112)="","",INDEX('Work Orders'!$Z$11:$Z$1010,$B112)))</f>
        <v/>
      </c>
      <c r="K112" s="44">
        <f>IF($B112="","",IF(INDEX('Work Orders'!$AG$11:$AG$1010,$B112)="","",INDEX('Work Orders'!$AG$11:$AG$1010,$B112)))</f>
        <v/>
      </c>
      <c r="L112" s="44">
        <f>IF($B112="","",IF(INDEX('Work Orders'!$AH$11:$AH$1010,$B112)="","",INDEX('Work Orders'!$AH$11:$AH$1010,$B112)))</f>
        <v/>
      </c>
      <c r="M112" s="46">
        <f>IF($B112="","",IF(INDEX('Work Orders'!$AM$11:$AM$1010,$B112)="","",INDEX('Work Orders'!$AM$11:$AM$1010,$B112)))</f>
        <v/>
      </c>
      <c r="N112" s="43">
        <f>IF($B112="","",IF(INDEX('Work Orders'!$AL$11:$AL$1010,$B112)="","",INDEX('Work Orders'!$AL$11:$AL$1010,$B112)))</f>
        <v/>
      </c>
      <c r="O112" s="43">
        <f>IF($B112="","",IF(INDEX('Work Orders'!$N$11:$N$1010,$B112)="","",INDEX('Work Orders'!$N$11:$N$1010,$B112)))</f>
        <v/>
      </c>
    </row>
    <row r="113">
      <c r="A113" s="68" t="n">
        <v>107</v>
      </c>
      <c r="B113">
        <f>IFERROR(MATCH(A113,'Work Orders'!$AO$11:$AO$1010,0),"")</f>
        <v/>
      </c>
      <c r="C113" s="43">
        <f>IF($B113="","",IF(INDEX('Work Orders'!$A$11:$A$1010,$B113)="","",INDEX('Work Orders'!$A$11:$A$1010,$B113)))</f>
        <v/>
      </c>
      <c r="D113" s="43">
        <f>IF($B113="","",IF(INDEX('Work Orders'!$B$11:$B$1010,$B113)="","",INDEX('Work Orders'!$B$11:$B$1010,$B113)))</f>
        <v/>
      </c>
      <c r="E113" s="43">
        <f>IF($B113="","",IF(INDEX('Work Orders'!$D$11:$D$1010,$B113)="","",INDEX('Work Orders'!$D$11:$D$1010,$B113)))</f>
        <v/>
      </c>
      <c r="F113" s="43">
        <f>IF($B113="","",IF(INDEX('Work Orders'!$Q$11:$Q$1010,$B113)="","",INDEX('Work Orders'!$Q$11:$Q$1010,$B113)))</f>
        <v/>
      </c>
      <c r="G113" s="43">
        <f>IF($B113="","",IF(INDEX('Work Orders'!$V$11:$V$1010,$B113)="","",INDEX('Work Orders'!$V$11:$V$1010,$B113)))</f>
        <v/>
      </c>
      <c r="H113" s="47">
        <f>IF($B113="","",IF(INDEX('Work Orders'!$U$11:$U$1010,$B113)="","",INDEX('Work Orders'!$U$11:$U$1010,$B113)))</f>
        <v/>
      </c>
      <c r="I113" s="47">
        <f>IF($B113="","",IF(INDEX('Work Orders'!$X$11:$X$1010,$B113)="","",INDEX('Work Orders'!$X$11:$X$1010,$B113)))</f>
        <v/>
      </c>
      <c r="J113" s="44">
        <f>IF($B113="","",IF(INDEX('Work Orders'!$Z$11:$Z$1010,$B113)="","",INDEX('Work Orders'!$Z$11:$Z$1010,$B113)))</f>
        <v/>
      </c>
      <c r="K113" s="44">
        <f>IF($B113="","",IF(INDEX('Work Orders'!$AG$11:$AG$1010,$B113)="","",INDEX('Work Orders'!$AG$11:$AG$1010,$B113)))</f>
        <v/>
      </c>
      <c r="L113" s="44">
        <f>IF($B113="","",IF(INDEX('Work Orders'!$AH$11:$AH$1010,$B113)="","",INDEX('Work Orders'!$AH$11:$AH$1010,$B113)))</f>
        <v/>
      </c>
      <c r="M113" s="46">
        <f>IF($B113="","",IF(INDEX('Work Orders'!$AM$11:$AM$1010,$B113)="","",INDEX('Work Orders'!$AM$11:$AM$1010,$B113)))</f>
        <v/>
      </c>
      <c r="N113" s="43">
        <f>IF($B113="","",IF(INDEX('Work Orders'!$AL$11:$AL$1010,$B113)="","",INDEX('Work Orders'!$AL$11:$AL$1010,$B113)))</f>
        <v/>
      </c>
      <c r="O113" s="43">
        <f>IF($B113="","",IF(INDEX('Work Orders'!$N$11:$N$1010,$B113)="","",INDEX('Work Orders'!$N$11:$N$1010,$B113)))</f>
        <v/>
      </c>
    </row>
    <row r="114">
      <c r="A114" s="68" t="n">
        <v>108</v>
      </c>
      <c r="B114">
        <f>IFERROR(MATCH(A114,'Work Orders'!$AO$11:$AO$1010,0),"")</f>
        <v/>
      </c>
      <c r="C114" s="43">
        <f>IF($B114="","",IF(INDEX('Work Orders'!$A$11:$A$1010,$B114)="","",INDEX('Work Orders'!$A$11:$A$1010,$B114)))</f>
        <v/>
      </c>
      <c r="D114" s="43">
        <f>IF($B114="","",IF(INDEX('Work Orders'!$B$11:$B$1010,$B114)="","",INDEX('Work Orders'!$B$11:$B$1010,$B114)))</f>
        <v/>
      </c>
      <c r="E114" s="43">
        <f>IF($B114="","",IF(INDEX('Work Orders'!$D$11:$D$1010,$B114)="","",INDEX('Work Orders'!$D$11:$D$1010,$B114)))</f>
        <v/>
      </c>
      <c r="F114" s="43">
        <f>IF($B114="","",IF(INDEX('Work Orders'!$Q$11:$Q$1010,$B114)="","",INDEX('Work Orders'!$Q$11:$Q$1010,$B114)))</f>
        <v/>
      </c>
      <c r="G114" s="43">
        <f>IF($B114="","",IF(INDEX('Work Orders'!$V$11:$V$1010,$B114)="","",INDEX('Work Orders'!$V$11:$V$1010,$B114)))</f>
        <v/>
      </c>
      <c r="H114" s="47">
        <f>IF($B114="","",IF(INDEX('Work Orders'!$U$11:$U$1010,$B114)="","",INDEX('Work Orders'!$U$11:$U$1010,$B114)))</f>
        <v/>
      </c>
      <c r="I114" s="47">
        <f>IF($B114="","",IF(INDEX('Work Orders'!$X$11:$X$1010,$B114)="","",INDEX('Work Orders'!$X$11:$X$1010,$B114)))</f>
        <v/>
      </c>
      <c r="J114" s="44">
        <f>IF($B114="","",IF(INDEX('Work Orders'!$Z$11:$Z$1010,$B114)="","",INDEX('Work Orders'!$Z$11:$Z$1010,$B114)))</f>
        <v/>
      </c>
      <c r="K114" s="44">
        <f>IF($B114="","",IF(INDEX('Work Orders'!$AG$11:$AG$1010,$B114)="","",INDEX('Work Orders'!$AG$11:$AG$1010,$B114)))</f>
        <v/>
      </c>
      <c r="L114" s="44">
        <f>IF($B114="","",IF(INDEX('Work Orders'!$AH$11:$AH$1010,$B114)="","",INDEX('Work Orders'!$AH$11:$AH$1010,$B114)))</f>
        <v/>
      </c>
      <c r="M114" s="46">
        <f>IF($B114="","",IF(INDEX('Work Orders'!$AM$11:$AM$1010,$B114)="","",INDEX('Work Orders'!$AM$11:$AM$1010,$B114)))</f>
        <v/>
      </c>
      <c r="N114" s="43">
        <f>IF($B114="","",IF(INDEX('Work Orders'!$AL$11:$AL$1010,$B114)="","",INDEX('Work Orders'!$AL$11:$AL$1010,$B114)))</f>
        <v/>
      </c>
      <c r="O114" s="43">
        <f>IF($B114="","",IF(INDEX('Work Orders'!$N$11:$N$1010,$B114)="","",INDEX('Work Orders'!$N$11:$N$1010,$B114)))</f>
        <v/>
      </c>
    </row>
    <row r="115">
      <c r="A115" s="68" t="n">
        <v>109</v>
      </c>
      <c r="B115">
        <f>IFERROR(MATCH(A115,'Work Orders'!$AO$11:$AO$1010,0),"")</f>
        <v/>
      </c>
      <c r="C115" s="43">
        <f>IF($B115="","",IF(INDEX('Work Orders'!$A$11:$A$1010,$B115)="","",INDEX('Work Orders'!$A$11:$A$1010,$B115)))</f>
        <v/>
      </c>
      <c r="D115" s="43">
        <f>IF($B115="","",IF(INDEX('Work Orders'!$B$11:$B$1010,$B115)="","",INDEX('Work Orders'!$B$11:$B$1010,$B115)))</f>
        <v/>
      </c>
      <c r="E115" s="43">
        <f>IF($B115="","",IF(INDEX('Work Orders'!$D$11:$D$1010,$B115)="","",INDEX('Work Orders'!$D$11:$D$1010,$B115)))</f>
        <v/>
      </c>
      <c r="F115" s="43">
        <f>IF($B115="","",IF(INDEX('Work Orders'!$Q$11:$Q$1010,$B115)="","",INDEX('Work Orders'!$Q$11:$Q$1010,$B115)))</f>
        <v/>
      </c>
      <c r="G115" s="43">
        <f>IF($B115="","",IF(INDEX('Work Orders'!$V$11:$V$1010,$B115)="","",INDEX('Work Orders'!$V$11:$V$1010,$B115)))</f>
        <v/>
      </c>
      <c r="H115" s="47">
        <f>IF($B115="","",IF(INDEX('Work Orders'!$U$11:$U$1010,$B115)="","",INDEX('Work Orders'!$U$11:$U$1010,$B115)))</f>
        <v/>
      </c>
      <c r="I115" s="47">
        <f>IF($B115="","",IF(INDEX('Work Orders'!$X$11:$X$1010,$B115)="","",INDEX('Work Orders'!$X$11:$X$1010,$B115)))</f>
        <v/>
      </c>
      <c r="J115" s="44">
        <f>IF($B115="","",IF(INDEX('Work Orders'!$Z$11:$Z$1010,$B115)="","",INDEX('Work Orders'!$Z$11:$Z$1010,$B115)))</f>
        <v/>
      </c>
      <c r="K115" s="44">
        <f>IF($B115="","",IF(INDEX('Work Orders'!$AG$11:$AG$1010,$B115)="","",INDEX('Work Orders'!$AG$11:$AG$1010,$B115)))</f>
        <v/>
      </c>
      <c r="L115" s="44">
        <f>IF($B115="","",IF(INDEX('Work Orders'!$AH$11:$AH$1010,$B115)="","",INDEX('Work Orders'!$AH$11:$AH$1010,$B115)))</f>
        <v/>
      </c>
      <c r="M115" s="46">
        <f>IF($B115="","",IF(INDEX('Work Orders'!$AM$11:$AM$1010,$B115)="","",INDEX('Work Orders'!$AM$11:$AM$1010,$B115)))</f>
        <v/>
      </c>
      <c r="N115" s="43">
        <f>IF($B115="","",IF(INDEX('Work Orders'!$AL$11:$AL$1010,$B115)="","",INDEX('Work Orders'!$AL$11:$AL$1010,$B115)))</f>
        <v/>
      </c>
      <c r="O115" s="43">
        <f>IF($B115="","",IF(INDEX('Work Orders'!$N$11:$N$1010,$B115)="","",INDEX('Work Orders'!$N$11:$N$1010,$B115)))</f>
        <v/>
      </c>
    </row>
    <row r="116">
      <c r="A116" s="68" t="n">
        <v>110</v>
      </c>
      <c r="B116">
        <f>IFERROR(MATCH(A116,'Work Orders'!$AO$11:$AO$1010,0),"")</f>
        <v/>
      </c>
      <c r="C116" s="43">
        <f>IF($B116="","",IF(INDEX('Work Orders'!$A$11:$A$1010,$B116)="","",INDEX('Work Orders'!$A$11:$A$1010,$B116)))</f>
        <v/>
      </c>
      <c r="D116" s="43">
        <f>IF($B116="","",IF(INDEX('Work Orders'!$B$11:$B$1010,$B116)="","",INDEX('Work Orders'!$B$11:$B$1010,$B116)))</f>
        <v/>
      </c>
      <c r="E116" s="43">
        <f>IF($B116="","",IF(INDEX('Work Orders'!$D$11:$D$1010,$B116)="","",INDEX('Work Orders'!$D$11:$D$1010,$B116)))</f>
        <v/>
      </c>
      <c r="F116" s="43">
        <f>IF($B116="","",IF(INDEX('Work Orders'!$Q$11:$Q$1010,$B116)="","",INDEX('Work Orders'!$Q$11:$Q$1010,$B116)))</f>
        <v/>
      </c>
      <c r="G116" s="43">
        <f>IF($B116="","",IF(INDEX('Work Orders'!$V$11:$V$1010,$B116)="","",INDEX('Work Orders'!$V$11:$V$1010,$B116)))</f>
        <v/>
      </c>
      <c r="H116" s="47">
        <f>IF($B116="","",IF(INDEX('Work Orders'!$U$11:$U$1010,$B116)="","",INDEX('Work Orders'!$U$11:$U$1010,$B116)))</f>
        <v/>
      </c>
      <c r="I116" s="47">
        <f>IF($B116="","",IF(INDEX('Work Orders'!$X$11:$X$1010,$B116)="","",INDEX('Work Orders'!$X$11:$X$1010,$B116)))</f>
        <v/>
      </c>
      <c r="J116" s="44">
        <f>IF($B116="","",IF(INDEX('Work Orders'!$Z$11:$Z$1010,$B116)="","",INDEX('Work Orders'!$Z$11:$Z$1010,$B116)))</f>
        <v/>
      </c>
      <c r="K116" s="44">
        <f>IF($B116="","",IF(INDEX('Work Orders'!$AG$11:$AG$1010,$B116)="","",INDEX('Work Orders'!$AG$11:$AG$1010,$B116)))</f>
        <v/>
      </c>
      <c r="L116" s="44">
        <f>IF($B116="","",IF(INDEX('Work Orders'!$AH$11:$AH$1010,$B116)="","",INDEX('Work Orders'!$AH$11:$AH$1010,$B116)))</f>
        <v/>
      </c>
      <c r="M116" s="46">
        <f>IF($B116="","",IF(INDEX('Work Orders'!$AM$11:$AM$1010,$B116)="","",INDEX('Work Orders'!$AM$11:$AM$1010,$B116)))</f>
        <v/>
      </c>
      <c r="N116" s="43">
        <f>IF($B116="","",IF(INDEX('Work Orders'!$AL$11:$AL$1010,$B116)="","",INDEX('Work Orders'!$AL$11:$AL$1010,$B116)))</f>
        <v/>
      </c>
      <c r="O116" s="43">
        <f>IF($B116="","",IF(INDEX('Work Orders'!$N$11:$N$1010,$B116)="","",INDEX('Work Orders'!$N$11:$N$1010,$B116)))</f>
        <v/>
      </c>
    </row>
    <row r="117">
      <c r="A117" s="68" t="n">
        <v>111</v>
      </c>
      <c r="B117">
        <f>IFERROR(MATCH(A117,'Work Orders'!$AO$11:$AO$1010,0),"")</f>
        <v/>
      </c>
      <c r="C117" s="43">
        <f>IF($B117="","",IF(INDEX('Work Orders'!$A$11:$A$1010,$B117)="","",INDEX('Work Orders'!$A$11:$A$1010,$B117)))</f>
        <v/>
      </c>
      <c r="D117" s="43">
        <f>IF($B117="","",IF(INDEX('Work Orders'!$B$11:$B$1010,$B117)="","",INDEX('Work Orders'!$B$11:$B$1010,$B117)))</f>
        <v/>
      </c>
      <c r="E117" s="43">
        <f>IF($B117="","",IF(INDEX('Work Orders'!$D$11:$D$1010,$B117)="","",INDEX('Work Orders'!$D$11:$D$1010,$B117)))</f>
        <v/>
      </c>
      <c r="F117" s="43">
        <f>IF($B117="","",IF(INDEX('Work Orders'!$Q$11:$Q$1010,$B117)="","",INDEX('Work Orders'!$Q$11:$Q$1010,$B117)))</f>
        <v/>
      </c>
      <c r="G117" s="43">
        <f>IF($B117="","",IF(INDEX('Work Orders'!$V$11:$V$1010,$B117)="","",INDEX('Work Orders'!$V$11:$V$1010,$B117)))</f>
        <v/>
      </c>
      <c r="H117" s="47">
        <f>IF($B117="","",IF(INDEX('Work Orders'!$U$11:$U$1010,$B117)="","",INDEX('Work Orders'!$U$11:$U$1010,$B117)))</f>
        <v/>
      </c>
      <c r="I117" s="47">
        <f>IF($B117="","",IF(INDEX('Work Orders'!$X$11:$X$1010,$B117)="","",INDEX('Work Orders'!$X$11:$X$1010,$B117)))</f>
        <v/>
      </c>
      <c r="J117" s="44">
        <f>IF($B117="","",IF(INDEX('Work Orders'!$Z$11:$Z$1010,$B117)="","",INDEX('Work Orders'!$Z$11:$Z$1010,$B117)))</f>
        <v/>
      </c>
      <c r="K117" s="44">
        <f>IF($B117="","",IF(INDEX('Work Orders'!$AG$11:$AG$1010,$B117)="","",INDEX('Work Orders'!$AG$11:$AG$1010,$B117)))</f>
        <v/>
      </c>
      <c r="L117" s="44">
        <f>IF($B117="","",IF(INDEX('Work Orders'!$AH$11:$AH$1010,$B117)="","",INDEX('Work Orders'!$AH$11:$AH$1010,$B117)))</f>
        <v/>
      </c>
      <c r="M117" s="46">
        <f>IF($B117="","",IF(INDEX('Work Orders'!$AM$11:$AM$1010,$B117)="","",INDEX('Work Orders'!$AM$11:$AM$1010,$B117)))</f>
        <v/>
      </c>
      <c r="N117" s="43">
        <f>IF($B117="","",IF(INDEX('Work Orders'!$AL$11:$AL$1010,$B117)="","",INDEX('Work Orders'!$AL$11:$AL$1010,$B117)))</f>
        <v/>
      </c>
      <c r="O117" s="43">
        <f>IF($B117="","",IF(INDEX('Work Orders'!$N$11:$N$1010,$B117)="","",INDEX('Work Orders'!$N$11:$N$1010,$B117)))</f>
        <v/>
      </c>
    </row>
    <row r="118">
      <c r="A118" s="68" t="n">
        <v>112</v>
      </c>
      <c r="B118">
        <f>IFERROR(MATCH(A118,'Work Orders'!$AO$11:$AO$1010,0),"")</f>
        <v/>
      </c>
      <c r="C118" s="43">
        <f>IF($B118="","",IF(INDEX('Work Orders'!$A$11:$A$1010,$B118)="","",INDEX('Work Orders'!$A$11:$A$1010,$B118)))</f>
        <v/>
      </c>
      <c r="D118" s="43">
        <f>IF($B118="","",IF(INDEX('Work Orders'!$B$11:$B$1010,$B118)="","",INDEX('Work Orders'!$B$11:$B$1010,$B118)))</f>
        <v/>
      </c>
      <c r="E118" s="43">
        <f>IF($B118="","",IF(INDEX('Work Orders'!$D$11:$D$1010,$B118)="","",INDEX('Work Orders'!$D$11:$D$1010,$B118)))</f>
        <v/>
      </c>
      <c r="F118" s="43">
        <f>IF($B118="","",IF(INDEX('Work Orders'!$Q$11:$Q$1010,$B118)="","",INDEX('Work Orders'!$Q$11:$Q$1010,$B118)))</f>
        <v/>
      </c>
      <c r="G118" s="43">
        <f>IF($B118="","",IF(INDEX('Work Orders'!$V$11:$V$1010,$B118)="","",INDEX('Work Orders'!$V$11:$V$1010,$B118)))</f>
        <v/>
      </c>
      <c r="H118" s="47">
        <f>IF($B118="","",IF(INDEX('Work Orders'!$U$11:$U$1010,$B118)="","",INDEX('Work Orders'!$U$11:$U$1010,$B118)))</f>
        <v/>
      </c>
      <c r="I118" s="47">
        <f>IF($B118="","",IF(INDEX('Work Orders'!$X$11:$X$1010,$B118)="","",INDEX('Work Orders'!$X$11:$X$1010,$B118)))</f>
        <v/>
      </c>
      <c r="J118" s="44">
        <f>IF($B118="","",IF(INDEX('Work Orders'!$Z$11:$Z$1010,$B118)="","",INDEX('Work Orders'!$Z$11:$Z$1010,$B118)))</f>
        <v/>
      </c>
      <c r="K118" s="44">
        <f>IF($B118="","",IF(INDEX('Work Orders'!$AG$11:$AG$1010,$B118)="","",INDEX('Work Orders'!$AG$11:$AG$1010,$B118)))</f>
        <v/>
      </c>
      <c r="L118" s="44">
        <f>IF($B118="","",IF(INDEX('Work Orders'!$AH$11:$AH$1010,$B118)="","",INDEX('Work Orders'!$AH$11:$AH$1010,$B118)))</f>
        <v/>
      </c>
      <c r="M118" s="46">
        <f>IF($B118="","",IF(INDEX('Work Orders'!$AM$11:$AM$1010,$B118)="","",INDEX('Work Orders'!$AM$11:$AM$1010,$B118)))</f>
        <v/>
      </c>
      <c r="N118" s="43">
        <f>IF($B118="","",IF(INDEX('Work Orders'!$AL$11:$AL$1010,$B118)="","",INDEX('Work Orders'!$AL$11:$AL$1010,$B118)))</f>
        <v/>
      </c>
      <c r="O118" s="43">
        <f>IF($B118="","",IF(INDEX('Work Orders'!$N$11:$N$1010,$B118)="","",INDEX('Work Orders'!$N$11:$N$1010,$B118)))</f>
        <v/>
      </c>
    </row>
    <row r="119">
      <c r="A119" s="68" t="n">
        <v>113</v>
      </c>
      <c r="B119">
        <f>IFERROR(MATCH(A119,'Work Orders'!$AO$11:$AO$1010,0),"")</f>
        <v/>
      </c>
      <c r="C119" s="43">
        <f>IF($B119="","",IF(INDEX('Work Orders'!$A$11:$A$1010,$B119)="","",INDEX('Work Orders'!$A$11:$A$1010,$B119)))</f>
        <v/>
      </c>
      <c r="D119" s="43">
        <f>IF($B119="","",IF(INDEX('Work Orders'!$B$11:$B$1010,$B119)="","",INDEX('Work Orders'!$B$11:$B$1010,$B119)))</f>
        <v/>
      </c>
      <c r="E119" s="43">
        <f>IF($B119="","",IF(INDEX('Work Orders'!$D$11:$D$1010,$B119)="","",INDEX('Work Orders'!$D$11:$D$1010,$B119)))</f>
        <v/>
      </c>
      <c r="F119" s="43">
        <f>IF($B119="","",IF(INDEX('Work Orders'!$Q$11:$Q$1010,$B119)="","",INDEX('Work Orders'!$Q$11:$Q$1010,$B119)))</f>
        <v/>
      </c>
      <c r="G119" s="43">
        <f>IF($B119="","",IF(INDEX('Work Orders'!$V$11:$V$1010,$B119)="","",INDEX('Work Orders'!$V$11:$V$1010,$B119)))</f>
        <v/>
      </c>
      <c r="H119" s="47">
        <f>IF($B119="","",IF(INDEX('Work Orders'!$U$11:$U$1010,$B119)="","",INDEX('Work Orders'!$U$11:$U$1010,$B119)))</f>
        <v/>
      </c>
      <c r="I119" s="47">
        <f>IF($B119="","",IF(INDEX('Work Orders'!$X$11:$X$1010,$B119)="","",INDEX('Work Orders'!$X$11:$X$1010,$B119)))</f>
        <v/>
      </c>
      <c r="J119" s="44">
        <f>IF($B119="","",IF(INDEX('Work Orders'!$Z$11:$Z$1010,$B119)="","",INDEX('Work Orders'!$Z$11:$Z$1010,$B119)))</f>
        <v/>
      </c>
      <c r="K119" s="44">
        <f>IF($B119="","",IF(INDEX('Work Orders'!$AG$11:$AG$1010,$B119)="","",INDEX('Work Orders'!$AG$11:$AG$1010,$B119)))</f>
        <v/>
      </c>
      <c r="L119" s="44">
        <f>IF($B119="","",IF(INDEX('Work Orders'!$AH$11:$AH$1010,$B119)="","",INDEX('Work Orders'!$AH$11:$AH$1010,$B119)))</f>
        <v/>
      </c>
      <c r="M119" s="46">
        <f>IF($B119="","",IF(INDEX('Work Orders'!$AM$11:$AM$1010,$B119)="","",INDEX('Work Orders'!$AM$11:$AM$1010,$B119)))</f>
        <v/>
      </c>
      <c r="N119" s="43">
        <f>IF($B119="","",IF(INDEX('Work Orders'!$AL$11:$AL$1010,$B119)="","",INDEX('Work Orders'!$AL$11:$AL$1010,$B119)))</f>
        <v/>
      </c>
      <c r="O119" s="43">
        <f>IF($B119="","",IF(INDEX('Work Orders'!$N$11:$N$1010,$B119)="","",INDEX('Work Orders'!$N$11:$N$1010,$B119)))</f>
        <v/>
      </c>
    </row>
    <row r="120">
      <c r="A120" s="68" t="n">
        <v>114</v>
      </c>
      <c r="B120">
        <f>IFERROR(MATCH(A120,'Work Orders'!$AO$11:$AO$1010,0),"")</f>
        <v/>
      </c>
      <c r="C120" s="43">
        <f>IF($B120="","",IF(INDEX('Work Orders'!$A$11:$A$1010,$B120)="","",INDEX('Work Orders'!$A$11:$A$1010,$B120)))</f>
        <v/>
      </c>
      <c r="D120" s="43">
        <f>IF($B120="","",IF(INDEX('Work Orders'!$B$11:$B$1010,$B120)="","",INDEX('Work Orders'!$B$11:$B$1010,$B120)))</f>
        <v/>
      </c>
      <c r="E120" s="43">
        <f>IF($B120="","",IF(INDEX('Work Orders'!$D$11:$D$1010,$B120)="","",INDEX('Work Orders'!$D$11:$D$1010,$B120)))</f>
        <v/>
      </c>
      <c r="F120" s="43">
        <f>IF($B120="","",IF(INDEX('Work Orders'!$Q$11:$Q$1010,$B120)="","",INDEX('Work Orders'!$Q$11:$Q$1010,$B120)))</f>
        <v/>
      </c>
      <c r="G120" s="43">
        <f>IF($B120="","",IF(INDEX('Work Orders'!$V$11:$V$1010,$B120)="","",INDEX('Work Orders'!$V$11:$V$1010,$B120)))</f>
        <v/>
      </c>
      <c r="H120" s="47">
        <f>IF($B120="","",IF(INDEX('Work Orders'!$U$11:$U$1010,$B120)="","",INDEX('Work Orders'!$U$11:$U$1010,$B120)))</f>
        <v/>
      </c>
      <c r="I120" s="47">
        <f>IF($B120="","",IF(INDEX('Work Orders'!$X$11:$X$1010,$B120)="","",INDEX('Work Orders'!$X$11:$X$1010,$B120)))</f>
        <v/>
      </c>
      <c r="J120" s="44">
        <f>IF($B120="","",IF(INDEX('Work Orders'!$Z$11:$Z$1010,$B120)="","",INDEX('Work Orders'!$Z$11:$Z$1010,$B120)))</f>
        <v/>
      </c>
      <c r="K120" s="44">
        <f>IF($B120="","",IF(INDEX('Work Orders'!$AG$11:$AG$1010,$B120)="","",INDEX('Work Orders'!$AG$11:$AG$1010,$B120)))</f>
        <v/>
      </c>
      <c r="L120" s="44">
        <f>IF($B120="","",IF(INDEX('Work Orders'!$AH$11:$AH$1010,$B120)="","",INDEX('Work Orders'!$AH$11:$AH$1010,$B120)))</f>
        <v/>
      </c>
      <c r="M120" s="46">
        <f>IF($B120="","",IF(INDEX('Work Orders'!$AM$11:$AM$1010,$B120)="","",INDEX('Work Orders'!$AM$11:$AM$1010,$B120)))</f>
        <v/>
      </c>
      <c r="N120" s="43">
        <f>IF($B120="","",IF(INDEX('Work Orders'!$AL$11:$AL$1010,$B120)="","",INDEX('Work Orders'!$AL$11:$AL$1010,$B120)))</f>
        <v/>
      </c>
      <c r="O120" s="43">
        <f>IF($B120="","",IF(INDEX('Work Orders'!$N$11:$N$1010,$B120)="","",INDEX('Work Orders'!$N$11:$N$1010,$B120)))</f>
        <v/>
      </c>
    </row>
    <row r="121">
      <c r="A121" s="68" t="n">
        <v>115</v>
      </c>
      <c r="B121">
        <f>IFERROR(MATCH(A121,'Work Orders'!$AO$11:$AO$1010,0),"")</f>
        <v/>
      </c>
      <c r="C121" s="43">
        <f>IF($B121="","",IF(INDEX('Work Orders'!$A$11:$A$1010,$B121)="","",INDEX('Work Orders'!$A$11:$A$1010,$B121)))</f>
        <v/>
      </c>
      <c r="D121" s="43">
        <f>IF($B121="","",IF(INDEX('Work Orders'!$B$11:$B$1010,$B121)="","",INDEX('Work Orders'!$B$11:$B$1010,$B121)))</f>
        <v/>
      </c>
      <c r="E121" s="43">
        <f>IF($B121="","",IF(INDEX('Work Orders'!$D$11:$D$1010,$B121)="","",INDEX('Work Orders'!$D$11:$D$1010,$B121)))</f>
        <v/>
      </c>
      <c r="F121" s="43">
        <f>IF($B121="","",IF(INDEX('Work Orders'!$Q$11:$Q$1010,$B121)="","",INDEX('Work Orders'!$Q$11:$Q$1010,$B121)))</f>
        <v/>
      </c>
      <c r="G121" s="43">
        <f>IF($B121="","",IF(INDEX('Work Orders'!$V$11:$V$1010,$B121)="","",INDEX('Work Orders'!$V$11:$V$1010,$B121)))</f>
        <v/>
      </c>
      <c r="H121" s="47">
        <f>IF($B121="","",IF(INDEX('Work Orders'!$U$11:$U$1010,$B121)="","",INDEX('Work Orders'!$U$11:$U$1010,$B121)))</f>
        <v/>
      </c>
      <c r="I121" s="47">
        <f>IF($B121="","",IF(INDEX('Work Orders'!$X$11:$X$1010,$B121)="","",INDEX('Work Orders'!$X$11:$X$1010,$B121)))</f>
        <v/>
      </c>
      <c r="J121" s="44">
        <f>IF($B121="","",IF(INDEX('Work Orders'!$Z$11:$Z$1010,$B121)="","",INDEX('Work Orders'!$Z$11:$Z$1010,$B121)))</f>
        <v/>
      </c>
      <c r="K121" s="44">
        <f>IF($B121="","",IF(INDEX('Work Orders'!$AG$11:$AG$1010,$B121)="","",INDEX('Work Orders'!$AG$11:$AG$1010,$B121)))</f>
        <v/>
      </c>
      <c r="L121" s="44">
        <f>IF($B121="","",IF(INDEX('Work Orders'!$AH$11:$AH$1010,$B121)="","",INDEX('Work Orders'!$AH$11:$AH$1010,$B121)))</f>
        <v/>
      </c>
      <c r="M121" s="46">
        <f>IF($B121="","",IF(INDEX('Work Orders'!$AM$11:$AM$1010,$B121)="","",INDEX('Work Orders'!$AM$11:$AM$1010,$B121)))</f>
        <v/>
      </c>
      <c r="N121" s="43">
        <f>IF($B121="","",IF(INDEX('Work Orders'!$AL$11:$AL$1010,$B121)="","",INDEX('Work Orders'!$AL$11:$AL$1010,$B121)))</f>
        <v/>
      </c>
      <c r="O121" s="43">
        <f>IF($B121="","",IF(INDEX('Work Orders'!$N$11:$N$1010,$B121)="","",INDEX('Work Orders'!$N$11:$N$1010,$B121)))</f>
        <v/>
      </c>
    </row>
    <row r="122">
      <c r="A122" s="68" t="n">
        <v>116</v>
      </c>
      <c r="B122">
        <f>IFERROR(MATCH(A122,'Work Orders'!$AO$11:$AO$1010,0),"")</f>
        <v/>
      </c>
      <c r="C122" s="43">
        <f>IF($B122="","",IF(INDEX('Work Orders'!$A$11:$A$1010,$B122)="","",INDEX('Work Orders'!$A$11:$A$1010,$B122)))</f>
        <v/>
      </c>
      <c r="D122" s="43">
        <f>IF($B122="","",IF(INDEX('Work Orders'!$B$11:$B$1010,$B122)="","",INDEX('Work Orders'!$B$11:$B$1010,$B122)))</f>
        <v/>
      </c>
      <c r="E122" s="43">
        <f>IF($B122="","",IF(INDEX('Work Orders'!$D$11:$D$1010,$B122)="","",INDEX('Work Orders'!$D$11:$D$1010,$B122)))</f>
        <v/>
      </c>
      <c r="F122" s="43">
        <f>IF($B122="","",IF(INDEX('Work Orders'!$Q$11:$Q$1010,$B122)="","",INDEX('Work Orders'!$Q$11:$Q$1010,$B122)))</f>
        <v/>
      </c>
      <c r="G122" s="43">
        <f>IF($B122="","",IF(INDEX('Work Orders'!$V$11:$V$1010,$B122)="","",INDEX('Work Orders'!$V$11:$V$1010,$B122)))</f>
        <v/>
      </c>
      <c r="H122" s="47">
        <f>IF($B122="","",IF(INDEX('Work Orders'!$U$11:$U$1010,$B122)="","",INDEX('Work Orders'!$U$11:$U$1010,$B122)))</f>
        <v/>
      </c>
      <c r="I122" s="47">
        <f>IF($B122="","",IF(INDEX('Work Orders'!$X$11:$X$1010,$B122)="","",INDEX('Work Orders'!$X$11:$X$1010,$B122)))</f>
        <v/>
      </c>
      <c r="J122" s="44">
        <f>IF($B122="","",IF(INDEX('Work Orders'!$Z$11:$Z$1010,$B122)="","",INDEX('Work Orders'!$Z$11:$Z$1010,$B122)))</f>
        <v/>
      </c>
      <c r="K122" s="44">
        <f>IF($B122="","",IF(INDEX('Work Orders'!$AG$11:$AG$1010,$B122)="","",INDEX('Work Orders'!$AG$11:$AG$1010,$B122)))</f>
        <v/>
      </c>
      <c r="L122" s="44">
        <f>IF($B122="","",IF(INDEX('Work Orders'!$AH$11:$AH$1010,$B122)="","",INDEX('Work Orders'!$AH$11:$AH$1010,$B122)))</f>
        <v/>
      </c>
      <c r="M122" s="46">
        <f>IF($B122="","",IF(INDEX('Work Orders'!$AM$11:$AM$1010,$B122)="","",INDEX('Work Orders'!$AM$11:$AM$1010,$B122)))</f>
        <v/>
      </c>
      <c r="N122" s="43">
        <f>IF($B122="","",IF(INDEX('Work Orders'!$AL$11:$AL$1010,$B122)="","",INDEX('Work Orders'!$AL$11:$AL$1010,$B122)))</f>
        <v/>
      </c>
      <c r="O122" s="43">
        <f>IF($B122="","",IF(INDEX('Work Orders'!$N$11:$N$1010,$B122)="","",INDEX('Work Orders'!$N$11:$N$1010,$B122)))</f>
        <v/>
      </c>
    </row>
    <row r="123">
      <c r="A123" s="68" t="n">
        <v>117</v>
      </c>
      <c r="B123">
        <f>IFERROR(MATCH(A123,'Work Orders'!$AO$11:$AO$1010,0),"")</f>
        <v/>
      </c>
      <c r="C123" s="43">
        <f>IF($B123="","",IF(INDEX('Work Orders'!$A$11:$A$1010,$B123)="","",INDEX('Work Orders'!$A$11:$A$1010,$B123)))</f>
        <v/>
      </c>
      <c r="D123" s="43">
        <f>IF($B123="","",IF(INDEX('Work Orders'!$B$11:$B$1010,$B123)="","",INDEX('Work Orders'!$B$11:$B$1010,$B123)))</f>
        <v/>
      </c>
      <c r="E123" s="43">
        <f>IF($B123="","",IF(INDEX('Work Orders'!$D$11:$D$1010,$B123)="","",INDEX('Work Orders'!$D$11:$D$1010,$B123)))</f>
        <v/>
      </c>
      <c r="F123" s="43">
        <f>IF($B123="","",IF(INDEX('Work Orders'!$Q$11:$Q$1010,$B123)="","",INDEX('Work Orders'!$Q$11:$Q$1010,$B123)))</f>
        <v/>
      </c>
      <c r="G123" s="43">
        <f>IF($B123="","",IF(INDEX('Work Orders'!$V$11:$V$1010,$B123)="","",INDEX('Work Orders'!$V$11:$V$1010,$B123)))</f>
        <v/>
      </c>
      <c r="H123" s="47">
        <f>IF($B123="","",IF(INDEX('Work Orders'!$U$11:$U$1010,$B123)="","",INDEX('Work Orders'!$U$11:$U$1010,$B123)))</f>
        <v/>
      </c>
      <c r="I123" s="47">
        <f>IF($B123="","",IF(INDEX('Work Orders'!$X$11:$X$1010,$B123)="","",INDEX('Work Orders'!$X$11:$X$1010,$B123)))</f>
        <v/>
      </c>
      <c r="J123" s="44">
        <f>IF($B123="","",IF(INDEX('Work Orders'!$Z$11:$Z$1010,$B123)="","",INDEX('Work Orders'!$Z$11:$Z$1010,$B123)))</f>
        <v/>
      </c>
      <c r="K123" s="44">
        <f>IF($B123="","",IF(INDEX('Work Orders'!$AG$11:$AG$1010,$B123)="","",INDEX('Work Orders'!$AG$11:$AG$1010,$B123)))</f>
        <v/>
      </c>
      <c r="L123" s="44">
        <f>IF($B123="","",IF(INDEX('Work Orders'!$AH$11:$AH$1010,$B123)="","",INDEX('Work Orders'!$AH$11:$AH$1010,$B123)))</f>
        <v/>
      </c>
      <c r="M123" s="46">
        <f>IF($B123="","",IF(INDEX('Work Orders'!$AM$11:$AM$1010,$B123)="","",INDEX('Work Orders'!$AM$11:$AM$1010,$B123)))</f>
        <v/>
      </c>
      <c r="N123" s="43">
        <f>IF($B123="","",IF(INDEX('Work Orders'!$AL$11:$AL$1010,$B123)="","",INDEX('Work Orders'!$AL$11:$AL$1010,$B123)))</f>
        <v/>
      </c>
      <c r="O123" s="43">
        <f>IF($B123="","",IF(INDEX('Work Orders'!$N$11:$N$1010,$B123)="","",INDEX('Work Orders'!$N$11:$N$1010,$B123)))</f>
        <v/>
      </c>
    </row>
    <row r="124">
      <c r="A124" s="68" t="n">
        <v>118</v>
      </c>
      <c r="B124">
        <f>IFERROR(MATCH(A124,'Work Orders'!$AO$11:$AO$1010,0),"")</f>
        <v/>
      </c>
      <c r="C124" s="43">
        <f>IF($B124="","",IF(INDEX('Work Orders'!$A$11:$A$1010,$B124)="","",INDEX('Work Orders'!$A$11:$A$1010,$B124)))</f>
        <v/>
      </c>
      <c r="D124" s="43">
        <f>IF($B124="","",IF(INDEX('Work Orders'!$B$11:$B$1010,$B124)="","",INDEX('Work Orders'!$B$11:$B$1010,$B124)))</f>
        <v/>
      </c>
      <c r="E124" s="43">
        <f>IF($B124="","",IF(INDEX('Work Orders'!$D$11:$D$1010,$B124)="","",INDEX('Work Orders'!$D$11:$D$1010,$B124)))</f>
        <v/>
      </c>
      <c r="F124" s="43">
        <f>IF($B124="","",IF(INDEX('Work Orders'!$Q$11:$Q$1010,$B124)="","",INDEX('Work Orders'!$Q$11:$Q$1010,$B124)))</f>
        <v/>
      </c>
      <c r="G124" s="43">
        <f>IF($B124="","",IF(INDEX('Work Orders'!$V$11:$V$1010,$B124)="","",INDEX('Work Orders'!$V$11:$V$1010,$B124)))</f>
        <v/>
      </c>
      <c r="H124" s="47">
        <f>IF($B124="","",IF(INDEX('Work Orders'!$U$11:$U$1010,$B124)="","",INDEX('Work Orders'!$U$11:$U$1010,$B124)))</f>
        <v/>
      </c>
      <c r="I124" s="47">
        <f>IF($B124="","",IF(INDEX('Work Orders'!$X$11:$X$1010,$B124)="","",INDEX('Work Orders'!$X$11:$X$1010,$B124)))</f>
        <v/>
      </c>
      <c r="J124" s="44">
        <f>IF($B124="","",IF(INDEX('Work Orders'!$Z$11:$Z$1010,$B124)="","",INDEX('Work Orders'!$Z$11:$Z$1010,$B124)))</f>
        <v/>
      </c>
      <c r="K124" s="44">
        <f>IF($B124="","",IF(INDEX('Work Orders'!$AG$11:$AG$1010,$B124)="","",INDEX('Work Orders'!$AG$11:$AG$1010,$B124)))</f>
        <v/>
      </c>
      <c r="L124" s="44">
        <f>IF($B124="","",IF(INDEX('Work Orders'!$AH$11:$AH$1010,$B124)="","",INDEX('Work Orders'!$AH$11:$AH$1010,$B124)))</f>
        <v/>
      </c>
      <c r="M124" s="46">
        <f>IF($B124="","",IF(INDEX('Work Orders'!$AM$11:$AM$1010,$B124)="","",INDEX('Work Orders'!$AM$11:$AM$1010,$B124)))</f>
        <v/>
      </c>
      <c r="N124" s="43">
        <f>IF($B124="","",IF(INDEX('Work Orders'!$AL$11:$AL$1010,$B124)="","",INDEX('Work Orders'!$AL$11:$AL$1010,$B124)))</f>
        <v/>
      </c>
      <c r="O124" s="43">
        <f>IF($B124="","",IF(INDEX('Work Orders'!$N$11:$N$1010,$B124)="","",INDEX('Work Orders'!$N$11:$N$1010,$B124)))</f>
        <v/>
      </c>
    </row>
    <row r="125">
      <c r="A125" s="68" t="n">
        <v>119</v>
      </c>
      <c r="B125">
        <f>IFERROR(MATCH(A125,'Work Orders'!$AO$11:$AO$1010,0),"")</f>
        <v/>
      </c>
      <c r="C125" s="43">
        <f>IF($B125="","",IF(INDEX('Work Orders'!$A$11:$A$1010,$B125)="","",INDEX('Work Orders'!$A$11:$A$1010,$B125)))</f>
        <v/>
      </c>
      <c r="D125" s="43">
        <f>IF($B125="","",IF(INDEX('Work Orders'!$B$11:$B$1010,$B125)="","",INDEX('Work Orders'!$B$11:$B$1010,$B125)))</f>
        <v/>
      </c>
      <c r="E125" s="43">
        <f>IF($B125="","",IF(INDEX('Work Orders'!$D$11:$D$1010,$B125)="","",INDEX('Work Orders'!$D$11:$D$1010,$B125)))</f>
        <v/>
      </c>
      <c r="F125" s="43">
        <f>IF($B125="","",IF(INDEX('Work Orders'!$Q$11:$Q$1010,$B125)="","",INDEX('Work Orders'!$Q$11:$Q$1010,$B125)))</f>
        <v/>
      </c>
      <c r="G125" s="43">
        <f>IF($B125="","",IF(INDEX('Work Orders'!$V$11:$V$1010,$B125)="","",INDEX('Work Orders'!$V$11:$V$1010,$B125)))</f>
        <v/>
      </c>
      <c r="H125" s="47">
        <f>IF($B125="","",IF(INDEX('Work Orders'!$U$11:$U$1010,$B125)="","",INDEX('Work Orders'!$U$11:$U$1010,$B125)))</f>
        <v/>
      </c>
      <c r="I125" s="47">
        <f>IF($B125="","",IF(INDEX('Work Orders'!$X$11:$X$1010,$B125)="","",INDEX('Work Orders'!$X$11:$X$1010,$B125)))</f>
        <v/>
      </c>
      <c r="J125" s="44">
        <f>IF($B125="","",IF(INDEX('Work Orders'!$Z$11:$Z$1010,$B125)="","",INDEX('Work Orders'!$Z$11:$Z$1010,$B125)))</f>
        <v/>
      </c>
      <c r="K125" s="44">
        <f>IF($B125="","",IF(INDEX('Work Orders'!$AG$11:$AG$1010,$B125)="","",INDEX('Work Orders'!$AG$11:$AG$1010,$B125)))</f>
        <v/>
      </c>
      <c r="L125" s="44">
        <f>IF($B125="","",IF(INDEX('Work Orders'!$AH$11:$AH$1010,$B125)="","",INDEX('Work Orders'!$AH$11:$AH$1010,$B125)))</f>
        <v/>
      </c>
      <c r="M125" s="46">
        <f>IF($B125="","",IF(INDEX('Work Orders'!$AM$11:$AM$1010,$B125)="","",INDEX('Work Orders'!$AM$11:$AM$1010,$B125)))</f>
        <v/>
      </c>
      <c r="N125" s="43">
        <f>IF($B125="","",IF(INDEX('Work Orders'!$AL$11:$AL$1010,$B125)="","",INDEX('Work Orders'!$AL$11:$AL$1010,$B125)))</f>
        <v/>
      </c>
      <c r="O125" s="43">
        <f>IF($B125="","",IF(INDEX('Work Orders'!$N$11:$N$1010,$B125)="","",INDEX('Work Orders'!$N$11:$N$1010,$B125)))</f>
        <v/>
      </c>
    </row>
    <row r="126">
      <c r="A126" s="68" t="n">
        <v>120</v>
      </c>
      <c r="B126">
        <f>IFERROR(MATCH(A126,'Work Orders'!$AO$11:$AO$1010,0),"")</f>
        <v/>
      </c>
      <c r="C126" s="43">
        <f>IF($B126="","",IF(INDEX('Work Orders'!$A$11:$A$1010,$B126)="","",INDEX('Work Orders'!$A$11:$A$1010,$B126)))</f>
        <v/>
      </c>
      <c r="D126" s="43">
        <f>IF($B126="","",IF(INDEX('Work Orders'!$B$11:$B$1010,$B126)="","",INDEX('Work Orders'!$B$11:$B$1010,$B126)))</f>
        <v/>
      </c>
      <c r="E126" s="43">
        <f>IF($B126="","",IF(INDEX('Work Orders'!$D$11:$D$1010,$B126)="","",INDEX('Work Orders'!$D$11:$D$1010,$B126)))</f>
        <v/>
      </c>
      <c r="F126" s="43">
        <f>IF($B126="","",IF(INDEX('Work Orders'!$Q$11:$Q$1010,$B126)="","",INDEX('Work Orders'!$Q$11:$Q$1010,$B126)))</f>
        <v/>
      </c>
      <c r="G126" s="43">
        <f>IF($B126="","",IF(INDEX('Work Orders'!$V$11:$V$1010,$B126)="","",INDEX('Work Orders'!$V$11:$V$1010,$B126)))</f>
        <v/>
      </c>
      <c r="H126" s="47">
        <f>IF($B126="","",IF(INDEX('Work Orders'!$U$11:$U$1010,$B126)="","",INDEX('Work Orders'!$U$11:$U$1010,$B126)))</f>
        <v/>
      </c>
      <c r="I126" s="47">
        <f>IF($B126="","",IF(INDEX('Work Orders'!$X$11:$X$1010,$B126)="","",INDEX('Work Orders'!$X$11:$X$1010,$B126)))</f>
        <v/>
      </c>
      <c r="J126" s="44">
        <f>IF($B126="","",IF(INDEX('Work Orders'!$Z$11:$Z$1010,$B126)="","",INDEX('Work Orders'!$Z$11:$Z$1010,$B126)))</f>
        <v/>
      </c>
      <c r="K126" s="44">
        <f>IF($B126="","",IF(INDEX('Work Orders'!$AG$11:$AG$1010,$B126)="","",INDEX('Work Orders'!$AG$11:$AG$1010,$B126)))</f>
        <v/>
      </c>
      <c r="L126" s="44">
        <f>IF($B126="","",IF(INDEX('Work Orders'!$AH$11:$AH$1010,$B126)="","",INDEX('Work Orders'!$AH$11:$AH$1010,$B126)))</f>
        <v/>
      </c>
      <c r="M126" s="46">
        <f>IF($B126="","",IF(INDEX('Work Orders'!$AM$11:$AM$1010,$B126)="","",INDEX('Work Orders'!$AM$11:$AM$1010,$B126)))</f>
        <v/>
      </c>
      <c r="N126" s="43">
        <f>IF($B126="","",IF(INDEX('Work Orders'!$AL$11:$AL$1010,$B126)="","",INDEX('Work Orders'!$AL$11:$AL$1010,$B126)))</f>
        <v/>
      </c>
      <c r="O126" s="43">
        <f>IF($B126="","",IF(INDEX('Work Orders'!$N$11:$N$1010,$B126)="","",INDEX('Work Orders'!$N$11:$N$1010,$B126)))</f>
        <v/>
      </c>
    </row>
    <row r="127">
      <c r="A127" s="68" t="n">
        <v>121</v>
      </c>
      <c r="B127">
        <f>IFERROR(MATCH(A127,'Work Orders'!$AO$11:$AO$1010,0),"")</f>
        <v/>
      </c>
      <c r="C127" s="43">
        <f>IF($B127="","",IF(INDEX('Work Orders'!$A$11:$A$1010,$B127)="","",INDEX('Work Orders'!$A$11:$A$1010,$B127)))</f>
        <v/>
      </c>
      <c r="D127" s="43">
        <f>IF($B127="","",IF(INDEX('Work Orders'!$B$11:$B$1010,$B127)="","",INDEX('Work Orders'!$B$11:$B$1010,$B127)))</f>
        <v/>
      </c>
      <c r="E127" s="43">
        <f>IF($B127="","",IF(INDEX('Work Orders'!$D$11:$D$1010,$B127)="","",INDEX('Work Orders'!$D$11:$D$1010,$B127)))</f>
        <v/>
      </c>
      <c r="F127" s="43">
        <f>IF($B127="","",IF(INDEX('Work Orders'!$Q$11:$Q$1010,$B127)="","",INDEX('Work Orders'!$Q$11:$Q$1010,$B127)))</f>
        <v/>
      </c>
      <c r="G127" s="43">
        <f>IF($B127="","",IF(INDEX('Work Orders'!$V$11:$V$1010,$B127)="","",INDEX('Work Orders'!$V$11:$V$1010,$B127)))</f>
        <v/>
      </c>
      <c r="H127" s="47">
        <f>IF($B127="","",IF(INDEX('Work Orders'!$U$11:$U$1010,$B127)="","",INDEX('Work Orders'!$U$11:$U$1010,$B127)))</f>
        <v/>
      </c>
      <c r="I127" s="47">
        <f>IF($B127="","",IF(INDEX('Work Orders'!$X$11:$X$1010,$B127)="","",INDEX('Work Orders'!$X$11:$X$1010,$B127)))</f>
        <v/>
      </c>
      <c r="J127" s="44">
        <f>IF($B127="","",IF(INDEX('Work Orders'!$Z$11:$Z$1010,$B127)="","",INDEX('Work Orders'!$Z$11:$Z$1010,$B127)))</f>
        <v/>
      </c>
      <c r="K127" s="44">
        <f>IF($B127="","",IF(INDEX('Work Orders'!$AG$11:$AG$1010,$B127)="","",INDEX('Work Orders'!$AG$11:$AG$1010,$B127)))</f>
        <v/>
      </c>
      <c r="L127" s="44">
        <f>IF($B127="","",IF(INDEX('Work Orders'!$AH$11:$AH$1010,$B127)="","",INDEX('Work Orders'!$AH$11:$AH$1010,$B127)))</f>
        <v/>
      </c>
      <c r="M127" s="46">
        <f>IF($B127="","",IF(INDEX('Work Orders'!$AM$11:$AM$1010,$B127)="","",INDEX('Work Orders'!$AM$11:$AM$1010,$B127)))</f>
        <v/>
      </c>
      <c r="N127" s="43">
        <f>IF($B127="","",IF(INDEX('Work Orders'!$AL$11:$AL$1010,$B127)="","",INDEX('Work Orders'!$AL$11:$AL$1010,$B127)))</f>
        <v/>
      </c>
      <c r="O127" s="43">
        <f>IF($B127="","",IF(INDEX('Work Orders'!$N$11:$N$1010,$B127)="","",INDEX('Work Orders'!$N$11:$N$1010,$B127)))</f>
        <v/>
      </c>
    </row>
    <row r="128">
      <c r="A128" s="68" t="n">
        <v>122</v>
      </c>
      <c r="B128">
        <f>IFERROR(MATCH(A128,'Work Orders'!$AO$11:$AO$1010,0),"")</f>
        <v/>
      </c>
      <c r="C128" s="43">
        <f>IF($B128="","",IF(INDEX('Work Orders'!$A$11:$A$1010,$B128)="","",INDEX('Work Orders'!$A$11:$A$1010,$B128)))</f>
        <v/>
      </c>
      <c r="D128" s="43">
        <f>IF($B128="","",IF(INDEX('Work Orders'!$B$11:$B$1010,$B128)="","",INDEX('Work Orders'!$B$11:$B$1010,$B128)))</f>
        <v/>
      </c>
      <c r="E128" s="43">
        <f>IF($B128="","",IF(INDEX('Work Orders'!$D$11:$D$1010,$B128)="","",INDEX('Work Orders'!$D$11:$D$1010,$B128)))</f>
        <v/>
      </c>
      <c r="F128" s="43">
        <f>IF($B128="","",IF(INDEX('Work Orders'!$Q$11:$Q$1010,$B128)="","",INDEX('Work Orders'!$Q$11:$Q$1010,$B128)))</f>
        <v/>
      </c>
      <c r="G128" s="43">
        <f>IF($B128="","",IF(INDEX('Work Orders'!$V$11:$V$1010,$B128)="","",INDEX('Work Orders'!$V$11:$V$1010,$B128)))</f>
        <v/>
      </c>
      <c r="H128" s="47">
        <f>IF($B128="","",IF(INDEX('Work Orders'!$U$11:$U$1010,$B128)="","",INDEX('Work Orders'!$U$11:$U$1010,$B128)))</f>
        <v/>
      </c>
      <c r="I128" s="47">
        <f>IF($B128="","",IF(INDEX('Work Orders'!$X$11:$X$1010,$B128)="","",INDEX('Work Orders'!$X$11:$X$1010,$B128)))</f>
        <v/>
      </c>
      <c r="J128" s="44">
        <f>IF($B128="","",IF(INDEX('Work Orders'!$Z$11:$Z$1010,$B128)="","",INDEX('Work Orders'!$Z$11:$Z$1010,$B128)))</f>
        <v/>
      </c>
      <c r="K128" s="44">
        <f>IF($B128="","",IF(INDEX('Work Orders'!$AG$11:$AG$1010,$B128)="","",INDEX('Work Orders'!$AG$11:$AG$1010,$B128)))</f>
        <v/>
      </c>
      <c r="L128" s="44">
        <f>IF($B128="","",IF(INDEX('Work Orders'!$AH$11:$AH$1010,$B128)="","",INDEX('Work Orders'!$AH$11:$AH$1010,$B128)))</f>
        <v/>
      </c>
      <c r="M128" s="46">
        <f>IF($B128="","",IF(INDEX('Work Orders'!$AM$11:$AM$1010,$B128)="","",INDEX('Work Orders'!$AM$11:$AM$1010,$B128)))</f>
        <v/>
      </c>
      <c r="N128" s="43">
        <f>IF($B128="","",IF(INDEX('Work Orders'!$AL$11:$AL$1010,$B128)="","",INDEX('Work Orders'!$AL$11:$AL$1010,$B128)))</f>
        <v/>
      </c>
      <c r="O128" s="43">
        <f>IF($B128="","",IF(INDEX('Work Orders'!$N$11:$N$1010,$B128)="","",INDEX('Work Orders'!$N$11:$N$1010,$B128)))</f>
        <v/>
      </c>
    </row>
    <row r="129">
      <c r="A129" s="68" t="n">
        <v>123</v>
      </c>
      <c r="B129">
        <f>IFERROR(MATCH(A129,'Work Orders'!$AO$11:$AO$1010,0),"")</f>
        <v/>
      </c>
      <c r="C129" s="43">
        <f>IF($B129="","",IF(INDEX('Work Orders'!$A$11:$A$1010,$B129)="","",INDEX('Work Orders'!$A$11:$A$1010,$B129)))</f>
        <v/>
      </c>
      <c r="D129" s="43">
        <f>IF($B129="","",IF(INDEX('Work Orders'!$B$11:$B$1010,$B129)="","",INDEX('Work Orders'!$B$11:$B$1010,$B129)))</f>
        <v/>
      </c>
      <c r="E129" s="43">
        <f>IF($B129="","",IF(INDEX('Work Orders'!$D$11:$D$1010,$B129)="","",INDEX('Work Orders'!$D$11:$D$1010,$B129)))</f>
        <v/>
      </c>
      <c r="F129" s="43">
        <f>IF($B129="","",IF(INDEX('Work Orders'!$Q$11:$Q$1010,$B129)="","",INDEX('Work Orders'!$Q$11:$Q$1010,$B129)))</f>
        <v/>
      </c>
      <c r="G129" s="43">
        <f>IF($B129="","",IF(INDEX('Work Orders'!$V$11:$V$1010,$B129)="","",INDEX('Work Orders'!$V$11:$V$1010,$B129)))</f>
        <v/>
      </c>
      <c r="H129" s="47">
        <f>IF($B129="","",IF(INDEX('Work Orders'!$U$11:$U$1010,$B129)="","",INDEX('Work Orders'!$U$11:$U$1010,$B129)))</f>
        <v/>
      </c>
      <c r="I129" s="47">
        <f>IF($B129="","",IF(INDEX('Work Orders'!$X$11:$X$1010,$B129)="","",INDEX('Work Orders'!$X$11:$X$1010,$B129)))</f>
        <v/>
      </c>
      <c r="J129" s="44">
        <f>IF($B129="","",IF(INDEX('Work Orders'!$Z$11:$Z$1010,$B129)="","",INDEX('Work Orders'!$Z$11:$Z$1010,$B129)))</f>
        <v/>
      </c>
      <c r="K129" s="44">
        <f>IF($B129="","",IF(INDEX('Work Orders'!$AG$11:$AG$1010,$B129)="","",INDEX('Work Orders'!$AG$11:$AG$1010,$B129)))</f>
        <v/>
      </c>
      <c r="L129" s="44">
        <f>IF($B129="","",IF(INDEX('Work Orders'!$AH$11:$AH$1010,$B129)="","",INDEX('Work Orders'!$AH$11:$AH$1010,$B129)))</f>
        <v/>
      </c>
      <c r="M129" s="46">
        <f>IF($B129="","",IF(INDEX('Work Orders'!$AM$11:$AM$1010,$B129)="","",INDEX('Work Orders'!$AM$11:$AM$1010,$B129)))</f>
        <v/>
      </c>
      <c r="N129" s="43">
        <f>IF($B129="","",IF(INDEX('Work Orders'!$AL$11:$AL$1010,$B129)="","",INDEX('Work Orders'!$AL$11:$AL$1010,$B129)))</f>
        <v/>
      </c>
      <c r="O129" s="43">
        <f>IF($B129="","",IF(INDEX('Work Orders'!$N$11:$N$1010,$B129)="","",INDEX('Work Orders'!$N$11:$N$1010,$B129)))</f>
        <v/>
      </c>
    </row>
    <row r="130">
      <c r="A130" s="68" t="n">
        <v>124</v>
      </c>
      <c r="B130">
        <f>IFERROR(MATCH(A130,'Work Orders'!$AO$11:$AO$1010,0),"")</f>
        <v/>
      </c>
      <c r="C130" s="43">
        <f>IF($B130="","",IF(INDEX('Work Orders'!$A$11:$A$1010,$B130)="","",INDEX('Work Orders'!$A$11:$A$1010,$B130)))</f>
        <v/>
      </c>
      <c r="D130" s="43">
        <f>IF($B130="","",IF(INDEX('Work Orders'!$B$11:$B$1010,$B130)="","",INDEX('Work Orders'!$B$11:$B$1010,$B130)))</f>
        <v/>
      </c>
      <c r="E130" s="43">
        <f>IF($B130="","",IF(INDEX('Work Orders'!$D$11:$D$1010,$B130)="","",INDEX('Work Orders'!$D$11:$D$1010,$B130)))</f>
        <v/>
      </c>
      <c r="F130" s="43">
        <f>IF($B130="","",IF(INDEX('Work Orders'!$Q$11:$Q$1010,$B130)="","",INDEX('Work Orders'!$Q$11:$Q$1010,$B130)))</f>
        <v/>
      </c>
      <c r="G130" s="43">
        <f>IF($B130="","",IF(INDEX('Work Orders'!$V$11:$V$1010,$B130)="","",INDEX('Work Orders'!$V$11:$V$1010,$B130)))</f>
        <v/>
      </c>
      <c r="H130" s="47">
        <f>IF($B130="","",IF(INDEX('Work Orders'!$U$11:$U$1010,$B130)="","",INDEX('Work Orders'!$U$11:$U$1010,$B130)))</f>
        <v/>
      </c>
      <c r="I130" s="47">
        <f>IF($B130="","",IF(INDEX('Work Orders'!$X$11:$X$1010,$B130)="","",INDEX('Work Orders'!$X$11:$X$1010,$B130)))</f>
        <v/>
      </c>
      <c r="J130" s="44">
        <f>IF($B130="","",IF(INDEX('Work Orders'!$Z$11:$Z$1010,$B130)="","",INDEX('Work Orders'!$Z$11:$Z$1010,$B130)))</f>
        <v/>
      </c>
      <c r="K130" s="44">
        <f>IF($B130="","",IF(INDEX('Work Orders'!$AG$11:$AG$1010,$B130)="","",INDEX('Work Orders'!$AG$11:$AG$1010,$B130)))</f>
        <v/>
      </c>
      <c r="L130" s="44">
        <f>IF($B130="","",IF(INDEX('Work Orders'!$AH$11:$AH$1010,$B130)="","",INDEX('Work Orders'!$AH$11:$AH$1010,$B130)))</f>
        <v/>
      </c>
      <c r="M130" s="46">
        <f>IF($B130="","",IF(INDEX('Work Orders'!$AM$11:$AM$1010,$B130)="","",INDEX('Work Orders'!$AM$11:$AM$1010,$B130)))</f>
        <v/>
      </c>
      <c r="N130" s="43">
        <f>IF($B130="","",IF(INDEX('Work Orders'!$AL$11:$AL$1010,$B130)="","",INDEX('Work Orders'!$AL$11:$AL$1010,$B130)))</f>
        <v/>
      </c>
      <c r="O130" s="43">
        <f>IF($B130="","",IF(INDEX('Work Orders'!$N$11:$N$1010,$B130)="","",INDEX('Work Orders'!$N$11:$N$1010,$B130)))</f>
        <v/>
      </c>
    </row>
    <row r="131">
      <c r="A131" s="68" t="n">
        <v>125</v>
      </c>
      <c r="B131">
        <f>IFERROR(MATCH(A131,'Work Orders'!$AO$11:$AO$1010,0),"")</f>
        <v/>
      </c>
      <c r="C131" s="43">
        <f>IF($B131="","",IF(INDEX('Work Orders'!$A$11:$A$1010,$B131)="","",INDEX('Work Orders'!$A$11:$A$1010,$B131)))</f>
        <v/>
      </c>
      <c r="D131" s="43">
        <f>IF($B131="","",IF(INDEX('Work Orders'!$B$11:$B$1010,$B131)="","",INDEX('Work Orders'!$B$11:$B$1010,$B131)))</f>
        <v/>
      </c>
      <c r="E131" s="43">
        <f>IF($B131="","",IF(INDEX('Work Orders'!$D$11:$D$1010,$B131)="","",INDEX('Work Orders'!$D$11:$D$1010,$B131)))</f>
        <v/>
      </c>
      <c r="F131" s="43">
        <f>IF($B131="","",IF(INDEX('Work Orders'!$Q$11:$Q$1010,$B131)="","",INDEX('Work Orders'!$Q$11:$Q$1010,$B131)))</f>
        <v/>
      </c>
      <c r="G131" s="43">
        <f>IF($B131="","",IF(INDEX('Work Orders'!$V$11:$V$1010,$B131)="","",INDEX('Work Orders'!$V$11:$V$1010,$B131)))</f>
        <v/>
      </c>
      <c r="H131" s="47">
        <f>IF($B131="","",IF(INDEX('Work Orders'!$U$11:$U$1010,$B131)="","",INDEX('Work Orders'!$U$11:$U$1010,$B131)))</f>
        <v/>
      </c>
      <c r="I131" s="47">
        <f>IF($B131="","",IF(INDEX('Work Orders'!$X$11:$X$1010,$B131)="","",INDEX('Work Orders'!$X$11:$X$1010,$B131)))</f>
        <v/>
      </c>
      <c r="J131" s="44">
        <f>IF($B131="","",IF(INDEX('Work Orders'!$Z$11:$Z$1010,$B131)="","",INDEX('Work Orders'!$Z$11:$Z$1010,$B131)))</f>
        <v/>
      </c>
      <c r="K131" s="44">
        <f>IF($B131="","",IF(INDEX('Work Orders'!$AG$11:$AG$1010,$B131)="","",INDEX('Work Orders'!$AG$11:$AG$1010,$B131)))</f>
        <v/>
      </c>
      <c r="L131" s="44">
        <f>IF($B131="","",IF(INDEX('Work Orders'!$AH$11:$AH$1010,$B131)="","",INDEX('Work Orders'!$AH$11:$AH$1010,$B131)))</f>
        <v/>
      </c>
      <c r="M131" s="46">
        <f>IF($B131="","",IF(INDEX('Work Orders'!$AM$11:$AM$1010,$B131)="","",INDEX('Work Orders'!$AM$11:$AM$1010,$B131)))</f>
        <v/>
      </c>
      <c r="N131" s="43">
        <f>IF($B131="","",IF(INDEX('Work Orders'!$AL$11:$AL$1010,$B131)="","",INDEX('Work Orders'!$AL$11:$AL$1010,$B131)))</f>
        <v/>
      </c>
      <c r="O131" s="43">
        <f>IF($B131="","",IF(INDEX('Work Orders'!$N$11:$N$1010,$B131)="","",INDEX('Work Orders'!$N$11:$N$1010,$B131)))</f>
        <v/>
      </c>
    </row>
    <row r="132">
      <c r="A132" s="68" t="n">
        <v>126</v>
      </c>
      <c r="B132">
        <f>IFERROR(MATCH(A132,'Work Orders'!$AO$11:$AO$1010,0),"")</f>
        <v/>
      </c>
      <c r="C132" s="43">
        <f>IF($B132="","",IF(INDEX('Work Orders'!$A$11:$A$1010,$B132)="","",INDEX('Work Orders'!$A$11:$A$1010,$B132)))</f>
        <v/>
      </c>
      <c r="D132" s="43">
        <f>IF($B132="","",IF(INDEX('Work Orders'!$B$11:$B$1010,$B132)="","",INDEX('Work Orders'!$B$11:$B$1010,$B132)))</f>
        <v/>
      </c>
      <c r="E132" s="43">
        <f>IF($B132="","",IF(INDEX('Work Orders'!$D$11:$D$1010,$B132)="","",INDEX('Work Orders'!$D$11:$D$1010,$B132)))</f>
        <v/>
      </c>
      <c r="F132" s="43">
        <f>IF($B132="","",IF(INDEX('Work Orders'!$Q$11:$Q$1010,$B132)="","",INDEX('Work Orders'!$Q$11:$Q$1010,$B132)))</f>
        <v/>
      </c>
      <c r="G132" s="43">
        <f>IF($B132="","",IF(INDEX('Work Orders'!$V$11:$V$1010,$B132)="","",INDEX('Work Orders'!$V$11:$V$1010,$B132)))</f>
        <v/>
      </c>
      <c r="H132" s="47">
        <f>IF($B132="","",IF(INDEX('Work Orders'!$U$11:$U$1010,$B132)="","",INDEX('Work Orders'!$U$11:$U$1010,$B132)))</f>
        <v/>
      </c>
      <c r="I132" s="47">
        <f>IF($B132="","",IF(INDEX('Work Orders'!$X$11:$X$1010,$B132)="","",INDEX('Work Orders'!$X$11:$X$1010,$B132)))</f>
        <v/>
      </c>
      <c r="J132" s="44">
        <f>IF($B132="","",IF(INDEX('Work Orders'!$Z$11:$Z$1010,$B132)="","",INDEX('Work Orders'!$Z$11:$Z$1010,$B132)))</f>
        <v/>
      </c>
      <c r="K132" s="44">
        <f>IF($B132="","",IF(INDEX('Work Orders'!$AG$11:$AG$1010,$B132)="","",INDEX('Work Orders'!$AG$11:$AG$1010,$B132)))</f>
        <v/>
      </c>
      <c r="L132" s="44">
        <f>IF($B132="","",IF(INDEX('Work Orders'!$AH$11:$AH$1010,$B132)="","",INDEX('Work Orders'!$AH$11:$AH$1010,$B132)))</f>
        <v/>
      </c>
      <c r="M132" s="46">
        <f>IF($B132="","",IF(INDEX('Work Orders'!$AM$11:$AM$1010,$B132)="","",INDEX('Work Orders'!$AM$11:$AM$1010,$B132)))</f>
        <v/>
      </c>
      <c r="N132" s="43">
        <f>IF($B132="","",IF(INDEX('Work Orders'!$AL$11:$AL$1010,$B132)="","",INDEX('Work Orders'!$AL$11:$AL$1010,$B132)))</f>
        <v/>
      </c>
      <c r="O132" s="43">
        <f>IF($B132="","",IF(INDEX('Work Orders'!$N$11:$N$1010,$B132)="","",INDEX('Work Orders'!$N$11:$N$1010,$B132)))</f>
        <v/>
      </c>
    </row>
    <row r="133">
      <c r="A133" s="68" t="n">
        <v>127</v>
      </c>
      <c r="B133">
        <f>IFERROR(MATCH(A133,'Work Orders'!$AO$11:$AO$1010,0),"")</f>
        <v/>
      </c>
      <c r="C133" s="43">
        <f>IF($B133="","",IF(INDEX('Work Orders'!$A$11:$A$1010,$B133)="","",INDEX('Work Orders'!$A$11:$A$1010,$B133)))</f>
        <v/>
      </c>
      <c r="D133" s="43">
        <f>IF($B133="","",IF(INDEX('Work Orders'!$B$11:$B$1010,$B133)="","",INDEX('Work Orders'!$B$11:$B$1010,$B133)))</f>
        <v/>
      </c>
      <c r="E133" s="43">
        <f>IF($B133="","",IF(INDEX('Work Orders'!$D$11:$D$1010,$B133)="","",INDEX('Work Orders'!$D$11:$D$1010,$B133)))</f>
        <v/>
      </c>
      <c r="F133" s="43">
        <f>IF($B133="","",IF(INDEX('Work Orders'!$Q$11:$Q$1010,$B133)="","",INDEX('Work Orders'!$Q$11:$Q$1010,$B133)))</f>
        <v/>
      </c>
      <c r="G133" s="43">
        <f>IF($B133="","",IF(INDEX('Work Orders'!$V$11:$V$1010,$B133)="","",INDEX('Work Orders'!$V$11:$V$1010,$B133)))</f>
        <v/>
      </c>
      <c r="H133" s="47">
        <f>IF($B133="","",IF(INDEX('Work Orders'!$U$11:$U$1010,$B133)="","",INDEX('Work Orders'!$U$11:$U$1010,$B133)))</f>
        <v/>
      </c>
      <c r="I133" s="47">
        <f>IF($B133="","",IF(INDEX('Work Orders'!$X$11:$X$1010,$B133)="","",INDEX('Work Orders'!$X$11:$X$1010,$B133)))</f>
        <v/>
      </c>
      <c r="J133" s="44">
        <f>IF($B133="","",IF(INDEX('Work Orders'!$Z$11:$Z$1010,$B133)="","",INDEX('Work Orders'!$Z$11:$Z$1010,$B133)))</f>
        <v/>
      </c>
      <c r="K133" s="44">
        <f>IF($B133="","",IF(INDEX('Work Orders'!$AG$11:$AG$1010,$B133)="","",INDEX('Work Orders'!$AG$11:$AG$1010,$B133)))</f>
        <v/>
      </c>
      <c r="L133" s="44">
        <f>IF($B133="","",IF(INDEX('Work Orders'!$AH$11:$AH$1010,$B133)="","",INDEX('Work Orders'!$AH$11:$AH$1010,$B133)))</f>
        <v/>
      </c>
      <c r="M133" s="46">
        <f>IF($B133="","",IF(INDEX('Work Orders'!$AM$11:$AM$1010,$B133)="","",INDEX('Work Orders'!$AM$11:$AM$1010,$B133)))</f>
        <v/>
      </c>
      <c r="N133" s="43">
        <f>IF($B133="","",IF(INDEX('Work Orders'!$AL$11:$AL$1010,$B133)="","",INDEX('Work Orders'!$AL$11:$AL$1010,$B133)))</f>
        <v/>
      </c>
      <c r="O133" s="43">
        <f>IF($B133="","",IF(INDEX('Work Orders'!$N$11:$N$1010,$B133)="","",INDEX('Work Orders'!$N$11:$N$1010,$B133)))</f>
        <v/>
      </c>
    </row>
    <row r="134">
      <c r="A134" s="68" t="n">
        <v>128</v>
      </c>
      <c r="B134">
        <f>IFERROR(MATCH(A134,'Work Orders'!$AO$11:$AO$1010,0),"")</f>
        <v/>
      </c>
      <c r="C134" s="43">
        <f>IF($B134="","",IF(INDEX('Work Orders'!$A$11:$A$1010,$B134)="","",INDEX('Work Orders'!$A$11:$A$1010,$B134)))</f>
        <v/>
      </c>
      <c r="D134" s="43">
        <f>IF($B134="","",IF(INDEX('Work Orders'!$B$11:$B$1010,$B134)="","",INDEX('Work Orders'!$B$11:$B$1010,$B134)))</f>
        <v/>
      </c>
      <c r="E134" s="43">
        <f>IF($B134="","",IF(INDEX('Work Orders'!$D$11:$D$1010,$B134)="","",INDEX('Work Orders'!$D$11:$D$1010,$B134)))</f>
        <v/>
      </c>
      <c r="F134" s="43">
        <f>IF($B134="","",IF(INDEX('Work Orders'!$Q$11:$Q$1010,$B134)="","",INDEX('Work Orders'!$Q$11:$Q$1010,$B134)))</f>
        <v/>
      </c>
      <c r="G134" s="43">
        <f>IF($B134="","",IF(INDEX('Work Orders'!$V$11:$V$1010,$B134)="","",INDEX('Work Orders'!$V$11:$V$1010,$B134)))</f>
        <v/>
      </c>
      <c r="H134" s="47">
        <f>IF($B134="","",IF(INDEX('Work Orders'!$U$11:$U$1010,$B134)="","",INDEX('Work Orders'!$U$11:$U$1010,$B134)))</f>
        <v/>
      </c>
      <c r="I134" s="47">
        <f>IF($B134="","",IF(INDEX('Work Orders'!$X$11:$X$1010,$B134)="","",INDEX('Work Orders'!$X$11:$X$1010,$B134)))</f>
        <v/>
      </c>
      <c r="J134" s="44">
        <f>IF($B134="","",IF(INDEX('Work Orders'!$Z$11:$Z$1010,$B134)="","",INDEX('Work Orders'!$Z$11:$Z$1010,$B134)))</f>
        <v/>
      </c>
      <c r="K134" s="44">
        <f>IF($B134="","",IF(INDEX('Work Orders'!$AG$11:$AG$1010,$B134)="","",INDEX('Work Orders'!$AG$11:$AG$1010,$B134)))</f>
        <v/>
      </c>
      <c r="L134" s="44">
        <f>IF($B134="","",IF(INDEX('Work Orders'!$AH$11:$AH$1010,$B134)="","",INDEX('Work Orders'!$AH$11:$AH$1010,$B134)))</f>
        <v/>
      </c>
      <c r="M134" s="46">
        <f>IF($B134="","",IF(INDEX('Work Orders'!$AM$11:$AM$1010,$B134)="","",INDEX('Work Orders'!$AM$11:$AM$1010,$B134)))</f>
        <v/>
      </c>
      <c r="N134" s="43">
        <f>IF($B134="","",IF(INDEX('Work Orders'!$AL$11:$AL$1010,$B134)="","",INDEX('Work Orders'!$AL$11:$AL$1010,$B134)))</f>
        <v/>
      </c>
      <c r="O134" s="43">
        <f>IF($B134="","",IF(INDEX('Work Orders'!$N$11:$N$1010,$B134)="","",INDEX('Work Orders'!$N$11:$N$1010,$B134)))</f>
        <v/>
      </c>
    </row>
    <row r="135">
      <c r="A135" s="68" t="n">
        <v>129</v>
      </c>
      <c r="B135">
        <f>IFERROR(MATCH(A135,'Work Orders'!$AO$11:$AO$1010,0),"")</f>
        <v/>
      </c>
      <c r="C135" s="43">
        <f>IF($B135="","",IF(INDEX('Work Orders'!$A$11:$A$1010,$B135)="","",INDEX('Work Orders'!$A$11:$A$1010,$B135)))</f>
        <v/>
      </c>
      <c r="D135" s="43">
        <f>IF($B135="","",IF(INDEX('Work Orders'!$B$11:$B$1010,$B135)="","",INDEX('Work Orders'!$B$11:$B$1010,$B135)))</f>
        <v/>
      </c>
      <c r="E135" s="43">
        <f>IF($B135="","",IF(INDEX('Work Orders'!$D$11:$D$1010,$B135)="","",INDEX('Work Orders'!$D$11:$D$1010,$B135)))</f>
        <v/>
      </c>
      <c r="F135" s="43">
        <f>IF($B135="","",IF(INDEX('Work Orders'!$Q$11:$Q$1010,$B135)="","",INDEX('Work Orders'!$Q$11:$Q$1010,$B135)))</f>
        <v/>
      </c>
      <c r="G135" s="43">
        <f>IF($B135="","",IF(INDEX('Work Orders'!$V$11:$V$1010,$B135)="","",INDEX('Work Orders'!$V$11:$V$1010,$B135)))</f>
        <v/>
      </c>
      <c r="H135" s="47">
        <f>IF($B135="","",IF(INDEX('Work Orders'!$U$11:$U$1010,$B135)="","",INDEX('Work Orders'!$U$11:$U$1010,$B135)))</f>
        <v/>
      </c>
      <c r="I135" s="47">
        <f>IF($B135="","",IF(INDEX('Work Orders'!$X$11:$X$1010,$B135)="","",INDEX('Work Orders'!$X$11:$X$1010,$B135)))</f>
        <v/>
      </c>
      <c r="J135" s="44">
        <f>IF($B135="","",IF(INDEX('Work Orders'!$Z$11:$Z$1010,$B135)="","",INDEX('Work Orders'!$Z$11:$Z$1010,$B135)))</f>
        <v/>
      </c>
      <c r="K135" s="44">
        <f>IF($B135="","",IF(INDEX('Work Orders'!$AG$11:$AG$1010,$B135)="","",INDEX('Work Orders'!$AG$11:$AG$1010,$B135)))</f>
        <v/>
      </c>
      <c r="L135" s="44">
        <f>IF($B135="","",IF(INDEX('Work Orders'!$AH$11:$AH$1010,$B135)="","",INDEX('Work Orders'!$AH$11:$AH$1010,$B135)))</f>
        <v/>
      </c>
      <c r="M135" s="46">
        <f>IF($B135="","",IF(INDEX('Work Orders'!$AM$11:$AM$1010,$B135)="","",INDEX('Work Orders'!$AM$11:$AM$1010,$B135)))</f>
        <v/>
      </c>
      <c r="N135" s="43">
        <f>IF($B135="","",IF(INDEX('Work Orders'!$AL$11:$AL$1010,$B135)="","",INDEX('Work Orders'!$AL$11:$AL$1010,$B135)))</f>
        <v/>
      </c>
      <c r="O135" s="43">
        <f>IF($B135="","",IF(INDEX('Work Orders'!$N$11:$N$1010,$B135)="","",INDEX('Work Orders'!$N$11:$N$1010,$B135)))</f>
        <v/>
      </c>
    </row>
    <row r="136">
      <c r="A136" s="68" t="n">
        <v>130</v>
      </c>
      <c r="B136">
        <f>IFERROR(MATCH(A136,'Work Orders'!$AO$11:$AO$1010,0),"")</f>
        <v/>
      </c>
      <c r="C136" s="43">
        <f>IF($B136="","",IF(INDEX('Work Orders'!$A$11:$A$1010,$B136)="","",INDEX('Work Orders'!$A$11:$A$1010,$B136)))</f>
        <v/>
      </c>
      <c r="D136" s="43">
        <f>IF($B136="","",IF(INDEX('Work Orders'!$B$11:$B$1010,$B136)="","",INDEX('Work Orders'!$B$11:$B$1010,$B136)))</f>
        <v/>
      </c>
      <c r="E136" s="43">
        <f>IF($B136="","",IF(INDEX('Work Orders'!$D$11:$D$1010,$B136)="","",INDEX('Work Orders'!$D$11:$D$1010,$B136)))</f>
        <v/>
      </c>
      <c r="F136" s="43">
        <f>IF($B136="","",IF(INDEX('Work Orders'!$Q$11:$Q$1010,$B136)="","",INDEX('Work Orders'!$Q$11:$Q$1010,$B136)))</f>
        <v/>
      </c>
      <c r="G136" s="43">
        <f>IF($B136="","",IF(INDEX('Work Orders'!$V$11:$V$1010,$B136)="","",INDEX('Work Orders'!$V$11:$V$1010,$B136)))</f>
        <v/>
      </c>
      <c r="H136" s="47">
        <f>IF($B136="","",IF(INDEX('Work Orders'!$U$11:$U$1010,$B136)="","",INDEX('Work Orders'!$U$11:$U$1010,$B136)))</f>
        <v/>
      </c>
      <c r="I136" s="47">
        <f>IF($B136="","",IF(INDEX('Work Orders'!$X$11:$X$1010,$B136)="","",INDEX('Work Orders'!$X$11:$X$1010,$B136)))</f>
        <v/>
      </c>
      <c r="J136" s="44">
        <f>IF($B136="","",IF(INDEX('Work Orders'!$Z$11:$Z$1010,$B136)="","",INDEX('Work Orders'!$Z$11:$Z$1010,$B136)))</f>
        <v/>
      </c>
      <c r="K136" s="44">
        <f>IF($B136="","",IF(INDEX('Work Orders'!$AG$11:$AG$1010,$B136)="","",INDEX('Work Orders'!$AG$11:$AG$1010,$B136)))</f>
        <v/>
      </c>
      <c r="L136" s="44">
        <f>IF($B136="","",IF(INDEX('Work Orders'!$AH$11:$AH$1010,$B136)="","",INDEX('Work Orders'!$AH$11:$AH$1010,$B136)))</f>
        <v/>
      </c>
      <c r="M136" s="46">
        <f>IF($B136="","",IF(INDEX('Work Orders'!$AM$11:$AM$1010,$B136)="","",INDEX('Work Orders'!$AM$11:$AM$1010,$B136)))</f>
        <v/>
      </c>
      <c r="N136" s="43">
        <f>IF($B136="","",IF(INDEX('Work Orders'!$AL$11:$AL$1010,$B136)="","",INDEX('Work Orders'!$AL$11:$AL$1010,$B136)))</f>
        <v/>
      </c>
      <c r="O136" s="43">
        <f>IF($B136="","",IF(INDEX('Work Orders'!$N$11:$N$1010,$B136)="","",INDEX('Work Orders'!$N$11:$N$1010,$B136)))</f>
        <v/>
      </c>
    </row>
    <row r="137">
      <c r="A137" s="68" t="n">
        <v>131</v>
      </c>
      <c r="B137">
        <f>IFERROR(MATCH(A137,'Work Orders'!$AO$11:$AO$1010,0),"")</f>
        <v/>
      </c>
      <c r="C137" s="43">
        <f>IF($B137="","",IF(INDEX('Work Orders'!$A$11:$A$1010,$B137)="","",INDEX('Work Orders'!$A$11:$A$1010,$B137)))</f>
        <v/>
      </c>
      <c r="D137" s="43">
        <f>IF($B137="","",IF(INDEX('Work Orders'!$B$11:$B$1010,$B137)="","",INDEX('Work Orders'!$B$11:$B$1010,$B137)))</f>
        <v/>
      </c>
      <c r="E137" s="43">
        <f>IF($B137="","",IF(INDEX('Work Orders'!$D$11:$D$1010,$B137)="","",INDEX('Work Orders'!$D$11:$D$1010,$B137)))</f>
        <v/>
      </c>
      <c r="F137" s="43">
        <f>IF($B137="","",IF(INDEX('Work Orders'!$Q$11:$Q$1010,$B137)="","",INDEX('Work Orders'!$Q$11:$Q$1010,$B137)))</f>
        <v/>
      </c>
      <c r="G137" s="43">
        <f>IF($B137="","",IF(INDEX('Work Orders'!$V$11:$V$1010,$B137)="","",INDEX('Work Orders'!$V$11:$V$1010,$B137)))</f>
        <v/>
      </c>
      <c r="H137" s="47">
        <f>IF($B137="","",IF(INDEX('Work Orders'!$U$11:$U$1010,$B137)="","",INDEX('Work Orders'!$U$11:$U$1010,$B137)))</f>
        <v/>
      </c>
      <c r="I137" s="47">
        <f>IF($B137="","",IF(INDEX('Work Orders'!$X$11:$X$1010,$B137)="","",INDEX('Work Orders'!$X$11:$X$1010,$B137)))</f>
        <v/>
      </c>
      <c r="J137" s="44">
        <f>IF($B137="","",IF(INDEX('Work Orders'!$Z$11:$Z$1010,$B137)="","",INDEX('Work Orders'!$Z$11:$Z$1010,$B137)))</f>
        <v/>
      </c>
      <c r="K137" s="44">
        <f>IF($B137="","",IF(INDEX('Work Orders'!$AG$11:$AG$1010,$B137)="","",INDEX('Work Orders'!$AG$11:$AG$1010,$B137)))</f>
        <v/>
      </c>
      <c r="L137" s="44">
        <f>IF($B137="","",IF(INDEX('Work Orders'!$AH$11:$AH$1010,$B137)="","",INDEX('Work Orders'!$AH$11:$AH$1010,$B137)))</f>
        <v/>
      </c>
      <c r="M137" s="46">
        <f>IF($B137="","",IF(INDEX('Work Orders'!$AM$11:$AM$1010,$B137)="","",INDEX('Work Orders'!$AM$11:$AM$1010,$B137)))</f>
        <v/>
      </c>
      <c r="N137" s="43">
        <f>IF($B137="","",IF(INDEX('Work Orders'!$AL$11:$AL$1010,$B137)="","",INDEX('Work Orders'!$AL$11:$AL$1010,$B137)))</f>
        <v/>
      </c>
      <c r="O137" s="43">
        <f>IF($B137="","",IF(INDEX('Work Orders'!$N$11:$N$1010,$B137)="","",INDEX('Work Orders'!$N$11:$N$1010,$B137)))</f>
        <v/>
      </c>
    </row>
    <row r="138">
      <c r="A138" s="68" t="n">
        <v>132</v>
      </c>
      <c r="B138">
        <f>IFERROR(MATCH(A138,'Work Orders'!$AO$11:$AO$1010,0),"")</f>
        <v/>
      </c>
      <c r="C138" s="43">
        <f>IF($B138="","",IF(INDEX('Work Orders'!$A$11:$A$1010,$B138)="","",INDEX('Work Orders'!$A$11:$A$1010,$B138)))</f>
        <v/>
      </c>
      <c r="D138" s="43">
        <f>IF($B138="","",IF(INDEX('Work Orders'!$B$11:$B$1010,$B138)="","",INDEX('Work Orders'!$B$11:$B$1010,$B138)))</f>
        <v/>
      </c>
      <c r="E138" s="43">
        <f>IF($B138="","",IF(INDEX('Work Orders'!$D$11:$D$1010,$B138)="","",INDEX('Work Orders'!$D$11:$D$1010,$B138)))</f>
        <v/>
      </c>
      <c r="F138" s="43">
        <f>IF($B138="","",IF(INDEX('Work Orders'!$Q$11:$Q$1010,$B138)="","",INDEX('Work Orders'!$Q$11:$Q$1010,$B138)))</f>
        <v/>
      </c>
      <c r="G138" s="43">
        <f>IF($B138="","",IF(INDEX('Work Orders'!$V$11:$V$1010,$B138)="","",INDEX('Work Orders'!$V$11:$V$1010,$B138)))</f>
        <v/>
      </c>
      <c r="H138" s="47">
        <f>IF($B138="","",IF(INDEX('Work Orders'!$U$11:$U$1010,$B138)="","",INDEX('Work Orders'!$U$11:$U$1010,$B138)))</f>
        <v/>
      </c>
      <c r="I138" s="47">
        <f>IF($B138="","",IF(INDEX('Work Orders'!$X$11:$X$1010,$B138)="","",INDEX('Work Orders'!$X$11:$X$1010,$B138)))</f>
        <v/>
      </c>
      <c r="J138" s="44">
        <f>IF($B138="","",IF(INDEX('Work Orders'!$Z$11:$Z$1010,$B138)="","",INDEX('Work Orders'!$Z$11:$Z$1010,$B138)))</f>
        <v/>
      </c>
      <c r="K138" s="44">
        <f>IF($B138="","",IF(INDEX('Work Orders'!$AG$11:$AG$1010,$B138)="","",INDEX('Work Orders'!$AG$11:$AG$1010,$B138)))</f>
        <v/>
      </c>
      <c r="L138" s="44">
        <f>IF($B138="","",IF(INDEX('Work Orders'!$AH$11:$AH$1010,$B138)="","",INDEX('Work Orders'!$AH$11:$AH$1010,$B138)))</f>
        <v/>
      </c>
      <c r="M138" s="46">
        <f>IF($B138="","",IF(INDEX('Work Orders'!$AM$11:$AM$1010,$B138)="","",INDEX('Work Orders'!$AM$11:$AM$1010,$B138)))</f>
        <v/>
      </c>
      <c r="N138" s="43">
        <f>IF($B138="","",IF(INDEX('Work Orders'!$AL$11:$AL$1010,$B138)="","",INDEX('Work Orders'!$AL$11:$AL$1010,$B138)))</f>
        <v/>
      </c>
      <c r="O138" s="43">
        <f>IF($B138="","",IF(INDEX('Work Orders'!$N$11:$N$1010,$B138)="","",INDEX('Work Orders'!$N$11:$N$1010,$B138)))</f>
        <v/>
      </c>
    </row>
    <row r="139">
      <c r="A139" s="68" t="n">
        <v>133</v>
      </c>
      <c r="B139">
        <f>IFERROR(MATCH(A139,'Work Orders'!$AO$11:$AO$1010,0),"")</f>
        <v/>
      </c>
      <c r="C139" s="43">
        <f>IF($B139="","",IF(INDEX('Work Orders'!$A$11:$A$1010,$B139)="","",INDEX('Work Orders'!$A$11:$A$1010,$B139)))</f>
        <v/>
      </c>
      <c r="D139" s="43">
        <f>IF($B139="","",IF(INDEX('Work Orders'!$B$11:$B$1010,$B139)="","",INDEX('Work Orders'!$B$11:$B$1010,$B139)))</f>
        <v/>
      </c>
      <c r="E139" s="43">
        <f>IF($B139="","",IF(INDEX('Work Orders'!$D$11:$D$1010,$B139)="","",INDEX('Work Orders'!$D$11:$D$1010,$B139)))</f>
        <v/>
      </c>
      <c r="F139" s="43">
        <f>IF($B139="","",IF(INDEX('Work Orders'!$Q$11:$Q$1010,$B139)="","",INDEX('Work Orders'!$Q$11:$Q$1010,$B139)))</f>
        <v/>
      </c>
      <c r="G139" s="43">
        <f>IF($B139="","",IF(INDEX('Work Orders'!$V$11:$V$1010,$B139)="","",INDEX('Work Orders'!$V$11:$V$1010,$B139)))</f>
        <v/>
      </c>
      <c r="H139" s="47">
        <f>IF($B139="","",IF(INDEX('Work Orders'!$U$11:$U$1010,$B139)="","",INDEX('Work Orders'!$U$11:$U$1010,$B139)))</f>
        <v/>
      </c>
      <c r="I139" s="47">
        <f>IF($B139="","",IF(INDEX('Work Orders'!$X$11:$X$1010,$B139)="","",INDEX('Work Orders'!$X$11:$X$1010,$B139)))</f>
        <v/>
      </c>
      <c r="J139" s="44">
        <f>IF($B139="","",IF(INDEX('Work Orders'!$Z$11:$Z$1010,$B139)="","",INDEX('Work Orders'!$Z$11:$Z$1010,$B139)))</f>
        <v/>
      </c>
      <c r="K139" s="44">
        <f>IF($B139="","",IF(INDEX('Work Orders'!$AG$11:$AG$1010,$B139)="","",INDEX('Work Orders'!$AG$11:$AG$1010,$B139)))</f>
        <v/>
      </c>
      <c r="L139" s="44">
        <f>IF($B139="","",IF(INDEX('Work Orders'!$AH$11:$AH$1010,$B139)="","",INDEX('Work Orders'!$AH$11:$AH$1010,$B139)))</f>
        <v/>
      </c>
      <c r="M139" s="46">
        <f>IF($B139="","",IF(INDEX('Work Orders'!$AM$11:$AM$1010,$B139)="","",INDEX('Work Orders'!$AM$11:$AM$1010,$B139)))</f>
        <v/>
      </c>
      <c r="N139" s="43">
        <f>IF($B139="","",IF(INDEX('Work Orders'!$AL$11:$AL$1010,$B139)="","",INDEX('Work Orders'!$AL$11:$AL$1010,$B139)))</f>
        <v/>
      </c>
      <c r="O139" s="43">
        <f>IF($B139="","",IF(INDEX('Work Orders'!$N$11:$N$1010,$B139)="","",INDEX('Work Orders'!$N$11:$N$1010,$B139)))</f>
        <v/>
      </c>
    </row>
    <row r="140">
      <c r="A140" s="68" t="n">
        <v>134</v>
      </c>
      <c r="B140">
        <f>IFERROR(MATCH(A140,'Work Orders'!$AO$11:$AO$1010,0),"")</f>
        <v/>
      </c>
      <c r="C140" s="43">
        <f>IF($B140="","",IF(INDEX('Work Orders'!$A$11:$A$1010,$B140)="","",INDEX('Work Orders'!$A$11:$A$1010,$B140)))</f>
        <v/>
      </c>
      <c r="D140" s="43">
        <f>IF($B140="","",IF(INDEX('Work Orders'!$B$11:$B$1010,$B140)="","",INDEX('Work Orders'!$B$11:$B$1010,$B140)))</f>
        <v/>
      </c>
      <c r="E140" s="43">
        <f>IF($B140="","",IF(INDEX('Work Orders'!$D$11:$D$1010,$B140)="","",INDEX('Work Orders'!$D$11:$D$1010,$B140)))</f>
        <v/>
      </c>
      <c r="F140" s="43">
        <f>IF($B140="","",IF(INDEX('Work Orders'!$Q$11:$Q$1010,$B140)="","",INDEX('Work Orders'!$Q$11:$Q$1010,$B140)))</f>
        <v/>
      </c>
      <c r="G140" s="43">
        <f>IF($B140="","",IF(INDEX('Work Orders'!$V$11:$V$1010,$B140)="","",INDEX('Work Orders'!$V$11:$V$1010,$B140)))</f>
        <v/>
      </c>
      <c r="H140" s="47">
        <f>IF($B140="","",IF(INDEX('Work Orders'!$U$11:$U$1010,$B140)="","",INDEX('Work Orders'!$U$11:$U$1010,$B140)))</f>
        <v/>
      </c>
      <c r="I140" s="47">
        <f>IF($B140="","",IF(INDEX('Work Orders'!$X$11:$X$1010,$B140)="","",INDEX('Work Orders'!$X$11:$X$1010,$B140)))</f>
        <v/>
      </c>
      <c r="J140" s="44">
        <f>IF($B140="","",IF(INDEX('Work Orders'!$Z$11:$Z$1010,$B140)="","",INDEX('Work Orders'!$Z$11:$Z$1010,$B140)))</f>
        <v/>
      </c>
      <c r="K140" s="44">
        <f>IF($B140="","",IF(INDEX('Work Orders'!$AG$11:$AG$1010,$B140)="","",INDEX('Work Orders'!$AG$11:$AG$1010,$B140)))</f>
        <v/>
      </c>
      <c r="L140" s="44">
        <f>IF($B140="","",IF(INDEX('Work Orders'!$AH$11:$AH$1010,$B140)="","",INDEX('Work Orders'!$AH$11:$AH$1010,$B140)))</f>
        <v/>
      </c>
      <c r="M140" s="46">
        <f>IF($B140="","",IF(INDEX('Work Orders'!$AM$11:$AM$1010,$B140)="","",INDEX('Work Orders'!$AM$11:$AM$1010,$B140)))</f>
        <v/>
      </c>
      <c r="N140" s="43">
        <f>IF($B140="","",IF(INDEX('Work Orders'!$AL$11:$AL$1010,$B140)="","",INDEX('Work Orders'!$AL$11:$AL$1010,$B140)))</f>
        <v/>
      </c>
      <c r="O140" s="43">
        <f>IF($B140="","",IF(INDEX('Work Orders'!$N$11:$N$1010,$B140)="","",INDEX('Work Orders'!$N$11:$N$1010,$B140)))</f>
        <v/>
      </c>
    </row>
    <row r="141">
      <c r="A141" s="68" t="n">
        <v>135</v>
      </c>
      <c r="B141">
        <f>IFERROR(MATCH(A141,'Work Orders'!$AO$11:$AO$1010,0),"")</f>
        <v/>
      </c>
      <c r="C141" s="43">
        <f>IF($B141="","",IF(INDEX('Work Orders'!$A$11:$A$1010,$B141)="","",INDEX('Work Orders'!$A$11:$A$1010,$B141)))</f>
        <v/>
      </c>
      <c r="D141" s="43">
        <f>IF($B141="","",IF(INDEX('Work Orders'!$B$11:$B$1010,$B141)="","",INDEX('Work Orders'!$B$11:$B$1010,$B141)))</f>
        <v/>
      </c>
      <c r="E141" s="43">
        <f>IF($B141="","",IF(INDEX('Work Orders'!$D$11:$D$1010,$B141)="","",INDEX('Work Orders'!$D$11:$D$1010,$B141)))</f>
        <v/>
      </c>
      <c r="F141" s="43">
        <f>IF($B141="","",IF(INDEX('Work Orders'!$Q$11:$Q$1010,$B141)="","",INDEX('Work Orders'!$Q$11:$Q$1010,$B141)))</f>
        <v/>
      </c>
      <c r="G141" s="43">
        <f>IF($B141="","",IF(INDEX('Work Orders'!$V$11:$V$1010,$B141)="","",INDEX('Work Orders'!$V$11:$V$1010,$B141)))</f>
        <v/>
      </c>
      <c r="H141" s="47">
        <f>IF($B141="","",IF(INDEX('Work Orders'!$U$11:$U$1010,$B141)="","",INDEX('Work Orders'!$U$11:$U$1010,$B141)))</f>
        <v/>
      </c>
      <c r="I141" s="47">
        <f>IF($B141="","",IF(INDEX('Work Orders'!$X$11:$X$1010,$B141)="","",INDEX('Work Orders'!$X$11:$X$1010,$B141)))</f>
        <v/>
      </c>
      <c r="J141" s="44">
        <f>IF($B141="","",IF(INDEX('Work Orders'!$Z$11:$Z$1010,$B141)="","",INDEX('Work Orders'!$Z$11:$Z$1010,$B141)))</f>
        <v/>
      </c>
      <c r="K141" s="44">
        <f>IF($B141="","",IF(INDEX('Work Orders'!$AG$11:$AG$1010,$B141)="","",INDEX('Work Orders'!$AG$11:$AG$1010,$B141)))</f>
        <v/>
      </c>
      <c r="L141" s="44">
        <f>IF($B141="","",IF(INDEX('Work Orders'!$AH$11:$AH$1010,$B141)="","",INDEX('Work Orders'!$AH$11:$AH$1010,$B141)))</f>
        <v/>
      </c>
      <c r="M141" s="46">
        <f>IF($B141="","",IF(INDEX('Work Orders'!$AM$11:$AM$1010,$B141)="","",INDEX('Work Orders'!$AM$11:$AM$1010,$B141)))</f>
        <v/>
      </c>
      <c r="N141" s="43">
        <f>IF($B141="","",IF(INDEX('Work Orders'!$AL$11:$AL$1010,$B141)="","",INDEX('Work Orders'!$AL$11:$AL$1010,$B141)))</f>
        <v/>
      </c>
      <c r="O141" s="43">
        <f>IF($B141="","",IF(INDEX('Work Orders'!$N$11:$N$1010,$B141)="","",INDEX('Work Orders'!$N$11:$N$1010,$B141)))</f>
        <v/>
      </c>
    </row>
    <row r="142">
      <c r="A142" s="68" t="n">
        <v>136</v>
      </c>
      <c r="B142">
        <f>IFERROR(MATCH(A142,'Work Orders'!$AO$11:$AO$1010,0),"")</f>
        <v/>
      </c>
      <c r="C142" s="43">
        <f>IF($B142="","",IF(INDEX('Work Orders'!$A$11:$A$1010,$B142)="","",INDEX('Work Orders'!$A$11:$A$1010,$B142)))</f>
        <v/>
      </c>
      <c r="D142" s="43">
        <f>IF($B142="","",IF(INDEX('Work Orders'!$B$11:$B$1010,$B142)="","",INDEX('Work Orders'!$B$11:$B$1010,$B142)))</f>
        <v/>
      </c>
      <c r="E142" s="43">
        <f>IF($B142="","",IF(INDEX('Work Orders'!$D$11:$D$1010,$B142)="","",INDEX('Work Orders'!$D$11:$D$1010,$B142)))</f>
        <v/>
      </c>
      <c r="F142" s="43">
        <f>IF($B142="","",IF(INDEX('Work Orders'!$Q$11:$Q$1010,$B142)="","",INDEX('Work Orders'!$Q$11:$Q$1010,$B142)))</f>
        <v/>
      </c>
      <c r="G142" s="43">
        <f>IF($B142="","",IF(INDEX('Work Orders'!$V$11:$V$1010,$B142)="","",INDEX('Work Orders'!$V$11:$V$1010,$B142)))</f>
        <v/>
      </c>
      <c r="H142" s="47">
        <f>IF($B142="","",IF(INDEX('Work Orders'!$U$11:$U$1010,$B142)="","",INDEX('Work Orders'!$U$11:$U$1010,$B142)))</f>
        <v/>
      </c>
      <c r="I142" s="47">
        <f>IF($B142="","",IF(INDEX('Work Orders'!$X$11:$X$1010,$B142)="","",INDEX('Work Orders'!$X$11:$X$1010,$B142)))</f>
        <v/>
      </c>
      <c r="J142" s="44">
        <f>IF($B142="","",IF(INDEX('Work Orders'!$Z$11:$Z$1010,$B142)="","",INDEX('Work Orders'!$Z$11:$Z$1010,$B142)))</f>
        <v/>
      </c>
      <c r="K142" s="44">
        <f>IF($B142="","",IF(INDEX('Work Orders'!$AG$11:$AG$1010,$B142)="","",INDEX('Work Orders'!$AG$11:$AG$1010,$B142)))</f>
        <v/>
      </c>
      <c r="L142" s="44">
        <f>IF($B142="","",IF(INDEX('Work Orders'!$AH$11:$AH$1010,$B142)="","",INDEX('Work Orders'!$AH$11:$AH$1010,$B142)))</f>
        <v/>
      </c>
      <c r="M142" s="46">
        <f>IF($B142="","",IF(INDEX('Work Orders'!$AM$11:$AM$1010,$B142)="","",INDEX('Work Orders'!$AM$11:$AM$1010,$B142)))</f>
        <v/>
      </c>
      <c r="N142" s="43">
        <f>IF($B142="","",IF(INDEX('Work Orders'!$AL$11:$AL$1010,$B142)="","",INDEX('Work Orders'!$AL$11:$AL$1010,$B142)))</f>
        <v/>
      </c>
      <c r="O142" s="43">
        <f>IF($B142="","",IF(INDEX('Work Orders'!$N$11:$N$1010,$B142)="","",INDEX('Work Orders'!$N$11:$N$1010,$B142)))</f>
        <v/>
      </c>
    </row>
    <row r="143">
      <c r="A143" s="68" t="n">
        <v>137</v>
      </c>
      <c r="B143">
        <f>IFERROR(MATCH(A143,'Work Orders'!$AO$11:$AO$1010,0),"")</f>
        <v/>
      </c>
      <c r="C143" s="43">
        <f>IF($B143="","",IF(INDEX('Work Orders'!$A$11:$A$1010,$B143)="","",INDEX('Work Orders'!$A$11:$A$1010,$B143)))</f>
        <v/>
      </c>
      <c r="D143" s="43">
        <f>IF($B143="","",IF(INDEX('Work Orders'!$B$11:$B$1010,$B143)="","",INDEX('Work Orders'!$B$11:$B$1010,$B143)))</f>
        <v/>
      </c>
      <c r="E143" s="43">
        <f>IF($B143="","",IF(INDEX('Work Orders'!$D$11:$D$1010,$B143)="","",INDEX('Work Orders'!$D$11:$D$1010,$B143)))</f>
        <v/>
      </c>
      <c r="F143" s="43">
        <f>IF($B143="","",IF(INDEX('Work Orders'!$Q$11:$Q$1010,$B143)="","",INDEX('Work Orders'!$Q$11:$Q$1010,$B143)))</f>
        <v/>
      </c>
      <c r="G143" s="43">
        <f>IF($B143="","",IF(INDEX('Work Orders'!$V$11:$V$1010,$B143)="","",INDEX('Work Orders'!$V$11:$V$1010,$B143)))</f>
        <v/>
      </c>
      <c r="H143" s="47">
        <f>IF($B143="","",IF(INDEX('Work Orders'!$U$11:$U$1010,$B143)="","",INDEX('Work Orders'!$U$11:$U$1010,$B143)))</f>
        <v/>
      </c>
      <c r="I143" s="47">
        <f>IF($B143="","",IF(INDEX('Work Orders'!$X$11:$X$1010,$B143)="","",INDEX('Work Orders'!$X$11:$X$1010,$B143)))</f>
        <v/>
      </c>
      <c r="J143" s="44">
        <f>IF($B143="","",IF(INDEX('Work Orders'!$Z$11:$Z$1010,$B143)="","",INDEX('Work Orders'!$Z$11:$Z$1010,$B143)))</f>
        <v/>
      </c>
      <c r="K143" s="44">
        <f>IF($B143="","",IF(INDEX('Work Orders'!$AG$11:$AG$1010,$B143)="","",INDEX('Work Orders'!$AG$11:$AG$1010,$B143)))</f>
        <v/>
      </c>
      <c r="L143" s="44">
        <f>IF($B143="","",IF(INDEX('Work Orders'!$AH$11:$AH$1010,$B143)="","",INDEX('Work Orders'!$AH$11:$AH$1010,$B143)))</f>
        <v/>
      </c>
      <c r="M143" s="46">
        <f>IF($B143="","",IF(INDEX('Work Orders'!$AM$11:$AM$1010,$B143)="","",INDEX('Work Orders'!$AM$11:$AM$1010,$B143)))</f>
        <v/>
      </c>
      <c r="N143" s="43">
        <f>IF($B143="","",IF(INDEX('Work Orders'!$AL$11:$AL$1010,$B143)="","",INDEX('Work Orders'!$AL$11:$AL$1010,$B143)))</f>
        <v/>
      </c>
      <c r="O143" s="43">
        <f>IF($B143="","",IF(INDEX('Work Orders'!$N$11:$N$1010,$B143)="","",INDEX('Work Orders'!$N$11:$N$1010,$B143)))</f>
        <v/>
      </c>
    </row>
    <row r="144">
      <c r="A144" s="68" t="n">
        <v>138</v>
      </c>
      <c r="B144">
        <f>IFERROR(MATCH(A144,'Work Orders'!$AO$11:$AO$1010,0),"")</f>
        <v/>
      </c>
      <c r="C144" s="43">
        <f>IF($B144="","",IF(INDEX('Work Orders'!$A$11:$A$1010,$B144)="","",INDEX('Work Orders'!$A$11:$A$1010,$B144)))</f>
        <v/>
      </c>
      <c r="D144" s="43">
        <f>IF($B144="","",IF(INDEX('Work Orders'!$B$11:$B$1010,$B144)="","",INDEX('Work Orders'!$B$11:$B$1010,$B144)))</f>
        <v/>
      </c>
      <c r="E144" s="43">
        <f>IF($B144="","",IF(INDEX('Work Orders'!$D$11:$D$1010,$B144)="","",INDEX('Work Orders'!$D$11:$D$1010,$B144)))</f>
        <v/>
      </c>
      <c r="F144" s="43">
        <f>IF($B144="","",IF(INDEX('Work Orders'!$Q$11:$Q$1010,$B144)="","",INDEX('Work Orders'!$Q$11:$Q$1010,$B144)))</f>
        <v/>
      </c>
      <c r="G144" s="43">
        <f>IF($B144="","",IF(INDEX('Work Orders'!$V$11:$V$1010,$B144)="","",INDEX('Work Orders'!$V$11:$V$1010,$B144)))</f>
        <v/>
      </c>
      <c r="H144" s="47">
        <f>IF($B144="","",IF(INDEX('Work Orders'!$U$11:$U$1010,$B144)="","",INDEX('Work Orders'!$U$11:$U$1010,$B144)))</f>
        <v/>
      </c>
      <c r="I144" s="47">
        <f>IF($B144="","",IF(INDEX('Work Orders'!$X$11:$X$1010,$B144)="","",INDEX('Work Orders'!$X$11:$X$1010,$B144)))</f>
        <v/>
      </c>
      <c r="J144" s="44">
        <f>IF($B144="","",IF(INDEX('Work Orders'!$Z$11:$Z$1010,$B144)="","",INDEX('Work Orders'!$Z$11:$Z$1010,$B144)))</f>
        <v/>
      </c>
      <c r="K144" s="44">
        <f>IF($B144="","",IF(INDEX('Work Orders'!$AG$11:$AG$1010,$B144)="","",INDEX('Work Orders'!$AG$11:$AG$1010,$B144)))</f>
        <v/>
      </c>
      <c r="L144" s="44">
        <f>IF($B144="","",IF(INDEX('Work Orders'!$AH$11:$AH$1010,$B144)="","",INDEX('Work Orders'!$AH$11:$AH$1010,$B144)))</f>
        <v/>
      </c>
      <c r="M144" s="46">
        <f>IF($B144="","",IF(INDEX('Work Orders'!$AM$11:$AM$1010,$B144)="","",INDEX('Work Orders'!$AM$11:$AM$1010,$B144)))</f>
        <v/>
      </c>
      <c r="N144" s="43">
        <f>IF($B144="","",IF(INDEX('Work Orders'!$AL$11:$AL$1010,$B144)="","",INDEX('Work Orders'!$AL$11:$AL$1010,$B144)))</f>
        <v/>
      </c>
      <c r="O144" s="43">
        <f>IF($B144="","",IF(INDEX('Work Orders'!$N$11:$N$1010,$B144)="","",INDEX('Work Orders'!$N$11:$N$1010,$B144)))</f>
        <v/>
      </c>
    </row>
    <row r="145">
      <c r="A145" s="68" t="n">
        <v>139</v>
      </c>
      <c r="B145">
        <f>IFERROR(MATCH(A145,'Work Orders'!$AO$11:$AO$1010,0),"")</f>
        <v/>
      </c>
      <c r="C145" s="43">
        <f>IF($B145="","",IF(INDEX('Work Orders'!$A$11:$A$1010,$B145)="","",INDEX('Work Orders'!$A$11:$A$1010,$B145)))</f>
        <v/>
      </c>
      <c r="D145" s="43">
        <f>IF($B145="","",IF(INDEX('Work Orders'!$B$11:$B$1010,$B145)="","",INDEX('Work Orders'!$B$11:$B$1010,$B145)))</f>
        <v/>
      </c>
      <c r="E145" s="43">
        <f>IF($B145="","",IF(INDEX('Work Orders'!$D$11:$D$1010,$B145)="","",INDEX('Work Orders'!$D$11:$D$1010,$B145)))</f>
        <v/>
      </c>
      <c r="F145" s="43">
        <f>IF($B145="","",IF(INDEX('Work Orders'!$Q$11:$Q$1010,$B145)="","",INDEX('Work Orders'!$Q$11:$Q$1010,$B145)))</f>
        <v/>
      </c>
      <c r="G145" s="43">
        <f>IF($B145="","",IF(INDEX('Work Orders'!$V$11:$V$1010,$B145)="","",INDEX('Work Orders'!$V$11:$V$1010,$B145)))</f>
        <v/>
      </c>
      <c r="H145" s="47">
        <f>IF($B145="","",IF(INDEX('Work Orders'!$U$11:$U$1010,$B145)="","",INDEX('Work Orders'!$U$11:$U$1010,$B145)))</f>
        <v/>
      </c>
      <c r="I145" s="47">
        <f>IF($B145="","",IF(INDEX('Work Orders'!$X$11:$X$1010,$B145)="","",INDEX('Work Orders'!$X$11:$X$1010,$B145)))</f>
        <v/>
      </c>
      <c r="J145" s="44">
        <f>IF($B145="","",IF(INDEX('Work Orders'!$Z$11:$Z$1010,$B145)="","",INDEX('Work Orders'!$Z$11:$Z$1010,$B145)))</f>
        <v/>
      </c>
      <c r="K145" s="44">
        <f>IF($B145="","",IF(INDEX('Work Orders'!$AG$11:$AG$1010,$B145)="","",INDEX('Work Orders'!$AG$11:$AG$1010,$B145)))</f>
        <v/>
      </c>
      <c r="L145" s="44">
        <f>IF($B145="","",IF(INDEX('Work Orders'!$AH$11:$AH$1010,$B145)="","",INDEX('Work Orders'!$AH$11:$AH$1010,$B145)))</f>
        <v/>
      </c>
      <c r="M145" s="46">
        <f>IF($B145="","",IF(INDEX('Work Orders'!$AM$11:$AM$1010,$B145)="","",INDEX('Work Orders'!$AM$11:$AM$1010,$B145)))</f>
        <v/>
      </c>
      <c r="N145" s="43">
        <f>IF($B145="","",IF(INDEX('Work Orders'!$AL$11:$AL$1010,$B145)="","",INDEX('Work Orders'!$AL$11:$AL$1010,$B145)))</f>
        <v/>
      </c>
      <c r="O145" s="43">
        <f>IF($B145="","",IF(INDEX('Work Orders'!$N$11:$N$1010,$B145)="","",INDEX('Work Orders'!$N$11:$N$1010,$B145)))</f>
        <v/>
      </c>
    </row>
    <row r="146">
      <c r="A146" s="68" t="n">
        <v>140</v>
      </c>
      <c r="B146">
        <f>IFERROR(MATCH(A146,'Work Orders'!$AO$11:$AO$1010,0),"")</f>
        <v/>
      </c>
      <c r="C146" s="43">
        <f>IF($B146="","",IF(INDEX('Work Orders'!$A$11:$A$1010,$B146)="","",INDEX('Work Orders'!$A$11:$A$1010,$B146)))</f>
        <v/>
      </c>
      <c r="D146" s="43">
        <f>IF($B146="","",IF(INDEX('Work Orders'!$B$11:$B$1010,$B146)="","",INDEX('Work Orders'!$B$11:$B$1010,$B146)))</f>
        <v/>
      </c>
      <c r="E146" s="43">
        <f>IF($B146="","",IF(INDEX('Work Orders'!$D$11:$D$1010,$B146)="","",INDEX('Work Orders'!$D$11:$D$1010,$B146)))</f>
        <v/>
      </c>
      <c r="F146" s="43">
        <f>IF($B146="","",IF(INDEX('Work Orders'!$Q$11:$Q$1010,$B146)="","",INDEX('Work Orders'!$Q$11:$Q$1010,$B146)))</f>
        <v/>
      </c>
      <c r="G146" s="43">
        <f>IF($B146="","",IF(INDEX('Work Orders'!$V$11:$V$1010,$B146)="","",INDEX('Work Orders'!$V$11:$V$1010,$B146)))</f>
        <v/>
      </c>
      <c r="H146" s="47">
        <f>IF($B146="","",IF(INDEX('Work Orders'!$U$11:$U$1010,$B146)="","",INDEX('Work Orders'!$U$11:$U$1010,$B146)))</f>
        <v/>
      </c>
      <c r="I146" s="47">
        <f>IF($B146="","",IF(INDEX('Work Orders'!$X$11:$X$1010,$B146)="","",INDEX('Work Orders'!$X$11:$X$1010,$B146)))</f>
        <v/>
      </c>
      <c r="J146" s="44">
        <f>IF($B146="","",IF(INDEX('Work Orders'!$Z$11:$Z$1010,$B146)="","",INDEX('Work Orders'!$Z$11:$Z$1010,$B146)))</f>
        <v/>
      </c>
      <c r="K146" s="44">
        <f>IF($B146="","",IF(INDEX('Work Orders'!$AG$11:$AG$1010,$B146)="","",INDEX('Work Orders'!$AG$11:$AG$1010,$B146)))</f>
        <v/>
      </c>
      <c r="L146" s="44">
        <f>IF($B146="","",IF(INDEX('Work Orders'!$AH$11:$AH$1010,$B146)="","",INDEX('Work Orders'!$AH$11:$AH$1010,$B146)))</f>
        <v/>
      </c>
      <c r="M146" s="46">
        <f>IF($B146="","",IF(INDEX('Work Orders'!$AM$11:$AM$1010,$B146)="","",INDEX('Work Orders'!$AM$11:$AM$1010,$B146)))</f>
        <v/>
      </c>
      <c r="N146" s="43">
        <f>IF($B146="","",IF(INDEX('Work Orders'!$AL$11:$AL$1010,$B146)="","",INDEX('Work Orders'!$AL$11:$AL$1010,$B146)))</f>
        <v/>
      </c>
      <c r="O146" s="43">
        <f>IF($B146="","",IF(INDEX('Work Orders'!$N$11:$N$1010,$B146)="","",INDEX('Work Orders'!$N$11:$N$1010,$B146)))</f>
        <v/>
      </c>
    </row>
    <row r="147">
      <c r="A147" s="68" t="n">
        <v>141</v>
      </c>
      <c r="B147">
        <f>IFERROR(MATCH(A147,'Work Orders'!$AO$11:$AO$1010,0),"")</f>
        <v/>
      </c>
      <c r="C147" s="43">
        <f>IF($B147="","",IF(INDEX('Work Orders'!$A$11:$A$1010,$B147)="","",INDEX('Work Orders'!$A$11:$A$1010,$B147)))</f>
        <v/>
      </c>
      <c r="D147" s="43">
        <f>IF($B147="","",IF(INDEX('Work Orders'!$B$11:$B$1010,$B147)="","",INDEX('Work Orders'!$B$11:$B$1010,$B147)))</f>
        <v/>
      </c>
      <c r="E147" s="43">
        <f>IF($B147="","",IF(INDEX('Work Orders'!$D$11:$D$1010,$B147)="","",INDEX('Work Orders'!$D$11:$D$1010,$B147)))</f>
        <v/>
      </c>
      <c r="F147" s="43">
        <f>IF($B147="","",IF(INDEX('Work Orders'!$Q$11:$Q$1010,$B147)="","",INDEX('Work Orders'!$Q$11:$Q$1010,$B147)))</f>
        <v/>
      </c>
      <c r="G147" s="43">
        <f>IF($B147="","",IF(INDEX('Work Orders'!$V$11:$V$1010,$B147)="","",INDEX('Work Orders'!$V$11:$V$1010,$B147)))</f>
        <v/>
      </c>
      <c r="H147" s="47">
        <f>IF($B147="","",IF(INDEX('Work Orders'!$U$11:$U$1010,$B147)="","",INDEX('Work Orders'!$U$11:$U$1010,$B147)))</f>
        <v/>
      </c>
      <c r="I147" s="47">
        <f>IF($B147="","",IF(INDEX('Work Orders'!$X$11:$X$1010,$B147)="","",INDEX('Work Orders'!$X$11:$X$1010,$B147)))</f>
        <v/>
      </c>
      <c r="J147" s="44">
        <f>IF($B147="","",IF(INDEX('Work Orders'!$Z$11:$Z$1010,$B147)="","",INDEX('Work Orders'!$Z$11:$Z$1010,$B147)))</f>
        <v/>
      </c>
      <c r="K147" s="44">
        <f>IF($B147="","",IF(INDEX('Work Orders'!$AG$11:$AG$1010,$B147)="","",INDEX('Work Orders'!$AG$11:$AG$1010,$B147)))</f>
        <v/>
      </c>
      <c r="L147" s="44">
        <f>IF($B147="","",IF(INDEX('Work Orders'!$AH$11:$AH$1010,$B147)="","",INDEX('Work Orders'!$AH$11:$AH$1010,$B147)))</f>
        <v/>
      </c>
      <c r="M147" s="46">
        <f>IF($B147="","",IF(INDEX('Work Orders'!$AM$11:$AM$1010,$B147)="","",INDEX('Work Orders'!$AM$11:$AM$1010,$B147)))</f>
        <v/>
      </c>
      <c r="N147" s="43">
        <f>IF($B147="","",IF(INDEX('Work Orders'!$AL$11:$AL$1010,$B147)="","",INDEX('Work Orders'!$AL$11:$AL$1010,$B147)))</f>
        <v/>
      </c>
      <c r="O147" s="43">
        <f>IF($B147="","",IF(INDEX('Work Orders'!$N$11:$N$1010,$B147)="","",INDEX('Work Orders'!$N$11:$N$1010,$B147)))</f>
        <v/>
      </c>
    </row>
    <row r="148">
      <c r="A148" s="68" t="n">
        <v>142</v>
      </c>
      <c r="B148">
        <f>IFERROR(MATCH(A148,'Work Orders'!$AO$11:$AO$1010,0),"")</f>
        <v/>
      </c>
      <c r="C148" s="43">
        <f>IF($B148="","",IF(INDEX('Work Orders'!$A$11:$A$1010,$B148)="","",INDEX('Work Orders'!$A$11:$A$1010,$B148)))</f>
        <v/>
      </c>
      <c r="D148" s="43">
        <f>IF($B148="","",IF(INDEX('Work Orders'!$B$11:$B$1010,$B148)="","",INDEX('Work Orders'!$B$11:$B$1010,$B148)))</f>
        <v/>
      </c>
      <c r="E148" s="43">
        <f>IF($B148="","",IF(INDEX('Work Orders'!$D$11:$D$1010,$B148)="","",INDEX('Work Orders'!$D$11:$D$1010,$B148)))</f>
        <v/>
      </c>
      <c r="F148" s="43">
        <f>IF($B148="","",IF(INDEX('Work Orders'!$Q$11:$Q$1010,$B148)="","",INDEX('Work Orders'!$Q$11:$Q$1010,$B148)))</f>
        <v/>
      </c>
      <c r="G148" s="43">
        <f>IF($B148="","",IF(INDEX('Work Orders'!$V$11:$V$1010,$B148)="","",INDEX('Work Orders'!$V$11:$V$1010,$B148)))</f>
        <v/>
      </c>
      <c r="H148" s="47">
        <f>IF($B148="","",IF(INDEX('Work Orders'!$U$11:$U$1010,$B148)="","",INDEX('Work Orders'!$U$11:$U$1010,$B148)))</f>
        <v/>
      </c>
      <c r="I148" s="47">
        <f>IF($B148="","",IF(INDEX('Work Orders'!$X$11:$X$1010,$B148)="","",INDEX('Work Orders'!$X$11:$X$1010,$B148)))</f>
        <v/>
      </c>
      <c r="J148" s="44">
        <f>IF($B148="","",IF(INDEX('Work Orders'!$Z$11:$Z$1010,$B148)="","",INDEX('Work Orders'!$Z$11:$Z$1010,$B148)))</f>
        <v/>
      </c>
      <c r="K148" s="44">
        <f>IF($B148="","",IF(INDEX('Work Orders'!$AG$11:$AG$1010,$B148)="","",INDEX('Work Orders'!$AG$11:$AG$1010,$B148)))</f>
        <v/>
      </c>
      <c r="L148" s="44">
        <f>IF($B148="","",IF(INDEX('Work Orders'!$AH$11:$AH$1010,$B148)="","",INDEX('Work Orders'!$AH$11:$AH$1010,$B148)))</f>
        <v/>
      </c>
      <c r="M148" s="46">
        <f>IF($B148="","",IF(INDEX('Work Orders'!$AM$11:$AM$1010,$B148)="","",INDEX('Work Orders'!$AM$11:$AM$1010,$B148)))</f>
        <v/>
      </c>
      <c r="N148" s="43">
        <f>IF($B148="","",IF(INDEX('Work Orders'!$AL$11:$AL$1010,$B148)="","",INDEX('Work Orders'!$AL$11:$AL$1010,$B148)))</f>
        <v/>
      </c>
      <c r="O148" s="43">
        <f>IF($B148="","",IF(INDEX('Work Orders'!$N$11:$N$1010,$B148)="","",INDEX('Work Orders'!$N$11:$N$1010,$B148)))</f>
        <v/>
      </c>
    </row>
    <row r="149">
      <c r="A149" s="68" t="n">
        <v>143</v>
      </c>
      <c r="B149">
        <f>IFERROR(MATCH(A149,'Work Orders'!$AO$11:$AO$1010,0),"")</f>
        <v/>
      </c>
      <c r="C149" s="43">
        <f>IF($B149="","",IF(INDEX('Work Orders'!$A$11:$A$1010,$B149)="","",INDEX('Work Orders'!$A$11:$A$1010,$B149)))</f>
        <v/>
      </c>
      <c r="D149" s="43">
        <f>IF($B149="","",IF(INDEX('Work Orders'!$B$11:$B$1010,$B149)="","",INDEX('Work Orders'!$B$11:$B$1010,$B149)))</f>
        <v/>
      </c>
      <c r="E149" s="43">
        <f>IF($B149="","",IF(INDEX('Work Orders'!$D$11:$D$1010,$B149)="","",INDEX('Work Orders'!$D$11:$D$1010,$B149)))</f>
        <v/>
      </c>
      <c r="F149" s="43">
        <f>IF($B149="","",IF(INDEX('Work Orders'!$Q$11:$Q$1010,$B149)="","",INDEX('Work Orders'!$Q$11:$Q$1010,$B149)))</f>
        <v/>
      </c>
      <c r="G149" s="43">
        <f>IF($B149="","",IF(INDEX('Work Orders'!$V$11:$V$1010,$B149)="","",INDEX('Work Orders'!$V$11:$V$1010,$B149)))</f>
        <v/>
      </c>
      <c r="H149" s="47">
        <f>IF($B149="","",IF(INDEX('Work Orders'!$U$11:$U$1010,$B149)="","",INDEX('Work Orders'!$U$11:$U$1010,$B149)))</f>
        <v/>
      </c>
      <c r="I149" s="47">
        <f>IF($B149="","",IF(INDEX('Work Orders'!$X$11:$X$1010,$B149)="","",INDEX('Work Orders'!$X$11:$X$1010,$B149)))</f>
        <v/>
      </c>
      <c r="J149" s="44">
        <f>IF($B149="","",IF(INDEX('Work Orders'!$Z$11:$Z$1010,$B149)="","",INDEX('Work Orders'!$Z$11:$Z$1010,$B149)))</f>
        <v/>
      </c>
      <c r="K149" s="44">
        <f>IF($B149="","",IF(INDEX('Work Orders'!$AG$11:$AG$1010,$B149)="","",INDEX('Work Orders'!$AG$11:$AG$1010,$B149)))</f>
        <v/>
      </c>
      <c r="L149" s="44">
        <f>IF($B149="","",IF(INDEX('Work Orders'!$AH$11:$AH$1010,$B149)="","",INDEX('Work Orders'!$AH$11:$AH$1010,$B149)))</f>
        <v/>
      </c>
      <c r="M149" s="46">
        <f>IF($B149="","",IF(INDEX('Work Orders'!$AM$11:$AM$1010,$B149)="","",INDEX('Work Orders'!$AM$11:$AM$1010,$B149)))</f>
        <v/>
      </c>
      <c r="N149" s="43">
        <f>IF($B149="","",IF(INDEX('Work Orders'!$AL$11:$AL$1010,$B149)="","",INDEX('Work Orders'!$AL$11:$AL$1010,$B149)))</f>
        <v/>
      </c>
      <c r="O149" s="43">
        <f>IF($B149="","",IF(INDEX('Work Orders'!$N$11:$N$1010,$B149)="","",INDEX('Work Orders'!$N$11:$N$1010,$B149)))</f>
        <v/>
      </c>
    </row>
    <row r="150">
      <c r="A150" s="68" t="n">
        <v>144</v>
      </c>
      <c r="B150">
        <f>IFERROR(MATCH(A150,'Work Orders'!$AO$11:$AO$1010,0),"")</f>
        <v/>
      </c>
      <c r="C150" s="43">
        <f>IF($B150="","",IF(INDEX('Work Orders'!$A$11:$A$1010,$B150)="","",INDEX('Work Orders'!$A$11:$A$1010,$B150)))</f>
        <v/>
      </c>
      <c r="D150" s="43">
        <f>IF($B150="","",IF(INDEX('Work Orders'!$B$11:$B$1010,$B150)="","",INDEX('Work Orders'!$B$11:$B$1010,$B150)))</f>
        <v/>
      </c>
      <c r="E150" s="43">
        <f>IF($B150="","",IF(INDEX('Work Orders'!$D$11:$D$1010,$B150)="","",INDEX('Work Orders'!$D$11:$D$1010,$B150)))</f>
        <v/>
      </c>
      <c r="F150" s="43">
        <f>IF($B150="","",IF(INDEX('Work Orders'!$Q$11:$Q$1010,$B150)="","",INDEX('Work Orders'!$Q$11:$Q$1010,$B150)))</f>
        <v/>
      </c>
      <c r="G150" s="43">
        <f>IF($B150="","",IF(INDEX('Work Orders'!$V$11:$V$1010,$B150)="","",INDEX('Work Orders'!$V$11:$V$1010,$B150)))</f>
        <v/>
      </c>
      <c r="H150" s="47">
        <f>IF($B150="","",IF(INDEX('Work Orders'!$U$11:$U$1010,$B150)="","",INDEX('Work Orders'!$U$11:$U$1010,$B150)))</f>
        <v/>
      </c>
      <c r="I150" s="47">
        <f>IF($B150="","",IF(INDEX('Work Orders'!$X$11:$X$1010,$B150)="","",INDEX('Work Orders'!$X$11:$X$1010,$B150)))</f>
        <v/>
      </c>
      <c r="J150" s="44">
        <f>IF($B150="","",IF(INDEX('Work Orders'!$Z$11:$Z$1010,$B150)="","",INDEX('Work Orders'!$Z$11:$Z$1010,$B150)))</f>
        <v/>
      </c>
      <c r="K150" s="44">
        <f>IF($B150="","",IF(INDEX('Work Orders'!$AG$11:$AG$1010,$B150)="","",INDEX('Work Orders'!$AG$11:$AG$1010,$B150)))</f>
        <v/>
      </c>
      <c r="L150" s="44">
        <f>IF($B150="","",IF(INDEX('Work Orders'!$AH$11:$AH$1010,$B150)="","",INDEX('Work Orders'!$AH$11:$AH$1010,$B150)))</f>
        <v/>
      </c>
      <c r="M150" s="46">
        <f>IF($B150="","",IF(INDEX('Work Orders'!$AM$11:$AM$1010,$B150)="","",INDEX('Work Orders'!$AM$11:$AM$1010,$B150)))</f>
        <v/>
      </c>
      <c r="N150" s="43">
        <f>IF($B150="","",IF(INDEX('Work Orders'!$AL$11:$AL$1010,$B150)="","",INDEX('Work Orders'!$AL$11:$AL$1010,$B150)))</f>
        <v/>
      </c>
      <c r="O150" s="43">
        <f>IF($B150="","",IF(INDEX('Work Orders'!$N$11:$N$1010,$B150)="","",INDEX('Work Orders'!$N$11:$N$1010,$B150)))</f>
        <v/>
      </c>
    </row>
    <row r="151">
      <c r="A151" s="68" t="n">
        <v>145</v>
      </c>
      <c r="B151">
        <f>IFERROR(MATCH(A151,'Work Orders'!$AO$11:$AO$1010,0),"")</f>
        <v/>
      </c>
      <c r="C151" s="43">
        <f>IF($B151="","",IF(INDEX('Work Orders'!$A$11:$A$1010,$B151)="","",INDEX('Work Orders'!$A$11:$A$1010,$B151)))</f>
        <v/>
      </c>
      <c r="D151" s="43">
        <f>IF($B151="","",IF(INDEX('Work Orders'!$B$11:$B$1010,$B151)="","",INDEX('Work Orders'!$B$11:$B$1010,$B151)))</f>
        <v/>
      </c>
      <c r="E151" s="43">
        <f>IF($B151="","",IF(INDEX('Work Orders'!$D$11:$D$1010,$B151)="","",INDEX('Work Orders'!$D$11:$D$1010,$B151)))</f>
        <v/>
      </c>
      <c r="F151" s="43">
        <f>IF($B151="","",IF(INDEX('Work Orders'!$Q$11:$Q$1010,$B151)="","",INDEX('Work Orders'!$Q$11:$Q$1010,$B151)))</f>
        <v/>
      </c>
      <c r="G151" s="43">
        <f>IF($B151="","",IF(INDEX('Work Orders'!$V$11:$V$1010,$B151)="","",INDEX('Work Orders'!$V$11:$V$1010,$B151)))</f>
        <v/>
      </c>
      <c r="H151" s="47">
        <f>IF($B151="","",IF(INDEX('Work Orders'!$U$11:$U$1010,$B151)="","",INDEX('Work Orders'!$U$11:$U$1010,$B151)))</f>
        <v/>
      </c>
      <c r="I151" s="47">
        <f>IF($B151="","",IF(INDEX('Work Orders'!$X$11:$X$1010,$B151)="","",INDEX('Work Orders'!$X$11:$X$1010,$B151)))</f>
        <v/>
      </c>
      <c r="J151" s="44">
        <f>IF($B151="","",IF(INDEX('Work Orders'!$Z$11:$Z$1010,$B151)="","",INDEX('Work Orders'!$Z$11:$Z$1010,$B151)))</f>
        <v/>
      </c>
      <c r="K151" s="44">
        <f>IF($B151="","",IF(INDEX('Work Orders'!$AG$11:$AG$1010,$B151)="","",INDEX('Work Orders'!$AG$11:$AG$1010,$B151)))</f>
        <v/>
      </c>
      <c r="L151" s="44">
        <f>IF($B151="","",IF(INDEX('Work Orders'!$AH$11:$AH$1010,$B151)="","",INDEX('Work Orders'!$AH$11:$AH$1010,$B151)))</f>
        <v/>
      </c>
      <c r="M151" s="46">
        <f>IF($B151="","",IF(INDEX('Work Orders'!$AM$11:$AM$1010,$B151)="","",INDEX('Work Orders'!$AM$11:$AM$1010,$B151)))</f>
        <v/>
      </c>
      <c r="N151" s="43">
        <f>IF($B151="","",IF(INDEX('Work Orders'!$AL$11:$AL$1010,$B151)="","",INDEX('Work Orders'!$AL$11:$AL$1010,$B151)))</f>
        <v/>
      </c>
      <c r="O151" s="43">
        <f>IF($B151="","",IF(INDEX('Work Orders'!$N$11:$N$1010,$B151)="","",INDEX('Work Orders'!$N$11:$N$1010,$B151)))</f>
        <v/>
      </c>
    </row>
    <row r="152">
      <c r="A152" s="68" t="n">
        <v>146</v>
      </c>
      <c r="B152">
        <f>IFERROR(MATCH(A152,'Work Orders'!$AO$11:$AO$1010,0),"")</f>
        <v/>
      </c>
      <c r="C152" s="43">
        <f>IF($B152="","",IF(INDEX('Work Orders'!$A$11:$A$1010,$B152)="","",INDEX('Work Orders'!$A$11:$A$1010,$B152)))</f>
        <v/>
      </c>
      <c r="D152" s="43">
        <f>IF($B152="","",IF(INDEX('Work Orders'!$B$11:$B$1010,$B152)="","",INDEX('Work Orders'!$B$11:$B$1010,$B152)))</f>
        <v/>
      </c>
      <c r="E152" s="43">
        <f>IF($B152="","",IF(INDEX('Work Orders'!$D$11:$D$1010,$B152)="","",INDEX('Work Orders'!$D$11:$D$1010,$B152)))</f>
        <v/>
      </c>
      <c r="F152" s="43">
        <f>IF($B152="","",IF(INDEX('Work Orders'!$Q$11:$Q$1010,$B152)="","",INDEX('Work Orders'!$Q$11:$Q$1010,$B152)))</f>
        <v/>
      </c>
      <c r="G152" s="43">
        <f>IF($B152="","",IF(INDEX('Work Orders'!$V$11:$V$1010,$B152)="","",INDEX('Work Orders'!$V$11:$V$1010,$B152)))</f>
        <v/>
      </c>
      <c r="H152" s="47">
        <f>IF($B152="","",IF(INDEX('Work Orders'!$U$11:$U$1010,$B152)="","",INDEX('Work Orders'!$U$11:$U$1010,$B152)))</f>
        <v/>
      </c>
      <c r="I152" s="47">
        <f>IF($B152="","",IF(INDEX('Work Orders'!$X$11:$X$1010,$B152)="","",INDEX('Work Orders'!$X$11:$X$1010,$B152)))</f>
        <v/>
      </c>
      <c r="J152" s="44">
        <f>IF($B152="","",IF(INDEX('Work Orders'!$Z$11:$Z$1010,$B152)="","",INDEX('Work Orders'!$Z$11:$Z$1010,$B152)))</f>
        <v/>
      </c>
      <c r="K152" s="44">
        <f>IF($B152="","",IF(INDEX('Work Orders'!$AG$11:$AG$1010,$B152)="","",INDEX('Work Orders'!$AG$11:$AG$1010,$B152)))</f>
        <v/>
      </c>
      <c r="L152" s="44">
        <f>IF($B152="","",IF(INDEX('Work Orders'!$AH$11:$AH$1010,$B152)="","",INDEX('Work Orders'!$AH$11:$AH$1010,$B152)))</f>
        <v/>
      </c>
      <c r="M152" s="46">
        <f>IF($B152="","",IF(INDEX('Work Orders'!$AM$11:$AM$1010,$B152)="","",INDEX('Work Orders'!$AM$11:$AM$1010,$B152)))</f>
        <v/>
      </c>
      <c r="N152" s="43">
        <f>IF($B152="","",IF(INDEX('Work Orders'!$AL$11:$AL$1010,$B152)="","",INDEX('Work Orders'!$AL$11:$AL$1010,$B152)))</f>
        <v/>
      </c>
      <c r="O152" s="43">
        <f>IF($B152="","",IF(INDEX('Work Orders'!$N$11:$N$1010,$B152)="","",INDEX('Work Orders'!$N$11:$N$1010,$B152)))</f>
        <v/>
      </c>
    </row>
    <row r="153">
      <c r="A153" s="68" t="n">
        <v>147</v>
      </c>
      <c r="B153">
        <f>IFERROR(MATCH(A153,'Work Orders'!$AO$11:$AO$1010,0),"")</f>
        <v/>
      </c>
      <c r="C153" s="43">
        <f>IF($B153="","",IF(INDEX('Work Orders'!$A$11:$A$1010,$B153)="","",INDEX('Work Orders'!$A$11:$A$1010,$B153)))</f>
        <v/>
      </c>
      <c r="D153" s="43">
        <f>IF($B153="","",IF(INDEX('Work Orders'!$B$11:$B$1010,$B153)="","",INDEX('Work Orders'!$B$11:$B$1010,$B153)))</f>
        <v/>
      </c>
      <c r="E153" s="43">
        <f>IF($B153="","",IF(INDEX('Work Orders'!$D$11:$D$1010,$B153)="","",INDEX('Work Orders'!$D$11:$D$1010,$B153)))</f>
        <v/>
      </c>
      <c r="F153" s="43">
        <f>IF($B153="","",IF(INDEX('Work Orders'!$Q$11:$Q$1010,$B153)="","",INDEX('Work Orders'!$Q$11:$Q$1010,$B153)))</f>
        <v/>
      </c>
      <c r="G153" s="43">
        <f>IF($B153="","",IF(INDEX('Work Orders'!$V$11:$V$1010,$B153)="","",INDEX('Work Orders'!$V$11:$V$1010,$B153)))</f>
        <v/>
      </c>
      <c r="H153" s="47">
        <f>IF($B153="","",IF(INDEX('Work Orders'!$U$11:$U$1010,$B153)="","",INDEX('Work Orders'!$U$11:$U$1010,$B153)))</f>
        <v/>
      </c>
      <c r="I153" s="47">
        <f>IF($B153="","",IF(INDEX('Work Orders'!$X$11:$X$1010,$B153)="","",INDEX('Work Orders'!$X$11:$X$1010,$B153)))</f>
        <v/>
      </c>
      <c r="J153" s="44">
        <f>IF($B153="","",IF(INDEX('Work Orders'!$Z$11:$Z$1010,$B153)="","",INDEX('Work Orders'!$Z$11:$Z$1010,$B153)))</f>
        <v/>
      </c>
      <c r="K153" s="44">
        <f>IF($B153="","",IF(INDEX('Work Orders'!$AG$11:$AG$1010,$B153)="","",INDEX('Work Orders'!$AG$11:$AG$1010,$B153)))</f>
        <v/>
      </c>
      <c r="L153" s="44">
        <f>IF($B153="","",IF(INDEX('Work Orders'!$AH$11:$AH$1010,$B153)="","",INDEX('Work Orders'!$AH$11:$AH$1010,$B153)))</f>
        <v/>
      </c>
      <c r="M153" s="46">
        <f>IF($B153="","",IF(INDEX('Work Orders'!$AM$11:$AM$1010,$B153)="","",INDEX('Work Orders'!$AM$11:$AM$1010,$B153)))</f>
        <v/>
      </c>
      <c r="N153" s="43">
        <f>IF($B153="","",IF(INDEX('Work Orders'!$AL$11:$AL$1010,$B153)="","",INDEX('Work Orders'!$AL$11:$AL$1010,$B153)))</f>
        <v/>
      </c>
      <c r="O153" s="43">
        <f>IF($B153="","",IF(INDEX('Work Orders'!$N$11:$N$1010,$B153)="","",INDEX('Work Orders'!$N$11:$N$1010,$B153)))</f>
        <v/>
      </c>
    </row>
    <row r="154">
      <c r="A154" s="68" t="n">
        <v>148</v>
      </c>
      <c r="B154">
        <f>IFERROR(MATCH(A154,'Work Orders'!$AO$11:$AO$1010,0),"")</f>
        <v/>
      </c>
      <c r="C154" s="43">
        <f>IF($B154="","",IF(INDEX('Work Orders'!$A$11:$A$1010,$B154)="","",INDEX('Work Orders'!$A$11:$A$1010,$B154)))</f>
        <v/>
      </c>
      <c r="D154" s="43">
        <f>IF($B154="","",IF(INDEX('Work Orders'!$B$11:$B$1010,$B154)="","",INDEX('Work Orders'!$B$11:$B$1010,$B154)))</f>
        <v/>
      </c>
      <c r="E154" s="43">
        <f>IF($B154="","",IF(INDEX('Work Orders'!$D$11:$D$1010,$B154)="","",INDEX('Work Orders'!$D$11:$D$1010,$B154)))</f>
        <v/>
      </c>
      <c r="F154" s="43">
        <f>IF($B154="","",IF(INDEX('Work Orders'!$Q$11:$Q$1010,$B154)="","",INDEX('Work Orders'!$Q$11:$Q$1010,$B154)))</f>
        <v/>
      </c>
      <c r="G154" s="43">
        <f>IF($B154="","",IF(INDEX('Work Orders'!$V$11:$V$1010,$B154)="","",INDEX('Work Orders'!$V$11:$V$1010,$B154)))</f>
        <v/>
      </c>
      <c r="H154" s="47">
        <f>IF($B154="","",IF(INDEX('Work Orders'!$U$11:$U$1010,$B154)="","",INDEX('Work Orders'!$U$11:$U$1010,$B154)))</f>
        <v/>
      </c>
      <c r="I154" s="47">
        <f>IF($B154="","",IF(INDEX('Work Orders'!$X$11:$X$1010,$B154)="","",INDEX('Work Orders'!$X$11:$X$1010,$B154)))</f>
        <v/>
      </c>
      <c r="J154" s="44">
        <f>IF($B154="","",IF(INDEX('Work Orders'!$Z$11:$Z$1010,$B154)="","",INDEX('Work Orders'!$Z$11:$Z$1010,$B154)))</f>
        <v/>
      </c>
      <c r="K154" s="44">
        <f>IF($B154="","",IF(INDEX('Work Orders'!$AG$11:$AG$1010,$B154)="","",INDEX('Work Orders'!$AG$11:$AG$1010,$B154)))</f>
        <v/>
      </c>
      <c r="L154" s="44">
        <f>IF($B154="","",IF(INDEX('Work Orders'!$AH$11:$AH$1010,$B154)="","",INDEX('Work Orders'!$AH$11:$AH$1010,$B154)))</f>
        <v/>
      </c>
      <c r="M154" s="46">
        <f>IF($B154="","",IF(INDEX('Work Orders'!$AM$11:$AM$1010,$B154)="","",INDEX('Work Orders'!$AM$11:$AM$1010,$B154)))</f>
        <v/>
      </c>
      <c r="N154" s="43">
        <f>IF($B154="","",IF(INDEX('Work Orders'!$AL$11:$AL$1010,$B154)="","",INDEX('Work Orders'!$AL$11:$AL$1010,$B154)))</f>
        <v/>
      </c>
      <c r="O154" s="43">
        <f>IF($B154="","",IF(INDEX('Work Orders'!$N$11:$N$1010,$B154)="","",INDEX('Work Orders'!$N$11:$N$1010,$B154)))</f>
        <v/>
      </c>
    </row>
    <row r="155">
      <c r="A155" s="68" t="n">
        <v>149</v>
      </c>
      <c r="B155">
        <f>IFERROR(MATCH(A155,'Work Orders'!$AO$11:$AO$1010,0),"")</f>
        <v/>
      </c>
      <c r="C155" s="43">
        <f>IF($B155="","",IF(INDEX('Work Orders'!$A$11:$A$1010,$B155)="","",INDEX('Work Orders'!$A$11:$A$1010,$B155)))</f>
        <v/>
      </c>
      <c r="D155" s="43">
        <f>IF($B155="","",IF(INDEX('Work Orders'!$B$11:$B$1010,$B155)="","",INDEX('Work Orders'!$B$11:$B$1010,$B155)))</f>
        <v/>
      </c>
      <c r="E155" s="43">
        <f>IF($B155="","",IF(INDEX('Work Orders'!$D$11:$D$1010,$B155)="","",INDEX('Work Orders'!$D$11:$D$1010,$B155)))</f>
        <v/>
      </c>
      <c r="F155" s="43">
        <f>IF($B155="","",IF(INDEX('Work Orders'!$Q$11:$Q$1010,$B155)="","",INDEX('Work Orders'!$Q$11:$Q$1010,$B155)))</f>
        <v/>
      </c>
      <c r="G155" s="43">
        <f>IF($B155="","",IF(INDEX('Work Orders'!$V$11:$V$1010,$B155)="","",INDEX('Work Orders'!$V$11:$V$1010,$B155)))</f>
        <v/>
      </c>
      <c r="H155" s="47">
        <f>IF($B155="","",IF(INDEX('Work Orders'!$U$11:$U$1010,$B155)="","",INDEX('Work Orders'!$U$11:$U$1010,$B155)))</f>
        <v/>
      </c>
      <c r="I155" s="47">
        <f>IF($B155="","",IF(INDEX('Work Orders'!$X$11:$X$1010,$B155)="","",INDEX('Work Orders'!$X$11:$X$1010,$B155)))</f>
        <v/>
      </c>
      <c r="J155" s="44">
        <f>IF($B155="","",IF(INDEX('Work Orders'!$Z$11:$Z$1010,$B155)="","",INDEX('Work Orders'!$Z$11:$Z$1010,$B155)))</f>
        <v/>
      </c>
      <c r="K155" s="44">
        <f>IF($B155="","",IF(INDEX('Work Orders'!$AG$11:$AG$1010,$B155)="","",INDEX('Work Orders'!$AG$11:$AG$1010,$B155)))</f>
        <v/>
      </c>
      <c r="L155" s="44">
        <f>IF($B155="","",IF(INDEX('Work Orders'!$AH$11:$AH$1010,$B155)="","",INDEX('Work Orders'!$AH$11:$AH$1010,$B155)))</f>
        <v/>
      </c>
      <c r="M155" s="46">
        <f>IF($B155="","",IF(INDEX('Work Orders'!$AM$11:$AM$1010,$B155)="","",INDEX('Work Orders'!$AM$11:$AM$1010,$B155)))</f>
        <v/>
      </c>
      <c r="N155" s="43">
        <f>IF($B155="","",IF(INDEX('Work Orders'!$AL$11:$AL$1010,$B155)="","",INDEX('Work Orders'!$AL$11:$AL$1010,$B155)))</f>
        <v/>
      </c>
      <c r="O155" s="43">
        <f>IF($B155="","",IF(INDEX('Work Orders'!$N$11:$N$1010,$B155)="","",INDEX('Work Orders'!$N$11:$N$1010,$B155)))</f>
        <v/>
      </c>
    </row>
    <row r="156">
      <c r="A156" s="68" t="n">
        <v>150</v>
      </c>
      <c r="B156">
        <f>IFERROR(MATCH(A156,'Work Orders'!$AO$11:$AO$1010,0),"")</f>
        <v/>
      </c>
      <c r="C156" s="43">
        <f>IF($B156="","",IF(INDEX('Work Orders'!$A$11:$A$1010,$B156)="","",INDEX('Work Orders'!$A$11:$A$1010,$B156)))</f>
        <v/>
      </c>
      <c r="D156" s="43">
        <f>IF($B156="","",IF(INDEX('Work Orders'!$B$11:$B$1010,$B156)="","",INDEX('Work Orders'!$B$11:$B$1010,$B156)))</f>
        <v/>
      </c>
      <c r="E156" s="43">
        <f>IF($B156="","",IF(INDEX('Work Orders'!$D$11:$D$1010,$B156)="","",INDEX('Work Orders'!$D$11:$D$1010,$B156)))</f>
        <v/>
      </c>
      <c r="F156" s="43">
        <f>IF($B156="","",IF(INDEX('Work Orders'!$Q$11:$Q$1010,$B156)="","",INDEX('Work Orders'!$Q$11:$Q$1010,$B156)))</f>
        <v/>
      </c>
      <c r="G156" s="43">
        <f>IF($B156="","",IF(INDEX('Work Orders'!$V$11:$V$1010,$B156)="","",INDEX('Work Orders'!$V$11:$V$1010,$B156)))</f>
        <v/>
      </c>
      <c r="H156" s="47">
        <f>IF($B156="","",IF(INDEX('Work Orders'!$U$11:$U$1010,$B156)="","",INDEX('Work Orders'!$U$11:$U$1010,$B156)))</f>
        <v/>
      </c>
      <c r="I156" s="47">
        <f>IF($B156="","",IF(INDEX('Work Orders'!$X$11:$X$1010,$B156)="","",INDEX('Work Orders'!$X$11:$X$1010,$B156)))</f>
        <v/>
      </c>
      <c r="J156" s="44">
        <f>IF($B156="","",IF(INDEX('Work Orders'!$Z$11:$Z$1010,$B156)="","",INDEX('Work Orders'!$Z$11:$Z$1010,$B156)))</f>
        <v/>
      </c>
      <c r="K156" s="44">
        <f>IF($B156="","",IF(INDEX('Work Orders'!$AG$11:$AG$1010,$B156)="","",INDEX('Work Orders'!$AG$11:$AG$1010,$B156)))</f>
        <v/>
      </c>
      <c r="L156" s="44">
        <f>IF($B156="","",IF(INDEX('Work Orders'!$AH$11:$AH$1010,$B156)="","",INDEX('Work Orders'!$AH$11:$AH$1010,$B156)))</f>
        <v/>
      </c>
      <c r="M156" s="46">
        <f>IF($B156="","",IF(INDEX('Work Orders'!$AM$11:$AM$1010,$B156)="","",INDEX('Work Orders'!$AM$11:$AM$1010,$B156)))</f>
        <v/>
      </c>
      <c r="N156" s="43">
        <f>IF($B156="","",IF(INDEX('Work Orders'!$AL$11:$AL$1010,$B156)="","",INDEX('Work Orders'!$AL$11:$AL$1010,$B156)))</f>
        <v/>
      </c>
      <c r="O156" s="43">
        <f>IF($B156="","",IF(INDEX('Work Orders'!$N$11:$N$1010,$B156)="","",INDEX('Work Orders'!$N$11:$N$1010,$B156)))</f>
        <v/>
      </c>
    </row>
    <row r="157">
      <c r="A157" s="68" t="n">
        <v>151</v>
      </c>
      <c r="B157">
        <f>IFERROR(MATCH(A157,'Work Orders'!$AO$11:$AO$1010,0),"")</f>
        <v/>
      </c>
      <c r="C157" s="43">
        <f>IF($B157="","",IF(INDEX('Work Orders'!$A$11:$A$1010,$B157)="","",INDEX('Work Orders'!$A$11:$A$1010,$B157)))</f>
        <v/>
      </c>
      <c r="D157" s="43">
        <f>IF($B157="","",IF(INDEX('Work Orders'!$B$11:$B$1010,$B157)="","",INDEX('Work Orders'!$B$11:$B$1010,$B157)))</f>
        <v/>
      </c>
      <c r="E157" s="43">
        <f>IF($B157="","",IF(INDEX('Work Orders'!$D$11:$D$1010,$B157)="","",INDEX('Work Orders'!$D$11:$D$1010,$B157)))</f>
        <v/>
      </c>
      <c r="F157" s="43">
        <f>IF($B157="","",IF(INDEX('Work Orders'!$Q$11:$Q$1010,$B157)="","",INDEX('Work Orders'!$Q$11:$Q$1010,$B157)))</f>
        <v/>
      </c>
      <c r="G157" s="43">
        <f>IF($B157="","",IF(INDEX('Work Orders'!$V$11:$V$1010,$B157)="","",INDEX('Work Orders'!$V$11:$V$1010,$B157)))</f>
        <v/>
      </c>
      <c r="H157" s="47">
        <f>IF($B157="","",IF(INDEX('Work Orders'!$U$11:$U$1010,$B157)="","",INDEX('Work Orders'!$U$11:$U$1010,$B157)))</f>
        <v/>
      </c>
      <c r="I157" s="47">
        <f>IF($B157="","",IF(INDEX('Work Orders'!$X$11:$X$1010,$B157)="","",INDEX('Work Orders'!$X$11:$X$1010,$B157)))</f>
        <v/>
      </c>
      <c r="J157" s="44">
        <f>IF($B157="","",IF(INDEX('Work Orders'!$Z$11:$Z$1010,$B157)="","",INDEX('Work Orders'!$Z$11:$Z$1010,$B157)))</f>
        <v/>
      </c>
      <c r="K157" s="44">
        <f>IF($B157="","",IF(INDEX('Work Orders'!$AG$11:$AG$1010,$B157)="","",INDEX('Work Orders'!$AG$11:$AG$1010,$B157)))</f>
        <v/>
      </c>
      <c r="L157" s="44">
        <f>IF($B157="","",IF(INDEX('Work Orders'!$AH$11:$AH$1010,$B157)="","",INDEX('Work Orders'!$AH$11:$AH$1010,$B157)))</f>
        <v/>
      </c>
      <c r="M157" s="46">
        <f>IF($B157="","",IF(INDEX('Work Orders'!$AM$11:$AM$1010,$B157)="","",INDEX('Work Orders'!$AM$11:$AM$1010,$B157)))</f>
        <v/>
      </c>
      <c r="N157" s="43">
        <f>IF($B157="","",IF(INDEX('Work Orders'!$AL$11:$AL$1010,$B157)="","",INDEX('Work Orders'!$AL$11:$AL$1010,$B157)))</f>
        <v/>
      </c>
      <c r="O157" s="43">
        <f>IF($B157="","",IF(INDEX('Work Orders'!$N$11:$N$1010,$B157)="","",INDEX('Work Orders'!$N$11:$N$1010,$B157)))</f>
        <v/>
      </c>
    </row>
    <row r="158">
      <c r="A158" s="68" t="n">
        <v>152</v>
      </c>
      <c r="B158">
        <f>IFERROR(MATCH(A158,'Work Orders'!$AO$11:$AO$1010,0),"")</f>
        <v/>
      </c>
      <c r="C158" s="43">
        <f>IF($B158="","",IF(INDEX('Work Orders'!$A$11:$A$1010,$B158)="","",INDEX('Work Orders'!$A$11:$A$1010,$B158)))</f>
        <v/>
      </c>
      <c r="D158" s="43">
        <f>IF($B158="","",IF(INDEX('Work Orders'!$B$11:$B$1010,$B158)="","",INDEX('Work Orders'!$B$11:$B$1010,$B158)))</f>
        <v/>
      </c>
      <c r="E158" s="43">
        <f>IF($B158="","",IF(INDEX('Work Orders'!$D$11:$D$1010,$B158)="","",INDEX('Work Orders'!$D$11:$D$1010,$B158)))</f>
        <v/>
      </c>
      <c r="F158" s="43">
        <f>IF($B158="","",IF(INDEX('Work Orders'!$Q$11:$Q$1010,$B158)="","",INDEX('Work Orders'!$Q$11:$Q$1010,$B158)))</f>
        <v/>
      </c>
      <c r="G158" s="43">
        <f>IF($B158="","",IF(INDEX('Work Orders'!$V$11:$V$1010,$B158)="","",INDEX('Work Orders'!$V$11:$V$1010,$B158)))</f>
        <v/>
      </c>
      <c r="H158" s="47">
        <f>IF($B158="","",IF(INDEX('Work Orders'!$U$11:$U$1010,$B158)="","",INDEX('Work Orders'!$U$11:$U$1010,$B158)))</f>
        <v/>
      </c>
      <c r="I158" s="47">
        <f>IF($B158="","",IF(INDEX('Work Orders'!$X$11:$X$1010,$B158)="","",INDEX('Work Orders'!$X$11:$X$1010,$B158)))</f>
        <v/>
      </c>
      <c r="J158" s="44">
        <f>IF($B158="","",IF(INDEX('Work Orders'!$Z$11:$Z$1010,$B158)="","",INDEX('Work Orders'!$Z$11:$Z$1010,$B158)))</f>
        <v/>
      </c>
      <c r="K158" s="44">
        <f>IF($B158="","",IF(INDEX('Work Orders'!$AG$11:$AG$1010,$B158)="","",INDEX('Work Orders'!$AG$11:$AG$1010,$B158)))</f>
        <v/>
      </c>
      <c r="L158" s="44">
        <f>IF($B158="","",IF(INDEX('Work Orders'!$AH$11:$AH$1010,$B158)="","",INDEX('Work Orders'!$AH$11:$AH$1010,$B158)))</f>
        <v/>
      </c>
      <c r="M158" s="46">
        <f>IF($B158="","",IF(INDEX('Work Orders'!$AM$11:$AM$1010,$B158)="","",INDEX('Work Orders'!$AM$11:$AM$1010,$B158)))</f>
        <v/>
      </c>
      <c r="N158" s="43">
        <f>IF($B158="","",IF(INDEX('Work Orders'!$AL$11:$AL$1010,$B158)="","",INDEX('Work Orders'!$AL$11:$AL$1010,$B158)))</f>
        <v/>
      </c>
      <c r="O158" s="43">
        <f>IF($B158="","",IF(INDEX('Work Orders'!$N$11:$N$1010,$B158)="","",INDEX('Work Orders'!$N$11:$N$1010,$B158)))</f>
        <v/>
      </c>
    </row>
    <row r="159">
      <c r="A159" s="68" t="n">
        <v>153</v>
      </c>
      <c r="B159">
        <f>IFERROR(MATCH(A159,'Work Orders'!$AO$11:$AO$1010,0),"")</f>
        <v/>
      </c>
      <c r="C159" s="43">
        <f>IF($B159="","",IF(INDEX('Work Orders'!$A$11:$A$1010,$B159)="","",INDEX('Work Orders'!$A$11:$A$1010,$B159)))</f>
        <v/>
      </c>
      <c r="D159" s="43">
        <f>IF($B159="","",IF(INDEX('Work Orders'!$B$11:$B$1010,$B159)="","",INDEX('Work Orders'!$B$11:$B$1010,$B159)))</f>
        <v/>
      </c>
      <c r="E159" s="43">
        <f>IF($B159="","",IF(INDEX('Work Orders'!$D$11:$D$1010,$B159)="","",INDEX('Work Orders'!$D$11:$D$1010,$B159)))</f>
        <v/>
      </c>
      <c r="F159" s="43">
        <f>IF($B159="","",IF(INDEX('Work Orders'!$Q$11:$Q$1010,$B159)="","",INDEX('Work Orders'!$Q$11:$Q$1010,$B159)))</f>
        <v/>
      </c>
      <c r="G159" s="43">
        <f>IF($B159="","",IF(INDEX('Work Orders'!$V$11:$V$1010,$B159)="","",INDEX('Work Orders'!$V$11:$V$1010,$B159)))</f>
        <v/>
      </c>
      <c r="H159" s="47">
        <f>IF($B159="","",IF(INDEX('Work Orders'!$U$11:$U$1010,$B159)="","",INDEX('Work Orders'!$U$11:$U$1010,$B159)))</f>
        <v/>
      </c>
      <c r="I159" s="47">
        <f>IF($B159="","",IF(INDEX('Work Orders'!$X$11:$X$1010,$B159)="","",INDEX('Work Orders'!$X$11:$X$1010,$B159)))</f>
        <v/>
      </c>
      <c r="J159" s="44">
        <f>IF($B159="","",IF(INDEX('Work Orders'!$Z$11:$Z$1010,$B159)="","",INDEX('Work Orders'!$Z$11:$Z$1010,$B159)))</f>
        <v/>
      </c>
      <c r="K159" s="44">
        <f>IF($B159="","",IF(INDEX('Work Orders'!$AG$11:$AG$1010,$B159)="","",INDEX('Work Orders'!$AG$11:$AG$1010,$B159)))</f>
        <v/>
      </c>
      <c r="L159" s="44">
        <f>IF($B159="","",IF(INDEX('Work Orders'!$AH$11:$AH$1010,$B159)="","",INDEX('Work Orders'!$AH$11:$AH$1010,$B159)))</f>
        <v/>
      </c>
      <c r="M159" s="46">
        <f>IF($B159="","",IF(INDEX('Work Orders'!$AM$11:$AM$1010,$B159)="","",INDEX('Work Orders'!$AM$11:$AM$1010,$B159)))</f>
        <v/>
      </c>
      <c r="N159" s="43">
        <f>IF($B159="","",IF(INDEX('Work Orders'!$AL$11:$AL$1010,$B159)="","",INDEX('Work Orders'!$AL$11:$AL$1010,$B159)))</f>
        <v/>
      </c>
      <c r="O159" s="43">
        <f>IF($B159="","",IF(INDEX('Work Orders'!$N$11:$N$1010,$B159)="","",INDEX('Work Orders'!$N$11:$N$1010,$B159)))</f>
        <v/>
      </c>
    </row>
    <row r="160">
      <c r="A160" s="68" t="n">
        <v>154</v>
      </c>
      <c r="B160">
        <f>IFERROR(MATCH(A160,'Work Orders'!$AO$11:$AO$1010,0),"")</f>
        <v/>
      </c>
      <c r="C160" s="43">
        <f>IF($B160="","",IF(INDEX('Work Orders'!$A$11:$A$1010,$B160)="","",INDEX('Work Orders'!$A$11:$A$1010,$B160)))</f>
        <v/>
      </c>
      <c r="D160" s="43">
        <f>IF($B160="","",IF(INDEX('Work Orders'!$B$11:$B$1010,$B160)="","",INDEX('Work Orders'!$B$11:$B$1010,$B160)))</f>
        <v/>
      </c>
      <c r="E160" s="43">
        <f>IF($B160="","",IF(INDEX('Work Orders'!$D$11:$D$1010,$B160)="","",INDEX('Work Orders'!$D$11:$D$1010,$B160)))</f>
        <v/>
      </c>
      <c r="F160" s="43">
        <f>IF($B160="","",IF(INDEX('Work Orders'!$Q$11:$Q$1010,$B160)="","",INDEX('Work Orders'!$Q$11:$Q$1010,$B160)))</f>
        <v/>
      </c>
      <c r="G160" s="43">
        <f>IF($B160="","",IF(INDEX('Work Orders'!$V$11:$V$1010,$B160)="","",INDEX('Work Orders'!$V$11:$V$1010,$B160)))</f>
        <v/>
      </c>
      <c r="H160" s="47">
        <f>IF($B160="","",IF(INDEX('Work Orders'!$U$11:$U$1010,$B160)="","",INDEX('Work Orders'!$U$11:$U$1010,$B160)))</f>
        <v/>
      </c>
      <c r="I160" s="47">
        <f>IF($B160="","",IF(INDEX('Work Orders'!$X$11:$X$1010,$B160)="","",INDEX('Work Orders'!$X$11:$X$1010,$B160)))</f>
        <v/>
      </c>
      <c r="J160" s="44">
        <f>IF($B160="","",IF(INDEX('Work Orders'!$Z$11:$Z$1010,$B160)="","",INDEX('Work Orders'!$Z$11:$Z$1010,$B160)))</f>
        <v/>
      </c>
      <c r="K160" s="44">
        <f>IF($B160="","",IF(INDEX('Work Orders'!$AG$11:$AG$1010,$B160)="","",INDEX('Work Orders'!$AG$11:$AG$1010,$B160)))</f>
        <v/>
      </c>
      <c r="L160" s="44">
        <f>IF($B160="","",IF(INDEX('Work Orders'!$AH$11:$AH$1010,$B160)="","",INDEX('Work Orders'!$AH$11:$AH$1010,$B160)))</f>
        <v/>
      </c>
      <c r="M160" s="46">
        <f>IF($B160="","",IF(INDEX('Work Orders'!$AM$11:$AM$1010,$B160)="","",INDEX('Work Orders'!$AM$11:$AM$1010,$B160)))</f>
        <v/>
      </c>
      <c r="N160" s="43">
        <f>IF($B160="","",IF(INDEX('Work Orders'!$AL$11:$AL$1010,$B160)="","",INDEX('Work Orders'!$AL$11:$AL$1010,$B160)))</f>
        <v/>
      </c>
      <c r="O160" s="43">
        <f>IF($B160="","",IF(INDEX('Work Orders'!$N$11:$N$1010,$B160)="","",INDEX('Work Orders'!$N$11:$N$1010,$B160)))</f>
        <v/>
      </c>
    </row>
    <row r="161">
      <c r="A161" s="68" t="n">
        <v>155</v>
      </c>
      <c r="B161">
        <f>IFERROR(MATCH(A161,'Work Orders'!$AO$11:$AO$1010,0),"")</f>
        <v/>
      </c>
      <c r="C161" s="43">
        <f>IF($B161="","",IF(INDEX('Work Orders'!$A$11:$A$1010,$B161)="","",INDEX('Work Orders'!$A$11:$A$1010,$B161)))</f>
        <v/>
      </c>
      <c r="D161" s="43">
        <f>IF($B161="","",IF(INDEX('Work Orders'!$B$11:$B$1010,$B161)="","",INDEX('Work Orders'!$B$11:$B$1010,$B161)))</f>
        <v/>
      </c>
      <c r="E161" s="43">
        <f>IF($B161="","",IF(INDEX('Work Orders'!$D$11:$D$1010,$B161)="","",INDEX('Work Orders'!$D$11:$D$1010,$B161)))</f>
        <v/>
      </c>
      <c r="F161" s="43">
        <f>IF($B161="","",IF(INDEX('Work Orders'!$Q$11:$Q$1010,$B161)="","",INDEX('Work Orders'!$Q$11:$Q$1010,$B161)))</f>
        <v/>
      </c>
      <c r="G161" s="43">
        <f>IF($B161="","",IF(INDEX('Work Orders'!$V$11:$V$1010,$B161)="","",INDEX('Work Orders'!$V$11:$V$1010,$B161)))</f>
        <v/>
      </c>
      <c r="H161" s="47">
        <f>IF($B161="","",IF(INDEX('Work Orders'!$U$11:$U$1010,$B161)="","",INDEX('Work Orders'!$U$11:$U$1010,$B161)))</f>
        <v/>
      </c>
      <c r="I161" s="47">
        <f>IF($B161="","",IF(INDEX('Work Orders'!$X$11:$X$1010,$B161)="","",INDEX('Work Orders'!$X$11:$X$1010,$B161)))</f>
        <v/>
      </c>
      <c r="J161" s="44">
        <f>IF($B161="","",IF(INDEX('Work Orders'!$Z$11:$Z$1010,$B161)="","",INDEX('Work Orders'!$Z$11:$Z$1010,$B161)))</f>
        <v/>
      </c>
      <c r="K161" s="44">
        <f>IF($B161="","",IF(INDEX('Work Orders'!$AG$11:$AG$1010,$B161)="","",INDEX('Work Orders'!$AG$11:$AG$1010,$B161)))</f>
        <v/>
      </c>
      <c r="L161" s="44">
        <f>IF($B161="","",IF(INDEX('Work Orders'!$AH$11:$AH$1010,$B161)="","",INDEX('Work Orders'!$AH$11:$AH$1010,$B161)))</f>
        <v/>
      </c>
      <c r="M161" s="46">
        <f>IF($B161="","",IF(INDEX('Work Orders'!$AM$11:$AM$1010,$B161)="","",INDEX('Work Orders'!$AM$11:$AM$1010,$B161)))</f>
        <v/>
      </c>
      <c r="N161" s="43">
        <f>IF($B161="","",IF(INDEX('Work Orders'!$AL$11:$AL$1010,$B161)="","",INDEX('Work Orders'!$AL$11:$AL$1010,$B161)))</f>
        <v/>
      </c>
      <c r="O161" s="43">
        <f>IF($B161="","",IF(INDEX('Work Orders'!$N$11:$N$1010,$B161)="","",INDEX('Work Orders'!$N$11:$N$1010,$B161)))</f>
        <v/>
      </c>
    </row>
    <row r="162">
      <c r="A162" s="68" t="n">
        <v>156</v>
      </c>
      <c r="B162">
        <f>IFERROR(MATCH(A162,'Work Orders'!$AO$11:$AO$1010,0),"")</f>
        <v/>
      </c>
      <c r="C162" s="43">
        <f>IF($B162="","",IF(INDEX('Work Orders'!$A$11:$A$1010,$B162)="","",INDEX('Work Orders'!$A$11:$A$1010,$B162)))</f>
        <v/>
      </c>
      <c r="D162" s="43">
        <f>IF($B162="","",IF(INDEX('Work Orders'!$B$11:$B$1010,$B162)="","",INDEX('Work Orders'!$B$11:$B$1010,$B162)))</f>
        <v/>
      </c>
      <c r="E162" s="43">
        <f>IF($B162="","",IF(INDEX('Work Orders'!$D$11:$D$1010,$B162)="","",INDEX('Work Orders'!$D$11:$D$1010,$B162)))</f>
        <v/>
      </c>
      <c r="F162" s="43">
        <f>IF($B162="","",IF(INDEX('Work Orders'!$Q$11:$Q$1010,$B162)="","",INDEX('Work Orders'!$Q$11:$Q$1010,$B162)))</f>
        <v/>
      </c>
      <c r="G162" s="43">
        <f>IF($B162="","",IF(INDEX('Work Orders'!$V$11:$V$1010,$B162)="","",INDEX('Work Orders'!$V$11:$V$1010,$B162)))</f>
        <v/>
      </c>
      <c r="H162" s="47">
        <f>IF($B162="","",IF(INDEX('Work Orders'!$U$11:$U$1010,$B162)="","",INDEX('Work Orders'!$U$11:$U$1010,$B162)))</f>
        <v/>
      </c>
      <c r="I162" s="47">
        <f>IF($B162="","",IF(INDEX('Work Orders'!$X$11:$X$1010,$B162)="","",INDEX('Work Orders'!$X$11:$X$1010,$B162)))</f>
        <v/>
      </c>
      <c r="J162" s="44">
        <f>IF($B162="","",IF(INDEX('Work Orders'!$Z$11:$Z$1010,$B162)="","",INDEX('Work Orders'!$Z$11:$Z$1010,$B162)))</f>
        <v/>
      </c>
      <c r="K162" s="44">
        <f>IF($B162="","",IF(INDEX('Work Orders'!$AG$11:$AG$1010,$B162)="","",INDEX('Work Orders'!$AG$11:$AG$1010,$B162)))</f>
        <v/>
      </c>
      <c r="L162" s="44">
        <f>IF($B162="","",IF(INDEX('Work Orders'!$AH$11:$AH$1010,$B162)="","",INDEX('Work Orders'!$AH$11:$AH$1010,$B162)))</f>
        <v/>
      </c>
      <c r="M162" s="46">
        <f>IF($B162="","",IF(INDEX('Work Orders'!$AM$11:$AM$1010,$B162)="","",INDEX('Work Orders'!$AM$11:$AM$1010,$B162)))</f>
        <v/>
      </c>
      <c r="N162" s="43">
        <f>IF($B162="","",IF(INDEX('Work Orders'!$AL$11:$AL$1010,$B162)="","",INDEX('Work Orders'!$AL$11:$AL$1010,$B162)))</f>
        <v/>
      </c>
      <c r="O162" s="43">
        <f>IF($B162="","",IF(INDEX('Work Orders'!$N$11:$N$1010,$B162)="","",INDEX('Work Orders'!$N$11:$N$1010,$B162)))</f>
        <v/>
      </c>
    </row>
    <row r="163">
      <c r="A163" s="68" t="n">
        <v>157</v>
      </c>
      <c r="B163">
        <f>IFERROR(MATCH(A163,'Work Orders'!$AO$11:$AO$1010,0),"")</f>
        <v/>
      </c>
      <c r="C163" s="43">
        <f>IF($B163="","",IF(INDEX('Work Orders'!$A$11:$A$1010,$B163)="","",INDEX('Work Orders'!$A$11:$A$1010,$B163)))</f>
        <v/>
      </c>
      <c r="D163" s="43">
        <f>IF($B163="","",IF(INDEX('Work Orders'!$B$11:$B$1010,$B163)="","",INDEX('Work Orders'!$B$11:$B$1010,$B163)))</f>
        <v/>
      </c>
      <c r="E163" s="43">
        <f>IF($B163="","",IF(INDEX('Work Orders'!$D$11:$D$1010,$B163)="","",INDEX('Work Orders'!$D$11:$D$1010,$B163)))</f>
        <v/>
      </c>
      <c r="F163" s="43">
        <f>IF($B163="","",IF(INDEX('Work Orders'!$Q$11:$Q$1010,$B163)="","",INDEX('Work Orders'!$Q$11:$Q$1010,$B163)))</f>
        <v/>
      </c>
      <c r="G163" s="43">
        <f>IF($B163="","",IF(INDEX('Work Orders'!$V$11:$V$1010,$B163)="","",INDEX('Work Orders'!$V$11:$V$1010,$B163)))</f>
        <v/>
      </c>
      <c r="H163" s="47">
        <f>IF($B163="","",IF(INDEX('Work Orders'!$U$11:$U$1010,$B163)="","",INDEX('Work Orders'!$U$11:$U$1010,$B163)))</f>
        <v/>
      </c>
      <c r="I163" s="47">
        <f>IF($B163="","",IF(INDEX('Work Orders'!$X$11:$X$1010,$B163)="","",INDEX('Work Orders'!$X$11:$X$1010,$B163)))</f>
        <v/>
      </c>
      <c r="J163" s="44">
        <f>IF($B163="","",IF(INDEX('Work Orders'!$Z$11:$Z$1010,$B163)="","",INDEX('Work Orders'!$Z$11:$Z$1010,$B163)))</f>
        <v/>
      </c>
      <c r="K163" s="44">
        <f>IF($B163="","",IF(INDEX('Work Orders'!$AG$11:$AG$1010,$B163)="","",INDEX('Work Orders'!$AG$11:$AG$1010,$B163)))</f>
        <v/>
      </c>
      <c r="L163" s="44">
        <f>IF($B163="","",IF(INDEX('Work Orders'!$AH$11:$AH$1010,$B163)="","",INDEX('Work Orders'!$AH$11:$AH$1010,$B163)))</f>
        <v/>
      </c>
      <c r="M163" s="46">
        <f>IF($B163="","",IF(INDEX('Work Orders'!$AM$11:$AM$1010,$B163)="","",INDEX('Work Orders'!$AM$11:$AM$1010,$B163)))</f>
        <v/>
      </c>
      <c r="N163" s="43">
        <f>IF($B163="","",IF(INDEX('Work Orders'!$AL$11:$AL$1010,$B163)="","",INDEX('Work Orders'!$AL$11:$AL$1010,$B163)))</f>
        <v/>
      </c>
      <c r="O163" s="43">
        <f>IF($B163="","",IF(INDEX('Work Orders'!$N$11:$N$1010,$B163)="","",INDEX('Work Orders'!$N$11:$N$1010,$B163)))</f>
        <v/>
      </c>
    </row>
    <row r="164">
      <c r="A164" s="68" t="n">
        <v>158</v>
      </c>
      <c r="B164">
        <f>IFERROR(MATCH(A164,'Work Orders'!$AO$11:$AO$1010,0),"")</f>
        <v/>
      </c>
      <c r="C164" s="43">
        <f>IF($B164="","",IF(INDEX('Work Orders'!$A$11:$A$1010,$B164)="","",INDEX('Work Orders'!$A$11:$A$1010,$B164)))</f>
        <v/>
      </c>
      <c r="D164" s="43">
        <f>IF($B164="","",IF(INDEX('Work Orders'!$B$11:$B$1010,$B164)="","",INDEX('Work Orders'!$B$11:$B$1010,$B164)))</f>
        <v/>
      </c>
      <c r="E164" s="43">
        <f>IF($B164="","",IF(INDEX('Work Orders'!$D$11:$D$1010,$B164)="","",INDEX('Work Orders'!$D$11:$D$1010,$B164)))</f>
        <v/>
      </c>
      <c r="F164" s="43">
        <f>IF($B164="","",IF(INDEX('Work Orders'!$Q$11:$Q$1010,$B164)="","",INDEX('Work Orders'!$Q$11:$Q$1010,$B164)))</f>
        <v/>
      </c>
      <c r="G164" s="43">
        <f>IF($B164="","",IF(INDEX('Work Orders'!$V$11:$V$1010,$B164)="","",INDEX('Work Orders'!$V$11:$V$1010,$B164)))</f>
        <v/>
      </c>
      <c r="H164" s="47">
        <f>IF($B164="","",IF(INDEX('Work Orders'!$U$11:$U$1010,$B164)="","",INDEX('Work Orders'!$U$11:$U$1010,$B164)))</f>
        <v/>
      </c>
      <c r="I164" s="47">
        <f>IF($B164="","",IF(INDEX('Work Orders'!$X$11:$X$1010,$B164)="","",INDEX('Work Orders'!$X$11:$X$1010,$B164)))</f>
        <v/>
      </c>
      <c r="J164" s="44">
        <f>IF($B164="","",IF(INDEX('Work Orders'!$Z$11:$Z$1010,$B164)="","",INDEX('Work Orders'!$Z$11:$Z$1010,$B164)))</f>
        <v/>
      </c>
      <c r="K164" s="44">
        <f>IF($B164="","",IF(INDEX('Work Orders'!$AG$11:$AG$1010,$B164)="","",INDEX('Work Orders'!$AG$11:$AG$1010,$B164)))</f>
        <v/>
      </c>
      <c r="L164" s="44">
        <f>IF($B164="","",IF(INDEX('Work Orders'!$AH$11:$AH$1010,$B164)="","",INDEX('Work Orders'!$AH$11:$AH$1010,$B164)))</f>
        <v/>
      </c>
      <c r="M164" s="46">
        <f>IF($B164="","",IF(INDEX('Work Orders'!$AM$11:$AM$1010,$B164)="","",INDEX('Work Orders'!$AM$11:$AM$1010,$B164)))</f>
        <v/>
      </c>
      <c r="N164" s="43">
        <f>IF($B164="","",IF(INDEX('Work Orders'!$AL$11:$AL$1010,$B164)="","",INDEX('Work Orders'!$AL$11:$AL$1010,$B164)))</f>
        <v/>
      </c>
      <c r="O164" s="43">
        <f>IF($B164="","",IF(INDEX('Work Orders'!$N$11:$N$1010,$B164)="","",INDEX('Work Orders'!$N$11:$N$1010,$B164)))</f>
        <v/>
      </c>
    </row>
    <row r="165">
      <c r="A165" s="68" t="n">
        <v>159</v>
      </c>
      <c r="B165">
        <f>IFERROR(MATCH(A165,'Work Orders'!$AO$11:$AO$1010,0),"")</f>
        <v/>
      </c>
      <c r="C165" s="43">
        <f>IF($B165="","",IF(INDEX('Work Orders'!$A$11:$A$1010,$B165)="","",INDEX('Work Orders'!$A$11:$A$1010,$B165)))</f>
        <v/>
      </c>
      <c r="D165" s="43">
        <f>IF($B165="","",IF(INDEX('Work Orders'!$B$11:$B$1010,$B165)="","",INDEX('Work Orders'!$B$11:$B$1010,$B165)))</f>
        <v/>
      </c>
      <c r="E165" s="43">
        <f>IF($B165="","",IF(INDEX('Work Orders'!$D$11:$D$1010,$B165)="","",INDEX('Work Orders'!$D$11:$D$1010,$B165)))</f>
        <v/>
      </c>
      <c r="F165" s="43">
        <f>IF($B165="","",IF(INDEX('Work Orders'!$Q$11:$Q$1010,$B165)="","",INDEX('Work Orders'!$Q$11:$Q$1010,$B165)))</f>
        <v/>
      </c>
      <c r="G165" s="43">
        <f>IF($B165="","",IF(INDEX('Work Orders'!$V$11:$V$1010,$B165)="","",INDEX('Work Orders'!$V$11:$V$1010,$B165)))</f>
        <v/>
      </c>
      <c r="H165" s="47">
        <f>IF($B165="","",IF(INDEX('Work Orders'!$U$11:$U$1010,$B165)="","",INDEX('Work Orders'!$U$11:$U$1010,$B165)))</f>
        <v/>
      </c>
      <c r="I165" s="47">
        <f>IF($B165="","",IF(INDEX('Work Orders'!$X$11:$X$1010,$B165)="","",INDEX('Work Orders'!$X$11:$X$1010,$B165)))</f>
        <v/>
      </c>
      <c r="J165" s="44">
        <f>IF($B165="","",IF(INDEX('Work Orders'!$Z$11:$Z$1010,$B165)="","",INDEX('Work Orders'!$Z$11:$Z$1010,$B165)))</f>
        <v/>
      </c>
      <c r="K165" s="44">
        <f>IF($B165="","",IF(INDEX('Work Orders'!$AG$11:$AG$1010,$B165)="","",INDEX('Work Orders'!$AG$11:$AG$1010,$B165)))</f>
        <v/>
      </c>
      <c r="L165" s="44">
        <f>IF($B165="","",IF(INDEX('Work Orders'!$AH$11:$AH$1010,$B165)="","",INDEX('Work Orders'!$AH$11:$AH$1010,$B165)))</f>
        <v/>
      </c>
      <c r="M165" s="46">
        <f>IF($B165="","",IF(INDEX('Work Orders'!$AM$11:$AM$1010,$B165)="","",INDEX('Work Orders'!$AM$11:$AM$1010,$B165)))</f>
        <v/>
      </c>
      <c r="N165" s="43">
        <f>IF($B165="","",IF(INDEX('Work Orders'!$AL$11:$AL$1010,$B165)="","",INDEX('Work Orders'!$AL$11:$AL$1010,$B165)))</f>
        <v/>
      </c>
      <c r="O165" s="43">
        <f>IF($B165="","",IF(INDEX('Work Orders'!$N$11:$N$1010,$B165)="","",INDEX('Work Orders'!$N$11:$N$1010,$B165)))</f>
        <v/>
      </c>
    </row>
    <row r="166">
      <c r="A166" s="68" t="n">
        <v>160</v>
      </c>
      <c r="B166">
        <f>IFERROR(MATCH(A166,'Work Orders'!$AO$11:$AO$1010,0),"")</f>
        <v/>
      </c>
      <c r="C166" s="43">
        <f>IF($B166="","",IF(INDEX('Work Orders'!$A$11:$A$1010,$B166)="","",INDEX('Work Orders'!$A$11:$A$1010,$B166)))</f>
        <v/>
      </c>
      <c r="D166" s="43">
        <f>IF($B166="","",IF(INDEX('Work Orders'!$B$11:$B$1010,$B166)="","",INDEX('Work Orders'!$B$11:$B$1010,$B166)))</f>
        <v/>
      </c>
      <c r="E166" s="43">
        <f>IF($B166="","",IF(INDEX('Work Orders'!$D$11:$D$1010,$B166)="","",INDEX('Work Orders'!$D$11:$D$1010,$B166)))</f>
        <v/>
      </c>
      <c r="F166" s="43">
        <f>IF($B166="","",IF(INDEX('Work Orders'!$Q$11:$Q$1010,$B166)="","",INDEX('Work Orders'!$Q$11:$Q$1010,$B166)))</f>
        <v/>
      </c>
      <c r="G166" s="43">
        <f>IF($B166="","",IF(INDEX('Work Orders'!$V$11:$V$1010,$B166)="","",INDEX('Work Orders'!$V$11:$V$1010,$B166)))</f>
        <v/>
      </c>
      <c r="H166" s="47">
        <f>IF($B166="","",IF(INDEX('Work Orders'!$U$11:$U$1010,$B166)="","",INDEX('Work Orders'!$U$11:$U$1010,$B166)))</f>
        <v/>
      </c>
      <c r="I166" s="47">
        <f>IF($B166="","",IF(INDEX('Work Orders'!$X$11:$X$1010,$B166)="","",INDEX('Work Orders'!$X$11:$X$1010,$B166)))</f>
        <v/>
      </c>
      <c r="J166" s="44">
        <f>IF($B166="","",IF(INDEX('Work Orders'!$Z$11:$Z$1010,$B166)="","",INDEX('Work Orders'!$Z$11:$Z$1010,$B166)))</f>
        <v/>
      </c>
      <c r="K166" s="44">
        <f>IF($B166="","",IF(INDEX('Work Orders'!$AG$11:$AG$1010,$B166)="","",INDEX('Work Orders'!$AG$11:$AG$1010,$B166)))</f>
        <v/>
      </c>
      <c r="L166" s="44">
        <f>IF($B166="","",IF(INDEX('Work Orders'!$AH$11:$AH$1010,$B166)="","",INDEX('Work Orders'!$AH$11:$AH$1010,$B166)))</f>
        <v/>
      </c>
      <c r="M166" s="46">
        <f>IF($B166="","",IF(INDEX('Work Orders'!$AM$11:$AM$1010,$B166)="","",INDEX('Work Orders'!$AM$11:$AM$1010,$B166)))</f>
        <v/>
      </c>
      <c r="N166" s="43">
        <f>IF($B166="","",IF(INDEX('Work Orders'!$AL$11:$AL$1010,$B166)="","",INDEX('Work Orders'!$AL$11:$AL$1010,$B166)))</f>
        <v/>
      </c>
      <c r="O166" s="43">
        <f>IF($B166="","",IF(INDEX('Work Orders'!$N$11:$N$1010,$B166)="","",INDEX('Work Orders'!$N$11:$N$1010,$B166)))</f>
        <v/>
      </c>
    </row>
    <row r="167">
      <c r="A167" s="68" t="n">
        <v>161</v>
      </c>
      <c r="B167">
        <f>IFERROR(MATCH(A167,'Work Orders'!$AO$11:$AO$1010,0),"")</f>
        <v/>
      </c>
      <c r="C167" s="43">
        <f>IF($B167="","",IF(INDEX('Work Orders'!$A$11:$A$1010,$B167)="","",INDEX('Work Orders'!$A$11:$A$1010,$B167)))</f>
        <v/>
      </c>
      <c r="D167" s="43">
        <f>IF($B167="","",IF(INDEX('Work Orders'!$B$11:$B$1010,$B167)="","",INDEX('Work Orders'!$B$11:$B$1010,$B167)))</f>
        <v/>
      </c>
      <c r="E167" s="43">
        <f>IF($B167="","",IF(INDEX('Work Orders'!$D$11:$D$1010,$B167)="","",INDEX('Work Orders'!$D$11:$D$1010,$B167)))</f>
        <v/>
      </c>
      <c r="F167" s="43">
        <f>IF($B167="","",IF(INDEX('Work Orders'!$Q$11:$Q$1010,$B167)="","",INDEX('Work Orders'!$Q$11:$Q$1010,$B167)))</f>
        <v/>
      </c>
      <c r="G167" s="43">
        <f>IF($B167="","",IF(INDEX('Work Orders'!$V$11:$V$1010,$B167)="","",INDEX('Work Orders'!$V$11:$V$1010,$B167)))</f>
        <v/>
      </c>
      <c r="H167" s="47">
        <f>IF($B167="","",IF(INDEX('Work Orders'!$U$11:$U$1010,$B167)="","",INDEX('Work Orders'!$U$11:$U$1010,$B167)))</f>
        <v/>
      </c>
      <c r="I167" s="47">
        <f>IF($B167="","",IF(INDEX('Work Orders'!$X$11:$X$1010,$B167)="","",INDEX('Work Orders'!$X$11:$X$1010,$B167)))</f>
        <v/>
      </c>
      <c r="J167" s="44">
        <f>IF($B167="","",IF(INDEX('Work Orders'!$Z$11:$Z$1010,$B167)="","",INDEX('Work Orders'!$Z$11:$Z$1010,$B167)))</f>
        <v/>
      </c>
      <c r="K167" s="44">
        <f>IF($B167="","",IF(INDEX('Work Orders'!$AG$11:$AG$1010,$B167)="","",INDEX('Work Orders'!$AG$11:$AG$1010,$B167)))</f>
        <v/>
      </c>
      <c r="L167" s="44">
        <f>IF($B167="","",IF(INDEX('Work Orders'!$AH$11:$AH$1010,$B167)="","",INDEX('Work Orders'!$AH$11:$AH$1010,$B167)))</f>
        <v/>
      </c>
      <c r="M167" s="46">
        <f>IF($B167="","",IF(INDEX('Work Orders'!$AM$11:$AM$1010,$B167)="","",INDEX('Work Orders'!$AM$11:$AM$1010,$B167)))</f>
        <v/>
      </c>
      <c r="N167" s="43">
        <f>IF($B167="","",IF(INDEX('Work Orders'!$AL$11:$AL$1010,$B167)="","",INDEX('Work Orders'!$AL$11:$AL$1010,$B167)))</f>
        <v/>
      </c>
      <c r="O167" s="43">
        <f>IF($B167="","",IF(INDEX('Work Orders'!$N$11:$N$1010,$B167)="","",INDEX('Work Orders'!$N$11:$N$1010,$B167)))</f>
        <v/>
      </c>
    </row>
    <row r="168">
      <c r="A168" s="68" t="n">
        <v>162</v>
      </c>
      <c r="B168">
        <f>IFERROR(MATCH(A168,'Work Orders'!$AO$11:$AO$1010,0),"")</f>
        <v/>
      </c>
      <c r="C168" s="43">
        <f>IF($B168="","",IF(INDEX('Work Orders'!$A$11:$A$1010,$B168)="","",INDEX('Work Orders'!$A$11:$A$1010,$B168)))</f>
        <v/>
      </c>
      <c r="D168" s="43">
        <f>IF($B168="","",IF(INDEX('Work Orders'!$B$11:$B$1010,$B168)="","",INDEX('Work Orders'!$B$11:$B$1010,$B168)))</f>
        <v/>
      </c>
      <c r="E168" s="43">
        <f>IF($B168="","",IF(INDEX('Work Orders'!$D$11:$D$1010,$B168)="","",INDEX('Work Orders'!$D$11:$D$1010,$B168)))</f>
        <v/>
      </c>
      <c r="F168" s="43">
        <f>IF($B168="","",IF(INDEX('Work Orders'!$Q$11:$Q$1010,$B168)="","",INDEX('Work Orders'!$Q$11:$Q$1010,$B168)))</f>
        <v/>
      </c>
      <c r="G168" s="43">
        <f>IF($B168="","",IF(INDEX('Work Orders'!$V$11:$V$1010,$B168)="","",INDEX('Work Orders'!$V$11:$V$1010,$B168)))</f>
        <v/>
      </c>
      <c r="H168" s="47">
        <f>IF($B168="","",IF(INDEX('Work Orders'!$U$11:$U$1010,$B168)="","",INDEX('Work Orders'!$U$11:$U$1010,$B168)))</f>
        <v/>
      </c>
      <c r="I168" s="47">
        <f>IF($B168="","",IF(INDEX('Work Orders'!$X$11:$X$1010,$B168)="","",INDEX('Work Orders'!$X$11:$X$1010,$B168)))</f>
        <v/>
      </c>
      <c r="J168" s="44">
        <f>IF($B168="","",IF(INDEX('Work Orders'!$Z$11:$Z$1010,$B168)="","",INDEX('Work Orders'!$Z$11:$Z$1010,$B168)))</f>
        <v/>
      </c>
      <c r="K168" s="44">
        <f>IF($B168="","",IF(INDEX('Work Orders'!$AG$11:$AG$1010,$B168)="","",INDEX('Work Orders'!$AG$11:$AG$1010,$B168)))</f>
        <v/>
      </c>
      <c r="L168" s="44">
        <f>IF($B168="","",IF(INDEX('Work Orders'!$AH$11:$AH$1010,$B168)="","",INDEX('Work Orders'!$AH$11:$AH$1010,$B168)))</f>
        <v/>
      </c>
      <c r="M168" s="46">
        <f>IF($B168="","",IF(INDEX('Work Orders'!$AM$11:$AM$1010,$B168)="","",INDEX('Work Orders'!$AM$11:$AM$1010,$B168)))</f>
        <v/>
      </c>
      <c r="N168" s="43">
        <f>IF($B168="","",IF(INDEX('Work Orders'!$AL$11:$AL$1010,$B168)="","",INDEX('Work Orders'!$AL$11:$AL$1010,$B168)))</f>
        <v/>
      </c>
      <c r="O168" s="43">
        <f>IF($B168="","",IF(INDEX('Work Orders'!$N$11:$N$1010,$B168)="","",INDEX('Work Orders'!$N$11:$N$1010,$B168)))</f>
        <v/>
      </c>
    </row>
    <row r="169">
      <c r="A169" s="68" t="n">
        <v>163</v>
      </c>
      <c r="B169">
        <f>IFERROR(MATCH(A169,'Work Orders'!$AO$11:$AO$1010,0),"")</f>
        <v/>
      </c>
      <c r="C169" s="43">
        <f>IF($B169="","",IF(INDEX('Work Orders'!$A$11:$A$1010,$B169)="","",INDEX('Work Orders'!$A$11:$A$1010,$B169)))</f>
        <v/>
      </c>
      <c r="D169" s="43">
        <f>IF($B169="","",IF(INDEX('Work Orders'!$B$11:$B$1010,$B169)="","",INDEX('Work Orders'!$B$11:$B$1010,$B169)))</f>
        <v/>
      </c>
      <c r="E169" s="43">
        <f>IF($B169="","",IF(INDEX('Work Orders'!$D$11:$D$1010,$B169)="","",INDEX('Work Orders'!$D$11:$D$1010,$B169)))</f>
        <v/>
      </c>
      <c r="F169" s="43">
        <f>IF($B169="","",IF(INDEX('Work Orders'!$Q$11:$Q$1010,$B169)="","",INDEX('Work Orders'!$Q$11:$Q$1010,$B169)))</f>
        <v/>
      </c>
      <c r="G169" s="43">
        <f>IF($B169="","",IF(INDEX('Work Orders'!$V$11:$V$1010,$B169)="","",INDEX('Work Orders'!$V$11:$V$1010,$B169)))</f>
        <v/>
      </c>
      <c r="H169" s="47">
        <f>IF($B169="","",IF(INDEX('Work Orders'!$U$11:$U$1010,$B169)="","",INDEX('Work Orders'!$U$11:$U$1010,$B169)))</f>
        <v/>
      </c>
      <c r="I169" s="47">
        <f>IF($B169="","",IF(INDEX('Work Orders'!$X$11:$X$1010,$B169)="","",INDEX('Work Orders'!$X$11:$X$1010,$B169)))</f>
        <v/>
      </c>
      <c r="J169" s="44">
        <f>IF($B169="","",IF(INDEX('Work Orders'!$Z$11:$Z$1010,$B169)="","",INDEX('Work Orders'!$Z$11:$Z$1010,$B169)))</f>
        <v/>
      </c>
      <c r="K169" s="44">
        <f>IF($B169="","",IF(INDEX('Work Orders'!$AG$11:$AG$1010,$B169)="","",INDEX('Work Orders'!$AG$11:$AG$1010,$B169)))</f>
        <v/>
      </c>
      <c r="L169" s="44">
        <f>IF($B169="","",IF(INDEX('Work Orders'!$AH$11:$AH$1010,$B169)="","",INDEX('Work Orders'!$AH$11:$AH$1010,$B169)))</f>
        <v/>
      </c>
      <c r="M169" s="46">
        <f>IF($B169="","",IF(INDEX('Work Orders'!$AM$11:$AM$1010,$B169)="","",INDEX('Work Orders'!$AM$11:$AM$1010,$B169)))</f>
        <v/>
      </c>
      <c r="N169" s="43">
        <f>IF($B169="","",IF(INDEX('Work Orders'!$AL$11:$AL$1010,$B169)="","",INDEX('Work Orders'!$AL$11:$AL$1010,$B169)))</f>
        <v/>
      </c>
      <c r="O169" s="43">
        <f>IF($B169="","",IF(INDEX('Work Orders'!$N$11:$N$1010,$B169)="","",INDEX('Work Orders'!$N$11:$N$1010,$B169)))</f>
        <v/>
      </c>
    </row>
    <row r="170">
      <c r="A170" s="68" t="n">
        <v>164</v>
      </c>
      <c r="B170">
        <f>IFERROR(MATCH(A170,'Work Orders'!$AO$11:$AO$1010,0),"")</f>
        <v/>
      </c>
      <c r="C170" s="43">
        <f>IF($B170="","",IF(INDEX('Work Orders'!$A$11:$A$1010,$B170)="","",INDEX('Work Orders'!$A$11:$A$1010,$B170)))</f>
        <v/>
      </c>
      <c r="D170" s="43">
        <f>IF($B170="","",IF(INDEX('Work Orders'!$B$11:$B$1010,$B170)="","",INDEX('Work Orders'!$B$11:$B$1010,$B170)))</f>
        <v/>
      </c>
      <c r="E170" s="43">
        <f>IF($B170="","",IF(INDEX('Work Orders'!$D$11:$D$1010,$B170)="","",INDEX('Work Orders'!$D$11:$D$1010,$B170)))</f>
        <v/>
      </c>
      <c r="F170" s="43">
        <f>IF($B170="","",IF(INDEX('Work Orders'!$Q$11:$Q$1010,$B170)="","",INDEX('Work Orders'!$Q$11:$Q$1010,$B170)))</f>
        <v/>
      </c>
      <c r="G170" s="43">
        <f>IF($B170="","",IF(INDEX('Work Orders'!$V$11:$V$1010,$B170)="","",INDEX('Work Orders'!$V$11:$V$1010,$B170)))</f>
        <v/>
      </c>
      <c r="H170" s="47">
        <f>IF($B170="","",IF(INDEX('Work Orders'!$U$11:$U$1010,$B170)="","",INDEX('Work Orders'!$U$11:$U$1010,$B170)))</f>
        <v/>
      </c>
      <c r="I170" s="47">
        <f>IF($B170="","",IF(INDEX('Work Orders'!$X$11:$X$1010,$B170)="","",INDEX('Work Orders'!$X$11:$X$1010,$B170)))</f>
        <v/>
      </c>
      <c r="J170" s="44">
        <f>IF($B170="","",IF(INDEX('Work Orders'!$Z$11:$Z$1010,$B170)="","",INDEX('Work Orders'!$Z$11:$Z$1010,$B170)))</f>
        <v/>
      </c>
      <c r="K170" s="44">
        <f>IF($B170="","",IF(INDEX('Work Orders'!$AG$11:$AG$1010,$B170)="","",INDEX('Work Orders'!$AG$11:$AG$1010,$B170)))</f>
        <v/>
      </c>
      <c r="L170" s="44">
        <f>IF($B170="","",IF(INDEX('Work Orders'!$AH$11:$AH$1010,$B170)="","",INDEX('Work Orders'!$AH$11:$AH$1010,$B170)))</f>
        <v/>
      </c>
      <c r="M170" s="46">
        <f>IF($B170="","",IF(INDEX('Work Orders'!$AM$11:$AM$1010,$B170)="","",INDEX('Work Orders'!$AM$11:$AM$1010,$B170)))</f>
        <v/>
      </c>
      <c r="N170" s="43">
        <f>IF($B170="","",IF(INDEX('Work Orders'!$AL$11:$AL$1010,$B170)="","",INDEX('Work Orders'!$AL$11:$AL$1010,$B170)))</f>
        <v/>
      </c>
      <c r="O170" s="43">
        <f>IF($B170="","",IF(INDEX('Work Orders'!$N$11:$N$1010,$B170)="","",INDEX('Work Orders'!$N$11:$N$1010,$B170)))</f>
        <v/>
      </c>
    </row>
    <row r="171">
      <c r="A171" s="68" t="n">
        <v>165</v>
      </c>
      <c r="B171">
        <f>IFERROR(MATCH(A171,'Work Orders'!$AO$11:$AO$1010,0),"")</f>
        <v/>
      </c>
      <c r="C171" s="43">
        <f>IF($B171="","",IF(INDEX('Work Orders'!$A$11:$A$1010,$B171)="","",INDEX('Work Orders'!$A$11:$A$1010,$B171)))</f>
        <v/>
      </c>
      <c r="D171" s="43">
        <f>IF($B171="","",IF(INDEX('Work Orders'!$B$11:$B$1010,$B171)="","",INDEX('Work Orders'!$B$11:$B$1010,$B171)))</f>
        <v/>
      </c>
      <c r="E171" s="43">
        <f>IF($B171="","",IF(INDEX('Work Orders'!$D$11:$D$1010,$B171)="","",INDEX('Work Orders'!$D$11:$D$1010,$B171)))</f>
        <v/>
      </c>
      <c r="F171" s="43">
        <f>IF($B171="","",IF(INDEX('Work Orders'!$Q$11:$Q$1010,$B171)="","",INDEX('Work Orders'!$Q$11:$Q$1010,$B171)))</f>
        <v/>
      </c>
      <c r="G171" s="43">
        <f>IF($B171="","",IF(INDEX('Work Orders'!$V$11:$V$1010,$B171)="","",INDEX('Work Orders'!$V$11:$V$1010,$B171)))</f>
        <v/>
      </c>
      <c r="H171" s="47">
        <f>IF($B171="","",IF(INDEX('Work Orders'!$U$11:$U$1010,$B171)="","",INDEX('Work Orders'!$U$11:$U$1010,$B171)))</f>
        <v/>
      </c>
      <c r="I171" s="47">
        <f>IF($B171="","",IF(INDEX('Work Orders'!$X$11:$X$1010,$B171)="","",INDEX('Work Orders'!$X$11:$X$1010,$B171)))</f>
        <v/>
      </c>
      <c r="J171" s="44">
        <f>IF($B171="","",IF(INDEX('Work Orders'!$Z$11:$Z$1010,$B171)="","",INDEX('Work Orders'!$Z$11:$Z$1010,$B171)))</f>
        <v/>
      </c>
      <c r="K171" s="44">
        <f>IF($B171="","",IF(INDEX('Work Orders'!$AG$11:$AG$1010,$B171)="","",INDEX('Work Orders'!$AG$11:$AG$1010,$B171)))</f>
        <v/>
      </c>
      <c r="L171" s="44">
        <f>IF($B171="","",IF(INDEX('Work Orders'!$AH$11:$AH$1010,$B171)="","",INDEX('Work Orders'!$AH$11:$AH$1010,$B171)))</f>
        <v/>
      </c>
      <c r="M171" s="46">
        <f>IF($B171="","",IF(INDEX('Work Orders'!$AM$11:$AM$1010,$B171)="","",INDEX('Work Orders'!$AM$11:$AM$1010,$B171)))</f>
        <v/>
      </c>
      <c r="N171" s="43">
        <f>IF($B171="","",IF(INDEX('Work Orders'!$AL$11:$AL$1010,$B171)="","",INDEX('Work Orders'!$AL$11:$AL$1010,$B171)))</f>
        <v/>
      </c>
      <c r="O171" s="43">
        <f>IF($B171="","",IF(INDEX('Work Orders'!$N$11:$N$1010,$B171)="","",INDEX('Work Orders'!$N$11:$N$1010,$B171)))</f>
        <v/>
      </c>
    </row>
    <row r="172">
      <c r="A172" s="68" t="n">
        <v>166</v>
      </c>
      <c r="B172">
        <f>IFERROR(MATCH(A172,'Work Orders'!$AO$11:$AO$1010,0),"")</f>
        <v/>
      </c>
      <c r="C172" s="43">
        <f>IF($B172="","",IF(INDEX('Work Orders'!$A$11:$A$1010,$B172)="","",INDEX('Work Orders'!$A$11:$A$1010,$B172)))</f>
        <v/>
      </c>
      <c r="D172" s="43">
        <f>IF($B172="","",IF(INDEX('Work Orders'!$B$11:$B$1010,$B172)="","",INDEX('Work Orders'!$B$11:$B$1010,$B172)))</f>
        <v/>
      </c>
      <c r="E172" s="43">
        <f>IF($B172="","",IF(INDEX('Work Orders'!$D$11:$D$1010,$B172)="","",INDEX('Work Orders'!$D$11:$D$1010,$B172)))</f>
        <v/>
      </c>
      <c r="F172" s="43">
        <f>IF($B172="","",IF(INDEX('Work Orders'!$Q$11:$Q$1010,$B172)="","",INDEX('Work Orders'!$Q$11:$Q$1010,$B172)))</f>
        <v/>
      </c>
      <c r="G172" s="43">
        <f>IF($B172="","",IF(INDEX('Work Orders'!$V$11:$V$1010,$B172)="","",INDEX('Work Orders'!$V$11:$V$1010,$B172)))</f>
        <v/>
      </c>
      <c r="H172" s="47">
        <f>IF($B172="","",IF(INDEX('Work Orders'!$U$11:$U$1010,$B172)="","",INDEX('Work Orders'!$U$11:$U$1010,$B172)))</f>
        <v/>
      </c>
      <c r="I172" s="47">
        <f>IF($B172="","",IF(INDEX('Work Orders'!$X$11:$X$1010,$B172)="","",INDEX('Work Orders'!$X$11:$X$1010,$B172)))</f>
        <v/>
      </c>
      <c r="J172" s="44">
        <f>IF($B172="","",IF(INDEX('Work Orders'!$Z$11:$Z$1010,$B172)="","",INDEX('Work Orders'!$Z$11:$Z$1010,$B172)))</f>
        <v/>
      </c>
      <c r="K172" s="44">
        <f>IF($B172="","",IF(INDEX('Work Orders'!$AG$11:$AG$1010,$B172)="","",INDEX('Work Orders'!$AG$11:$AG$1010,$B172)))</f>
        <v/>
      </c>
      <c r="L172" s="44">
        <f>IF($B172="","",IF(INDEX('Work Orders'!$AH$11:$AH$1010,$B172)="","",INDEX('Work Orders'!$AH$11:$AH$1010,$B172)))</f>
        <v/>
      </c>
      <c r="M172" s="46">
        <f>IF($B172="","",IF(INDEX('Work Orders'!$AM$11:$AM$1010,$B172)="","",INDEX('Work Orders'!$AM$11:$AM$1010,$B172)))</f>
        <v/>
      </c>
      <c r="N172" s="43">
        <f>IF($B172="","",IF(INDEX('Work Orders'!$AL$11:$AL$1010,$B172)="","",INDEX('Work Orders'!$AL$11:$AL$1010,$B172)))</f>
        <v/>
      </c>
      <c r="O172" s="43">
        <f>IF($B172="","",IF(INDEX('Work Orders'!$N$11:$N$1010,$B172)="","",INDEX('Work Orders'!$N$11:$N$1010,$B172)))</f>
        <v/>
      </c>
    </row>
    <row r="173">
      <c r="A173" s="68" t="n">
        <v>167</v>
      </c>
      <c r="B173">
        <f>IFERROR(MATCH(A173,'Work Orders'!$AO$11:$AO$1010,0),"")</f>
        <v/>
      </c>
      <c r="C173" s="43">
        <f>IF($B173="","",IF(INDEX('Work Orders'!$A$11:$A$1010,$B173)="","",INDEX('Work Orders'!$A$11:$A$1010,$B173)))</f>
        <v/>
      </c>
      <c r="D173" s="43">
        <f>IF($B173="","",IF(INDEX('Work Orders'!$B$11:$B$1010,$B173)="","",INDEX('Work Orders'!$B$11:$B$1010,$B173)))</f>
        <v/>
      </c>
      <c r="E173" s="43">
        <f>IF($B173="","",IF(INDEX('Work Orders'!$D$11:$D$1010,$B173)="","",INDEX('Work Orders'!$D$11:$D$1010,$B173)))</f>
        <v/>
      </c>
      <c r="F173" s="43">
        <f>IF($B173="","",IF(INDEX('Work Orders'!$Q$11:$Q$1010,$B173)="","",INDEX('Work Orders'!$Q$11:$Q$1010,$B173)))</f>
        <v/>
      </c>
      <c r="G173" s="43">
        <f>IF($B173="","",IF(INDEX('Work Orders'!$V$11:$V$1010,$B173)="","",INDEX('Work Orders'!$V$11:$V$1010,$B173)))</f>
        <v/>
      </c>
      <c r="H173" s="47">
        <f>IF($B173="","",IF(INDEX('Work Orders'!$U$11:$U$1010,$B173)="","",INDEX('Work Orders'!$U$11:$U$1010,$B173)))</f>
        <v/>
      </c>
      <c r="I173" s="47">
        <f>IF($B173="","",IF(INDEX('Work Orders'!$X$11:$X$1010,$B173)="","",INDEX('Work Orders'!$X$11:$X$1010,$B173)))</f>
        <v/>
      </c>
      <c r="J173" s="44">
        <f>IF($B173="","",IF(INDEX('Work Orders'!$Z$11:$Z$1010,$B173)="","",INDEX('Work Orders'!$Z$11:$Z$1010,$B173)))</f>
        <v/>
      </c>
      <c r="K173" s="44">
        <f>IF($B173="","",IF(INDEX('Work Orders'!$AG$11:$AG$1010,$B173)="","",INDEX('Work Orders'!$AG$11:$AG$1010,$B173)))</f>
        <v/>
      </c>
      <c r="L173" s="44">
        <f>IF($B173="","",IF(INDEX('Work Orders'!$AH$11:$AH$1010,$B173)="","",INDEX('Work Orders'!$AH$11:$AH$1010,$B173)))</f>
        <v/>
      </c>
      <c r="M173" s="46">
        <f>IF($B173="","",IF(INDEX('Work Orders'!$AM$11:$AM$1010,$B173)="","",INDEX('Work Orders'!$AM$11:$AM$1010,$B173)))</f>
        <v/>
      </c>
      <c r="N173" s="43">
        <f>IF($B173="","",IF(INDEX('Work Orders'!$AL$11:$AL$1010,$B173)="","",INDEX('Work Orders'!$AL$11:$AL$1010,$B173)))</f>
        <v/>
      </c>
      <c r="O173" s="43">
        <f>IF($B173="","",IF(INDEX('Work Orders'!$N$11:$N$1010,$B173)="","",INDEX('Work Orders'!$N$11:$N$1010,$B173)))</f>
        <v/>
      </c>
    </row>
    <row r="174">
      <c r="A174" s="68" t="n">
        <v>168</v>
      </c>
      <c r="B174">
        <f>IFERROR(MATCH(A174,'Work Orders'!$AO$11:$AO$1010,0),"")</f>
        <v/>
      </c>
      <c r="C174" s="43">
        <f>IF($B174="","",IF(INDEX('Work Orders'!$A$11:$A$1010,$B174)="","",INDEX('Work Orders'!$A$11:$A$1010,$B174)))</f>
        <v/>
      </c>
      <c r="D174" s="43">
        <f>IF($B174="","",IF(INDEX('Work Orders'!$B$11:$B$1010,$B174)="","",INDEX('Work Orders'!$B$11:$B$1010,$B174)))</f>
        <v/>
      </c>
      <c r="E174" s="43">
        <f>IF($B174="","",IF(INDEX('Work Orders'!$D$11:$D$1010,$B174)="","",INDEX('Work Orders'!$D$11:$D$1010,$B174)))</f>
        <v/>
      </c>
      <c r="F174" s="43">
        <f>IF($B174="","",IF(INDEX('Work Orders'!$Q$11:$Q$1010,$B174)="","",INDEX('Work Orders'!$Q$11:$Q$1010,$B174)))</f>
        <v/>
      </c>
      <c r="G174" s="43">
        <f>IF($B174="","",IF(INDEX('Work Orders'!$V$11:$V$1010,$B174)="","",INDEX('Work Orders'!$V$11:$V$1010,$B174)))</f>
        <v/>
      </c>
      <c r="H174" s="47">
        <f>IF($B174="","",IF(INDEX('Work Orders'!$U$11:$U$1010,$B174)="","",INDEX('Work Orders'!$U$11:$U$1010,$B174)))</f>
        <v/>
      </c>
      <c r="I174" s="47">
        <f>IF($B174="","",IF(INDEX('Work Orders'!$X$11:$X$1010,$B174)="","",INDEX('Work Orders'!$X$11:$X$1010,$B174)))</f>
        <v/>
      </c>
      <c r="J174" s="44">
        <f>IF($B174="","",IF(INDEX('Work Orders'!$Z$11:$Z$1010,$B174)="","",INDEX('Work Orders'!$Z$11:$Z$1010,$B174)))</f>
        <v/>
      </c>
      <c r="K174" s="44">
        <f>IF($B174="","",IF(INDEX('Work Orders'!$AG$11:$AG$1010,$B174)="","",INDEX('Work Orders'!$AG$11:$AG$1010,$B174)))</f>
        <v/>
      </c>
      <c r="L174" s="44">
        <f>IF($B174="","",IF(INDEX('Work Orders'!$AH$11:$AH$1010,$B174)="","",INDEX('Work Orders'!$AH$11:$AH$1010,$B174)))</f>
        <v/>
      </c>
      <c r="M174" s="46">
        <f>IF($B174="","",IF(INDEX('Work Orders'!$AM$11:$AM$1010,$B174)="","",INDEX('Work Orders'!$AM$11:$AM$1010,$B174)))</f>
        <v/>
      </c>
      <c r="N174" s="43">
        <f>IF($B174="","",IF(INDEX('Work Orders'!$AL$11:$AL$1010,$B174)="","",INDEX('Work Orders'!$AL$11:$AL$1010,$B174)))</f>
        <v/>
      </c>
      <c r="O174" s="43">
        <f>IF($B174="","",IF(INDEX('Work Orders'!$N$11:$N$1010,$B174)="","",INDEX('Work Orders'!$N$11:$N$1010,$B174)))</f>
        <v/>
      </c>
    </row>
    <row r="175">
      <c r="A175" s="68" t="n">
        <v>169</v>
      </c>
      <c r="B175">
        <f>IFERROR(MATCH(A175,'Work Orders'!$AO$11:$AO$1010,0),"")</f>
        <v/>
      </c>
      <c r="C175" s="43">
        <f>IF($B175="","",IF(INDEX('Work Orders'!$A$11:$A$1010,$B175)="","",INDEX('Work Orders'!$A$11:$A$1010,$B175)))</f>
        <v/>
      </c>
      <c r="D175" s="43">
        <f>IF($B175="","",IF(INDEX('Work Orders'!$B$11:$B$1010,$B175)="","",INDEX('Work Orders'!$B$11:$B$1010,$B175)))</f>
        <v/>
      </c>
      <c r="E175" s="43">
        <f>IF($B175="","",IF(INDEX('Work Orders'!$D$11:$D$1010,$B175)="","",INDEX('Work Orders'!$D$11:$D$1010,$B175)))</f>
        <v/>
      </c>
      <c r="F175" s="43">
        <f>IF($B175="","",IF(INDEX('Work Orders'!$Q$11:$Q$1010,$B175)="","",INDEX('Work Orders'!$Q$11:$Q$1010,$B175)))</f>
        <v/>
      </c>
      <c r="G175" s="43">
        <f>IF($B175="","",IF(INDEX('Work Orders'!$V$11:$V$1010,$B175)="","",INDEX('Work Orders'!$V$11:$V$1010,$B175)))</f>
        <v/>
      </c>
      <c r="H175" s="47">
        <f>IF($B175="","",IF(INDEX('Work Orders'!$U$11:$U$1010,$B175)="","",INDEX('Work Orders'!$U$11:$U$1010,$B175)))</f>
        <v/>
      </c>
      <c r="I175" s="47">
        <f>IF($B175="","",IF(INDEX('Work Orders'!$X$11:$X$1010,$B175)="","",INDEX('Work Orders'!$X$11:$X$1010,$B175)))</f>
        <v/>
      </c>
      <c r="J175" s="44">
        <f>IF($B175="","",IF(INDEX('Work Orders'!$Z$11:$Z$1010,$B175)="","",INDEX('Work Orders'!$Z$11:$Z$1010,$B175)))</f>
        <v/>
      </c>
      <c r="K175" s="44">
        <f>IF($B175="","",IF(INDEX('Work Orders'!$AG$11:$AG$1010,$B175)="","",INDEX('Work Orders'!$AG$11:$AG$1010,$B175)))</f>
        <v/>
      </c>
      <c r="L175" s="44">
        <f>IF($B175="","",IF(INDEX('Work Orders'!$AH$11:$AH$1010,$B175)="","",INDEX('Work Orders'!$AH$11:$AH$1010,$B175)))</f>
        <v/>
      </c>
      <c r="M175" s="46">
        <f>IF($B175="","",IF(INDEX('Work Orders'!$AM$11:$AM$1010,$B175)="","",INDEX('Work Orders'!$AM$11:$AM$1010,$B175)))</f>
        <v/>
      </c>
      <c r="N175" s="43">
        <f>IF($B175="","",IF(INDEX('Work Orders'!$AL$11:$AL$1010,$B175)="","",INDEX('Work Orders'!$AL$11:$AL$1010,$B175)))</f>
        <v/>
      </c>
      <c r="O175" s="43">
        <f>IF($B175="","",IF(INDEX('Work Orders'!$N$11:$N$1010,$B175)="","",INDEX('Work Orders'!$N$11:$N$1010,$B175)))</f>
        <v/>
      </c>
    </row>
    <row r="176">
      <c r="A176" s="68" t="n">
        <v>170</v>
      </c>
      <c r="B176">
        <f>IFERROR(MATCH(A176,'Work Orders'!$AO$11:$AO$1010,0),"")</f>
        <v/>
      </c>
      <c r="C176" s="43">
        <f>IF($B176="","",IF(INDEX('Work Orders'!$A$11:$A$1010,$B176)="","",INDEX('Work Orders'!$A$11:$A$1010,$B176)))</f>
        <v/>
      </c>
      <c r="D176" s="43">
        <f>IF($B176="","",IF(INDEX('Work Orders'!$B$11:$B$1010,$B176)="","",INDEX('Work Orders'!$B$11:$B$1010,$B176)))</f>
        <v/>
      </c>
      <c r="E176" s="43">
        <f>IF($B176="","",IF(INDEX('Work Orders'!$D$11:$D$1010,$B176)="","",INDEX('Work Orders'!$D$11:$D$1010,$B176)))</f>
        <v/>
      </c>
      <c r="F176" s="43">
        <f>IF($B176="","",IF(INDEX('Work Orders'!$Q$11:$Q$1010,$B176)="","",INDEX('Work Orders'!$Q$11:$Q$1010,$B176)))</f>
        <v/>
      </c>
      <c r="G176" s="43">
        <f>IF($B176="","",IF(INDEX('Work Orders'!$V$11:$V$1010,$B176)="","",INDEX('Work Orders'!$V$11:$V$1010,$B176)))</f>
        <v/>
      </c>
      <c r="H176" s="47">
        <f>IF($B176="","",IF(INDEX('Work Orders'!$U$11:$U$1010,$B176)="","",INDEX('Work Orders'!$U$11:$U$1010,$B176)))</f>
        <v/>
      </c>
      <c r="I176" s="47">
        <f>IF($B176="","",IF(INDEX('Work Orders'!$X$11:$X$1010,$B176)="","",INDEX('Work Orders'!$X$11:$X$1010,$B176)))</f>
        <v/>
      </c>
      <c r="J176" s="44">
        <f>IF($B176="","",IF(INDEX('Work Orders'!$Z$11:$Z$1010,$B176)="","",INDEX('Work Orders'!$Z$11:$Z$1010,$B176)))</f>
        <v/>
      </c>
      <c r="K176" s="44">
        <f>IF($B176="","",IF(INDEX('Work Orders'!$AG$11:$AG$1010,$B176)="","",INDEX('Work Orders'!$AG$11:$AG$1010,$B176)))</f>
        <v/>
      </c>
      <c r="L176" s="44">
        <f>IF($B176="","",IF(INDEX('Work Orders'!$AH$11:$AH$1010,$B176)="","",INDEX('Work Orders'!$AH$11:$AH$1010,$B176)))</f>
        <v/>
      </c>
      <c r="M176" s="46">
        <f>IF($B176="","",IF(INDEX('Work Orders'!$AM$11:$AM$1010,$B176)="","",INDEX('Work Orders'!$AM$11:$AM$1010,$B176)))</f>
        <v/>
      </c>
      <c r="N176" s="43">
        <f>IF($B176="","",IF(INDEX('Work Orders'!$AL$11:$AL$1010,$B176)="","",INDEX('Work Orders'!$AL$11:$AL$1010,$B176)))</f>
        <v/>
      </c>
      <c r="O176" s="43">
        <f>IF($B176="","",IF(INDEX('Work Orders'!$N$11:$N$1010,$B176)="","",INDEX('Work Orders'!$N$11:$N$1010,$B176)))</f>
        <v/>
      </c>
    </row>
    <row r="177">
      <c r="A177" s="68" t="n">
        <v>171</v>
      </c>
      <c r="B177">
        <f>IFERROR(MATCH(A177,'Work Orders'!$AO$11:$AO$1010,0),"")</f>
        <v/>
      </c>
      <c r="C177" s="43">
        <f>IF($B177="","",IF(INDEX('Work Orders'!$A$11:$A$1010,$B177)="","",INDEX('Work Orders'!$A$11:$A$1010,$B177)))</f>
        <v/>
      </c>
      <c r="D177" s="43">
        <f>IF($B177="","",IF(INDEX('Work Orders'!$B$11:$B$1010,$B177)="","",INDEX('Work Orders'!$B$11:$B$1010,$B177)))</f>
        <v/>
      </c>
      <c r="E177" s="43">
        <f>IF($B177="","",IF(INDEX('Work Orders'!$D$11:$D$1010,$B177)="","",INDEX('Work Orders'!$D$11:$D$1010,$B177)))</f>
        <v/>
      </c>
      <c r="F177" s="43">
        <f>IF($B177="","",IF(INDEX('Work Orders'!$Q$11:$Q$1010,$B177)="","",INDEX('Work Orders'!$Q$11:$Q$1010,$B177)))</f>
        <v/>
      </c>
      <c r="G177" s="43">
        <f>IF($B177="","",IF(INDEX('Work Orders'!$V$11:$V$1010,$B177)="","",INDEX('Work Orders'!$V$11:$V$1010,$B177)))</f>
        <v/>
      </c>
      <c r="H177" s="47">
        <f>IF($B177="","",IF(INDEX('Work Orders'!$U$11:$U$1010,$B177)="","",INDEX('Work Orders'!$U$11:$U$1010,$B177)))</f>
        <v/>
      </c>
      <c r="I177" s="47">
        <f>IF($B177="","",IF(INDEX('Work Orders'!$X$11:$X$1010,$B177)="","",INDEX('Work Orders'!$X$11:$X$1010,$B177)))</f>
        <v/>
      </c>
      <c r="J177" s="44">
        <f>IF($B177="","",IF(INDEX('Work Orders'!$Z$11:$Z$1010,$B177)="","",INDEX('Work Orders'!$Z$11:$Z$1010,$B177)))</f>
        <v/>
      </c>
      <c r="K177" s="44">
        <f>IF($B177="","",IF(INDEX('Work Orders'!$AG$11:$AG$1010,$B177)="","",INDEX('Work Orders'!$AG$11:$AG$1010,$B177)))</f>
        <v/>
      </c>
      <c r="L177" s="44">
        <f>IF($B177="","",IF(INDEX('Work Orders'!$AH$11:$AH$1010,$B177)="","",INDEX('Work Orders'!$AH$11:$AH$1010,$B177)))</f>
        <v/>
      </c>
      <c r="M177" s="46">
        <f>IF($B177="","",IF(INDEX('Work Orders'!$AM$11:$AM$1010,$B177)="","",INDEX('Work Orders'!$AM$11:$AM$1010,$B177)))</f>
        <v/>
      </c>
      <c r="N177" s="43">
        <f>IF($B177="","",IF(INDEX('Work Orders'!$AL$11:$AL$1010,$B177)="","",INDEX('Work Orders'!$AL$11:$AL$1010,$B177)))</f>
        <v/>
      </c>
      <c r="O177" s="43">
        <f>IF($B177="","",IF(INDEX('Work Orders'!$N$11:$N$1010,$B177)="","",INDEX('Work Orders'!$N$11:$N$1010,$B177)))</f>
        <v/>
      </c>
    </row>
    <row r="178">
      <c r="A178" s="68" t="n">
        <v>172</v>
      </c>
      <c r="B178">
        <f>IFERROR(MATCH(A178,'Work Orders'!$AO$11:$AO$1010,0),"")</f>
        <v/>
      </c>
      <c r="C178" s="43">
        <f>IF($B178="","",IF(INDEX('Work Orders'!$A$11:$A$1010,$B178)="","",INDEX('Work Orders'!$A$11:$A$1010,$B178)))</f>
        <v/>
      </c>
      <c r="D178" s="43">
        <f>IF($B178="","",IF(INDEX('Work Orders'!$B$11:$B$1010,$B178)="","",INDEX('Work Orders'!$B$11:$B$1010,$B178)))</f>
        <v/>
      </c>
      <c r="E178" s="43">
        <f>IF($B178="","",IF(INDEX('Work Orders'!$D$11:$D$1010,$B178)="","",INDEX('Work Orders'!$D$11:$D$1010,$B178)))</f>
        <v/>
      </c>
      <c r="F178" s="43">
        <f>IF($B178="","",IF(INDEX('Work Orders'!$Q$11:$Q$1010,$B178)="","",INDEX('Work Orders'!$Q$11:$Q$1010,$B178)))</f>
        <v/>
      </c>
      <c r="G178" s="43">
        <f>IF($B178="","",IF(INDEX('Work Orders'!$V$11:$V$1010,$B178)="","",INDEX('Work Orders'!$V$11:$V$1010,$B178)))</f>
        <v/>
      </c>
      <c r="H178" s="47">
        <f>IF($B178="","",IF(INDEX('Work Orders'!$U$11:$U$1010,$B178)="","",INDEX('Work Orders'!$U$11:$U$1010,$B178)))</f>
        <v/>
      </c>
      <c r="I178" s="47">
        <f>IF($B178="","",IF(INDEX('Work Orders'!$X$11:$X$1010,$B178)="","",INDEX('Work Orders'!$X$11:$X$1010,$B178)))</f>
        <v/>
      </c>
      <c r="J178" s="44">
        <f>IF($B178="","",IF(INDEX('Work Orders'!$Z$11:$Z$1010,$B178)="","",INDEX('Work Orders'!$Z$11:$Z$1010,$B178)))</f>
        <v/>
      </c>
      <c r="K178" s="44">
        <f>IF($B178="","",IF(INDEX('Work Orders'!$AG$11:$AG$1010,$B178)="","",INDEX('Work Orders'!$AG$11:$AG$1010,$B178)))</f>
        <v/>
      </c>
      <c r="L178" s="44">
        <f>IF($B178="","",IF(INDEX('Work Orders'!$AH$11:$AH$1010,$B178)="","",INDEX('Work Orders'!$AH$11:$AH$1010,$B178)))</f>
        <v/>
      </c>
      <c r="M178" s="46">
        <f>IF($B178="","",IF(INDEX('Work Orders'!$AM$11:$AM$1010,$B178)="","",INDEX('Work Orders'!$AM$11:$AM$1010,$B178)))</f>
        <v/>
      </c>
      <c r="N178" s="43">
        <f>IF($B178="","",IF(INDEX('Work Orders'!$AL$11:$AL$1010,$B178)="","",INDEX('Work Orders'!$AL$11:$AL$1010,$B178)))</f>
        <v/>
      </c>
      <c r="O178" s="43">
        <f>IF($B178="","",IF(INDEX('Work Orders'!$N$11:$N$1010,$B178)="","",INDEX('Work Orders'!$N$11:$N$1010,$B178)))</f>
        <v/>
      </c>
    </row>
    <row r="179">
      <c r="A179" s="68" t="n">
        <v>173</v>
      </c>
      <c r="B179">
        <f>IFERROR(MATCH(A179,'Work Orders'!$AO$11:$AO$1010,0),"")</f>
        <v/>
      </c>
      <c r="C179" s="43">
        <f>IF($B179="","",IF(INDEX('Work Orders'!$A$11:$A$1010,$B179)="","",INDEX('Work Orders'!$A$11:$A$1010,$B179)))</f>
        <v/>
      </c>
      <c r="D179" s="43">
        <f>IF($B179="","",IF(INDEX('Work Orders'!$B$11:$B$1010,$B179)="","",INDEX('Work Orders'!$B$11:$B$1010,$B179)))</f>
        <v/>
      </c>
      <c r="E179" s="43">
        <f>IF($B179="","",IF(INDEX('Work Orders'!$D$11:$D$1010,$B179)="","",INDEX('Work Orders'!$D$11:$D$1010,$B179)))</f>
        <v/>
      </c>
      <c r="F179" s="43">
        <f>IF($B179="","",IF(INDEX('Work Orders'!$Q$11:$Q$1010,$B179)="","",INDEX('Work Orders'!$Q$11:$Q$1010,$B179)))</f>
        <v/>
      </c>
      <c r="G179" s="43">
        <f>IF($B179="","",IF(INDEX('Work Orders'!$V$11:$V$1010,$B179)="","",INDEX('Work Orders'!$V$11:$V$1010,$B179)))</f>
        <v/>
      </c>
      <c r="H179" s="47">
        <f>IF($B179="","",IF(INDEX('Work Orders'!$U$11:$U$1010,$B179)="","",INDEX('Work Orders'!$U$11:$U$1010,$B179)))</f>
        <v/>
      </c>
      <c r="I179" s="47">
        <f>IF($B179="","",IF(INDEX('Work Orders'!$X$11:$X$1010,$B179)="","",INDEX('Work Orders'!$X$11:$X$1010,$B179)))</f>
        <v/>
      </c>
      <c r="J179" s="44">
        <f>IF($B179="","",IF(INDEX('Work Orders'!$Z$11:$Z$1010,$B179)="","",INDEX('Work Orders'!$Z$11:$Z$1010,$B179)))</f>
        <v/>
      </c>
      <c r="K179" s="44">
        <f>IF($B179="","",IF(INDEX('Work Orders'!$AG$11:$AG$1010,$B179)="","",INDEX('Work Orders'!$AG$11:$AG$1010,$B179)))</f>
        <v/>
      </c>
      <c r="L179" s="44">
        <f>IF($B179="","",IF(INDEX('Work Orders'!$AH$11:$AH$1010,$B179)="","",INDEX('Work Orders'!$AH$11:$AH$1010,$B179)))</f>
        <v/>
      </c>
      <c r="M179" s="46">
        <f>IF($B179="","",IF(INDEX('Work Orders'!$AM$11:$AM$1010,$B179)="","",INDEX('Work Orders'!$AM$11:$AM$1010,$B179)))</f>
        <v/>
      </c>
      <c r="N179" s="43">
        <f>IF($B179="","",IF(INDEX('Work Orders'!$AL$11:$AL$1010,$B179)="","",INDEX('Work Orders'!$AL$11:$AL$1010,$B179)))</f>
        <v/>
      </c>
      <c r="O179" s="43">
        <f>IF($B179="","",IF(INDEX('Work Orders'!$N$11:$N$1010,$B179)="","",INDEX('Work Orders'!$N$11:$N$1010,$B179)))</f>
        <v/>
      </c>
    </row>
    <row r="180">
      <c r="A180" s="68" t="n">
        <v>174</v>
      </c>
      <c r="B180">
        <f>IFERROR(MATCH(A180,'Work Orders'!$AO$11:$AO$1010,0),"")</f>
        <v/>
      </c>
      <c r="C180" s="43">
        <f>IF($B180="","",IF(INDEX('Work Orders'!$A$11:$A$1010,$B180)="","",INDEX('Work Orders'!$A$11:$A$1010,$B180)))</f>
        <v/>
      </c>
      <c r="D180" s="43">
        <f>IF($B180="","",IF(INDEX('Work Orders'!$B$11:$B$1010,$B180)="","",INDEX('Work Orders'!$B$11:$B$1010,$B180)))</f>
        <v/>
      </c>
      <c r="E180" s="43">
        <f>IF($B180="","",IF(INDEX('Work Orders'!$D$11:$D$1010,$B180)="","",INDEX('Work Orders'!$D$11:$D$1010,$B180)))</f>
        <v/>
      </c>
      <c r="F180" s="43">
        <f>IF($B180="","",IF(INDEX('Work Orders'!$Q$11:$Q$1010,$B180)="","",INDEX('Work Orders'!$Q$11:$Q$1010,$B180)))</f>
        <v/>
      </c>
      <c r="G180" s="43">
        <f>IF($B180="","",IF(INDEX('Work Orders'!$V$11:$V$1010,$B180)="","",INDEX('Work Orders'!$V$11:$V$1010,$B180)))</f>
        <v/>
      </c>
      <c r="H180" s="47">
        <f>IF($B180="","",IF(INDEX('Work Orders'!$U$11:$U$1010,$B180)="","",INDEX('Work Orders'!$U$11:$U$1010,$B180)))</f>
        <v/>
      </c>
      <c r="I180" s="47">
        <f>IF($B180="","",IF(INDEX('Work Orders'!$X$11:$X$1010,$B180)="","",INDEX('Work Orders'!$X$11:$X$1010,$B180)))</f>
        <v/>
      </c>
      <c r="J180" s="44">
        <f>IF($B180="","",IF(INDEX('Work Orders'!$Z$11:$Z$1010,$B180)="","",INDEX('Work Orders'!$Z$11:$Z$1010,$B180)))</f>
        <v/>
      </c>
      <c r="K180" s="44">
        <f>IF($B180="","",IF(INDEX('Work Orders'!$AG$11:$AG$1010,$B180)="","",INDEX('Work Orders'!$AG$11:$AG$1010,$B180)))</f>
        <v/>
      </c>
      <c r="L180" s="44">
        <f>IF($B180="","",IF(INDEX('Work Orders'!$AH$11:$AH$1010,$B180)="","",INDEX('Work Orders'!$AH$11:$AH$1010,$B180)))</f>
        <v/>
      </c>
      <c r="M180" s="46">
        <f>IF($B180="","",IF(INDEX('Work Orders'!$AM$11:$AM$1010,$B180)="","",INDEX('Work Orders'!$AM$11:$AM$1010,$B180)))</f>
        <v/>
      </c>
      <c r="N180" s="43">
        <f>IF($B180="","",IF(INDEX('Work Orders'!$AL$11:$AL$1010,$B180)="","",INDEX('Work Orders'!$AL$11:$AL$1010,$B180)))</f>
        <v/>
      </c>
      <c r="O180" s="43">
        <f>IF($B180="","",IF(INDEX('Work Orders'!$N$11:$N$1010,$B180)="","",INDEX('Work Orders'!$N$11:$N$1010,$B180)))</f>
        <v/>
      </c>
    </row>
    <row r="181">
      <c r="A181" s="68" t="n">
        <v>175</v>
      </c>
      <c r="B181">
        <f>IFERROR(MATCH(A181,'Work Orders'!$AO$11:$AO$1010,0),"")</f>
        <v/>
      </c>
      <c r="C181" s="43">
        <f>IF($B181="","",IF(INDEX('Work Orders'!$A$11:$A$1010,$B181)="","",INDEX('Work Orders'!$A$11:$A$1010,$B181)))</f>
        <v/>
      </c>
      <c r="D181" s="43">
        <f>IF($B181="","",IF(INDEX('Work Orders'!$B$11:$B$1010,$B181)="","",INDEX('Work Orders'!$B$11:$B$1010,$B181)))</f>
        <v/>
      </c>
      <c r="E181" s="43">
        <f>IF($B181="","",IF(INDEX('Work Orders'!$D$11:$D$1010,$B181)="","",INDEX('Work Orders'!$D$11:$D$1010,$B181)))</f>
        <v/>
      </c>
      <c r="F181" s="43">
        <f>IF($B181="","",IF(INDEX('Work Orders'!$Q$11:$Q$1010,$B181)="","",INDEX('Work Orders'!$Q$11:$Q$1010,$B181)))</f>
        <v/>
      </c>
      <c r="G181" s="43">
        <f>IF($B181="","",IF(INDEX('Work Orders'!$V$11:$V$1010,$B181)="","",INDEX('Work Orders'!$V$11:$V$1010,$B181)))</f>
        <v/>
      </c>
      <c r="H181" s="47">
        <f>IF($B181="","",IF(INDEX('Work Orders'!$U$11:$U$1010,$B181)="","",INDEX('Work Orders'!$U$11:$U$1010,$B181)))</f>
        <v/>
      </c>
      <c r="I181" s="47">
        <f>IF($B181="","",IF(INDEX('Work Orders'!$X$11:$X$1010,$B181)="","",INDEX('Work Orders'!$X$11:$X$1010,$B181)))</f>
        <v/>
      </c>
      <c r="J181" s="44">
        <f>IF($B181="","",IF(INDEX('Work Orders'!$Z$11:$Z$1010,$B181)="","",INDEX('Work Orders'!$Z$11:$Z$1010,$B181)))</f>
        <v/>
      </c>
      <c r="K181" s="44">
        <f>IF($B181="","",IF(INDEX('Work Orders'!$AG$11:$AG$1010,$B181)="","",INDEX('Work Orders'!$AG$11:$AG$1010,$B181)))</f>
        <v/>
      </c>
      <c r="L181" s="44">
        <f>IF($B181="","",IF(INDEX('Work Orders'!$AH$11:$AH$1010,$B181)="","",INDEX('Work Orders'!$AH$11:$AH$1010,$B181)))</f>
        <v/>
      </c>
      <c r="M181" s="46">
        <f>IF($B181="","",IF(INDEX('Work Orders'!$AM$11:$AM$1010,$B181)="","",INDEX('Work Orders'!$AM$11:$AM$1010,$B181)))</f>
        <v/>
      </c>
      <c r="N181" s="43">
        <f>IF($B181="","",IF(INDEX('Work Orders'!$AL$11:$AL$1010,$B181)="","",INDEX('Work Orders'!$AL$11:$AL$1010,$B181)))</f>
        <v/>
      </c>
      <c r="O181" s="43">
        <f>IF($B181="","",IF(INDEX('Work Orders'!$N$11:$N$1010,$B181)="","",INDEX('Work Orders'!$N$11:$N$1010,$B181)))</f>
        <v/>
      </c>
    </row>
    <row r="182">
      <c r="A182" s="68" t="n">
        <v>176</v>
      </c>
      <c r="B182">
        <f>IFERROR(MATCH(A182,'Work Orders'!$AO$11:$AO$1010,0),"")</f>
        <v/>
      </c>
      <c r="C182" s="43">
        <f>IF($B182="","",IF(INDEX('Work Orders'!$A$11:$A$1010,$B182)="","",INDEX('Work Orders'!$A$11:$A$1010,$B182)))</f>
        <v/>
      </c>
      <c r="D182" s="43">
        <f>IF($B182="","",IF(INDEX('Work Orders'!$B$11:$B$1010,$B182)="","",INDEX('Work Orders'!$B$11:$B$1010,$B182)))</f>
        <v/>
      </c>
      <c r="E182" s="43">
        <f>IF($B182="","",IF(INDEX('Work Orders'!$D$11:$D$1010,$B182)="","",INDEX('Work Orders'!$D$11:$D$1010,$B182)))</f>
        <v/>
      </c>
      <c r="F182" s="43">
        <f>IF($B182="","",IF(INDEX('Work Orders'!$Q$11:$Q$1010,$B182)="","",INDEX('Work Orders'!$Q$11:$Q$1010,$B182)))</f>
        <v/>
      </c>
      <c r="G182" s="43">
        <f>IF($B182="","",IF(INDEX('Work Orders'!$V$11:$V$1010,$B182)="","",INDEX('Work Orders'!$V$11:$V$1010,$B182)))</f>
        <v/>
      </c>
      <c r="H182" s="47">
        <f>IF($B182="","",IF(INDEX('Work Orders'!$U$11:$U$1010,$B182)="","",INDEX('Work Orders'!$U$11:$U$1010,$B182)))</f>
        <v/>
      </c>
      <c r="I182" s="47">
        <f>IF($B182="","",IF(INDEX('Work Orders'!$X$11:$X$1010,$B182)="","",INDEX('Work Orders'!$X$11:$X$1010,$B182)))</f>
        <v/>
      </c>
      <c r="J182" s="44">
        <f>IF($B182="","",IF(INDEX('Work Orders'!$Z$11:$Z$1010,$B182)="","",INDEX('Work Orders'!$Z$11:$Z$1010,$B182)))</f>
        <v/>
      </c>
      <c r="K182" s="44">
        <f>IF($B182="","",IF(INDEX('Work Orders'!$AG$11:$AG$1010,$B182)="","",INDEX('Work Orders'!$AG$11:$AG$1010,$B182)))</f>
        <v/>
      </c>
      <c r="L182" s="44">
        <f>IF($B182="","",IF(INDEX('Work Orders'!$AH$11:$AH$1010,$B182)="","",INDEX('Work Orders'!$AH$11:$AH$1010,$B182)))</f>
        <v/>
      </c>
      <c r="M182" s="46">
        <f>IF($B182="","",IF(INDEX('Work Orders'!$AM$11:$AM$1010,$B182)="","",INDEX('Work Orders'!$AM$11:$AM$1010,$B182)))</f>
        <v/>
      </c>
      <c r="N182" s="43">
        <f>IF($B182="","",IF(INDEX('Work Orders'!$AL$11:$AL$1010,$B182)="","",INDEX('Work Orders'!$AL$11:$AL$1010,$B182)))</f>
        <v/>
      </c>
      <c r="O182" s="43">
        <f>IF($B182="","",IF(INDEX('Work Orders'!$N$11:$N$1010,$B182)="","",INDEX('Work Orders'!$N$11:$N$1010,$B182)))</f>
        <v/>
      </c>
    </row>
    <row r="183">
      <c r="A183" s="68" t="n">
        <v>177</v>
      </c>
      <c r="B183">
        <f>IFERROR(MATCH(A183,'Work Orders'!$AO$11:$AO$1010,0),"")</f>
        <v/>
      </c>
      <c r="C183" s="43">
        <f>IF($B183="","",IF(INDEX('Work Orders'!$A$11:$A$1010,$B183)="","",INDEX('Work Orders'!$A$11:$A$1010,$B183)))</f>
        <v/>
      </c>
      <c r="D183" s="43">
        <f>IF($B183="","",IF(INDEX('Work Orders'!$B$11:$B$1010,$B183)="","",INDEX('Work Orders'!$B$11:$B$1010,$B183)))</f>
        <v/>
      </c>
      <c r="E183" s="43">
        <f>IF($B183="","",IF(INDEX('Work Orders'!$D$11:$D$1010,$B183)="","",INDEX('Work Orders'!$D$11:$D$1010,$B183)))</f>
        <v/>
      </c>
      <c r="F183" s="43">
        <f>IF($B183="","",IF(INDEX('Work Orders'!$Q$11:$Q$1010,$B183)="","",INDEX('Work Orders'!$Q$11:$Q$1010,$B183)))</f>
        <v/>
      </c>
      <c r="G183" s="43">
        <f>IF($B183="","",IF(INDEX('Work Orders'!$V$11:$V$1010,$B183)="","",INDEX('Work Orders'!$V$11:$V$1010,$B183)))</f>
        <v/>
      </c>
      <c r="H183" s="47">
        <f>IF($B183="","",IF(INDEX('Work Orders'!$U$11:$U$1010,$B183)="","",INDEX('Work Orders'!$U$11:$U$1010,$B183)))</f>
        <v/>
      </c>
      <c r="I183" s="47">
        <f>IF($B183="","",IF(INDEX('Work Orders'!$X$11:$X$1010,$B183)="","",INDEX('Work Orders'!$X$11:$X$1010,$B183)))</f>
        <v/>
      </c>
      <c r="J183" s="44">
        <f>IF($B183="","",IF(INDEX('Work Orders'!$Z$11:$Z$1010,$B183)="","",INDEX('Work Orders'!$Z$11:$Z$1010,$B183)))</f>
        <v/>
      </c>
      <c r="K183" s="44">
        <f>IF($B183="","",IF(INDEX('Work Orders'!$AG$11:$AG$1010,$B183)="","",INDEX('Work Orders'!$AG$11:$AG$1010,$B183)))</f>
        <v/>
      </c>
      <c r="L183" s="44">
        <f>IF($B183="","",IF(INDEX('Work Orders'!$AH$11:$AH$1010,$B183)="","",INDEX('Work Orders'!$AH$11:$AH$1010,$B183)))</f>
        <v/>
      </c>
      <c r="M183" s="46">
        <f>IF($B183="","",IF(INDEX('Work Orders'!$AM$11:$AM$1010,$B183)="","",INDEX('Work Orders'!$AM$11:$AM$1010,$B183)))</f>
        <v/>
      </c>
      <c r="N183" s="43">
        <f>IF($B183="","",IF(INDEX('Work Orders'!$AL$11:$AL$1010,$B183)="","",INDEX('Work Orders'!$AL$11:$AL$1010,$B183)))</f>
        <v/>
      </c>
      <c r="O183" s="43">
        <f>IF($B183="","",IF(INDEX('Work Orders'!$N$11:$N$1010,$B183)="","",INDEX('Work Orders'!$N$11:$N$1010,$B183)))</f>
        <v/>
      </c>
    </row>
    <row r="184">
      <c r="A184" s="68" t="n">
        <v>178</v>
      </c>
      <c r="B184">
        <f>IFERROR(MATCH(A184,'Work Orders'!$AO$11:$AO$1010,0),"")</f>
        <v/>
      </c>
      <c r="C184" s="43">
        <f>IF($B184="","",IF(INDEX('Work Orders'!$A$11:$A$1010,$B184)="","",INDEX('Work Orders'!$A$11:$A$1010,$B184)))</f>
        <v/>
      </c>
      <c r="D184" s="43">
        <f>IF($B184="","",IF(INDEX('Work Orders'!$B$11:$B$1010,$B184)="","",INDEX('Work Orders'!$B$11:$B$1010,$B184)))</f>
        <v/>
      </c>
      <c r="E184" s="43">
        <f>IF($B184="","",IF(INDEX('Work Orders'!$D$11:$D$1010,$B184)="","",INDEX('Work Orders'!$D$11:$D$1010,$B184)))</f>
        <v/>
      </c>
      <c r="F184" s="43">
        <f>IF($B184="","",IF(INDEX('Work Orders'!$Q$11:$Q$1010,$B184)="","",INDEX('Work Orders'!$Q$11:$Q$1010,$B184)))</f>
        <v/>
      </c>
      <c r="G184" s="43">
        <f>IF($B184="","",IF(INDEX('Work Orders'!$V$11:$V$1010,$B184)="","",INDEX('Work Orders'!$V$11:$V$1010,$B184)))</f>
        <v/>
      </c>
      <c r="H184" s="47">
        <f>IF($B184="","",IF(INDEX('Work Orders'!$U$11:$U$1010,$B184)="","",INDEX('Work Orders'!$U$11:$U$1010,$B184)))</f>
        <v/>
      </c>
      <c r="I184" s="47">
        <f>IF($B184="","",IF(INDEX('Work Orders'!$X$11:$X$1010,$B184)="","",INDEX('Work Orders'!$X$11:$X$1010,$B184)))</f>
        <v/>
      </c>
      <c r="J184" s="44">
        <f>IF($B184="","",IF(INDEX('Work Orders'!$Z$11:$Z$1010,$B184)="","",INDEX('Work Orders'!$Z$11:$Z$1010,$B184)))</f>
        <v/>
      </c>
      <c r="K184" s="44">
        <f>IF($B184="","",IF(INDEX('Work Orders'!$AG$11:$AG$1010,$B184)="","",INDEX('Work Orders'!$AG$11:$AG$1010,$B184)))</f>
        <v/>
      </c>
      <c r="L184" s="44">
        <f>IF($B184="","",IF(INDEX('Work Orders'!$AH$11:$AH$1010,$B184)="","",INDEX('Work Orders'!$AH$11:$AH$1010,$B184)))</f>
        <v/>
      </c>
      <c r="M184" s="46">
        <f>IF($B184="","",IF(INDEX('Work Orders'!$AM$11:$AM$1010,$B184)="","",INDEX('Work Orders'!$AM$11:$AM$1010,$B184)))</f>
        <v/>
      </c>
      <c r="N184" s="43">
        <f>IF($B184="","",IF(INDEX('Work Orders'!$AL$11:$AL$1010,$B184)="","",INDEX('Work Orders'!$AL$11:$AL$1010,$B184)))</f>
        <v/>
      </c>
      <c r="O184" s="43">
        <f>IF($B184="","",IF(INDEX('Work Orders'!$N$11:$N$1010,$B184)="","",INDEX('Work Orders'!$N$11:$N$1010,$B184)))</f>
        <v/>
      </c>
    </row>
    <row r="185">
      <c r="A185" s="68" t="n">
        <v>179</v>
      </c>
      <c r="B185">
        <f>IFERROR(MATCH(A185,'Work Orders'!$AO$11:$AO$1010,0),"")</f>
        <v/>
      </c>
      <c r="C185" s="43">
        <f>IF($B185="","",IF(INDEX('Work Orders'!$A$11:$A$1010,$B185)="","",INDEX('Work Orders'!$A$11:$A$1010,$B185)))</f>
        <v/>
      </c>
      <c r="D185" s="43">
        <f>IF($B185="","",IF(INDEX('Work Orders'!$B$11:$B$1010,$B185)="","",INDEX('Work Orders'!$B$11:$B$1010,$B185)))</f>
        <v/>
      </c>
      <c r="E185" s="43">
        <f>IF($B185="","",IF(INDEX('Work Orders'!$D$11:$D$1010,$B185)="","",INDEX('Work Orders'!$D$11:$D$1010,$B185)))</f>
        <v/>
      </c>
      <c r="F185" s="43">
        <f>IF($B185="","",IF(INDEX('Work Orders'!$Q$11:$Q$1010,$B185)="","",INDEX('Work Orders'!$Q$11:$Q$1010,$B185)))</f>
        <v/>
      </c>
      <c r="G185" s="43">
        <f>IF($B185="","",IF(INDEX('Work Orders'!$V$11:$V$1010,$B185)="","",INDEX('Work Orders'!$V$11:$V$1010,$B185)))</f>
        <v/>
      </c>
      <c r="H185" s="47">
        <f>IF($B185="","",IF(INDEX('Work Orders'!$U$11:$U$1010,$B185)="","",INDEX('Work Orders'!$U$11:$U$1010,$B185)))</f>
        <v/>
      </c>
      <c r="I185" s="47">
        <f>IF($B185="","",IF(INDEX('Work Orders'!$X$11:$X$1010,$B185)="","",INDEX('Work Orders'!$X$11:$X$1010,$B185)))</f>
        <v/>
      </c>
      <c r="J185" s="44">
        <f>IF($B185="","",IF(INDEX('Work Orders'!$Z$11:$Z$1010,$B185)="","",INDEX('Work Orders'!$Z$11:$Z$1010,$B185)))</f>
        <v/>
      </c>
      <c r="K185" s="44">
        <f>IF($B185="","",IF(INDEX('Work Orders'!$AG$11:$AG$1010,$B185)="","",INDEX('Work Orders'!$AG$11:$AG$1010,$B185)))</f>
        <v/>
      </c>
      <c r="L185" s="44">
        <f>IF($B185="","",IF(INDEX('Work Orders'!$AH$11:$AH$1010,$B185)="","",INDEX('Work Orders'!$AH$11:$AH$1010,$B185)))</f>
        <v/>
      </c>
      <c r="M185" s="46">
        <f>IF($B185="","",IF(INDEX('Work Orders'!$AM$11:$AM$1010,$B185)="","",INDEX('Work Orders'!$AM$11:$AM$1010,$B185)))</f>
        <v/>
      </c>
      <c r="N185" s="43">
        <f>IF($B185="","",IF(INDEX('Work Orders'!$AL$11:$AL$1010,$B185)="","",INDEX('Work Orders'!$AL$11:$AL$1010,$B185)))</f>
        <v/>
      </c>
      <c r="O185" s="43">
        <f>IF($B185="","",IF(INDEX('Work Orders'!$N$11:$N$1010,$B185)="","",INDEX('Work Orders'!$N$11:$N$1010,$B185)))</f>
        <v/>
      </c>
    </row>
    <row r="186">
      <c r="A186" s="68" t="n">
        <v>180</v>
      </c>
      <c r="B186">
        <f>IFERROR(MATCH(A186,'Work Orders'!$AO$11:$AO$1010,0),"")</f>
        <v/>
      </c>
      <c r="C186" s="43">
        <f>IF($B186="","",IF(INDEX('Work Orders'!$A$11:$A$1010,$B186)="","",INDEX('Work Orders'!$A$11:$A$1010,$B186)))</f>
        <v/>
      </c>
      <c r="D186" s="43">
        <f>IF($B186="","",IF(INDEX('Work Orders'!$B$11:$B$1010,$B186)="","",INDEX('Work Orders'!$B$11:$B$1010,$B186)))</f>
        <v/>
      </c>
      <c r="E186" s="43">
        <f>IF($B186="","",IF(INDEX('Work Orders'!$D$11:$D$1010,$B186)="","",INDEX('Work Orders'!$D$11:$D$1010,$B186)))</f>
        <v/>
      </c>
      <c r="F186" s="43">
        <f>IF($B186="","",IF(INDEX('Work Orders'!$Q$11:$Q$1010,$B186)="","",INDEX('Work Orders'!$Q$11:$Q$1010,$B186)))</f>
        <v/>
      </c>
      <c r="G186" s="43">
        <f>IF($B186="","",IF(INDEX('Work Orders'!$V$11:$V$1010,$B186)="","",INDEX('Work Orders'!$V$11:$V$1010,$B186)))</f>
        <v/>
      </c>
      <c r="H186" s="47">
        <f>IF($B186="","",IF(INDEX('Work Orders'!$U$11:$U$1010,$B186)="","",INDEX('Work Orders'!$U$11:$U$1010,$B186)))</f>
        <v/>
      </c>
      <c r="I186" s="47">
        <f>IF($B186="","",IF(INDEX('Work Orders'!$X$11:$X$1010,$B186)="","",INDEX('Work Orders'!$X$11:$X$1010,$B186)))</f>
        <v/>
      </c>
      <c r="J186" s="44">
        <f>IF($B186="","",IF(INDEX('Work Orders'!$Z$11:$Z$1010,$B186)="","",INDEX('Work Orders'!$Z$11:$Z$1010,$B186)))</f>
        <v/>
      </c>
      <c r="K186" s="44">
        <f>IF($B186="","",IF(INDEX('Work Orders'!$AG$11:$AG$1010,$B186)="","",INDEX('Work Orders'!$AG$11:$AG$1010,$B186)))</f>
        <v/>
      </c>
      <c r="L186" s="44">
        <f>IF($B186="","",IF(INDEX('Work Orders'!$AH$11:$AH$1010,$B186)="","",INDEX('Work Orders'!$AH$11:$AH$1010,$B186)))</f>
        <v/>
      </c>
      <c r="M186" s="46">
        <f>IF($B186="","",IF(INDEX('Work Orders'!$AM$11:$AM$1010,$B186)="","",INDEX('Work Orders'!$AM$11:$AM$1010,$B186)))</f>
        <v/>
      </c>
      <c r="N186" s="43">
        <f>IF($B186="","",IF(INDEX('Work Orders'!$AL$11:$AL$1010,$B186)="","",INDEX('Work Orders'!$AL$11:$AL$1010,$B186)))</f>
        <v/>
      </c>
      <c r="O186" s="43">
        <f>IF($B186="","",IF(INDEX('Work Orders'!$N$11:$N$1010,$B186)="","",INDEX('Work Orders'!$N$11:$N$1010,$B186)))</f>
        <v/>
      </c>
    </row>
    <row r="187">
      <c r="A187" s="68" t="n">
        <v>181</v>
      </c>
      <c r="B187">
        <f>IFERROR(MATCH(A187,'Work Orders'!$AO$11:$AO$1010,0),"")</f>
        <v/>
      </c>
      <c r="C187" s="43">
        <f>IF($B187="","",IF(INDEX('Work Orders'!$A$11:$A$1010,$B187)="","",INDEX('Work Orders'!$A$11:$A$1010,$B187)))</f>
        <v/>
      </c>
      <c r="D187" s="43">
        <f>IF($B187="","",IF(INDEX('Work Orders'!$B$11:$B$1010,$B187)="","",INDEX('Work Orders'!$B$11:$B$1010,$B187)))</f>
        <v/>
      </c>
      <c r="E187" s="43">
        <f>IF($B187="","",IF(INDEX('Work Orders'!$D$11:$D$1010,$B187)="","",INDEX('Work Orders'!$D$11:$D$1010,$B187)))</f>
        <v/>
      </c>
      <c r="F187" s="43">
        <f>IF($B187="","",IF(INDEX('Work Orders'!$Q$11:$Q$1010,$B187)="","",INDEX('Work Orders'!$Q$11:$Q$1010,$B187)))</f>
        <v/>
      </c>
      <c r="G187" s="43">
        <f>IF($B187="","",IF(INDEX('Work Orders'!$V$11:$V$1010,$B187)="","",INDEX('Work Orders'!$V$11:$V$1010,$B187)))</f>
        <v/>
      </c>
      <c r="H187" s="47">
        <f>IF($B187="","",IF(INDEX('Work Orders'!$U$11:$U$1010,$B187)="","",INDEX('Work Orders'!$U$11:$U$1010,$B187)))</f>
        <v/>
      </c>
      <c r="I187" s="47">
        <f>IF($B187="","",IF(INDEX('Work Orders'!$X$11:$X$1010,$B187)="","",INDEX('Work Orders'!$X$11:$X$1010,$B187)))</f>
        <v/>
      </c>
      <c r="J187" s="44">
        <f>IF($B187="","",IF(INDEX('Work Orders'!$Z$11:$Z$1010,$B187)="","",INDEX('Work Orders'!$Z$11:$Z$1010,$B187)))</f>
        <v/>
      </c>
      <c r="K187" s="44">
        <f>IF($B187="","",IF(INDEX('Work Orders'!$AG$11:$AG$1010,$B187)="","",INDEX('Work Orders'!$AG$11:$AG$1010,$B187)))</f>
        <v/>
      </c>
      <c r="L187" s="44">
        <f>IF($B187="","",IF(INDEX('Work Orders'!$AH$11:$AH$1010,$B187)="","",INDEX('Work Orders'!$AH$11:$AH$1010,$B187)))</f>
        <v/>
      </c>
      <c r="M187" s="46">
        <f>IF($B187="","",IF(INDEX('Work Orders'!$AM$11:$AM$1010,$B187)="","",INDEX('Work Orders'!$AM$11:$AM$1010,$B187)))</f>
        <v/>
      </c>
      <c r="N187" s="43">
        <f>IF($B187="","",IF(INDEX('Work Orders'!$AL$11:$AL$1010,$B187)="","",INDEX('Work Orders'!$AL$11:$AL$1010,$B187)))</f>
        <v/>
      </c>
      <c r="O187" s="43">
        <f>IF($B187="","",IF(INDEX('Work Orders'!$N$11:$N$1010,$B187)="","",INDEX('Work Orders'!$N$11:$N$1010,$B187)))</f>
        <v/>
      </c>
    </row>
    <row r="188">
      <c r="A188" s="68" t="n">
        <v>182</v>
      </c>
      <c r="B188">
        <f>IFERROR(MATCH(A188,'Work Orders'!$AO$11:$AO$1010,0),"")</f>
        <v/>
      </c>
      <c r="C188" s="43">
        <f>IF($B188="","",IF(INDEX('Work Orders'!$A$11:$A$1010,$B188)="","",INDEX('Work Orders'!$A$11:$A$1010,$B188)))</f>
        <v/>
      </c>
      <c r="D188" s="43">
        <f>IF($B188="","",IF(INDEX('Work Orders'!$B$11:$B$1010,$B188)="","",INDEX('Work Orders'!$B$11:$B$1010,$B188)))</f>
        <v/>
      </c>
      <c r="E188" s="43">
        <f>IF($B188="","",IF(INDEX('Work Orders'!$D$11:$D$1010,$B188)="","",INDEX('Work Orders'!$D$11:$D$1010,$B188)))</f>
        <v/>
      </c>
      <c r="F188" s="43">
        <f>IF($B188="","",IF(INDEX('Work Orders'!$Q$11:$Q$1010,$B188)="","",INDEX('Work Orders'!$Q$11:$Q$1010,$B188)))</f>
        <v/>
      </c>
      <c r="G188" s="43">
        <f>IF($B188="","",IF(INDEX('Work Orders'!$V$11:$V$1010,$B188)="","",INDEX('Work Orders'!$V$11:$V$1010,$B188)))</f>
        <v/>
      </c>
      <c r="H188" s="47">
        <f>IF($B188="","",IF(INDEX('Work Orders'!$U$11:$U$1010,$B188)="","",INDEX('Work Orders'!$U$11:$U$1010,$B188)))</f>
        <v/>
      </c>
      <c r="I188" s="47">
        <f>IF($B188="","",IF(INDEX('Work Orders'!$X$11:$X$1010,$B188)="","",INDEX('Work Orders'!$X$11:$X$1010,$B188)))</f>
        <v/>
      </c>
      <c r="J188" s="44">
        <f>IF($B188="","",IF(INDEX('Work Orders'!$Z$11:$Z$1010,$B188)="","",INDEX('Work Orders'!$Z$11:$Z$1010,$B188)))</f>
        <v/>
      </c>
      <c r="K188" s="44">
        <f>IF($B188="","",IF(INDEX('Work Orders'!$AG$11:$AG$1010,$B188)="","",INDEX('Work Orders'!$AG$11:$AG$1010,$B188)))</f>
        <v/>
      </c>
      <c r="L188" s="44">
        <f>IF($B188="","",IF(INDEX('Work Orders'!$AH$11:$AH$1010,$B188)="","",INDEX('Work Orders'!$AH$11:$AH$1010,$B188)))</f>
        <v/>
      </c>
      <c r="M188" s="46">
        <f>IF($B188="","",IF(INDEX('Work Orders'!$AM$11:$AM$1010,$B188)="","",INDEX('Work Orders'!$AM$11:$AM$1010,$B188)))</f>
        <v/>
      </c>
      <c r="N188" s="43">
        <f>IF($B188="","",IF(INDEX('Work Orders'!$AL$11:$AL$1010,$B188)="","",INDEX('Work Orders'!$AL$11:$AL$1010,$B188)))</f>
        <v/>
      </c>
      <c r="O188" s="43">
        <f>IF($B188="","",IF(INDEX('Work Orders'!$N$11:$N$1010,$B188)="","",INDEX('Work Orders'!$N$11:$N$1010,$B188)))</f>
        <v/>
      </c>
    </row>
    <row r="189">
      <c r="A189" s="68" t="n">
        <v>183</v>
      </c>
      <c r="B189">
        <f>IFERROR(MATCH(A189,'Work Orders'!$AO$11:$AO$1010,0),"")</f>
        <v/>
      </c>
      <c r="C189" s="43">
        <f>IF($B189="","",IF(INDEX('Work Orders'!$A$11:$A$1010,$B189)="","",INDEX('Work Orders'!$A$11:$A$1010,$B189)))</f>
        <v/>
      </c>
      <c r="D189" s="43">
        <f>IF($B189="","",IF(INDEX('Work Orders'!$B$11:$B$1010,$B189)="","",INDEX('Work Orders'!$B$11:$B$1010,$B189)))</f>
        <v/>
      </c>
      <c r="E189" s="43">
        <f>IF($B189="","",IF(INDEX('Work Orders'!$D$11:$D$1010,$B189)="","",INDEX('Work Orders'!$D$11:$D$1010,$B189)))</f>
        <v/>
      </c>
      <c r="F189" s="43">
        <f>IF($B189="","",IF(INDEX('Work Orders'!$Q$11:$Q$1010,$B189)="","",INDEX('Work Orders'!$Q$11:$Q$1010,$B189)))</f>
        <v/>
      </c>
      <c r="G189" s="43">
        <f>IF($B189="","",IF(INDEX('Work Orders'!$V$11:$V$1010,$B189)="","",INDEX('Work Orders'!$V$11:$V$1010,$B189)))</f>
        <v/>
      </c>
      <c r="H189" s="47">
        <f>IF($B189="","",IF(INDEX('Work Orders'!$U$11:$U$1010,$B189)="","",INDEX('Work Orders'!$U$11:$U$1010,$B189)))</f>
        <v/>
      </c>
      <c r="I189" s="47">
        <f>IF($B189="","",IF(INDEX('Work Orders'!$X$11:$X$1010,$B189)="","",INDEX('Work Orders'!$X$11:$X$1010,$B189)))</f>
        <v/>
      </c>
      <c r="J189" s="44">
        <f>IF($B189="","",IF(INDEX('Work Orders'!$Z$11:$Z$1010,$B189)="","",INDEX('Work Orders'!$Z$11:$Z$1010,$B189)))</f>
        <v/>
      </c>
      <c r="K189" s="44">
        <f>IF($B189="","",IF(INDEX('Work Orders'!$AG$11:$AG$1010,$B189)="","",INDEX('Work Orders'!$AG$11:$AG$1010,$B189)))</f>
        <v/>
      </c>
      <c r="L189" s="44">
        <f>IF($B189="","",IF(INDEX('Work Orders'!$AH$11:$AH$1010,$B189)="","",INDEX('Work Orders'!$AH$11:$AH$1010,$B189)))</f>
        <v/>
      </c>
      <c r="M189" s="46">
        <f>IF($B189="","",IF(INDEX('Work Orders'!$AM$11:$AM$1010,$B189)="","",INDEX('Work Orders'!$AM$11:$AM$1010,$B189)))</f>
        <v/>
      </c>
      <c r="N189" s="43">
        <f>IF($B189="","",IF(INDEX('Work Orders'!$AL$11:$AL$1010,$B189)="","",INDEX('Work Orders'!$AL$11:$AL$1010,$B189)))</f>
        <v/>
      </c>
      <c r="O189" s="43">
        <f>IF($B189="","",IF(INDEX('Work Orders'!$N$11:$N$1010,$B189)="","",INDEX('Work Orders'!$N$11:$N$1010,$B189)))</f>
        <v/>
      </c>
    </row>
    <row r="190">
      <c r="A190" s="68" t="n">
        <v>184</v>
      </c>
      <c r="B190">
        <f>IFERROR(MATCH(A190,'Work Orders'!$AO$11:$AO$1010,0),"")</f>
        <v/>
      </c>
      <c r="C190" s="43">
        <f>IF($B190="","",IF(INDEX('Work Orders'!$A$11:$A$1010,$B190)="","",INDEX('Work Orders'!$A$11:$A$1010,$B190)))</f>
        <v/>
      </c>
      <c r="D190" s="43">
        <f>IF($B190="","",IF(INDEX('Work Orders'!$B$11:$B$1010,$B190)="","",INDEX('Work Orders'!$B$11:$B$1010,$B190)))</f>
        <v/>
      </c>
      <c r="E190" s="43">
        <f>IF($B190="","",IF(INDEX('Work Orders'!$D$11:$D$1010,$B190)="","",INDEX('Work Orders'!$D$11:$D$1010,$B190)))</f>
        <v/>
      </c>
      <c r="F190" s="43">
        <f>IF($B190="","",IF(INDEX('Work Orders'!$Q$11:$Q$1010,$B190)="","",INDEX('Work Orders'!$Q$11:$Q$1010,$B190)))</f>
        <v/>
      </c>
      <c r="G190" s="43">
        <f>IF($B190="","",IF(INDEX('Work Orders'!$V$11:$V$1010,$B190)="","",INDEX('Work Orders'!$V$11:$V$1010,$B190)))</f>
        <v/>
      </c>
      <c r="H190" s="47">
        <f>IF($B190="","",IF(INDEX('Work Orders'!$U$11:$U$1010,$B190)="","",INDEX('Work Orders'!$U$11:$U$1010,$B190)))</f>
        <v/>
      </c>
      <c r="I190" s="47">
        <f>IF($B190="","",IF(INDEX('Work Orders'!$X$11:$X$1010,$B190)="","",INDEX('Work Orders'!$X$11:$X$1010,$B190)))</f>
        <v/>
      </c>
      <c r="J190" s="44">
        <f>IF($B190="","",IF(INDEX('Work Orders'!$Z$11:$Z$1010,$B190)="","",INDEX('Work Orders'!$Z$11:$Z$1010,$B190)))</f>
        <v/>
      </c>
      <c r="K190" s="44">
        <f>IF($B190="","",IF(INDEX('Work Orders'!$AG$11:$AG$1010,$B190)="","",INDEX('Work Orders'!$AG$11:$AG$1010,$B190)))</f>
        <v/>
      </c>
      <c r="L190" s="44">
        <f>IF($B190="","",IF(INDEX('Work Orders'!$AH$11:$AH$1010,$B190)="","",INDEX('Work Orders'!$AH$11:$AH$1010,$B190)))</f>
        <v/>
      </c>
      <c r="M190" s="46">
        <f>IF($B190="","",IF(INDEX('Work Orders'!$AM$11:$AM$1010,$B190)="","",INDEX('Work Orders'!$AM$11:$AM$1010,$B190)))</f>
        <v/>
      </c>
      <c r="N190" s="43">
        <f>IF($B190="","",IF(INDEX('Work Orders'!$AL$11:$AL$1010,$B190)="","",INDEX('Work Orders'!$AL$11:$AL$1010,$B190)))</f>
        <v/>
      </c>
      <c r="O190" s="43">
        <f>IF($B190="","",IF(INDEX('Work Orders'!$N$11:$N$1010,$B190)="","",INDEX('Work Orders'!$N$11:$N$1010,$B190)))</f>
        <v/>
      </c>
    </row>
    <row r="191">
      <c r="A191" s="68" t="n">
        <v>185</v>
      </c>
      <c r="B191">
        <f>IFERROR(MATCH(A191,'Work Orders'!$AO$11:$AO$1010,0),"")</f>
        <v/>
      </c>
      <c r="C191" s="43">
        <f>IF($B191="","",IF(INDEX('Work Orders'!$A$11:$A$1010,$B191)="","",INDEX('Work Orders'!$A$11:$A$1010,$B191)))</f>
        <v/>
      </c>
      <c r="D191" s="43">
        <f>IF($B191="","",IF(INDEX('Work Orders'!$B$11:$B$1010,$B191)="","",INDEX('Work Orders'!$B$11:$B$1010,$B191)))</f>
        <v/>
      </c>
      <c r="E191" s="43">
        <f>IF($B191="","",IF(INDEX('Work Orders'!$D$11:$D$1010,$B191)="","",INDEX('Work Orders'!$D$11:$D$1010,$B191)))</f>
        <v/>
      </c>
      <c r="F191" s="43">
        <f>IF($B191="","",IF(INDEX('Work Orders'!$Q$11:$Q$1010,$B191)="","",INDEX('Work Orders'!$Q$11:$Q$1010,$B191)))</f>
        <v/>
      </c>
      <c r="G191" s="43">
        <f>IF($B191="","",IF(INDEX('Work Orders'!$V$11:$V$1010,$B191)="","",INDEX('Work Orders'!$V$11:$V$1010,$B191)))</f>
        <v/>
      </c>
      <c r="H191" s="47">
        <f>IF($B191="","",IF(INDEX('Work Orders'!$U$11:$U$1010,$B191)="","",INDEX('Work Orders'!$U$11:$U$1010,$B191)))</f>
        <v/>
      </c>
      <c r="I191" s="47">
        <f>IF($B191="","",IF(INDEX('Work Orders'!$X$11:$X$1010,$B191)="","",INDEX('Work Orders'!$X$11:$X$1010,$B191)))</f>
        <v/>
      </c>
      <c r="J191" s="44">
        <f>IF($B191="","",IF(INDEX('Work Orders'!$Z$11:$Z$1010,$B191)="","",INDEX('Work Orders'!$Z$11:$Z$1010,$B191)))</f>
        <v/>
      </c>
      <c r="K191" s="44">
        <f>IF($B191="","",IF(INDEX('Work Orders'!$AG$11:$AG$1010,$B191)="","",INDEX('Work Orders'!$AG$11:$AG$1010,$B191)))</f>
        <v/>
      </c>
      <c r="L191" s="44">
        <f>IF($B191="","",IF(INDEX('Work Orders'!$AH$11:$AH$1010,$B191)="","",INDEX('Work Orders'!$AH$11:$AH$1010,$B191)))</f>
        <v/>
      </c>
      <c r="M191" s="46">
        <f>IF($B191="","",IF(INDEX('Work Orders'!$AM$11:$AM$1010,$B191)="","",INDEX('Work Orders'!$AM$11:$AM$1010,$B191)))</f>
        <v/>
      </c>
      <c r="N191" s="43">
        <f>IF($B191="","",IF(INDEX('Work Orders'!$AL$11:$AL$1010,$B191)="","",INDEX('Work Orders'!$AL$11:$AL$1010,$B191)))</f>
        <v/>
      </c>
      <c r="O191" s="43">
        <f>IF($B191="","",IF(INDEX('Work Orders'!$N$11:$N$1010,$B191)="","",INDEX('Work Orders'!$N$11:$N$1010,$B191)))</f>
        <v/>
      </c>
    </row>
    <row r="192">
      <c r="A192" s="68" t="n">
        <v>186</v>
      </c>
      <c r="B192">
        <f>IFERROR(MATCH(A192,'Work Orders'!$AO$11:$AO$1010,0),"")</f>
        <v/>
      </c>
      <c r="C192" s="43">
        <f>IF($B192="","",IF(INDEX('Work Orders'!$A$11:$A$1010,$B192)="","",INDEX('Work Orders'!$A$11:$A$1010,$B192)))</f>
        <v/>
      </c>
      <c r="D192" s="43">
        <f>IF($B192="","",IF(INDEX('Work Orders'!$B$11:$B$1010,$B192)="","",INDEX('Work Orders'!$B$11:$B$1010,$B192)))</f>
        <v/>
      </c>
      <c r="E192" s="43">
        <f>IF($B192="","",IF(INDEX('Work Orders'!$D$11:$D$1010,$B192)="","",INDEX('Work Orders'!$D$11:$D$1010,$B192)))</f>
        <v/>
      </c>
      <c r="F192" s="43">
        <f>IF($B192="","",IF(INDEX('Work Orders'!$Q$11:$Q$1010,$B192)="","",INDEX('Work Orders'!$Q$11:$Q$1010,$B192)))</f>
        <v/>
      </c>
      <c r="G192" s="43">
        <f>IF($B192="","",IF(INDEX('Work Orders'!$V$11:$V$1010,$B192)="","",INDEX('Work Orders'!$V$11:$V$1010,$B192)))</f>
        <v/>
      </c>
      <c r="H192" s="47">
        <f>IF($B192="","",IF(INDEX('Work Orders'!$U$11:$U$1010,$B192)="","",INDEX('Work Orders'!$U$11:$U$1010,$B192)))</f>
        <v/>
      </c>
      <c r="I192" s="47">
        <f>IF($B192="","",IF(INDEX('Work Orders'!$X$11:$X$1010,$B192)="","",INDEX('Work Orders'!$X$11:$X$1010,$B192)))</f>
        <v/>
      </c>
      <c r="J192" s="44">
        <f>IF($B192="","",IF(INDEX('Work Orders'!$Z$11:$Z$1010,$B192)="","",INDEX('Work Orders'!$Z$11:$Z$1010,$B192)))</f>
        <v/>
      </c>
      <c r="K192" s="44">
        <f>IF($B192="","",IF(INDEX('Work Orders'!$AG$11:$AG$1010,$B192)="","",INDEX('Work Orders'!$AG$11:$AG$1010,$B192)))</f>
        <v/>
      </c>
      <c r="L192" s="44">
        <f>IF($B192="","",IF(INDEX('Work Orders'!$AH$11:$AH$1010,$B192)="","",INDEX('Work Orders'!$AH$11:$AH$1010,$B192)))</f>
        <v/>
      </c>
      <c r="M192" s="46">
        <f>IF($B192="","",IF(INDEX('Work Orders'!$AM$11:$AM$1010,$B192)="","",INDEX('Work Orders'!$AM$11:$AM$1010,$B192)))</f>
        <v/>
      </c>
      <c r="N192" s="43">
        <f>IF($B192="","",IF(INDEX('Work Orders'!$AL$11:$AL$1010,$B192)="","",INDEX('Work Orders'!$AL$11:$AL$1010,$B192)))</f>
        <v/>
      </c>
      <c r="O192" s="43">
        <f>IF($B192="","",IF(INDEX('Work Orders'!$N$11:$N$1010,$B192)="","",INDEX('Work Orders'!$N$11:$N$1010,$B192)))</f>
        <v/>
      </c>
    </row>
    <row r="193">
      <c r="A193" s="68" t="n">
        <v>187</v>
      </c>
      <c r="B193">
        <f>IFERROR(MATCH(A193,'Work Orders'!$AO$11:$AO$1010,0),"")</f>
        <v/>
      </c>
      <c r="C193" s="43">
        <f>IF($B193="","",IF(INDEX('Work Orders'!$A$11:$A$1010,$B193)="","",INDEX('Work Orders'!$A$11:$A$1010,$B193)))</f>
        <v/>
      </c>
      <c r="D193" s="43">
        <f>IF($B193="","",IF(INDEX('Work Orders'!$B$11:$B$1010,$B193)="","",INDEX('Work Orders'!$B$11:$B$1010,$B193)))</f>
        <v/>
      </c>
      <c r="E193" s="43">
        <f>IF($B193="","",IF(INDEX('Work Orders'!$D$11:$D$1010,$B193)="","",INDEX('Work Orders'!$D$11:$D$1010,$B193)))</f>
        <v/>
      </c>
      <c r="F193" s="43">
        <f>IF($B193="","",IF(INDEX('Work Orders'!$Q$11:$Q$1010,$B193)="","",INDEX('Work Orders'!$Q$11:$Q$1010,$B193)))</f>
        <v/>
      </c>
      <c r="G193" s="43">
        <f>IF($B193="","",IF(INDEX('Work Orders'!$V$11:$V$1010,$B193)="","",INDEX('Work Orders'!$V$11:$V$1010,$B193)))</f>
        <v/>
      </c>
      <c r="H193" s="47">
        <f>IF($B193="","",IF(INDEX('Work Orders'!$U$11:$U$1010,$B193)="","",INDEX('Work Orders'!$U$11:$U$1010,$B193)))</f>
        <v/>
      </c>
      <c r="I193" s="47">
        <f>IF($B193="","",IF(INDEX('Work Orders'!$X$11:$X$1010,$B193)="","",INDEX('Work Orders'!$X$11:$X$1010,$B193)))</f>
        <v/>
      </c>
      <c r="J193" s="44">
        <f>IF($B193="","",IF(INDEX('Work Orders'!$Z$11:$Z$1010,$B193)="","",INDEX('Work Orders'!$Z$11:$Z$1010,$B193)))</f>
        <v/>
      </c>
      <c r="K193" s="44">
        <f>IF($B193="","",IF(INDEX('Work Orders'!$AG$11:$AG$1010,$B193)="","",INDEX('Work Orders'!$AG$11:$AG$1010,$B193)))</f>
        <v/>
      </c>
      <c r="L193" s="44">
        <f>IF($B193="","",IF(INDEX('Work Orders'!$AH$11:$AH$1010,$B193)="","",INDEX('Work Orders'!$AH$11:$AH$1010,$B193)))</f>
        <v/>
      </c>
      <c r="M193" s="46">
        <f>IF($B193="","",IF(INDEX('Work Orders'!$AM$11:$AM$1010,$B193)="","",INDEX('Work Orders'!$AM$11:$AM$1010,$B193)))</f>
        <v/>
      </c>
      <c r="N193" s="43">
        <f>IF($B193="","",IF(INDEX('Work Orders'!$AL$11:$AL$1010,$B193)="","",INDEX('Work Orders'!$AL$11:$AL$1010,$B193)))</f>
        <v/>
      </c>
      <c r="O193" s="43">
        <f>IF($B193="","",IF(INDEX('Work Orders'!$N$11:$N$1010,$B193)="","",INDEX('Work Orders'!$N$11:$N$1010,$B193)))</f>
        <v/>
      </c>
    </row>
    <row r="194">
      <c r="A194" s="68" t="n">
        <v>188</v>
      </c>
      <c r="B194">
        <f>IFERROR(MATCH(A194,'Work Orders'!$AO$11:$AO$1010,0),"")</f>
        <v/>
      </c>
      <c r="C194" s="43">
        <f>IF($B194="","",IF(INDEX('Work Orders'!$A$11:$A$1010,$B194)="","",INDEX('Work Orders'!$A$11:$A$1010,$B194)))</f>
        <v/>
      </c>
      <c r="D194" s="43">
        <f>IF($B194="","",IF(INDEX('Work Orders'!$B$11:$B$1010,$B194)="","",INDEX('Work Orders'!$B$11:$B$1010,$B194)))</f>
        <v/>
      </c>
      <c r="E194" s="43">
        <f>IF($B194="","",IF(INDEX('Work Orders'!$D$11:$D$1010,$B194)="","",INDEX('Work Orders'!$D$11:$D$1010,$B194)))</f>
        <v/>
      </c>
      <c r="F194" s="43">
        <f>IF($B194="","",IF(INDEX('Work Orders'!$Q$11:$Q$1010,$B194)="","",INDEX('Work Orders'!$Q$11:$Q$1010,$B194)))</f>
        <v/>
      </c>
      <c r="G194" s="43">
        <f>IF($B194="","",IF(INDEX('Work Orders'!$V$11:$V$1010,$B194)="","",INDEX('Work Orders'!$V$11:$V$1010,$B194)))</f>
        <v/>
      </c>
      <c r="H194" s="47">
        <f>IF($B194="","",IF(INDEX('Work Orders'!$U$11:$U$1010,$B194)="","",INDEX('Work Orders'!$U$11:$U$1010,$B194)))</f>
        <v/>
      </c>
      <c r="I194" s="47">
        <f>IF($B194="","",IF(INDEX('Work Orders'!$X$11:$X$1010,$B194)="","",INDEX('Work Orders'!$X$11:$X$1010,$B194)))</f>
        <v/>
      </c>
      <c r="J194" s="44">
        <f>IF($B194="","",IF(INDEX('Work Orders'!$Z$11:$Z$1010,$B194)="","",INDEX('Work Orders'!$Z$11:$Z$1010,$B194)))</f>
        <v/>
      </c>
      <c r="K194" s="44">
        <f>IF($B194="","",IF(INDEX('Work Orders'!$AG$11:$AG$1010,$B194)="","",INDEX('Work Orders'!$AG$11:$AG$1010,$B194)))</f>
        <v/>
      </c>
      <c r="L194" s="44">
        <f>IF($B194="","",IF(INDEX('Work Orders'!$AH$11:$AH$1010,$B194)="","",INDEX('Work Orders'!$AH$11:$AH$1010,$B194)))</f>
        <v/>
      </c>
      <c r="M194" s="46">
        <f>IF($B194="","",IF(INDEX('Work Orders'!$AM$11:$AM$1010,$B194)="","",INDEX('Work Orders'!$AM$11:$AM$1010,$B194)))</f>
        <v/>
      </c>
      <c r="N194" s="43">
        <f>IF($B194="","",IF(INDEX('Work Orders'!$AL$11:$AL$1010,$B194)="","",INDEX('Work Orders'!$AL$11:$AL$1010,$B194)))</f>
        <v/>
      </c>
      <c r="O194" s="43">
        <f>IF($B194="","",IF(INDEX('Work Orders'!$N$11:$N$1010,$B194)="","",INDEX('Work Orders'!$N$11:$N$1010,$B194)))</f>
        <v/>
      </c>
    </row>
    <row r="195">
      <c r="A195" s="68" t="n">
        <v>189</v>
      </c>
      <c r="B195">
        <f>IFERROR(MATCH(A195,'Work Orders'!$AO$11:$AO$1010,0),"")</f>
        <v/>
      </c>
      <c r="C195" s="43">
        <f>IF($B195="","",IF(INDEX('Work Orders'!$A$11:$A$1010,$B195)="","",INDEX('Work Orders'!$A$11:$A$1010,$B195)))</f>
        <v/>
      </c>
      <c r="D195" s="43">
        <f>IF($B195="","",IF(INDEX('Work Orders'!$B$11:$B$1010,$B195)="","",INDEX('Work Orders'!$B$11:$B$1010,$B195)))</f>
        <v/>
      </c>
      <c r="E195" s="43">
        <f>IF($B195="","",IF(INDEX('Work Orders'!$D$11:$D$1010,$B195)="","",INDEX('Work Orders'!$D$11:$D$1010,$B195)))</f>
        <v/>
      </c>
      <c r="F195" s="43">
        <f>IF($B195="","",IF(INDEX('Work Orders'!$Q$11:$Q$1010,$B195)="","",INDEX('Work Orders'!$Q$11:$Q$1010,$B195)))</f>
        <v/>
      </c>
      <c r="G195" s="43">
        <f>IF($B195="","",IF(INDEX('Work Orders'!$V$11:$V$1010,$B195)="","",INDEX('Work Orders'!$V$11:$V$1010,$B195)))</f>
        <v/>
      </c>
      <c r="H195" s="47">
        <f>IF($B195="","",IF(INDEX('Work Orders'!$U$11:$U$1010,$B195)="","",INDEX('Work Orders'!$U$11:$U$1010,$B195)))</f>
        <v/>
      </c>
      <c r="I195" s="47">
        <f>IF($B195="","",IF(INDEX('Work Orders'!$X$11:$X$1010,$B195)="","",INDEX('Work Orders'!$X$11:$X$1010,$B195)))</f>
        <v/>
      </c>
      <c r="J195" s="44">
        <f>IF($B195="","",IF(INDEX('Work Orders'!$Z$11:$Z$1010,$B195)="","",INDEX('Work Orders'!$Z$11:$Z$1010,$B195)))</f>
        <v/>
      </c>
      <c r="K195" s="44">
        <f>IF($B195="","",IF(INDEX('Work Orders'!$AG$11:$AG$1010,$B195)="","",INDEX('Work Orders'!$AG$11:$AG$1010,$B195)))</f>
        <v/>
      </c>
      <c r="L195" s="44">
        <f>IF($B195="","",IF(INDEX('Work Orders'!$AH$11:$AH$1010,$B195)="","",INDEX('Work Orders'!$AH$11:$AH$1010,$B195)))</f>
        <v/>
      </c>
      <c r="M195" s="46">
        <f>IF($B195="","",IF(INDEX('Work Orders'!$AM$11:$AM$1010,$B195)="","",INDEX('Work Orders'!$AM$11:$AM$1010,$B195)))</f>
        <v/>
      </c>
      <c r="N195" s="43">
        <f>IF($B195="","",IF(INDEX('Work Orders'!$AL$11:$AL$1010,$B195)="","",INDEX('Work Orders'!$AL$11:$AL$1010,$B195)))</f>
        <v/>
      </c>
      <c r="O195" s="43">
        <f>IF($B195="","",IF(INDEX('Work Orders'!$N$11:$N$1010,$B195)="","",INDEX('Work Orders'!$N$11:$N$1010,$B195)))</f>
        <v/>
      </c>
    </row>
    <row r="196">
      <c r="A196" s="68" t="n">
        <v>190</v>
      </c>
      <c r="B196">
        <f>IFERROR(MATCH(A196,'Work Orders'!$AO$11:$AO$1010,0),"")</f>
        <v/>
      </c>
      <c r="C196" s="43">
        <f>IF($B196="","",IF(INDEX('Work Orders'!$A$11:$A$1010,$B196)="","",INDEX('Work Orders'!$A$11:$A$1010,$B196)))</f>
        <v/>
      </c>
      <c r="D196" s="43">
        <f>IF($B196="","",IF(INDEX('Work Orders'!$B$11:$B$1010,$B196)="","",INDEX('Work Orders'!$B$11:$B$1010,$B196)))</f>
        <v/>
      </c>
      <c r="E196" s="43">
        <f>IF($B196="","",IF(INDEX('Work Orders'!$D$11:$D$1010,$B196)="","",INDEX('Work Orders'!$D$11:$D$1010,$B196)))</f>
        <v/>
      </c>
      <c r="F196" s="43">
        <f>IF($B196="","",IF(INDEX('Work Orders'!$Q$11:$Q$1010,$B196)="","",INDEX('Work Orders'!$Q$11:$Q$1010,$B196)))</f>
        <v/>
      </c>
      <c r="G196" s="43">
        <f>IF($B196="","",IF(INDEX('Work Orders'!$V$11:$V$1010,$B196)="","",INDEX('Work Orders'!$V$11:$V$1010,$B196)))</f>
        <v/>
      </c>
      <c r="H196" s="47">
        <f>IF($B196="","",IF(INDEX('Work Orders'!$U$11:$U$1010,$B196)="","",INDEX('Work Orders'!$U$11:$U$1010,$B196)))</f>
        <v/>
      </c>
      <c r="I196" s="47">
        <f>IF($B196="","",IF(INDEX('Work Orders'!$X$11:$X$1010,$B196)="","",INDEX('Work Orders'!$X$11:$X$1010,$B196)))</f>
        <v/>
      </c>
      <c r="J196" s="44">
        <f>IF($B196="","",IF(INDEX('Work Orders'!$Z$11:$Z$1010,$B196)="","",INDEX('Work Orders'!$Z$11:$Z$1010,$B196)))</f>
        <v/>
      </c>
      <c r="K196" s="44">
        <f>IF($B196="","",IF(INDEX('Work Orders'!$AG$11:$AG$1010,$B196)="","",INDEX('Work Orders'!$AG$11:$AG$1010,$B196)))</f>
        <v/>
      </c>
      <c r="L196" s="44">
        <f>IF($B196="","",IF(INDEX('Work Orders'!$AH$11:$AH$1010,$B196)="","",INDEX('Work Orders'!$AH$11:$AH$1010,$B196)))</f>
        <v/>
      </c>
      <c r="M196" s="46">
        <f>IF($B196="","",IF(INDEX('Work Orders'!$AM$11:$AM$1010,$B196)="","",INDEX('Work Orders'!$AM$11:$AM$1010,$B196)))</f>
        <v/>
      </c>
      <c r="N196" s="43">
        <f>IF($B196="","",IF(INDEX('Work Orders'!$AL$11:$AL$1010,$B196)="","",INDEX('Work Orders'!$AL$11:$AL$1010,$B196)))</f>
        <v/>
      </c>
      <c r="O196" s="43">
        <f>IF($B196="","",IF(INDEX('Work Orders'!$N$11:$N$1010,$B196)="","",INDEX('Work Orders'!$N$11:$N$1010,$B196)))</f>
        <v/>
      </c>
    </row>
    <row r="197">
      <c r="A197" s="68" t="n">
        <v>191</v>
      </c>
      <c r="B197">
        <f>IFERROR(MATCH(A197,'Work Orders'!$AO$11:$AO$1010,0),"")</f>
        <v/>
      </c>
      <c r="C197" s="43">
        <f>IF($B197="","",IF(INDEX('Work Orders'!$A$11:$A$1010,$B197)="","",INDEX('Work Orders'!$A$11:$A$1010,$B197)))</f>
        <v/>
      </c>
      <c r="D197" s="43">
        <f>IF($B197="","",IF(INDEX('Work Orders'!$B$11:$B$1010,$B197)="","",INDEX('Work Orders'!$B$11:$B$1010,$B197)))</f>
        <v/>
      </c>
      <c r="E197" s="43">
        <f>IF($B197="","",IF(INDEX('Work Orders'!$D$11:$D$1010,$B197)="","",INDEX('Work Orders'!$D$11:$D$1010,$B197)))</f>
        <v/>
      </c>
      <c r="F197" s="43">
        <f>IF($B197="","",IF(INDEX('Work Orders'!$Q$11:$Q$1010,$B197)="","",INDEX('Work Orders'!$Q$11:$Q$1010,$B197)))</f>
        <v/>
      </c>
      <c r="G197" s="43">
        <f>IF($B197="","",IF(INDEX('Work Orders'!$V$11:$V$1010,$B197)="","",INDEX('Work Orders'!$V$11:$V$1010,$B197)))</f>
        <v/>
      </c>
      <c r="H197" s="47">
        <f>IF($B197="","",IF(INDEX('Work Orders'!$U$11:$U$1010,$B197)="","",INDEX('Work Orders'!$U$11:$U$1010,$B197)))</f>
        <v/>
      </c>
      <c r="I197" s="47">
        <f>IF($B197="","",IF(INDEX('Work Orders'!$X$11:$X$1010,$B197)="","",INDEX('Work Orders'!$X$11:$X$1010,$B197)))</f>
        <v/>
      </c>
      <c r="J197" s="44">
        <f>IF($B197="","",IF(INDEX('Work Orders'!$Z$11:$Z$1010,$B197)="","",INDEX('Work Orders'!$Z$11:$Z$1010,$B197)))</f>
        <v/>
      </c>
      <c r="K197" s="44">
        <f>IF($B197="","",IF(INDEX('Work Orders'!$AG$11:$AG$1010,$B197)="","",INDEX('Work Orders'!$AG$11:$AG$1010,$B197)))</f>
        <v/>
      </c>
      <c r="L197" s="44">
        <f>IF($B197="","",IF(INDEX('Work Orders'!$AH$11:$AH$1010,$B197)="","",INDEX('Work Orders'!$AH$11:$AH$1010,$B197)))</f>
        <v/>
      </c>
      <c r="M197" s="46">
        <f>IF($B197="","",IF(INDEX('Work Orders'!$AM$11:$AM$1010,$B197)="","",INDEX('Work Orders'!$AM$11:$AM$1010,$B197)))</f>
        <v/>
      </c>
      <c r="N197" s="43">
        <f>IF($B197="","",IF(INDEX('Work Orders'!$AL$11:$AL$1010,$B197)="","",INDEX('Work Orders'!$AL$11:$AL$1010,$B197)))</f>
        <v/>
      </c>
      <c r="O197" s="43">
        <f>IF($B197="","",IF(INDEX('Work Orders'!$N$11:$N$1010,$B197)="","",INDEX('Work Orders'!$N$11:$N$1010,$B197)))</f>
        <v/>
      </c>
    </row>
    <row r="198">
      <c r="A198" s="68" t="n">
        <v>192</v>
      </c>
      <c r="B198">
        <f>IFERROR(MATCH(A198,'Work Orders'!$AO$11:$AO$1010,0),"")</f>
        <v/>
      </c>
      <c r="C198" s="43">
        <f>IF($B198="","",IF(INDEX('Work Orders'!$A$11:$A$1010,$B198)="","",INDEX('Work Orders'!$A$11:$A$1010,$B198)))</f>
        <v/>
      </c>
      <c r="D198" s="43">
        <f>IF($B198="","",IF(INDEX('Work Orders'!$B$11:$B$1010,$B198)="","",INDEX('Work Orders'!$B$11:$B$1010,$B198)))</f>
        <v/>
      </c>
      <c r="E198" s="43">
        <f>IF($B198="","",IF(INDEX('Work Orders'!$D$11:$D$1010,$B198)="","",INDEX('Work Orders'!$D$11:$D$1010,$B198)))</f>
        <v/>
      </c>
      <c r="F198" s="43">
        <f>IF($B198="","",IF(INDEX('Work Orders'!$Q$11:$Q$1010,$B198)="","",INDEX('Work Orders'!$Q$11:$Q$1010,$B198)))</f>
        <v/>
      </c>
      <c r="G198" s="43">
        <f>IF($B198="","",IF(INDEX('Work Orders'!$V$11:$V$1010,$B198)="","",INDEX('Work Orders'!$V$11:$V$1010,$B198)))</f>
        <v/>
      </c>
      <c r="H198" s="47">
        <f>IF($B198="","",IF(INDEX('Work Orders'!$U$11:$U$1010,$B198)="","",INDEX('Work Orders'!$U$11:$U$1010,$B198)))</f>
        <v/>
      </c>
      <c r="I198" s="47">
        <f>IF($B198="","",IF(INDEX('Work Orders'!$X$11:$X$1010,$B198)="","",INDEX('Work Orders'!$X$11:$X$1010,$B198)))</f>
        <v/>
      </c>
      <c r="J198" s="44">
        <f>IF($B198="","",IF(INDEX('Work Orders'!$Z$11:$Z$1010,$B198)="","",INDEX('Work Orders'!$Z$11:$Z$1010,$B198)))</f>
        <v/>
      </c>
      <c r="K198" s="44">
        <f>IF($B198="","",IF(INDEX('Work Orders'!$AG$11:$AG$1010,$B198)="","",INDEX('Work Orders'!$AG$11:$AG$1010,$B198)))</f>
        <v/>
      </c>
      <c r="L198" s="44">
        <f>IF($B198="","",IF(INDEX('Work Orders'!$AH$11:$AH$1010,$B198)="","",INDEX('Work Orders'!$AH$11:$AH$1010,$B198)))</f>
        <v/>
      </c>
      <c r="M198" s="46">
        <f>IF($B198="","",IF(INDEX('Work Orders'!$AM$11:$AM$1010,$B198)="","",INDEX('Work Orders'!$AM$11:$AM$1010,$B198)))</f>
        <v/>
      </c>
      <c r="N198" s="43">
        <f>IF($B198="","",IF(INDEX('Work Orders'!$AL$11:$AL$1010,$B198)="","",INDEX('Work Orders'!$AL$11:$AL$1010,$B198)))</f>
        <v/>
      </c>
      <c r="O198" s="43">
        <f>IF($B198="","",IF(INDEX('Work Orders'!$N$11:$N$1010,$B198)="","",INDEX('Work Orders'!$N$11:$N$1010,$B198)))</f>
        <v/>
      </c>
    </row>
    <row r="199">
      <c r="A199" s="68" t="n">
        <v>193</v>
      </c>
      <c r="B199">
        <f>IFERROR(MATCH(A199,'Work Orders'!$AO$11:$AO$1010,0),"")</f>
        <v/>
      </c>
      <c r="C199" s="43">
        <f>IF($B199="","",IF(INDEX('Work Orders'!$A$11:$A$1010,$B199)="","",INDEX('Work Orders'!$A$11:$A$1010,$B199)))</f>
        <v/>
      </c>
      <c r="D199" s="43">
        <f>IF($B199="","",IF(INDEX('Work Orders'!$B$11:$B$1010,$B199)="","",INDEX('Work Orders'!$B$11:$B$1010,$B199)))</f>
        <v/>
      </c>
      <c r="E199" s="43">
        <f>IF($B199="","",IF(INDEX('Work Orders'!$D$11:$D$1010,$B199)="","",INDEX('Work Orders'!$D$11:$D$1010,$B199)))</f>
        <v/>
      </c>
      <c r="F199" s="43">
        <f>IF($B199="","",IF(INDEX('Work Orders'!$Q$11:$Q$1010,$B199)="","",INDEX('Work Orders'!$Q$11:$Q$1010,$B199)))</f>
        <v/>
      </c>
      <c r="G199" s="43">
        <f>IF($B199="","",IF(INDEX('Work Orders'!$V$11:$V$1010,$B199)="","",INDEX('Work Orders'!$V$11:$V$1010,$B199)))</f>
        <v/>
      </c>
      <c r="H199" s="47">
        <f>IF($B199="","",IF(INDEX('Work Orders'!$U$11:$U$1010,$B199)="","",INDEX('Work Orders'!$U$11:$U$1010,$B199)))</f>
        <v/>
      </c>
      <c r="I199" s="47">
        <f>IF($B199="","",IF(INDEX('Work Orders'!$X$11:$X$1010,$B199)="","",INDEX('Work Orders'!$X$11:$X$1010,$B199)))</f>
        <v/>
      </c>
      <c r="J199" s="44">
        <f>IF($B199="","",IF(INDEX('Work Orders'!$Z$11:$Z$1010,$B199)="","",INDEX('Work Orders'!$Z$11:$Z$1010,$B199)))</f>
        <v/>
      </c>
      <c r="K199" s="44">
        <f>IF($B199="","",IF(INDEX('Work Orders'!$AG$11:$AG$1010,$B199)="","",INDEX('Work Orders'!$AG$11:$AG$1010,$B199)))</f>
        <v/>
      </c>
      <c r="L199" s="44">
        <f>IF($B199="","",IF(INDEX('Work Orders'!$AH$11:$AH$1010,$B199)="","",INDEX('Work Orders'!$AH$11:$AH$1010,$B199)))</f>
        <v/>
      </c>
      <c r="M199" s="46">
        <f>IF($B199="","",IF(INDEX('Work Orders'!$AM$11:$AM$1010,$B199)="","",INDEX('Work Orders'!$AM$11:$AM$1010,$B199)))</f>
        <v/>
      </c>
      <c r="N199" s="43">
        <f>IF($B199="","",IF(INDEX('Work Orders'!$AL$11:$AL$1010,$B199)="","",INDEX('Work Orders'!$AL$11:$AL$1010,$B199)))</f>
        <v/>
      </c>
      <c r="O199" s="43">
        <f>IF($B199="","",IF(INDEX('Work Orders'!$N$11:$N$1010,$B199)="","",INDEX('Work Orders'!$N$11:$N$1010,$B199)))</f>
        <v/>
      </c>
    </row>
    <row r="200">
      <c r="A200" s="68" t="n">
        <v>194</v>
      </c>
      <c r="B200">
        <f>IFERROR(MATCH(A200,'Work Orders'!$AO$11:$AO$1010,0),"")</f>
        <v/>
      </c>
      <c r="C200" s="43">
        <f>IF($B200="","",IF(INDEX('Work Orders'!$A$11:$A$1010,$B200)="","",INDEX('Work Orders'!$A$11:$A$1010,$B200)))</f>
        <v/>
      </c>
      <c r="D200" s="43">
        <f>IF($B200="","",IF(INDEX('Work Orders'!$B$11:$B$1010,$B200)="","",INDEX('Work Orders'!$B$11:$B$1010,$B200)))</f>
        <v/>
      </c>
      <c r="E200" s="43">
        <f>IF($B200="","",IF(INDEX('Work Orders'!$D$11:$D$1010,$B200)="","",INDEX('Work Orders'!$D$11:$D$1010,$B200)))</f>
        <v/>
      </c>
      <c r="F200" s="43">
        <f>IF($B200="","",IF(INDEX('Work Orders'!$Q$11:$Q$1010,$B200)="","",INDEX('Work Orders'!$Q$11:$Q$1010,$B200)))</f>
        <v/>
      </c>
      <c r="G200" s="43">
        <f>IF($B200="","",IF(INDEX('Work Orders'!$V$11:$V$1010,$B200)="","",INDEX('Work Orders'!$V$11:$V$1010,$B200)))</f>
        <v/>
      </c>
      <c r="H200" s="47">
        <f>IF($B200="","",IF(INDEX('Work Orders'!$U$11:$U$1010,$B200)="","",INDEX('Work Orders'!$U$11:$U$1010,$B200)))</f>
        <v/>
      </c>
      <c r="I200" s="47">
        <f>IF($B200="","",IF(INDEX('Work Orders'!$X$11:$X$1010,$B200)="","",INDEX('Work Orders'!$X$11:$X$1010,$B200)))</f>
        <v/>
      </c>
      <c r="J200" s="44">
        <f>IF($B200="","",IF(INDEX('Work Orders'!$Z$11:$Z$1010,$B200)="","",INDEX('Work Orders'!$Z$11:$Z$1010,$B200)))</f>
        <v/>
      </c>
      <c r="K200" s="44">
        <f>IF($B200="","",IF(INDEX('Work Orders'!$AG$11:$AG$1010,$B200)="","",INDEX('Work Orders'!$AG$11:$AG$1010,$B200)))</f>
        <v/>
      </c>
      <c r="L200" s="44">
        <f>IF($B200="","",IF(INDEX('Work Orders'!$AH$11:$AH$1010,$B200)="","",INDEX('Work Orders'!$AH$11:$AH$1010,$B200)))</f>
        <v/>
      </c>
      <c r="M200" s="46">
        <f>IF($B200="","",IF(INDEX('Work Orders'!$AM$11:$AM$1010,$B200)="","",INDEX('Work Orders'!$AM$11:$AM$1010,$B200)))</f>
        <v/>
      </c>
      <c r="N200" s="43">
        <f>IF($B200="","",IF(INDEX('Work Orders'!$AL$11:$AL$1010,$B200)="","",INDEX('Work Orders'!$AL$11:$AL$1010,$B200)))</f>
        <v/>
      </c>
      <c r="O200" s="43">
        <f>IF($B200="","",IF(INDEX('Work Orders'!$N$11:$N$1010,$B200)="","",INDEX('Work Orders'!$N$11:$N$1010,$B200)))</f>
        <v/>
      </c>
    </row>
    <row r="201">
      <c r="A201" s="68" t="n">
        <v>195</v>
      </c>
      <c r="B201">
        <f>IFERROR(MATCH(A201,'Work Orders'!$AO$11:$AO$1010,0),"")</f>
        <v/>
      </c>
      <c r="C201" s="43">
        <f>IF($B201="","",IF(INDEX('Work Orders'!$A$11:$A$1010,$B201)="","",INDEX('Work Orders'!$A$11:$A$1010,$B201)))</f>
        <v/>
      </c>
      <c r="D201" s="43">
        <f>IF($B201="","",IF(INDEX('Work Orders'!$B$11:$B$1010,$B201)="","",INDEX('Work Orders'!$B$11:$B$1010,$B201)))</f>
        <v/>
      </c>
      <c r="E201" s="43">
        <f>IF($B201="","",IF(INDEX('Work Orders'!$D$11:$D$1010,$B201)="","",INDEX('Work Orders'!$D$11:$D$1010,$B201)))</f>
        <v/>
      </c>
      <c r="F201" s="43">
        <f>IF($B201="","",IF(INDEX('Work Orders'!$Q$11:$Q$1010,$B201)="","",INDEX('Work Orders'!$Q$11:$Q$1010,$B201)))</f>
        <v/>
      </c>
      <c r="G201" s="43">
        <f>IF($B201="","",IF(INDEX('Work Orders'!$V$11:$V$1010,$B201)="","",INDEX('Work Orders'!$V$11:$V$1010,$B201)))</f>
        <v/>
      </c>
      <c r="H201" s="47">
        <f>IF($B201="","",IF(INDEX('Work Orders'!$U$11:$U$1010,$B201)="","",INDEX('Work Orders'!$U$11:$U$1010,$B201)))</f>
        <v/>
      </c>
      <c r="I201" s="47">
        <f>IF($B201="","",IF(INDEX('Work Orders'!$X$11:$X$1010,$B201)="","",INDEX('Work Orders'!$X$11:$X$1010,$B201)))</f>
        <v/>
      </c>
      <c r="J201" s="44">
        <f>IF($B201="","",IF(INDEX('Work Orders'!$Z$11:$Z$1010,$B201)="","",INDEX('Work Orders'!$Z$11:$Z$1010,$B201)))</f>
        <v/>
      </c>
      <c r="K201" s="44">
        <f>IF($B201="","",IF(INDEX('Work Orders'!$AG$11:$AG$1010,$B201)="","",INDEX('Work Orders'!$AG$11:$AG$1010,$B201)))</f>
        <v/>
      </c>
      <c r="L201" s="44">
        <f>IF($B201="","",IF(INDEX('Work Orders'!$AH$11:$AH$1010,$B201)="","",INDEX('Work Orders'!$AH$11:$AH$1010,$B201)))</f>
        <v/>
      </c>
      <c r="M201" s="46">
        <f>IF($B201="","",IF(INDEX('Work Orders'!$AM$11:$AM$1010,$B201)="","",INDEX('Work Orders'!$AM$11:$AM$1010,$B201)))</f>
        <v/>
      </c>
      <c r="N201" s="43">
        <f>IF($B201="","",IF(INDEX('Work Orders'!$AL$11:$AL$1010,$B201)="","",INDEX('Work Orders'!$AL$11:$AL$1010,$B201)))</f>
        <v/>
      </c>
      <c r="O201" s="43">
        <f>IF($B201="","",IF(INDEX('Work Orders'!$N$11:$N$1010,$B201)="","",INDEX('Work Orders'!$N$11:$N$1010,$B201)))</f>
        <v/>
      </c>
    </row>
    <row r="202">
      <c r="A202" s="68" t="n">
        <v>196</v>
      </c>
      <c r="B202">
        <f>IFERROR(MATCH(A202,'Work Orders'!$AO$11:$AO$1010,0),"")</f>
        <v/>
      </c>
      <c r="C202" s="43">
        <f>IF($B202="","",IF(INDEX('Work Orders'!$A$11:$A$1010,$B202)="","",INDEX('Work Orders'!$A$11:$A$1010,$B202)))</f>
        <v/>
      </c>
      <c r="D202" s="43">
        <f>IF($B202="","",IF(INDEX('Work Orders'!$B$11:$B$1010,$B202)="","",INDEX('Work Orders'!$B$11:$B$1010,$B202)))</f>
        <v/>
      </c>
      <c r="E202" s="43">
        <f>IF($B202="","",IF(INDEX('Work Orders'!$D$11:$D$1010,$B202)="","",INDEX('Work Orders'!$D$11:$D$1010,$B202)))</f>
        <v/>
      </c>
      <c r="F202" s="43">
        <f>IF($B202="","",IF(INDEX('Work Orders'!$Q$11:$Q$1010,$B202)="","",INDEX('Work Orders'!$Q$11:$Q$1010,$B202)))</f>
        <v/>
      </c>
      <c r="G202" s="43">
        <f>IF($B202="","",IF(INDEX('Work Orders'!$V$11:$V$1010,$B202)="","",INDEX('Work Orders'!$V$11:$V$1010,$B202)))</f>
        <v/>
      </c>
      <c r="H202" s="47">
        <f>IF($B202="","",IF(INDEX('Work Orders'!$U$11:$U$1010,$B202)="","",INDEX('Work Orders'!$U$11:$U$1010,$B202)))</f>
        <v/>
      </c>
      <c r="I202" s="47">
        <f>IF($B202="","",IF(INDEX('Work Orders'!$X$11:$X$1010,$B202)="","",INDEX('Work Orders'!$X$11:$X$1010,$B202)))</f>
        <v/>
      </c>
      <c r="J202" s="44">
        <f>IF($B202="","",IF(INDEX('Work Orders'!$Z$11:$Z$1010,$B202)="","",INDEX('Work Orders'!$Z$11:$Z$1010,$B202)))</f>
        <v/>
      </c>
      <c r="K202" s="44">
        <f>IF($B202="","",IF(INDEX('Work Orders'!$AG$11:$AG$1010,$B202)="","",INDEX('Work Orders'!$AG$11:$AG$1010,$B202)))</f>
        <v/>
      </c>
      <c r="L202" s="44">
        <f>IF($B202="","",IF(INDEX('Work Orders'!$AH$11:$AH$1010,$B202)="","",INDEX('Work Orders'!$AH$11:$AH$1010,$B202)))</f>
        <v/>
      </c>
      <c r="M202" s="46">
        <f>IF($B202="","",IF(INDEX('Work Orders'!$AM$11:$AM$1010,$B202)="","",INDEX('Work Orders'!$AM$11:$AM$1010,$B202)))</f>
        <v/>
      </c>
      <c r="N202" s="43">
        <f>IF($B202="","",IF(INDEX('Work Orders'!$AL$11:$AL$1010,$B202)="","",INDEX('Work Orders'!$AL$11:$AL$1010,$B202)))</f>
        <v/>
      </c>
      <c r="O202" s="43">
        <f>IF($B202="","",IF(INDEX('Work Orders'!$N$11:$N$1010,$B202)="","",INDEX('Work Orders'!$N$11:$N$1010,$B202)))</f>
        <v/>
      </c>
    </row>
    <row r="203">
      <c r="A203" s="68" t="n">
        <v>197</v>
      </c>
      <c r="B203">
        <f>IFERROR(MATCH(A203,'Work Orders'!$AO$11:$AO$1010,0),"")</f>
        <v/>
      </c>
      <c r="C203" s="43">
        <f>IF($B203="","",IF(INDEX('Work Orders'!$A$11:$A$1010,$B203)="","",INDEX('Work Orders'!$A$11:$A$1010,$B203)))</f>
        <v/>
      </c>
      <c r="D203" s="43">
        <f>IF($B203="","",IF(INDEX('Work Orders'!$B$11:$B$1010,$B203)="","",INDEX('Work Orders'!$B$11:$B$1010,$B203)))</f>
        <v/>
      </c>
      <c r="E203" s="43">
        <f>IF($B203="","",IF(INDEX('Work Orders'!$D$11:$D$1010,$B203)="","",INDEX('Work Orders'!$D$11:$D$1010,$B203)))</f>
        <v/>
      </c>
      <c r="F203" s="43">
        <f>IF($B203="","",IF(INDEX('Work Orders'!$Q$11:$Q$1010,$B203)="","",INDEX('Work Orders'!$Q$11:$Q$1010,$B203)))</f>
        <v/>
      </c>
      <c r="G203" s="43">
        <f>IF($B203="","",IF(INDEX('Work Orders'!$V$11:$V$1010,$B203)="","",INDEX('Work Orders'!$V$11:$V$1010,$B203)))</f>
        <v/>
      </c>
      <c r="H203" s="47">
        <f>IF($B203="","",IF(INDEX('Work Orders'!$U$11:$U$1010,$B203)="","",INDEX('Work Orders'!$U$11:$U$1010,$B203)))</f>
        <v/>
      </c>
      <c r="I203" s="47">
        <f>IF($B203="","",IF(INDEX('Work Orders'!$X$11:$X$1010,$B203)="","",INDEX('Work Orders'!$X$11:$X$1010,$B203)))</f>
        <v/>
      </c>
      <c r="J203" s="44">
        <f>IF($B203="","",IF(INDEX('Work Orders'!$Z$11:$Z$1010,$B203)="","",INDEX('Work Orders'!$Z$11:$Z$1010,$B203)))</f>
        <v/>
      </c>
      <c r="K203" s="44">
        <f>IF($B203="","",IF(INDEX('Work Orders'!$AG$11:$AG$1010,$B203)="","",INDEX('Work Orders'!$AG$11:$AG$1010,$B203)))</f>
        <v/>
      </c>
      <c r="L203" s="44">
        <f>IF($B203="","",IF(INDEX('Work Orders'!$AH$11:$AH$1010,$B203)="","",INDEX('Work Orders'!$AH$11:$AH$1010,$B203)))</f>
        <v/>
      </c>
      <c r="M203" s="46">
        <f>IF($B203="","",IF(INDEX('Work Orders'!$AM$11:$AM$1010,$B203)="","",INDEX('Work Orders'!$AM$11:$AM$1010,$B203)))</f>
        <v/>
      </c>
      <c r="N203" s="43">
        <f>IF($B203="","",IF(INDEX('Work Orders'!$AL$11:$AL$1010,$B203)="","",INDEX('Work Orders'!$AL$11:$AL$1010,$B203)))</f>
        <v/>
      </c>
      <c r="O203" s="43">
        <f>IF($B203="","",IF(INDEX('Work Orders'!$N$11:$N$1010,$B203)="","",INDEX('Work Orders'!$N$11:$N$1010,$B203)))</f>
        <v/>
      </c>
    </row>
    <row r="204">
      <c r="A204" s="68" t="n">
        <v>198</v>
      </c>
      <c r="B204">
        <f>IFERROR(MATCH(A204,'Work Orders'!$AO$11:$AO$1010,0),"")</f>
        <v/>
      </c>
      <c r="C204" s="43">
        <f>IF($B204="","",IF(INDEX('Work Orders'!$A$11:$A$1010,$B204)="","",INDEX('Work Orders'!$A$11:$A$1010,$B204)))</f>
        <v/>
      </c>
      <c r="D204" s="43">
        <f>IF($B204="","",IF(INDEX('Work Orders'!$B$11:$B$1010,$B204)="","",INDEX('Work Orders'!$B$11:$B$1010,$B204)))</f>
        <v/>
      </c>
      <c r="E204" s="43">
        <f>IF($B204="","",IF(INDEX('Work Orders'!$D$11:$D$1010,$B204)="","",INDEX('Work Orders'!$D$11:$D$1010,$B204)))</f>
        <v/>
      </c>
      <c r="F204" s="43">
        <f>IF($B204="","",IF(INDEX('Work Orders'!$Q$11:$Q$1010,$B204)="","",INDEX('Work Orders'!$Q$11:$Q$1010,$B204)))</f>
        <v/>
      </c>
      <c r="G204" s="43">
        <f>IF($B204="","",IF(INDEX('Work Orders'!$V$11:$V$1010,$B204)="","",INDEX('Work Orders'!$V$11:$V$1010,$B204)))</f>
        <v/>
      </c>
      <c r="H204" s="47">
        <f>IF($B204="","",IF(INDEX('Work Orders'!$U$11:$U$1010,$B204)="","",INDEX('Work Orders'!$U$11:$U$1010,$B204)))</f>
        <v/>
      </c>
      <c r="I204" s="47">
        <f>IF($B204="","",IF(INDEX('Work Orders'!$X$11:$X$1010,$B204)="","",INDEX('Work Orders'!$X$11:$X$1010,$B204)))</f>
        <v/>
      </c>
      <c r="J204" s="44">
        <f>IF($B204="","",IF(INDEX('Work Orders'!$Z$11:$Z$1010,$B204)="","",INDEX('Work Orders'!$Z$11:$Z$1010,$B204)))</f>
        <v/>
      </c>
      <c r="K204" s="44">
        <f>IF($B204="","",IF(INDEX('Work Orders'!$AG$11:$AG$1010,$B204)="","",INDEX('Work Orders'!$AG$11:$AG$1010,$B204)))</f>
        <v/>
      </c>
      <c r="L204" s="44">
        <f>IF($B204="","",IF(INDEX('Work Orders'!$AH$11:$AH$1010,$B204)="","",INDEX('Work Orders'!$AH$11:$AH$1010,$B204)))</f>
        <v/>
      </c>
      <c r="M204" s="46">
        <f>IF($B204="","",IF(INDEX('Work Orders'!$AM$11:$AM$1010,$B204)="","",INDEX('Work Orders'!$AM$11:$AM$1010,$B204)))</f>
        <v/>
      </c>
      <c r="N204" s="43">
        <f>IF($B204="","",IF(INDEX('Work Orders'!$AL$11:$AL$1010,$B204)="","",INDEX('Work Orders'!$AL$11:$AL$1010,$B204)))</f>
        <v/>
      </c>
      <c r="O204" s="43">
        <f>IF($B204="","",IF(INDEX('Work Orders'!$N$11:$N$1010,$B204)="","",INDEX('Work Orders'!$N$11:$N$1010,$B204)))</f>
        <v/>
      </c>
    </row>
    <row r="205">
      <c r="A205" s="68" t="n">
        <v>199</v>
      </c>
      <c r="B205">
        <f>IFERROR(MATCH(A205,'Work Orders'!$AO$11:$AO$1010,0),"")</f>
        <v/>
      </c>
      <c r="C205" s="43">
        <f>IF($B205="","",IF(INDEX('Work Orders'!$A$11:$A$1010,$B205)="","",INDEX('Work Orders'!$A$11:$A$1010,$B205)))</f>
        <v/>
      </c>
      <c r="D205" s="43">
        <f>IF($B205="","",IF(INDEX('Work Orders'!$B$11:$B$1010,$B205)="","",INDEX('Work Orders'!$B$11:$B$1010,$B205)))</f>
        <v/>
      </c>
      <c r="E205" s="43">
        <f>IF($B205="","",IF(INDEX('Work Orders'!$D$11:$D$1010,$B205)="","",INDEX('Work Orders'!$D$11:$D$1010,$B205)))</f>
        <v/>
      </c>
      <c r="F205" s="43">
        <f>IF($B205="","",IF(INDEX('Work Orders'!$Q$11:$Q$1010,$B205)="","",INDEX('Work Orders'!$Q$11:$Q$1010,$B205)))</f>
        <v/>
      </c>
      <c r="G205" s="43">
        <f>IF($B205="","",IF(INDEX('Work Orders'!$V$11:$V$1010,$B205)="","",INDEX('Work Orders'!$V$11:$V$1010,$B205)))</f>
        <v/>
      </c>
      <c r="H205" s="47">
        <f>IF($B205="","",IF(INDEX('Work Orders'!$U$11:$U$1010,$B205)="","",INDEX('Work Orders'!$U$11:$U$1010,$B205)))</f>
        <v/>
      </c>
      <c r="I205" s="47">
        <f>IF($B205="","",IF(INDEX('Work Orders'!$X$11:$X$1010,$B205)="","",INDEX('Work Orders'!$X$11:$X$1010,$B205)))</f>
        <v/>
      </c>
      <c r="J205" s="44">
        <f>IF($B205="","",IF(INDEX('Work Orders'!$Z$11:$Z$1010,$B205)="","",INDEX('Work Orders'!$Z$11:$Z$1010,$B205)))</f>
        <v/>
      </c>
      <c r="K205" s="44">
        <f>IF($B205="","",IF(INDEX('Work Orders'!$AG$11:$AG$1010,$B205)="","",INDEX('Work Orders'!$AG$11:$AG$1010,$B205)))</f>
        <v/>
      </c>
      <c r="L205" s="44">
        <f>IF($B205="","",IF(INDEX('Work Orders'!$AH$11:$AH$1010,$B205)="","",INDEX('Work Orders'!$AH$11:$AH$1010,$B205)))</f>
        <v/>
      </c>
      <c r="M205" s="46">
        <f>IF($B205="","",IF(INDEX('Work Orders'!$AM$11:$AM$1010,$B205)="","",INDEX('Work Orders'!$AM$11:$AM$1010,$B205)))</f>
        <v/>
      </c>
      <c r="N205" s="43">
        <f>IF($B205="","",IF(INDEX('Work Orders'!$AL$11:$AL$1010,$B205)="","",INDEX('Work Orders'!$AL$11:$AL$1010,$B205)))</f>
        <v/>
      </c>
      <c r="O205" s="43">
        <f>IF($B205="","",IF(INDEX('Work Orders'!$N$11:$N$1010,$B205)="","",INDEX('Work Orders'!$N$11:$N$1010,$B205)))</f>
        <v/>
      </c>
    </row>
    <row r="206">
      <c r="A206" s="68" t="n">
        <v>200</v>
      </c>
      <c r="B206">
        <f>IFERROR(MATCH(A206,'Work Orders'!$AO$11:$AO$1010,0),"")</f>
        <v/>
      </c>
      <c r="C206" s="43">
        <f>IF($B206="","",IF(INDEX('Work Orders'!$A$11:$A$1010,$B206)="","",INDEX('Work Orders'!$A$11:$A$1010,$B206)))</f>
        <v/>
      </c>
      <c r="D206" s="43">
        <f>IF($B206="","",IF(INDEX('Work Orders'!$B$11:$B$1010,$B206)="","",INDEX('Work Orders'!$B$11:$B$1010,$B206)))</f>
        <v/>
      </c>
      <c r="E206" s="43">
        <f>IF($B206="","",IF(INDEX('Work Orders'!$D$11:$D$1010,$B206)="","",INDEX('Work Orders'!$D$11:$D$1010,$B206)))</f>
        <v/>
      </c>
      <c r="F206" s="43">
        <f>IF($B206="","",IF(INDEX('Work Orders'!$Q$11:$Q$1010,$B206)="","",INDEX('Work Orders'!$Q$11:$Q$1010,$B206)))</f>
        <v/>
      </c>
      <c r="G206" s="43">
        <f>IF($B206="","",IF(INDEX('Work Orders'!$V$11:$V$1010,$B206)="","",INDEX('Work Orders'!$V$11:$V$1010,$B206)))</f>
        <v/>
      </c>
      <c r="H206" s="47">
        <f>IF($B206="","",IF(INDEX('Work Orders'!$U$11:$U$1010,$B206)="","",INDEX('Work Orders'!$U$11:$U$1010,$B206)))</f>
        <v/>
      </c>
      <c r="I206" s="47">
        <f>IF($B206="","",IF(INDEX('Work Orders'!$X$11:$X$1010,$B206)="","",INDEX('Work Orders'!$X$11:$X$1010,$B206)))</f>
        <v/>
      </c>
      <c r="J206" s="44">
        <f>IF($B206="","",IF(INDEX('Work Orders'!$Z$11:$Z$1010,$B206)="","",INDEX('Work Orders'!$Z$11:$Z$1010,$B206)))</f>
        <v/>
      </c>
      <c r="K206" s="44">
        <f>IF($B206="","",IF(INDEX('Work Orders'!$AG$11:$AG$1010,$B206)="","",INDEX('Work Orders'!$AG$11:$AG$1010,$B206)))</f>
        <v/>
      </c>
      <c r="L206" s="44">
        <f>IF($B206="","",IF(INDEX('Work Orders'!$AH$11:$AH$1010,$B206)="","",INDEX('Work Orders'!$AH$11:$AH$1010,$B206)))</f>
        <v/>
      </c>
      <c r="M206" s="46">
        <f>IF($B206="","",IF(INDEX('Work Orders'!$AM$11:$AM$1010,$B206)="","",INDEX('Work Orders'!$AM$11:$AM$1010,$B206)))</f>
        <v/>
      </c>
      <c r="N206" s="43">
        <f>IF($B206="","",IF(INDEX('Work Orders'!$AL$11:$AL$1010,$B206)="","",INDEX('Work Orders'!$AL$11:$AL$1010,$B206)))</f>
        <v/>
      </c>
      <c r="O206" s="43">
        <f>IF($B206="","",IF(INDEX('Work Orders'!$N$11:$N$1010,$B206)="","",INDEX('Work Orders'!$N$11:$N$1010,$B206)))</f>
        <v/>
      </c>
    </row>
    <row r="207">
      <c r="A207" s="68" t="n">
        <v>201</v>
      </c>
      <c r="B207">
        <f>IFERROR(MATCH(A207,'Work Orders'!$AO$11:$AO$1010,0),"")</f>
        <v/>
      </c>
      <c r="C207" s="43">
        <f>IF($B207="","",IF(INDEX('Work Orders'!$A$11:$A$1010,$B207)="","",INDEX('Work Orders'!$A$11:$A$1010,$B207)))</f>
        <v/>
      </c>
      <c r="D207" s="43">
        <f>IF($B207="","",IF(INDEX('Work Orders'!$B$11:$B$1010,$B207)="","",INDEX('Work Orders'!$B$11:$B$1010,$B207)))</f>
        <v/>
      </c>
      <c r="E207" s="43">
        <f>IF($B207="","",IF(INDEX('Work Orders'!$D$11:$D$1010,$B207)="","",INDEX('Work Orders'!$D$11:$D$1010,$B207)))</f>
        <v/>
      </c>
      <c r="F207" s="43">
        <f>IF($B207="","",IF(INDEX('Work Orders'!$Q$11:$Q$1010,$B207)="","",INDEX('Work Orders'!$Q$11:$Q$1010,$B207)))</f>
        <v/>
      </c>
      <c r="G207" s="43">
        <f>IF($B207="","",IF(INDEX('Work Orders'!$V$11:$V$1010,$B207)="","",INDEX('Work Orders'!$V$11:$V$1010,$B207)))</f>
        <v/>
      </c>
      <c r="H207" s="47">
        <f>IF($B207="","",IF(INDEX('Work Orders'!$U$11:$U$1010,$B207)="","",INDEX('Work Orders'!$U$11:$U$1010,$B207)))</f>
        <v/>
      </c>
      <c r="I207" s="47">
        <f>IF($B207="","",IF(INDEX('Work Orders'!$X$11:$X$1010,$B207)="","",INDEX('Work Orders'!$X$11:$X$1010,$B207)))</f>
        <v/>
      </c>
      <c r="J207" s="44">
        <f>IF($B207="","",IF(INDEX('Work Orders'!$Z$11:$Z$1010,$B207)="","",INDEX('Work Orders'!$Z$11:$Z$1010,$B207)))</f>
        <v/>
      </c>
      <c r="K207" s="44">
        <f>IF($B207="","",IF(INDEX('Work Orders'!$AG$11:$AG$1010,$B207)="","",INDEX('Work Orders'!$AG$11:$AG$1010,$B207)))</f>
        <v/>
      </c>
      <c r="L207" s="44">
        <f>IF($B207="","",IF(INDEX('Work Orders'!$AH$11:$AH$1010,$B207)="","",INDEX('Work Orders'!$AH$11:$AH$1010,$B207)))</f>
        <v/>
      </c>
      <c r="M207" s="46">
        <f>IF($B207="","",IF(INDEX('Work Orders'!$AM$11:$AM$1010,$B207)="","",INDEX('Work Orders'!$AM$11:$AM$1010,$B207)))</f>
        <v/>
      </c>
      <c r="N207" s="43">
        <f>IF($B207="","",IF(INDEX('Work Orders'!$AL$11:$AL$1010,$B207)="","",INDEX('Work Orders'!$AL$11:$AL$1010,$B207)))</f>
        <v/>
      </c>
      <c r="O207" s="43">
        <f>IF($B207="","",IF(INDEX('Work Orders'!$N$11:$N$1010,$B207)="","",INDEX('Work Orders'!$N$11:$N$1010,$B207)))</f>
        <v/>
      </c>
    </row>
    <row r="208">
      <c r="A208" s="68" t="n">
        <v>202</v>
      </c>
      <c r="B208">
        <f>IFERROR(MATCH(A208,'Work Orders'!$AO$11:$AO$1010,0),"")</f>
        <v/>
      </c>
      <c r="C208" s="43">
        <f>IF($B208="","",IF(INDEX('Work Orders'!$A$11:$A$1010,$B208)="","",INDEX('Work Orders'!$A$11:$A$1010,$B208)))</f>
        <v/>
      </c>
      <c r="D208" s="43">
        <f>IF($B208="","",IF(INDEX('Work Orders'!$B$11:$B$1010,$B208)="","",INDEX('Work Orders'!$B$11:$B$1010,$B208)))</f>
        <v/>
      </c>
      <c r="E208" s="43">
        <f>IF($B208="","",IF(INDEX('Work Orders'!$D$11:$D$1010,$B208)="","",INDEX('Work Orders'!$D$11:$D$1010,$B208)))</f>
        <v/>
      </c>
      <c r="F208" s="43">
        <f>IF($B208="","",IF(INDEX('Work Orders'!$Q$11:$Q$1010,$B208)="","",INDEX('Work Orders'!$Q$11:$Q$1010,$B208)))</f>
        <v/>
      </c>
      <c r="G208" s="43">
        <f>IF($B208="","",IF(INDEX('Work Orders'!$V$11:$V$1010,$B208)="","",INDEX('Work Orders'!$V$11:$V$1010,$B208)))</f>
        <v/>
      </c>
      <c r="H208" s="47">
        <f>IF($B208="","",IF(INDEX('Work Orders'!$U$11:$U$1010,$B208)="","",INDEX('Work Orders'!$U$11:$U$1010,$B208)))</f>
        <v/>
      </c>
      <c r="I208" s="47">
        <f>IF($B208="","",IF(INDEX('Work Orders'!$X$11:$X$1010,$B208)="","",INDEX('Work Orders'!$X$11:$X$1010,$B208)))</f>
        <v/>
      </c>
      <c r="J208" s="44">
        <f>IF($B208="","",IF(INDEX('Work Orders'!$Z$11:$Z$1010,$B208)="","",INDEX('Work Orders'!$Z$11:$Z$1010,$B208)))</f>
        <v/>
      </c>
      <c r="K208" s="44">
        <f>IF($B208="","",IF(INDEX('Work Orders'!$AG$11:$AG$1010,$B208)="","",INDEX('Work Orders'!$AG$11:$AG$1010,$B208)))</f>
        <v/>
      </c>
      <c r="L208" s="44">
        <f>IF($B208="","",IF(INDEX('Work Orders'!$AH$11:$AH$1010,$B208)="","",INDEX('Work Orders'!$AH$11:$AH$1010,$B208)))</f>
        <v/>
      </c>
      <c r="M208" s="46">
        <f>IF($B208="","",IF(INDEX('Work Orders'!$AM$11:$AM$1010,$B208)="","",INDEX('Work Orders'!$AM$11:$AM$1010,$B208)))</f>
        <v/>
      </c>
      <c r="N208" s="43">
        <f>IF($B208="","",IF(INDEX('Work Orders'!$AL$11:$AL$1010,$B208)="","",INDEX('Work Orders'!$AL$11:$AL$1010,$B208)))</f>
        <v/>
      </c>
      <c r="O208" s="43">
        <f>IF($B208="","",IF(INDEX('Work Orders'!$N$11:$N$1010,$B208)="","",INDEX('Work Orders'!$N$11:$N$1010,$B208)))</f>
        <v/>
      </c>
    </row>
    <row r="209">
      <c r="A209" s="68" t="n">
        <v>203</v>
      </c>
      <c r="B209">
        <f>IFERROR(MATCH(A209,'Work Orders'!$AO$11:$AO$1010,0),"")</f>
        <v/>
      </c>
      <c r="C209" s="43">
        <f>IF($B209="","",IF(INDEX('Work Orders'!$A$11:$A$1010,$B209)="","",INDEX('Work Orders'!$A$11:$A$1010,$B209)))</f>
        <v/>
      </c>
      <c r="D209" s="43">
        <f>IF($B209="","",IF(INDEX('Work Orders'!$B$11:$B$1010,$B209)="","",INDEX('Work Orders'!$B$11:$B$1010,$B209)))</f>
        <v/>
      </c>
      <c r="E209" s="43">
        <f>IF($B209="","",IF(INDEX('Work Orders'!$D$11:$D$1010,$B209)="","",INDEX('Work Orders'!$D$11:$D$1010,$B209)))</f>
        <v/>
      </c>
      <c r="F209" s="43">
        <f>IF($B209="","",IF(INDEX('Work Orders'!$Q$11:$Q$1010,$B209)="","",INDEX('Work Orders'!$Q$11:$Q$1010,$B209)))</f>
        <v/>
      </c>
      <c r="G209" s="43">
        <f>IF($B209="","",IF(INDEX('Work Orders'!$V$11:$V$1010,$B209)="","",INDEX('Work Orders'!$V$11:$V$1010,$B209)))</f>
        <v/>
      </c>
      <c r="H209" s="47">
        <f>IF($B209="","",IF(INDEX('Work Orders'!$U$11:$U$1010,$B209)="","",INDEX('Work Orders'!$U$11:$U$1010,$B209)))</f>
        <v/>
      </c>
      <c r="I209" s="47">
        <f>IF($B209="","",IF(INDEX('Work Orders'!$X$11:$X$1010,$B209)="","",INDEX('Work Orders'!$X$11:$X$1010,$B209)))</f>
        <v/>
      </c>
      <c r="J209" s="44">
        <f>IF($B209="","",IF(INDEX('Work Orders'!$Z$11:$Z$1010,$B209)="","",INDEX('Work Orders'!$Z$11:$Z$1010,$B209)))</f>
        <v/>
      </c>
      <c r="K209" s="44">
        <f>IF($B209="","",IF(INDEX('Work Orders'!$AG$11:$AG$1010,$B209)="","",INDEX('Work Orders'!$AG$11:$AG$1010,$B209)))</f>
        <v/>
      </c>
      <c r="L209" s="44">
        <f>IF($B209="","",IF(INDEX('Work Orders'!$AH$11:$AH$1010,$B209)="","",INDEX('Work Orders'!$AH$11:$AH$1010,$B209)))</f>
        <v/>
      </c>
      <c r="M209" s="46">
        <f>IF($B209="","",IF(INDEX('Work Orders'!$AM$11:$AM$1010,$B209)="","",INDEX('Work Orders'!$AM$11:$AM$1010,$B209)))</f>
        <v/>
      </c>
      <c r="N209" s="43">
        <f>IF($B209="","",IF(INDEX('Work Orders'!$AL$11:$AL$1010,$B209)="","",INDEX('Work Orders'!$AL$11:$AL$1010,$B209)))</f>
        <v/>
      </c>
      <c r="O209" s="43">
        <f>IF($B209="","",IF(INDEX('Work Orders'!$N$11:$N$1010,$B209)="","",INDEX('Work Orders'!$N$11:$N$1010,$B209)))</f>
        <v/>
      </c>
    </row>
    <row r="210">
      <c r="A210" s="68" t="n">
        <v>204</v>
      </c>
      <c r="B210">
        <f>IFERROR(MATCH(A210,'Work Orders'!$AO$11:$AO$1010,0),"")</f>
        <v/>
      </c>
      <c r="C210" s="43">
        <f>IF($B210="","",IF(INDEX('Work Orders'!$A$11:$A$1010,$B210)="","",INDEX('Work Orders'!$A$11:$A$1010,$B210)))</f>
        <v/>
      </c>
      <c r="D210" s="43">
        <f>IF($B210="","",IF(INDEX('Work Orders'!$B$11:$B$1010,$B210)="","",INDEX('Work Orders'!$B$11:$B$1010,$B210)))</f>
        <v/>
      </c>
      <c r="E210" s="43">
        <f>IF($B210="","",IF(INDEX('Work Orders'!$D$11:$D$1010,$B210)="","",INDEX('Work Orders'!$D$11:$D$1010,$B210)))</f>
        <v/>
      </c>
      <c r="F210" s="43">
        <f>IF($B210="","",IF(INDEX('Work Orders'!$Q$11:$Q$1010,$B210)="","",INDEX('Work Orders'!$Q$11:$Q$1010,$B210)))</f>
        <v/>
      </c>
      <c r="G210" s="43">
        <f>IF($B210="","",IF(INDEX('Work Orders'!$V$11:$V$1010,$B210)="","",INDEX('Work Orders'!$V$11:$V$1010,$B210)))</f>
        <v/>
      </c>
      <c r="H210" s="47">
        <f>IF($B210="","",IF(INDEX('Work Orders'!$U$11:$U$1010,$B210)="","",INDEX('Work Orders'!$U$11:$U$1010,$B210)))</f>
        <v/>
      </c>
      <c r="I210" s="47">
        <f>IF($B210="","",IF(INDEX('Work Orders'!$X$11:$X$1010,$B210)="","",INDEX('Work Orders'!$X$11:$X$1010,$B210)))</f>
        <v/>
      </c>
      <c r="J210" s="44">
        <f>IF($B210="","",IF(INDEX('Work Orders'!$Z$11:$Z$1010,$B210)="","",INDEX('Work Orders'!$Z$11:$Z$1010,$B210)))</f>
        <v/>
      </c>
      <c r="K210" s="44">
        <f>IF($B210="","",IF(INDEX('Work Orders'!$AG$11:$AG$1010,$B210)="","",INDEX('Work Orders'!$AG$11:$AG$1010,$B210)))</f>
        <v/>
      </c>
      <c r="L210" s="44">
        <f>IF($B210="","",IF(INDEX('Work Orders'!$AH$11:$AH$1010,$B210)="","",INDEX('Work Orders'!$AH$11:$AH$1010,$B210)))</f>
        <v/>
      </c>
      <c r="M210" s="46">
        <f>IF($B210="","",IF(INDEX('Work Orders'!$AM$11:$AM$1010,$B210)="","",INDEX('Work Orders'!$AM$11:$AM$1010,$B210)))</f>
        <v/>
      </c>
      <c r="N210" s="43">
        <f>IF($B210="","",IF(INDEX('Work Orders'!$AL$11:$AL$1010,$B210)="","",INDEX('Work Orders'!$AL$11:$AL$1010,$B210)))</f>
        <v/>
      </c>
      <c r="O210" s="43">
        <f>IF($B210="","",IF(INDEX('Work Orders'!$N$11:$N$1010,$B210)="","",INDEX('Work Orders'!$N$11:$N$1010,$B210)))</f>
        <v/>
      </c>
    </row>
    <row r="211">
      <c r="A211" s="68" t="n">
        <v>205</v>
      </c>
      <c r="B211">
        <f>IFERROR(MATCH(A211,'Work Orders'!$AO$11:$AO$1010,0),"")</f>
        <v/>
      </c>
      <c r="C211" s="43">
        <f>IF($B211="","",IF(INDEX('Work Orders'!$A$11:$A$1010,$B211)="","",INDEX('Work Orders'!$A$11:$A$1010,$B211)))</f>
        <v/>
      </c>
      <c r="D211" s="43">
        <f>IF($B211="","",IF(INDEX('Work Orders'!$B$11:$B$1010,$B211)="","",INDEX('Work Orders'!$B$11:$B$1010,$B211)))</f>
        <v/>
      </c>
      <c r="E211" s="43">
        <f>IF($B211="","",IF(INDEX('Work Orders'!$D$11:$D$1010,$B211)="","",INDEX('Work Orders'!$D$11:$D$1010,$B211)))</f>
        <v/>
      </c>
      <c r="F211" s="43">
        <f>IF($B211="","",IF(INDEX('Work Orders'!$Q$11:$Q$1010,$B211)="","",INDEX('Work Orders'!$Q$11:$Q$1010,$B211)))</f>
        <v/>
      </c>
      <c r="G211" s="43">
        <f>IF($B211="","",IF(INDEX('Work Orders'!$V$11:$V$1010,$B211)="","",INDEX('Work Orders'!$V$11:$V$1010,$B211)))</f>
        <v/>
      </c>
      <c r="H211" s="47">
        <f>IF($B211="","",IF(INDEX('Work Orders'!$U$11:$U$1010,$B211)="","",INDEX('Work Orders'!$U$11:$U$1010,$B211)))</f>
        <v/>
      </c>
      <c r="I211" s="47">
        <f>IF($B211="","",IF(INDEX('Work Orders'!$X$11:$X$1010,$B211)="","",INDEX('Work Orders'!$X$11:$X$1010,$B211)))</f>
        <v/>
      </c>
      <c r="J211" s="44">
        <f>IF($B211="","",IF(INDEX('Work Orders'!$Z$11:$Z$1010,$B211)="","",INDEX('Work Orders'!$Z$11:$Z$1010,$B211)))</f>
        <v/>
      </c>
      <c r="K211" s="44">
        <f>IF($B211="","",IF(INDEX('Work Orders'!$AG$11:$AG$1010,$B211)="","",INDEX('Work Orders'!$AG$11:$AG$1010,$B211)))</f>
        <v/>
      </c>
      <c r="L211" s="44">
        <f>IF($B211="","",IF(INDEX('Work Orders'!$AH$11:$AH$1010,$B211)="","",INDEX('Work Orders'!$AH$11:$AH$1010,$B211)))</f>
        <v/>
      </c>
      <c r="M211" s="46">
        <f>IF($B211="","",IF(INDEX('Work Orders'!$AM$11:$AM$1010,$B211)="","",INDEX('Work Orders'!$AM$11:$AM$1010,$B211)))</f>
        <v/>
      </c>
      <c r="N211" s="43">
        <f>IF($B211="","",IF(INDEX('Work Orders'!$AL$11:$AL$1010,$B211)="","",INDEX('Work Orders'!$AL$11:$AL$1010,$B211)))</f>
        <v/>
      </c>
      <c r="O211" s="43">
        <f>IF($B211="","",IF(INDEX('Work Orders'!$N$11:$N$1010,$B211)="","",INDEX('Work Orders'!$N$11:$N$1010,$B211)))</f>
        <v/>
      </c>
    </row>
    <row r="212">
      <c r="A212" s="68" t="n">
        <v>206</v>
      </c>
      <c r="B212">
        <f>IFERROR(MATCH(A212,'Work Orders'!$AO$11:$AO$1010,0),"")</f>
        <v/>
      </c>
      <c r="C212" s="43">
        <f>IF($B212="","",IF(INDEX('Work Orders'!$A$11:$A$1010,$B212)="","",INDEX('Work Orders'!$A$11:$A$1010,$B212)))</f>
        <v/>
      </c>
      <c r="D212" s="43">
        <f>IF($B212="","",IF(INDEX('Work Orders'!$B$11:$B$1010,$B212)="","",INDEX('Work Orders'!$B$11:$B$1010,$B212)))</f>
        <v/>
      </c>
      <c r="E212" s="43">
        <f>IF($B212="","",IF(INDEX('Work Orders'!$D$11:$D$1010,$B212)="","",INDEX('Work Orders'!$D$11:$D$1010,$B212)))</f>
        <v/>
      </c>
      <c r="F212" s="43">
        <f>IF($B212="","",IF(INDEX('Work Orders'!$Q$11:$Q$1010,$B212)="","",INDEX('Work Orders'!$Q$11:$Q$1010,$B212)))</f>
        <v/>
      </c>
      <c r="G212" s="43">
        <f>IF($B212="","",IF(INDEX('Work Orders'!$V$11:$V$1010,$B212)="","",INDEX('Work Orders'!$V$11:$V$1010,$B212)))</f>
        <v/>
      </c>
      <c r="H212" s="47">
        <f>IF($B212="","",IF(INDEX('Work Orders'!$U$11:$U$1010,$B212)="","",INDEX('Work Orders'!$U$11:$U$1010,$B212)))</f>
        <v/>
      </c>
      <c r="I212" s="47">
        <f>IF($B212="","",IF(INDEX('Work Orders'!$X$11:$X$1010,$B212)="","",INDEX('Work Orders'!$X$11:$X$1010,$B212)))</f>
        <v/>
      </c>
      <c r="J212" s="44">
        <f>IF($B212="","",IF(INDEX('Work Orders'!$Z$11:$Z$1010,$B212)="","",INDEX('Work Orders'!$Z$11:$Z$1010,$B212)))</f>
        <v/>
      </c>
      <c r="K212" s="44">
        <f>IF($B212="","",IF(INDEX('Work Orders'!$AG$11:$AG$1010,$B212)="","",INDEX('Work Orders'!$AG$11:$AG$1010,$B212)))</f>
        <v/>
      </c>
      <c r="L212" s="44">
        <f>IF($B212="","",IF(INDEX('Work Orders'!$AH$11:$AH$1010,$B212)="","",INDEX('Work Orders'!$AH$11:$AH$1010,$B212)))</f>
        <v/>
      </c>
      <c r="M212" s="46">
        <f>IF($B212="","",IF(INDEX('Work Orders'!$AM$11:$AM$1010,$B212)="","",INDEX('Work Orders'!$AM$11:$AM$1010,$B212)))</f>
        <v/>
      </c>
      <c r="N212" s="43">
        <f>IF($B212="","",IF(INDEX('Work Orders'!$AL$11:$AL$1010,$B212)="","",INDEX('Work Orders'!$AL$11:$AL$1010,$B212)))</f>
        <v/>
      </c>
      <c r="O212" s="43">
        <f>IF($B212="","",IF(INDEX('Work Orders'!$N$11:$N$1010,$B212)="","",INDEX('Work Orders'!$N$11:$N$1010,$B212)))</f>
        <v/>
      </c>
    </row>
    <row r="213">
      <c r="A213" s="68" t="n">
        <v>207</v>
      </c>
      <c r="B213">
        <f>IFERROR(MATCH(A213,'Work Orders'!$AO$11:$AO$1010,0),"")</f>
        <v/>
      </c>
      <c r="C213" s="43">
        <f>IF($B213="","",IF(INDEX('Work Orders'!$A$11:$A$1010,$B213)="","",INDEX('Work Orders'!$A$11:$A$1010,$B213)))</f>
        <v/>
      </c>
      <c r="D213" s="43">
        <f>IF($B213="","",IF(INDEX('Work Orders'!$B$11:$B$1010,$B213)="","",INDEX('Work Orders'!$B$11:$B$1010,$B213)))</f>
        <v/>
      </c>
      <c r="E213" s="43">
        <f>IF($B213="","",IF(INDEX('Work Orders'!$D$11:$D$1010,$B213)="","",INDEX('Work Orders'!$D$11:$D$1010,$B213)))</f>
        <v/>
      </c>
      <c r="F213" s="43">
        <f>IF($B213="","",IF(INDEX('Work Orders'!$Q$11:$Q$1010,$B213)="","",INDEX('Work Orders'!$Q$11:$Q$1010,$B213)))</f>
        <v/>
      </c>
      <c r="G213" s="43">
        <f>IF($B213="","",IF(INDEX('Work Orders'!$V$11:$V$1010,$B213)="","",INDEX('Work Orders'!$V$11:$V$1010,$B213)))</f>
        <v/>
      </c>
      <c r="H213" s="47">
        <f>IF($B213="","",IF(INDEX('Work Orders'!$U$11:$U$1010,$B213)="","",INDEX('Work Orders'!$U$11:$U$1010,$B213)))</f>
        <v/>
      </c>
      <c r="I213" s="47">
        <f>IF($B213="","",IF(INDEX('Work Orders'!$X$11:$X$1010,$B213)="","",INDEX('Work Orders'!$X$11:$X$1010,$B213)))</f>
        <v/>
      </c>
      <c r="J213" s="44">
        <f>IF($B213="","",IF(INDEX('Work Orders'!$Z$11:$Z$1010,$B213)="","",INDEX('Work Orders'!$Z$11:$Z$1010,$B213)))</f>
        <v/>
      </c>
      <c r="K213" s="44">
        <f>IF($B213="","",IF(INDEX('Work Orders'!$AG$11:$AG$1010,$B213)="","",INDEX('Work Orders'!$AG$11:$AG$1010,$B213)))</f>
        <v/>
      </c>
      <c r="L213" s="44">
        <f>IF($B213="","",IF(INDEX('Work Orders'!$AH$11:$AH$1010,$B213)="","",INDEX('Work Orders'!$AH$11:$AH$1010,$B213)))</f>
        <v/>
      </c>
      <c r="M213" s="46">
        <f>IF($B213="","",IF(INDEX('Work Orders'!$AM$11:$AM$1010,$B213)="","",INDEX('Work Orders'!$AM$11:$AM$1010,$B213)))</f>
        <v/>
      </c>
      <c r="N213" s="43">
        <f>IF($B213="","",IF(INDEX('Work Orders'!$AL$11:$AL$1010,$B213)="","",INDEX('Work Orders'!$AL$11:$AL$1010,$B213)))</f>
        <v/>
      </c>
      <c r="O213" s="43">
        <f>IF($B213="","",IF(INDEX('Work Orders'!$N$11:$N$1010,$B213)="","",INDEX('Work Orders'!$N$11:$N$1010,$B213)))</f>
        <v/>
      </c>
    </row>
    <row r="214">
      <c r="A214" s="68" t="n">
        <v>208</v>
      </c>
      <c r="B214">
        <f>IFERROR(MATCH(A214,'Work Orders'!$AO$11:$AO$1010,0),"")</f>
        <v/>
      </c>
      <c r="C214" s="43">
        <f>IF($B214="","",IF(INDEX('Work Orders'!$A$11:$A$1010,$B214)="","",INDEX('Work Orders'!$A$11:$A$1010,$B214)))</f>
        <v/>
      </c>
      <c r="D214" s="43">
        <f>IF($B214="","",IF(INDEX('Work Orders'!$B$11:$B$1010,$B214)="","",INDEX('Work Orders'!$B$11:$B$1010,$B214)))</f>
        <v/>
      </c>
      <c r="E214" s="43">
        <f>IF($B214="","",IF(INDEX('Work Orders'!$D$11:$D$1010,$B214)="","",INDEX('Work Orders'!$D$11:$D$1010,$B214)))</f>
        <v/>
      </c>
      <c r="F214" s="43">
        <f>IF($B214="","",IF(INDEX('Work Orders'!$Q$11:$Q$1010,$B214)="","",INDEX('Work Orders'!$Q$11:$Q$1010,$B214)))</f>
        <v/>
      </c>
      <c r="G214" s="43">
        <f>IF($B214="","",IF(INDEX('Work Orders'!$V$11:$V$1010,$B214)="","",INDEX('Work Orders'!$V$11:$V$1010,$B214)))</f>
        <v/>
      </c>
      <c r="H214" s="47">
        <f>IF($B214="","",IF(INDEX('Work Orders'!$U$11:$U$1010,$B214)="","",INDEX('Work Orders'!$U$11:$U$1010,$B214)))</f>
        <v/>
      </c>
      <c r="I214" s="47">
        <f>IF($B214="","",IF(INDEX('Work Orders'!$X$11:$X$1010,$B214)="","",INDEX('Work Orders'!$X$11:$X$1010,$B214)))</f>
        <v/>
      </c>
      <c r="J214" s="44">
        <f>IF($B214="","",IF(INDEX('Work Orders'!$Z$11:$Z$1010,$B214)="","",INDEX('Work Orders'!$Z$11:$Z$1010,$B214)))</f>
        <v/>
      </c>
      <c r="K214" s="44">
        <f>IF($B214="","",IF(INDEX('Work Orders'!$AG$11:$AG$1010,$B214)="","",INDEX('Work Orders'!$AG$11:$AG$1010,$B214)))</f>
        <v/>
      </c>
      <c r="L214" s="44">
        <f>IF($B214="","",IF(INDEX('Work Orders'!$AH$11:$AH$1010,$B214)="","",INDEX('Work Orders'!$AH$11:$AH$1010,$B214)))</f>
        <v/>
      </c>
      <c r="M214" s="46">
        <f>IF($B214="","",IF(INDEX('Work Orders'!$AM$11:$AM$1010,$B214)="","",INDEX('Work Orders'!$AM$11:$AM$1010,$B214)))</f>
        <v/>
      </c>
      <c r="N214" s="43">
        <f>IF($B214="","",IF(INDEX('Work Orders'!$AL$11:$AL$1010,$B214)="","",INDEX('Work Orders'!$AL$11:$AL$1010,$B214)))</f>
        <v/>
      </c>
      <c r="O214" s="43">
        <f>IF($B214="","",IF(INDEX('Work Orders'!$N$11:$N$1010,$B214)="","",INDEX('Work Orders'!$N$11:$N$1010,$B214)))</f>
        <v/>
      </c>
    </row>
    <row r="215">
      <c r="A215" s="68" t="n">
        <v>209</v>
      </c>
      <c r="B215">
        <f>IFERROR(MATCH(A215,'Work Orders'!$AO$11:$AO$1010,0),"")</f>
        <v/>
      </c>
      <c r="C215" s="43">
        <f>IF($B215="","",IF(INDEX('Work Orders'!$A$11:$A$1010,$B215)="","",INDEX('Work Orders'!$A$11:$A$1010,$B215)))</f>
        <v/>
      </c>
      <c r="D215" s="43">
        <f>IF($B215="","",IF(INDEX('Work Orders'!$B$11:$B$1010,$B215)="","",INDEX('Work Orders'!$B$11:$B$1010,$B215)))</f>
        <v/>
      </c>
      <c r="E215" s="43">
        <f>IF($B215="","",IF(INDEX('Work Orders'!$D$11:$D$1010,$B215)="","",INDEX('Work Orders'!$D$11:$D$1010,$B215)))</f>
        <v/>
      </c>
      <c r="F215" s="43">
        <f>IF($B215="","",IF(INDEX('Work Orders'!$Q$11:$Q$1010,$B215)="","",INDEX('Work Orders'!$Q$11:$Q$1010,$B215)))</f>
        <v/>
      </c>
      <c r="G215" s="43">
        <f>IF($B215="","",IF(INDEX('Work Orders'!$V$11:$V$1010,$B215)="","",INDEX('Work Orders'!$V$11:$V$1010,$B215)))</f>
        <v/>
      </c>
      <c r="H215" s="47">
        <f>IF($B215="","",IF(INDEX('Work Orders'!$U$11:$U$1010,$B215)="","",INDEX('Work Orders'!$U$11:$U$1010,$B215)))</f>
        <v/>
      </c>
      <c r="I215" s="47">
        <f>IF($B215="","",IF(INDEX('Work Orders'!$X$11:$X$1010,$B215)="","",INDEX('Work Orders'!$X$11:$X$1010,$B215)))</f>
        <v/>
      </c>
      <c r="J215" s="44">
        <f>IF($B215="","",IF(INDEX('Work Orders'!$Z$11:$Z$1010,$B215)="","",INDEX('Work Orders'!$Z$11:$Z$1010,$B215)))</f>
        <v/>
      </c>
      <c r="K215" s="44">
        <f>IF($B215="","",IF(INDEX('Work Orders'!$AG$11:$AG$1010,$B215)="","",INDEX('Work Orders'!$AG$11:$AG$1010,$B215)))</f>
        <v/>
      </c>
      <c r="L215" s="44">
        <f>IF($B215="","",IF(INDEX('Work Orders'!$AH$11:$AH$1010,$B215)="","",INDEX('Work Orders'!$AH$11:$AH$1010,$B215)))</f>
        <v/>
      </c>
      <c r="M215" s="46">
        <f>IF($B215="","",IF(INDEX('Work Orders'!$AM$11:$AM$1010,$B215)="","",INDEX('Work Orders'!$AM$11:$AM$1010,$B215)))</f>
        <v/>
      </c>
      <c r="N215" s="43">
        <f>IF($B215="","",IF(INDEX('Work Orders'!$AL$11:$AL$1010,$B215)="","",INDEX('Work Orders'!$AL$11:$AL$1010,$B215)))</f>
        <v/>
      </c>
      <c r="O215" s="43">
        <f>IF($B215="","",IF(INDEX('Work Orders'!$N$11:$N$1010,$B215)="","",INDEX('Work Orders'!$N$11:$N$1010,$B215)))</f>
        <v/>
      </c>
    </row>
    <row r="216">
      <c r="A216" s="68" t="n">
        <v>210</v>
      </c>
      <c r="B216">
        <f>IFERROR(MATCH(A216,'Work Orders'!$AO$11:$AO$1010,0),"")</f>
        <v/>
      </c>
      <c r="C216" s="43">
        <f>IF($B216="","",IF(INDEX('Work Orders'!$A$11:$A$1010,$B216)="","",INDEX('Work Orders'!$A$11:$A$1010,$B216)))</f>
        <v/>
      </c>
      <c r="D216" s="43">
        <f>IF($B216="","",IF(INDEX('Work Orders'!$B$11:$B$1010,$B216)="","",INDEX('Work Orders'!$B$11:$B$1010,$B216)))</f>
        <v/>
      </c>
      <c r="E216" s="43">
        <f>IF($B216="","",IF(INDEX('Work Orders'!$D$11:$D$1010,$B216)="","",INDEX('Work Orders'!$D$11:$D$1010,$B216)))</f>
        <v/>
      </c>
      <c r="F216" s="43">
        <f>IF($B216="","",IF(INDEX('Work Orders'!$Q$11:$Q$1010,$B216)="","",INDEX('Work Orders'!$Q$11:$Q$1010,$B216)))</f>
        <v/>
      </c>
      <c r="G216" s="43">
        <f>IF($B216="","",IF(INDEX('Work Orders'!$V$11:$V$1010,$B216)="","",INDEX('Work Orders'!$V$11:$V$1010,$B216)))</f>
        <v/>
      </c>
      <c r="H216" s="47">
        <f>IF($B216="","",IF(INDEX('Work Orders'!$U$11:$U$1010,$B216)="","",INDEX('Work Orders'!$U$11:$U$1010,$B216)))</f>
        <v/>
      </c>
      <c r="I216" s="47">
        <f>IF($B216="","",IF(INDEX('Work Orders'!$X$11:$X$1010,$B216)="","",INDEX('Work Orders'!$X$11:$X$1010,$B216)))</f>
        <v/>
      </c>
      <c r="J216" s="44">
        <f>IF($B216="","",IF(INDEX('Work Orders'!$Z$11:$Z$1010,$B216)="","",INDEX('Work Orders'!$Z$11:$Z$1010,$B216)))</f>
        <v/>
      </c>
      <c r="K216" s="44">
        <f>IF($B216="","",IF(INDEX('Work Orders'!$AG$11:$AG$1010,$B216)="","",INDEX('Work Orders'!$AG$11:$AG$1010,$B216)))</f>
        <v/>
      </c>
      <c r="L216" s="44">
        <f>IF($B216="","",IF(INDEX('Work Orders'!$AH$11:$AH$1010,$B216)="","",INDEX('Work Orders'!$AH$11:$AH$1010,$B216)))</f>
        <v/>
      </c>
      <c r="M216" s="46">
        <f>IF($B216="","",IF(INDEX('Work Orders'!$AM$11:$AM$1010,$B216)="","",INDEX('Work Orders'!$AM$11:$AM$1010,$B216)))</f>
        <v/>
      </c>
      <c r="N216" s="43">
        <f>IF($B216="","",IF(INDEX('Work Orders'!$AL$11:$AL$1010,$B216)="","",INDEX('Work Orders'!$AL$11:$AL$1010,$B216)))</f>
        <v/>
      </c>
      <c r="O216" s="43">
        <f>IF($B216="","",IF(INDEX('Work Orders'!$N$11:$N$1010,$B216)="","",INDEX('Work Orders'!$N$11:$N$1010,$B216)))</f>
        <v/>
      </c>
    </row>
    <row r="217">
      <c r="A217" s="68" t="n">
        <v>211</v>
      </c>
      <c r="B217">
        <f>IFERROR(MATCH(A217,'Work Orders'!$AO$11:$AO$1010,0),"")</f>
        <v/>
      </c>
      <c r="C217" s="43">
        <f>IF($B217="","",IF(INDEX('Work Orders'!$A$11:$A$1010,$B217)="","",INDEX('Work Orders'!$A$11:$A$1010,$B217)))</f>
        <v/>
      </c>
      <c r="D217" s="43">
        <f>IF($B217="","",IF(INDEX('Work Orders'!$B$11:$B$1010,$B217)="","",INDEX('Work Orders'!$B$11:$B$1010,$B217)))</f>
        <v/>
      </c>
      <c r="E217" s="43">
        <f>IF($B217="","",IF(INDEX('Work Orders'!$D$11:$D$1010,$B217)="","",INDEX('Work Orders'!$D$11:$D$1010,$B217)))</f>
        <v/>
      </c>
      <c r="F217" s="43">
        <f>IF($B217="","",IF(INDEX('Work Orders'!$Q$11:$Q$1010,$B217)="","",INDEX('Work Orders'!$Q$11:$Q$1010,$B217)))</f>
        <v/>
      </c>
      <c r="G217" s="43">
        <f>IF($B217="","",IF(INDEX('Work Orders'!$V$11:$V$1010,$B217)="","",INDEX('Work Orders'!$V$11:$V$1010,$B217)))</f>
        <v/>
      </c>
      <c r="H217" s="47">
        <f>IF($B217="","",IF(INDEX('Work Orders'!$U$11:$U$1010,$B217)="","",INDEX('Work Orders'!$U$11:$U$1010,$B217)))</f>
        <v/>
      </c>
      <c r="I217" s="47">
        <f>IF($B217="","",IF(INDEX('Work Orders'!$X$11:$X$1010,$B217)="","",INDEX('Work Orders'!$X$11:$X$1010,$B217)))</f>
        <v/>
      </c>
      <c r="J217" s="44">
        <f>IF($B217="","",IF(INDEX('Work Orders'!$Z$11:$Z$1010,$B217)="","",INDEX('Work Orders'!$Z$11:$Z$1010,$B217)))</f>
        <v/>
      </c>
      <c r="K217" s="44">
        <f>IF($B217="","",IF(INDEX('Work Orders'!$AG$11:$AG$1010,$B217)="","",INDEX('Work Orders'!$AG$11:$AG$1010,$B217)))</f>
        <v/>
      </c>
      <c r="L217" s="44">
        <f>IF($B217="","",IF(INDEX('Work Orders'!$AH$11:$AH$1010,$B217)="","",INDEX('Work Orders'!$AH$11:$AH$1010,$B217)))</f>
        <v/>
      </c>
      <c r="M217" s="46">
        <f>IF($B217="","",IF(INDEX('Work Orders'!$AM$11:$AM$1010,$B217)="","",INDEX('Work Orders'!$AM$11:$AM$1010,$B217)))</f>
        <v/>
      </c>
      <c r="N217" s="43">
        <f>IF($B217="","",IF(INDEX('Work Orders'!$AL$11:$AL$1010,$B217)="","",INDEX('Work Orders'!$AL$11:$AL$1010,$B217)))</f>
        <v/>
      </c>
      <c r="O217" s="43">
        <f>IF($B217="","",IF(INDEX('Work Orders'!$N$11:$N$1010,$B217)="","",INDEX('Work Orders'!$N$11:$N$1010,$B217)))</f>
        <v/>
      </c>
    </row>
    <row r="218">
      <c r="A218" s="68" t="n">
        <v>212</v>
      </c>
      <c r="B218">
        <f>IFERROR(MATCH(A218,'Work Orders'!$AO$11:$AO$1010,0),"")</f>
        <v/>
      </c>
      <c r="C218" s="43">
        <f>IF($B218="","",IF(INDEX('Work Orders'!$A$11:$A$1010,$B218)="","",INDEX('Work Orders'!$A$11:$A$1010,$B218)))</f>
        <v/>
      </c>
      <c r="D218" s="43">
        <f>IF($B218="","",IF(INDEX('Work Orders'!$B$11:$B$1010,$B218)="","",INDEX('Work Orders'!$B$11:$B$1010,$B218)))</f>
        <v/>
      </c>
      <c r="E218" s="43">
        <f>IF($B218="","",IF(INDEX('Work Orders'!$D$11:$D$1010,$B218)="","",INDEX('Work Orders'!$D$11:$D$1010,$B218)))</f>
        <v/>
      </c>
      <c r="F218" s="43">
        <f>IF($B218="","",IF(INDEX('Work Orders'!$Q$11:$Q$1010,$B218)="","",INDEX('Work Orders'!$Q$11:$Q$1010,$B218)))</f>
        <v/>
      </c>
      <c r="G218" s="43">
        <f>IF($B218="","",IF(INDEX('Work Orders'!$V$11:$V$1010,$B218)="","",INDEX('Work Orders'!$V$11:$V$1010,$B218)))</f>
        <v/>
      </c>
      <c r="H218" s="47">
        <f>IF($B218="","",IF(INDEX('Work Orders'!$U$11:$U$1010,$B218)="","",INDEX('Work Orders'!$U$11:$U$1010,$B218)))</f>
        <v/>
      </c>
      <c r="I218" s="47">
        <f>IF($B218="","",IF(INDEX('Work Orders'!$X$11:$X$1010,$B218)="","",INDEX('Work Orders'!$X$11:$X$1010,$B218)))</f>
        <v/>
      </c>
      <c r="J218" s="44">
        <f>IF($B218="","",IF(INDEX('Work Orders'!$Z$11:$Z$1010,$B218)="","",INDEX('Work Orders'!$Z$11:$Z$1010,$B218)))</f>
        <v/>
      </c>
      <c r="K218" s="44">
        <f>IF($B218="","",IF(INDEX('Work Orders'!$AG$11:$AG$1010,$B218)="","",INDEX('Work Orders'!$AG$11:$AG$1010,$B218)))</f>
        <v/>
      </c>
      <c r="L218" s="44">
        <f>IF($B218="","",IF(INDEX('Work Orders'!$AH$11:$AH$1010,$B218)="","",INDEX('Work Orders'!$AH$11:$AH$1010,$B218)))</f>
        <v/>
      </c>
      <c r="M218" s="46">
        <f>IF($B218="","",IF(INDEX('Work Orders'!$AM$11:$AM$1010,$B218)="","",INDEX('Work Orders'!$AM$11:$AM$1010,$B218)))</f>
        <v/>
      </c>
      <c r="N218" s="43">
        <f>IF($B218="","",IF(INDEX('Work Orders'!$AL$11:$AL$1010,$B218)="","",INDEX('Work Orders'!$AL$11:$AL$1010,$B218)))</f>
        <v/>
      </c>
      <c r="O218" s="43">
        <f>IF($B218="","",IF(INDEX('Work Orders'!$N$11:$N$1010,$B218)="","",INDEX('Work Orders'!$N$11:$N$1010,$B218)))</f>
        <v/>
      </c>
    </row>
    <row r="219">
      <c r="A219" s="68" t="n">
        <v>213</v>
      </c>
      <c r="B219">
        <f>IFERROR(MATCH(A219,'Work Orders'!$AO$11:$AO$1010,0),"")</f>
        <v/>
      </c>
      <c r="C219" s="43">
        <f>IF($B219="","",IF(INDEX('Work Orders'!$A$11:$A$1010,$B219)="","",INDEX('Work Orders'!$A$11:$A$1010,$B219)))</f>
        <v/>
      </c>
      <c r="D219" s="43">
        <f>IF($B219="","",IF(INDEX('Work Orders'!$B$11:$B$1010,$B219)="","",INDEX('Work Orders'!$B$11:$B$1010,$B219)))</f>
        <v/>
      </c>
      <c r="E219" s="43">
        <f>IF($B219="","",IF(INDEX('Work Orders'!$D$11:$D$1010,$B219)="","",INDEX('Work Orders'!$D$11:$D$1010,$B219)))</f>
        <v/>
      </c>
      <c r="F219" s="43">
        <f>IF($B219="","",IF(INDEX('Work Orders'!$Q$11:$Q$1010,$B219)="","",INDEX('Work Orders'!$Q$11:$Q$1010,$B219)))</f>
        <v/>
      </c>
      <c r="G219" s="43">
        <f>IF($B219="","",IF(INDEX('Work Orders'!$V$11:$V$1010,$B219)="","",INDEX('Work Orders'!$V$11:$V$1010,$B219)))</f>
        <v/>
      </c>
      <c r="H219" s="47">
        <f>IF($B219="","",IF(INDEX('Work Orders'!$U$11:$U$1010,$B219)="","",INDEX('Work Orders'!$U$11:$U$1010,$B219)))</f>
        <v/>
      </c>
      <c r="I219" s="47">
        <f>IF($B219="","",IF(INDEX('Work Orders'!$X$11:$X$1010,$B219)="","",INDEX('Work Orders'!$X$11:$X$1010,$B219)))</f>
        <v/>
      </c>
      <c r="J219" s="44">
        <f>IF($B219="","",IF(INDEX('Work Orders'!$Z$11:$Z$1010,$B219)="","",INDEX('Work Orders'!$Z$11:$Z$1010,$B219)))</f>
        <v/>
      </c>
      <c r="K219" s="44">
        <f>IF($B219="","",IF(INDEX('Work Orders'!$AG$11:$AG$1010,$B219)="","",INDEX('Work Orders'!$AG$11:$AG$1010,$B219)))</f>
        <v/>
      </c>
      <c r="L219" s="44">
        <f>IF($B219="","",IF(INDEX('Work Orders'!$AH$11:$AH$1010,$B219)="","",INDEX('Work Orders'!$AH$11:$AH$1010,$B219)))</f>
        <v/>
      </c>
      <c r="M219" s="46">
        <f>IF($B219="","",IF(INDEX('Work Orders'!$AM$11:$AM$1010,$B219)="","",INDEX('Work Orders'!$AM$11:$AM$1010,$B219)))</f>
        <v/>
      </c>
      <c r="N219" s="43">
        <f>IF($B219="","",IF(INDEX('Work Orders'!$AL$11:$AL$1010,$B219)="","",INDEX('Work Orders'!$AL$11:$AL$1010,$B219)))</f>
        <v/>
      </c>
      <c r="O219" s="43">
        <f>IF($B219="","",IF(INDEX('Work Orders'!$N$11:$N$1010,$B219)="","",INDEX('Work Orders'!$N$11:$N$1010,$B219)))</f>
        <v/>
      </c>
    </row>
    <row r="220">
      <c r="A220" s="68" t="n">
        <v>214</v>
      </c>
      <c r="B220">
        <f>IFERROR(MATCH(A220,'Work Orders'!$AO$11:$AO$1010,0),"")</f>
        <v/>
      </c>
      <c r="C220" s="43">
        <f>IF($B220="","",IF(INDEX('Work Orders'!$A$11:$A$1010,$B220)="","",INDEX('Work Orders'!$A$11:$A$1010,$B220)))</f>
        <v/>
      </c>
      <c r="D220" s="43">
        <f>IF($B220="","",IF(INDEX('Work Orders'!$B$11:$B$1010,$B220)="","",INDEX('Work Orders'!$B$11:$B$1010,$B220)))</f>
        <v/>
      </c>
      <c r="E220" s="43">
        <f>IF($B220="","",IF(INDEX('Work Orders'!$D$11:$D$1010,$B220)="","",INDEX('Work Orders'!$D$11:$D$1010,$B220)))</f>
        <v/>
      </c>
      <c r="F220" s="43">
        <f>IF($B220="","",IF(INDEX('Work Orders'!$Q$11:$Q$1010,$B220)="","",INDEX('Work Orders'!$Q$11:$Q$1010,$B220)))</f>
        <v/>
      </c>
      <c r="G220" s="43">
        <f>IF($B220="","",IF(INDEX('Work Orders'!$V$11:$V$1010,$B220)="","",INDEX('Work Orders'!$V$11:$V$1010,$B220)))</f>
        <v/>
      </c>
      <c r="H220" s="47">
        <f>IF($B220="","",IF(INDEX('Work Orders'!$U$11:$U$1010,$B220)="","",INDEX('Work Orders'!$U$11:$U$1010,$B220)))</f>
        <v/>
      </c>
      <c r="I220" s="47">
        <f>IF($B220="","",IF(INDEX('Work Orders'!$X$11:$X$1010,$B220)="","",INDEX('Work Orders'!$X$11:$X$1010,$B220)))</f>
        <v/>
      </c>
      <c r="J220" s="44">
        <f>IF($B220="","",IF(INDEX('Work Orders'!$Z$11:$Z$1010,$B220)="","",INDEX('Work Orders'!$Z$11:$Z$1010,$B220)))</f>
        <v/>
      </c>
      <c r="K220" s="44">
        <f>IF($B220="","",IF(INDEX('Work Orders'!$AG$11:$AG$1010,$B220)="","",INDEX('Work Orders'!$AG$11:$AG$1010,$B220)))</f>
        <v/>
      </c>
      <c r="L220" s="44">
        <f>IF($B220="","",IF(INDEX('Work Orders'!$AH$11:$AH$1010,$B220)="","",INDEX('Work Orders'!$AH$11:$AH$1010,$B220)))</f>
        <v/>
      </c>
      <c r="M220" s="46">
        <f>IF($B220="","",IF(INDEX('Work Orders'!$AM$11:$AM$1010,$B220)="","",INDEX('Work Orders'!$AM$11:$AM$1010,$B220)))</f>
        <v/>
      </c>
      <c r="N220" s="43">
        <f>IF($B220="","",IF(INDEX('Work Orders'!$AL$11:$AL$1010,$B220)="","",INDEX('Work Orders'!$AL$11:$AL$1010,$B220)))</f>
        <v/>
      </c>
      <c r="O220" s="43">
        <f>IF($B220="","",IF(INDEX('Work Orders'!$N$11:$N$1010,$B220)="","",INDEX('Work Orders'!$N$11:$N$1010,$B220)))</f>
        <v/>
      </c>
    </row>
    <row r="221">
      <c r="A221" s="68" t="n">
        <v>215</v>
      </c>
      <c r="B221">
        <f>IFERROR(MATCH(A221,'Work Orders'!$AO$11:$AO$1010,0),"")</f>
        <v/>
      </c>
      <c r="C221" s="43">
        <f>IF($B221="","",IF(INDEX('Work Orders'!$A$11:$A$1010,$B221)="","",INDEX('Work Orders'!$A$11:$A$1010,$B221)))</f>
        <v/>
      </c>
      <c r="D221" s="43">
        <f>IF($B221="","",IF(INDEX('Work Orders'!$B$11:$B$1010,$B221)="","",INDEX('Work Orders'!$B$11:$B$1010,$B221)))</f>
        <v/>
      </c>
      <c r="E221" s="43">
        <f>IF($B221="","",IF(INDEX('Work Orders'!$D$11:$D$1010,$B221)="","",INDEX('Work Orders'!$D$11:$D$1010,$B221)))</f>
        <v/>
      </c>
      <c r="F221" s="43">
        <f>IF($B221="","",IF(INDEX('Work Orders'!$Q$11:$Q$1010,$B221)="","",INDEX('Work Orders'!$Q$11:$Q$1010,$B221)))</f>
        <v/>
      </c>
      <c r="G221" s="43">
        <f>IF($B221="","",IF(INDEX('Work Orders'!$V$11:$V$1010,$B221)="","",INDEX('Work Orders'!$V$11:$V$1010,$B221)))</f>
        <v/>
      </c>
      <c r="H221" s="47">
        <f>IF($B221="","",IF(INDEX('Work Orders'!$U$11:$U$1010,$B221)="","",INDEX('Work Orders'!$U$11:$U$1010,$B221)))</f>
        <v/>
      </c>
      <c r="I221" s="47">
        <f>IF($B221="","",IF(INDEX('Work Orders'!$X$11:$X$1010,$B221)="","",INDEX('Work Orders'!$X$11:$X$1010,$B221)))</f>
        <v/>
      </c>
      <c r="J221" s="44">
        <f>IF($B221="","",IF(INDEX('Work Orders'!$Z$11:$Z$1010,$B221)="","",INDEX('Work Orders'!$Z$11:$Z$1010,$B221)))</f>
        <v/>
      </c>
      <c r="K221" s="44">
        <f>IF($B221="","",IF(INDEX('Work Orders'!$AG$11:$AG$1010,$B221)="","",INDEX('Work Orders'!$AG$11:$AG$1010,$B221)))</f>
        <v/>
      </c>
      <c r="L221" s="44">
        <f>IF($B221="","",IF(INDEX('Work Orders'!$AH$11:$AH$1010,$B221)="","",INDEX('Work Orders'!$AH$11:$AH$1010,$B221)))</f>
        <v/>
      </c>
      <c r="M221" s="46">
        <f>IF($B221="","",IF(INDEX('Work Orders'!$AM$11:$AM$1010,$B221)="","",INDEX('Work Orders'!$AM$11:$AM$1010,$B221)))</f>
        <v/>
      </c>
      <c r="N221" s="43">
        <f>IF($B221="","",IF(INDEX('Work Orders'!$AL$11:$AL$1010,$B221)="","",INDEX('Work Orders'!$AL$11:$AL$1010,$B221)))</f>
        <v/>
      </c>
      <c r="O221" s="43">
        <f>IF($B221="","",IF(INDEX('Work Orders'!$N$11:$N$1010,$B221)="","",INDEX('Work Orders'!$N$11:$N$1010,$B221)))</f>
        <v/>
      </c>
    </row>
    <row r="222">
      <c r="A222" s="68" t="n">
        <v>216</v>
      </c>
      <c r="B222">
        <f>IFERROR(MATCH(A222,'Work Orders'!$AO$11:$AO$1010,0),"")</f>
        <v/>
      </c>
      <c r="C222" s="43">
        <f>IF($B222="","",IF(INDEX('Work Orders'!$A$11:$A$1010,$B222)="","",INDEX('Work Orders'!$A$11:$A$1010,$B222)))</f>
        <v/>
      </c>
      <c r="D222" s="43">
        <f>IF($B222="","",IF(INDEX('Work Orders'!$B$11:$B$1010,$B222)="","",INDEX('Work Orders'!$B$11:$B$1010,$B222)))</f>
        <v/>
      </c>
      <c r="E222" s="43">
        <f>IF($B222="","",IF(INDEX('Work Orders'!$D$11:$D$1010,$B222)="","",INDEX('Work Orders'!$D$11:$D$1010,$B222)))</f>
        <v/>
      </c>
      <c r="F222" s="43">
        <f>IF($B222="","",IF(INDEX('Work Orders'!$Q$11:$Q$1010,$B222)="","",INDEX('Work Orders'!$Q$11:$Q$1010,$B222)))</f>
        <v/>
      </c>
      <c r="G222" s="43">
        <f>IF($B222="","",IF(INDEX('Work Orders'!$V$11:$V$1010,$B222)="","",INDEX('Work Orders'!$V$11:$V$1010,$B222)))</f>
        <v/>
      </c>
      <c r="H222" s="47">
        <f>IF($B222="","",IF(INDEX('Work Orders'!$U$11:$U$1010,$B222)="","",INDEX('Work Orders'!$U$11:$U$1010,$B222)))</f>
        <v/>
      </c>
      <c r="I222" s="47">
        <f>IF($B222="","",IF(INDEX('Work Orders'!$X$11:$X$1010,$B222)="","",INDEX('Work Orders'!$X$11:$X$1010,$B222)))</f>
        <v/>
      </c>
      <c r="J222" s="44">
        <f>IF($B222="","",IF(INDEX('Work Orders'!$Z$11:$Z$1010,$B222)="","",INDEX('Work Orders'!$Z$11:$Z$1010,$B222)))</f>
        <v/>
      </c>
      <c r="K222" s="44">
        <f>IF($B222="","",IF(INDEX('Work Orders'!$AG$11:$AG$1010,$B222)="","",INDEX('Work Orders'!$AG$11:$AG$1010,$B222)))</f>
        <v/>
      </c>
      <c r="L222" s="44">
        <f>IF($B222="","",IF(INDEX('Work Orders'!$AH$11:$AH$1010,$B222)="","",INDEX('Work Orders'!$AH$11:$AH$1010,$B222)))</f>
        <v/>
      </c>
      <c r="M222" s="46">
        <f>IF($B222="","",IF(INDEX('Work Orders'!$AM$11:$AM$1010,$B222)="","",INDEX('Work Orders'!$AM$11:$AM$1010,$B222)))</f>
        <v/>
      </c>
      <c r="N222" s="43">
        <f>IF($B222="","",IF(INDEX('Work Orders'!$AL$11:$AL$1010,$B222)="","",INDEX('Work Orders'!$AL$11:$AL$1010,$B222)))</f>
        <v/>
      </c>
      <c r="O222" s="43">
        <f>IF($B222="","",IF(INDEX('Work Orders'!$N$11:$N$1010,$B222)="","",INDEX('Work Orders'!$N$11:$N$1010,$B222)))</f>
        <v/>
      </c>
    </row>
    <row r="223">
      <c r="A223" s="68" t="n">
        <v>217</v>
      </c>
      <c r="B223">
        <f>IFERROR(MATCH(A223,'Work Orders'!$AO$11:$AO$1010,0),"")</f>
        <v/>
      </c>
      <c r="C223" s="43">
        <f>IF($B223="","",IF(INDEX('Work Orders'!$A$11:$A$1010,$B223)="","",INDEX('Work Orders'!$A$11:$A$1010,$B223)))</f>
        <v/>
      </c>
      <c r="D223" s="43">
        <f>IF($B223="","",IF(INDEX('Work Orders'!$B$11:$B$1010,$B223)="","",INDEX('Work Orders'!$B$11:$B$1010,$B223)))</f>
        <v/>
      </c>
      <c r="E223" s="43">
        <f>IF($B223="","",IF(INDEX('Work Orders'!$D$11:$D$1010,$B223)="","",INDEX('Work Orders'!$D$11:$D$1010,$B223)))</f>
        <v/>
      </c>
      <c r="F223" s="43">
        <f>IF($B223="","",IF(INDEX('Work Orders'!$Q$11:$Q$1010,$B223)="","",INDEX('Work Orders'!$Q$11:$Q$1010,$B223)))</f>
        <v/>
      </c>
      <c r="G223" s="43">
        <f>IF($B223="","",IF(INDEX('Work Orders'!$V$11:$V$1010,$B223)="","",INDEX('Work Orders'!$V$11:$V$1010,$B223)))</f>
        <v/>
      </c>
      <c r="H223" s="47">
        <f>IF($B223="","",IF(INDEX('Work Orders'!$U$11:$U$1010,$B223)="","",INDEX('Work Orders'!$U$11:$U$1010,$B223)))</f>
        <v/>
      </c>
      <c r="I223" s="47">
        <f>IF($B223="","",IF(INDEX('Work Orders'!$X$11:$X$1010,$B223)="","",INDEX('Work Orders'!$X$11:$X$1010,$B223)))</f>
        <v/>
      </c>
      <c r="J223" s="44">
        <f>IF($B223="","",IF(INDEX('Work Orders'!$Z$11:$Z$1010,$B223)="","",INDEX('Work Orders'!$Z$11:$Z$1010,$B223)))</f>
        <v/>
      </c>
      <c r="K223" s="44">
        <f>IF($B223="","",IF(INDEX('Work Orders'!$AG$11:$AG$1010,$B223)="","",INDEX('Work Orders'!$AG$11:$AG$1010,$B223)))</f>
        <v/>
      </c>
      <c r="L223" s="44">
        <f>IF($B223="","",IF(INDEX('Work Orders'!$AH$11:$AH$1010,$B223)="","",INDEX('Work Orders'!$AH$11:$AH$1010,$B223)))</f>
        <v/>
      </c>
      <c r="M223" s="46">
        <f>IF($B223="","",IF(INDEX('Work Orders'!$AM$11:$AM$1010,$B223)="","",INDEX('Work Orders'!$AM$11:$AM$1010,$B223)))</f>
        <v/>
      </c>
      <c r="N223" s="43">
        <f>IF($B223="","",IF(INDEX('Work Orders'!$AL$11:$AL$1010,$B223)="","",INDEX('Work Orders'!$AL$11:$AL$1010,$B223)))</f>
        <v/>
      </c>
      <c r="O223" s="43">
        <f>IF($B223="","",IF(INDEX('Work Orders'!$N$11:$N$1010,$B223)="","",INDEX('Work Orders'!$N$11:$N$1010,$B223)))</f>
        <v/>
      </c>
    </row>
    <row r="224">
      <c r="A224" s="68" t="n">
        <v>218</v>
      </c>
      <c r="B224">
        <f>IFERROR(MATCH(A224,'Work Orders'!$AO$11:$AO$1010,0),"")</f>
        <v/>
      </c>
      <c r="C224" s="43">
        <f>IF($B224="","",IF(INDEX('Work Orders'!$A$11:$A$1010,$B224)="","",INDEX('Work Orders'!$A$11:$A$1010,$B224)))</f>
        <v/>
      </c>
      <c r="D224" s="43">
        <f>IF($B224="","",IF(INDEX('Work Orders'!$B$11:$B$1010,$B224)="","",INDEX('Work Orders'!$B$11:$B$1010,$B224)))</f>
        <v/>
      </c>
      <c r="E224" s="43">
        <f>IF($B224="","",IF(INDEX('Work Orders'!$D$11:$D$1010,$B224)="","",INDEX('Work Orders'!$D$11:$D$1010,$B224)))</f>
        <v/>
      </c>
      <c r="F224" s="43">
        <f>IF($B224="","",IF(INDEX('Work Orders'!$Q$11:$Q$1010,$B224)="","",INDEX('Work Orders'!$Q$11:$Q$1010,$B224)))</f>
        <v/>
      </c>
      <c r="G224" s="43">
        <f>IF($B224="","",IF(INDEX('Work Orders'!$V$11:$V$1010,$B224)="","",INDEX('Work Orders'!$V$11:$V$1010,$B224)))</f>
        <v/>
      </c>
      <c r="H224" s="47">
        <f>IF($B224="","",IF(INDEX('Work Orders'!$U$11:$U$1010,$B224)="","",INDEX('Work Orders'!$U$11:$U$1010,$B224)))</f>
        <v/>
      </c>
      <c r="I224" s="47">
        <f>IF($B224="","",IF(INDEX('Work Orders'!$X$11:$X$1010,$B224)="","",INDEX('Work Orders'!$X$11:$X$1010,$B224)))</f>
        <v/>
      </c>
      <c r="J224" s="44">
        <f>IF($B224="","",IF(INDEX('Work Orders'!$Z$11:$Z$1010,$B224)="","",INDEX('Work Orders'!$Z$11:$Z$1010,$B224)))</f>
        <v/>
      </c>
      <c r="K224" s="44">
        <f>IF($B224="","",IF(INDEX('Work Orders'!$AG$11:$AG$1010,$B224)="","",INDEX('Work Orders'!$AG$11:$AG$1010,$B224)))</f>
        <v/>
      </c>
      <c r="L224" s="44">
        <f>IF($B224="","",IF(INDEX('Work Orders'!$AH$11:$AH$1010,$B224)="","",INDEX('Work Orders'!$AH$11:$AH$1010,$B224)))</f>
        <v/>
      </c>
      <c r="M224" s="46">
        <f>IF($B224="","",IF(INDEX('Work Orders'!$AM$11:$AM$1010,$B224)="","",INDEX('Work Orders'!$AM$11:$AM$1010,$B224)))</f>
        <v/>
      </c>
      <c r="N224" s="43">
        <f>IF($B224="","",IF(INDEX('Work Orders'!$AL$11:$AL$1010,$B224)="","",INDEX('Work Orders'!$AL$11:$AL$1010,$B224)))</f>
        <v/>
      </c>
      <c r="O224" s="43">
        <f>IF($B224="","",IF(INDEX('Work Orders'!$N$11:$N$1010,$B224)="","",INDEX('Work Orders'!$N$11:$N$1010,$B224)))</f>
        <v/>
      </c>
    </row>
    <row r="225">
      <c r="A225" s="68" t="n">
        <v>219</v>
      </c>
      <c r="B225">
        <f>IFERROR(MATCH(A225,'Work Orders'!$AO$11:$AO$1010,0),"")</f>
        <v/>
      </c>
      <c r="C225" s="43">
        <f>IF($B225="","",IF(INDEX('Work Orders'!$A$11:$A$1010,$B225)="","",INDEX('Work Orders'!$A$11:$A$1010,$B225)))</f>
        <v/>
      </c>
      <c r="D225" s="43">
        <f>IF($B225="","",IF(INDEX('Work Orders'!$B$11:$B$1010,$B225)="","",INDEX('Work Orders'!$B$11:$B$1010,$B225)))</f>
        <v/>
      </c>
      <c r="E225" s="43">
        <f>IF($B225="","",IF(INDEX('Work Orders'!$D$11:$D$1010,$B225)="","",INDEX('Work Orders'!$D$11:$D$1010,$B225)))</f>
        <v/>
      </c>
      <c r="F225" s="43">
        <f>IF($B225="","",IF(INDEX('Work Orders'!$Q$11:$Q$1010,$B225)="","",INDEX('Work Orders'!$Q$11:$Q$1010,$B225)))</f>
        <v/>
      </c>
      <c r="G225" s="43">
        <f>IF($B225="","",IF(INDEX('Work Orders'!$V$11:$V$1010,$B225)="","",INDEX('Work Orders'!$V$11:$V$1010,$B225)))</f>
        <v/>
      </c>
      <c r="H225" s="47">
        <f>IF($B225="","",IF(INDEX('Work Orders'!$U$11:$U$1010,$B225)="","",INDEX('Work Orders'!$U$11:$U$1010,$B225)))</f>
        <v/>
      </c>
      <c r="I225" s="47">
        <f>IF($B225="","",IF(INDEX('Work Orders'!$X$11:$X$1010,$B225)="","",INDEX('Work Orders'!$X$11:$X$1010,$B225)))</f>
        <v/>
      </c>
      <c r="J225" s="44">
        <f>IF($B225="","",IF(INDEX('Work Orders'!$Z$11:$Z$1010,$B225)="","",INDEX('Work Orders'!$Z$11:$Z$1010,$B225)))</f>
        <v/>
      </c>
      <c r="K225" s="44">
        <f>IF($B225="","",IF(INDEX('Work Orders'!$AG$11:$AG$1010,$B225)="","",INDEX('Work Orders'!$AG$11:$AG$1010,$B225)))</f>
        <v/>
      </c>
      <c r="L225" s="44">
        <f>IF($B225="","",IF(INDEX('Work Orders'!$AH$11:$AH$1010,$B225)="","",INDEX('Work Orders'!$AH$11:$AH$1010,$B225)))</f>
        <v/>
      </c>
      <c r="M225" s="46">
        <f>IF($B225="","",IF(INDEX('Work Orders'!$AM$11:$AM$1010,$B225)="","",INDEX('Work Orders'!$AM$11:$AM$1010,$B225)))</f>
        <v/>
      </c>
      <c r="N225" s="43">
        <f>IF($B225="","",IF(INDEX('Work Orders'!$AL$11:$AL$1010,$B225)="","",INDEX('Work Orders'!$AL$11:$AL$1010,$B225)))</f>
        <v/>
      </c>
      <c r="O225" s="43">
        <f>IF($B225="","",IF(INDEX('Work Orders'!$N$11:$N$1010,$B225)="","",INDEX('Work Orders'!$N$11:$N$1010,$B225)))</f>
        <v/>
      </c>
    </row>
    <row r="226">
      <c r="A226" s="68" t="n">
        <v>220</v>
      </c>
      <c r="B226">
        <f>IFERROR(MATCH(A226,'Work Orders'!$AO$11:$AO$1010,0),"")</f>
        <v/>
      </c>
      <c r="C226" s="43">
        <f>IF($B226="","",IF(INDEX('Work Orders'!$A$11:$A$1010,$B226)="","",INDEX('Work Orders'!$A$11:$A$1010,$B226)))</f>
        <v/>
      </c>
      <c r="D226" s="43">
        <f>IF($B226="","",IF(INDEX('Work Orders'!$B$11:$B$1010,$B226)="","",INDEX('Work Orders'!$B$11:$B$1010,$B226)))</f>
        <v/>
      </c>
      <c r="E226" s="43">
        <f>IF($B226="","",IF(INDEX('Work Orders'!$D$11:$D$1010,$B226)="","",INDEX('Work Orders'!$D$11:$D$1010,$B226)))</f>
        <v/>
      </c>
      <c r="F226" s="43">
        <f>IF($B226="","",IF(INDEX('Work Orders'!$Q$11:$Q$1010,$B226)="","",INDEX('Work Orders'!$Q$11:$Q$1010,$B226)))</f>
        <v/>
      </c>
      <c r="G226" s="43">
        <f>IF($B226="","",IF(INDEX('Work Orders'!$V$11:$V$1010,$B226)="","",INDEX('Work Orders'!$V$11:$V$1010,$B226)))</f>
        <v/>
      </c>
      <c r="H226" s="47">
        <f>IF($B226="","",IF(INDEX('Work Orders'!$U$11:$U$1010,$B226)="","",INDEX('Work Orders'!$U$11:$U$1010,$B226)))</f>
        <v/>
      </c>
      <c r="I226" s="47">
        <f>IF($B226="","",IF(INDEX('Work Orders'!$X$11:$X$1010,$B226)="","",INDEX('Work Orders'!$X$11:$X$1010,$B226)))</f>
        <v/>
      </c>
      <c r="J226" s="44">
        <f>IF($B226="","",IF(INDEX('Work Orders'!$Z$11:$Z$1010,$B226)="","",INDEX('Work Orders'!$Z$11:$Z$1010,$B226)))</f>
        <v/>
      </c>
      <c r="K226" s="44">
        <f>IF($B226="","",IF(INDEX('Work Orders'!$AG$11:$AG$1010,$B226)="","",INDEX('Work Orders'!$AG$11:$AG$1010,$B226)))</f>
        <v/>
      </c>
      <c r="L226" s="44">
        <f>IF($B226="","",IF(INDEX('Work Orders'!$AH$11:$AH$1010,$B226)="","",INDEX('Work Orders'!$AH$11:$AH$1010,$B226)))</f>
        <v/>
      </c>
      <c r="M226" s="46">
        <f>IF($B226="","",IF(INDEX('Work Orders'!$AM$11:$AM$1010,$B226)="","",INDEX('Work Orders'!$AM$11:$AM$1010,$B226)))</f>
        <v/>
      </c>
      <c r="N226" s="43">
        <f>IF($B226="","",IF(INDEX('Work Orders'!$AL$11:$AL$1010,$B226)="","",INDEX('Work Orders'!$AL$11:$AL$1010,$B226)))</f>
        <v/>
      </c>
      <c r="O226" s="43">
        <f>IF($B226="","",IF(INDEX('Work Orders'!$N$11:$N$1010,$B226)="","",INDEX('Work Orders'!$N$11:$N$1010,$B226)))</f>
        <v/>
      </c>
    </row>
    <row r="227">
      <c r="A227" s="68" t="n">
        <v>221</v>
      </c>
      <c r="B227">
        <f>IFERROR(MATCH(A227,'Work Orders'!$AO$11:$AO$1010,0),"")</f>
        <v/>
      </c>
      <c r="C227" s="43">
        <f>IF($B227="","",IF(INDEX('Work Orders'!$A$11:$A$1010,$B227)="","",INDEX('Work Orders'!$A$11:$A$1010,$B227)))</f>
        <v/>
      </c>
      <c r="D227" s="43">
        <f>IF($B227="","",IF(INDEX('Work Orders'!$B$11:$B$1010,$B227)="","",INDEX('Work Orders'!$B$11:$B$1010,$B227)))</f>
        <v/>
      </c>
      <c r="E227" s="43">
        <f>IF($B227="","",IF(INDEX('Work Orders'!$D$11:$D$1010,$B227)="","",INDEX('Work Orders'!$D$11:$D$1010,$B227)))</f>
        <v/>
      </c>
      <c r="F227" s="43">
        <f>IF($B227="","",IF(INDEX('Work Orders'!$Q$11:$Q$1010,$B227)="","",INDEX('Work Orders'!$Q$11:$Q$1010,$B227)))</f>
        <v/>
      </c>
      <c r="G227" s="43">
        <f>IF($B227="","",IF(INDEX('Work Orders'!$V$11:$V$1010,$B227)="","",INDEX('Work Orders'!$V$11:$V$1010,$B227)))</f>
        <v/>
      </c>
      <c r="H227" s="47">
        <f>IF($B227="","",IF(INDEX('Work Orders'!$U$11:$U$1010,$B227)="","",INDEX('Work Orders'!$U$11:$U$1010,$B227)))</f>
        <v/>
      </c>
      <c r="I227" s="47">
        <f>IF($B227="","",IF(INDEX('Work Orders'!$X$11:$X$1010,$B227)="","",INDEX('Work Orders'!$X$11:$X$1010,$B227)))</f>
        <v/>
      </c>
      <c r="J227" s="44">
        <f>IF($B227="","",IF(INDEX('Work Orders'!$Z$11:$Z$1010,$B227)="","",INDEX('Work Orders'!$Z$11:$Z$1010,$B227)))</f>
        <v/>
      </c>
      <c r="K227" s="44">
        <f>IF($B227="","",IF(INDEX('Work Orders'!$AG$11:$AG$1010,$B227)="","",INDEX('Work Orders'!$AG$11:$AG$1010,$B227)))</f>
        <v/>
      </c>
      <c r="L227" s="44">
        <f>IF($B227="","",IF(INDEX('Work Orders'!$AH$11:$AH$1010,$B227)="","",INDEX('Work Orders'!$AH$11:$AH$1010,$B227)))</f>
        <v/>
      </c>
      <c r="M227" s="46">
        <f>IF($B227="","",IF(INDEX('Work Orders'!$AM$11:$AM$1010,$B227)="","",INDEX('Work Orders'!$AM$11:$AM$1010,$B227)))</f>
        <v/>
      </c>
      <c r="N227" s="43">
        <f>IF($B227="","",IF(INDEX('Work Orders'!$AL$11:$AL$1010,$B227)="","",INDEX('Work Orders'!$AL$11:$AL$1010,$B227)))</f>
        <v/>
      </c>
      <c r="O227" s="43">
        <f>IF($B227="","",IF(INDEX('Work Orders'!$N$11:$N$1010,$B227)="","",INDEX('Work Orders'!$N$11:$N$1010,$B227)))</f>
        <v/>
      </c>
    </row>
    <row r="228">
      <c r="A228" s="68" t="n">
        <v>222</v>
      </c>
      <c r="B228">
        <f>IFERROR(MATCH(A228,'Work Orders'!$AO$11:$AO$1010,0),"")</f>
        <v/>
      </c>
      <c r="C228" s="43">
        <f>IF($B228="","",IF(INDEX('Work Orders'!$A$11:$A$1010,$B228)="","",INDEX('Work Orders'!$A$11:$A$1010,$B228)))</f>
        <v/>
      </c>
      <c r="D228" s="43">
        <f>IF($B228="","",IF(INDEX('Work Orders'!$B$11:$B$1010,$B228)="","",INDEX('Work Orders'!$B$11:$B$1010,$B228)))</f>
        <v/>
      </c>
      <c r="E228" s="43">
        <f>IF($B228="","",IF(INDEX('Work Orders'!$D$11:$D$1010,$B228)="","",INDEX('Work Orders'!$D$11:$D$1010,$B228)))</f>
        <v/>
      </c>
      <c r="F228" s="43">
        <f>IF($B228="","",IF(INDEX('Work Orders'!$Q$11:$Q$1010,$B228)="","",INDEX('Work Orders'!$Q$11:$Q$1010,$B228)))</f>
        <v/>
      </c>
      <c r="G228" s="43">
        <f>IF($B228="","",IF(INDEX('Work Orders'!$V$11:$V$1010,$B228)="","",INDEX('Work Orders'!$V$11:$V$1010,$B228)))</f>
        <v/>
      </c>
      <c r="H228" s="47">
        <f>IF($B228="","",IF(INDEX('Work Orders'!$U$11:$U$1010,$B228)="","",INDEX('Work Orders'!$U$11:$U$1010,$B228)))</f>
        <v/>
      </c>
      <c r="I228" s="47">
        <f>IF($B228="","",IF(INDEX('Work Orders'!$X$11:$X$1010,$B228)="","",INDEX('Work Orders'!$X$11:$X$1010,$B228)))</f>
        <v/>
      </c>
      <c r="J228" s="44">
        <f>IF($B228="","",IF(INDEX('Work Orders'!$Z$11:$Z$1010,$B228)="","",INDEX('Work Orders'!$Z$11:$Z$1010,$B228)))</f>
        <v/>
      </c>
      <c r="K228" s="44">
        <f>IF($B228="","",IF(INDEX('Work Orders'!$AG$11:$AG$1010,$B228)="","",INDEX('Work Orders'!$AG$11:$AG$1010,$B228)))</f>
        <v/>
      </c>
      <c r="L228" s="44">
        <f>IF($B228="","",IF(INDEX('Work Orders'!$AH$11:$AH$1010,$B228)="","",INDEX('Work Orders'!$AH$11:$AH$1010,$B228)))</f>
        <v/>
      </c>
      <c r="M228" s="46">
        <f>IF($B228="","",IF(INDEX('Work Orders'!$AM$11:$AM$1010,$B228)="","",INDEX('Work Orders'!$AM$11:$AM$1010,$B228)))</f>
        <v/>
      </c>
      <c r="N228" s="43">
        <f>IF($B228="","",IF(INDEX('Work Orders'!$AL$11:$AL$1010,$B228)="","",INDEX('Work Orders'!$AL$11:$AL$1010,$B228)))</f>
        <v/>
      </c>
      <c r="O228" s="43">
        <f>IF($B228="","",IF(INDEX('Work Orders'!$N$11:$N$1010,$B228)="","",INDEX('Work Orders'!$N$11:$N$1010,$B228)))</f>
        <v/>
      </c>
    </row>
    <row r="229">
      <c r="A229" s="68" t="n">
        <v>223</v>
      </c>
      <c r="B229">
        <f>IFERROR(MATCH(A229,'Work Orders'!$AO$11:$AO$1010,0),"")</f>
        <v/>
      </c>
      <c r="C229" s="43">
        <f>IF($B229="","",IF(INDEX('Work Orders'!$A$11:$A$1010,$B229)="","",INDEX('Work Orders'!$A$11:$A$1010,$B229)))</f>
        <v/>
      </c>
      <c r="D229" s="43">
        <f>IF($B229="","",IF(INDEX('Work Orders'!$B$11:$B$1010,$B229)="","",INDEX('Work Orders'!$B$11:$B$1010,$B229)))</f>
        <v/>
      </c>
      <c r="E229" s="43">
        <f>IF($B229="","",IF(INDEX('Work Orders'!$D$11:$D$1010,$B229)="","",INDEX('Work Orders'!$D$11:$D$1010,$B229)))</f>
        <v/>
      </c>
      <c r="F229" s="43">
        <f>IF($B229="","",IF(INDEX('Work Orders'!$Q$11:$Q$1010,$B229)="","",INDEX('Work Orders'!$Q$11:$Q$1010,$B229)))</f>
        <v/>
      </c>
      <c r="G229" s="43">
        <f>IF($B229="","",IF(INDEX('Work Orders'!$V$11:$V$1010,$B229)="","",INDEX('Work Orders'!$V$11:$V$1010,$B229)))</f>
        <v/>
      </c>
      <c r="H229" s="47">
        <f>IF($B229="","",IF(INDEX('Work Orders'!$U$11:$U$1010,$B229)="","",INDEX('Work Orders'!$U$11:$U$1010,$B229)))</f>
        <v/>
      </c>
      <c r="I229" s="47">
        <f>IF($B229="","",IF(INDEX('Work Orders'!$X$11:$X$1010,$B229)="","",INDEX('Work Orders'!$X$11:$X$1010,$B229)))</f>
        <v/>
      </c>
      <c r="J229" s="44">
        <f>IF($B229="","",IF(INDEX('Work Orders'!$Z$11:$Z$1010,$B229)="","",INDEX('Work Orders'!$Z$11:$Z$1010,$B229)))</f>
        <v/>
      </c>
      <c r="K229" s="44">
        <f>IF($B229="","",IF(INDEX('Work Orders'!$AG$11:$AG$1010,$B229)="","",INDEX('Work Orders'!$AG$11:$AG$1010,$B229)))</f>
        <v/>
      </c>
      <c r="L229" s="44">
        <f>IF($B229="","",IF(INDEX('Work Orders'!$AH$11:$AH$1010,$B229)="","",INDEX('Work Orders'!$AH$11:$AH$1010,$B229)))</f>
        <v/>
      </c>
      <c r="M229" s="46">
        <f>IF($B229="","",IF(INDEX('Work Orders'!$AM$11:$AM$1010,$B229)="","",INDEX('Work Orders'!$AM$11:$AM$1010,$B229)))</f>
        <v/>
      </c>
      <c r="N229" s="43">
        <f>IF($B229="","",IF(INDEX('Work Orders'!$AL$11:$AL$1010,$B229)="","",INDEX('Work Orders'!$AL$11:$AL$1010,$B229)))</f>
        <v/>
      </c>
      <c r="O229" s="43">
        <f>IF($B229="","",IF(INDEX('Work Orders'!$N$11:$N$1010,$B229)="","",INDEX('Work Orders'!$N$11:$N$1010,$B229)))</f>
        <v/>
      </c>
    </row>
    <row r="230">
      <c r="A230" s="68" t="n">
        <v>224</v>
      </c>
      <c r="B230">
        <f>IFERROR(MATCH(A230,'Work Orders'!$AO$11:$AO$1010,0),"")</f>
        <v/>
      </c>
      <c r="C230" s="43">
        <f>IF($B230="","",IF(INDEX('Work Orders'!$A$11:$A$1010,$B230)="","",INDEX('Work Orders'!$A$11:$A$1010,$B230)))</f>
        <v/>
      </c>
      <c r="D230" s="43">
        <f>IF($B230="","",IF(INDEX('Work Orders'!$B$11:$B$1010,$B230)="","",INDEX('Work Orders'!$B$11:$B$1010,$B230)))</f>
        <v/>
      </c>
      <c r="E230" s="43">
        <f>IF($B230="","",IF(INDEX('Work Orders'!$D$11:$D$1010,$B230)="","",INDEX('Work Orders'!$D$11:$D$1010,$B230)))</f>
        <v/>
      </c>
      <c r="F230" s="43">
        <f>IF($B230="","",IF(INDEX('Work Orders'!$Q$11:$Q$1010,$B230)="","",INDEX('Work Orders'!$Q$11:$Q$1010,$B230)))</f>
        <v/>
      </c>
      <c r="G230" s="43">
        <f>IF($B230="","",IF(INDEX('Work Orders'!$V$11:$V$1010,$B230)="","",INDEX('Work Orders'!$V$11:$V$1010,$B230)))</f>
        <v/>
      </c>
      <c r="H230" s="47">
        <f>IF($B230="","",IF(INDEX('Work Orders'!$U$11:$U$1010,$B230)="","",INDEX('Work Orders'!$U$11:$U$1010,$B230)))</f>
        <v/>
      </c>
      <c r="I230" s="47">
        <f>IF($B230="","",IF(INDEX('Work Orders'!$X$11:$X$1010,$B230)="","",INDEX('Work Orders'!$X$11:$X$1010,$B230)))</f>
        <v/>
      </c>
      <c r="J230" s="44">
        <f>IF($B230="","",IF(INDEX('Work Orders'!$Z$11:$Z$1010,$B230)="","",INDEX('Work Orders'!$Z$11:$Z$1010,$B230)))</f>
        <v/>
      </c>
      <c r="K230" s="44">
        <f>IF($B230="","",IF(INDEX('Work Orders'!$AG$11:$AG$1010,$B230)="","",INDEX('Work Orders'!$AG$11:$AG$1010,$B230)))</f>
        <v/>
      </c>
      <c r="L230" s="44">
        <f>IF($B230="","",IF(INDEX('Work Orders'!$AH$11:$AH$1010,$B230)="","",INDEX('Work Orders'!$AH$11:$AH$1010,$B230)))</f>
        <v/>
      </c>
      <c r="M230" s="46">
        <f>IF($B230="","",IF(INDEX('Work Orders'!$AM$11:$AM$1010,$B230)="","",INDEX('Work Orders'!$AM$11:$AM$1010,$B230)))</f>
        <v/>
      </c>
      <c r="N230" s="43">
        <f>IF($B230="","",IF(INDEX('Work Orders'!$AL$11:$AL$1010,$B230)="","",INDEX('Work Orders'!$AL$11:$AL$1010,$B230)))</f>
        <v/>
      </c>
      <c r="O230" s="43">
        <f>IF($B230="","",IF(INDEX('Work Orders'!$N$11:$N$1010,$B230)="","",INDEX('Work Orders'!$N$11:$N$1010,$B230)))</f>
        <v/>
      </c>
    </row>
    <row r="231">
      <c r="A231" s="68" t="n">
        <v>225</v>
      </c>
      <c r="B231">
        <f>IFERROR(MATCH(A231,'Work Orders'!$AO$11:$AO$1010,0),"")</f>
        <v/>
      </c>
      <c r="C231" s="43">
        <f>IF($B231="","",IF(INDEX('Work Orders'!$A$11:$A$1010,$B231)="","",INDEX('Work Orders'!$A$11:$A$1010,$B231)))</f>
        <v/>
      </c>
      <c r="D231" s="43">
        <f>IF($B231="","",IF(INDEX('Work Orders'!$B$11:$B$1010,$B231)="","",INDEX('Work Orders'!$B$11:$B$1010,$B231)))</f>
        <v/>
      </c>
      <c r="E231" s="43">
        <f>IF($B231="","",IF(INDEX('Work Orders'!$D$11:$D$1010,$B231)="","",INDEX('Work Orders'!$D$11:$D$1010,$B231)))</f>
        <v/>
      </c>
      <c r="F231" s="43">
        <f>IF($B231="","",IF(INDEX('Work Orders'!$Q$11:$Q$1010,$B231)="","",INDEX('Work Orders'!$Q$11:$Q$1010,$B231)))</f>
        <v/>
      </c>
      <c r="G231" s="43">
        <f>IF($B231="","",IF(INDEX('Work Orders'!$V$11:$V$1010,$B231)="","",INDEX('Work Orders'!$V$11:$V$1010,$B231)))</f>
        <v/>
      </c>
      <c r="H231" s="47">
        <f>IF($B231="","",IF(INDEX('Work Orders'!$U$11:$U$1010,$B231)="","",INDEX('Work Orders'!$U$11:$U$1010,$B231)))</f>
        <v/>
      </c>
      <c r="I231" s="47">
        <f>IF($B231="","",IF(INDEX('Work Orders'!$X$11:$X$1010,$B231)="","",INDEX('Work Orders'!$X$11:$X$1010,$B231)))</f>
        <v/>
      </c>
      <c r="J231" s="44">
        <f>IF($B231="","",IF(INDEX('Work Orders'!$Z$11:$Z$1010,$B231)="","",INDEX('Work Orders'!$Z$11:$Z$1010,$B231)))</f>
        <v/>
      </c>
      <c r="K231" s="44">
        <f>IF($B231="","",IF(INDEX('Work Orders'!$AG$11:$AG$1010,$B231)="","",INDEX('Work Orders'!$AG$11:$AG$1010,$B231)))</f>
        <v/>
      </c>
      <c r="L231" s="44">
        <f>IF($B231="","",IF(INDEX('Work Orders'!$AH$11:$AH$1010,$B231)="","",INDEX('Work Orders'!$AH$11:$AH$1010,$B231)))</f>
        <v/>
      </c>
      <c r="M231" s="46">
        <f>IF($B231="","",IF(INDEX('Work Orders'!$AM$11:$AM$1010,$B231)="","",INDEX('Work Orders'!$AM$11:$AM$1010,$B231)))</f>
        <v/>
      </c>
      <c r="N231" s="43">
        <f>IF($B231="","",IF(INDEX('Work Orders'!$AL$11:$AL$1010,$B231)="","",INDEX('Work Orders'!$AL$11:$AL$1010,$B231)))</f>
        <v/>
      </c>
      <c r="O231" s="43">
        <f>IF($B231="","",IF(INDEX('Work Orders'!$N$11:$N$1010,$B231)="","",INDEX('Work Orders'!$N$11:$N$1010,$B231)))</f>
        <v/>
      </c>
    </row>
    <row r="232">
      <c r="A232" s="68" t="n">
        <v>226</v>
      </c>
      <c r="B232">
        <f>IFERROR(MATCH(A232,'Work Orders'!$AO$11:$AO$1010,0),"")</f>
        <v/>
      </c>
      <c r="C232" s="43">
        <f>IF($B232="","",IF(INDEX('Work Orders'!$A$11:$A$1010,$B232)="","",INDEX('Work Orders'!$A$11:$A$1010,$B232)))</f>
        <v/>
      </c>
      <c r="D232" s="43">
        <f>IF($B232="","",IF(INDEX('Work Orders'!$B$11:$B$1010,$B232)="","",INDEX('Work Orders'!$B$11:$B$1010,$B232)))</f>
        <v/>
      </c>
      <c r="E232" s="43">
        <f>IF($B232="","",IF(INDEX('Work Orders'!$D$11:$D$1010,$B232)="","",INDEX('Work Orders'!$D$11:$D$1010,$B232)))</f>
        <v/>
      </c>
      <c r="F232" s="43">
        <f>IF($B232="","",IF(INDEX('Work Orders'!$Q$11:$Q$1010,$B232)="","",INDEX('Work Orders'!$Q$11:$Q$1010,$B232)))</f>
        <v/>
      </c>
      <c r="G232" s="43">
        <f>IF($B232="","",IF(INDEX('Work Orders'!$V$11:$V$1010,$B232)="","",INDEX('Work Orders'!$V$11:$V$1010,$B232)))</f>
        <v/>
      </c>
      <c r="H232" s="47">
        <f>IF($B232="","",IF(INDEX('Work Orders'!$U$11:$U$1010,$B232)="","",INDEX('Work Orders'!$U$11:$U$1010,$B232)))</f>
        <v/>
      </c>
      <c r="I232" s="47">
        <f>IF($B232="","",IF(INDEX('Work Orders'!$X$11:$X$1010,$B232)="","",INDEX('Work Orders'!$X$11:$X$1010,$B232)))</f>
        <v/>
      </c>
      <c r="J232" s="44">
        <f>IF($B232="","",IF(INDEX('Work Orders'!$Z$11:$Z$1010,$B232)="","",INDEX('Work Orders'!$Z$11:$Z$1010,$B232)))</f>
        <v/>
      </c>
      <c r="K232" s="44">
        <f>IF($B232="","",IF(INDEX('Work Orders'!$AG$11:$AG$1010,$B232)="","",INDEX('Work Orders'!$AG$11:$AG$1010,$B232)))</f>
        <v/>
      </c>
      <c r="L232" s="44">
        <f>IF($B232="","",IF(INDEX('Work Orders'!$AH$11:$AH$1010,$B232)="","",INDEX('Work Orders'!$AH$11:$AH$1010,$B232)))</f>
        <v/>
      </c>
      <c r="M232" s="46">
        <f>IF($B232="","",IF(INDEX('Work Orders'!$AM$11:$AM$1010,$B232)="","",INDEX('Work Orders'!$AM$11:$AM$1010,$B232)))</f>
        <v/>
      </c>
      <c r="N232" s="43">
        <f>IF($B232="","",IF(INDEX('Work Orders'!$AL$11:$AL$1010,$B232)="","",INDEX('Work Orders'!$AL$11:$AL$1010,$B232)))</f>
        <v/>
      </c>
      <c r="O232" s="43">
        <f>IF($B232="","",IF(INDEX('Work Orders'!$N$11:$N$1010,$B232)="","",INDEX('Work Orders'!$N$11:$N$1010,$B232)))</f>
        <v/>
      </c>
    </row>
    <row r="233">
      <c r="A233" s="68" t="n">
        <v>227</v>
      </c>
      <c r="B233">
        <f>IFERROR(MATCH(A233,'Work Orders'!$AO$11:$AO$1010,0),"")</f>
        <v/>
      </c>
      <c r="C233" s="43">
        <f>IF($B233="","",IF(INDEX('Work Orders'!$A$11:$A$1010,$B233)="","",INDEX('Work Orders'!$A$11:$A$1010,$B233)))</f>
        <v/>
      </c>
      <c r="D233" s="43">
        <f>IF($B233="","",IF(INDEX('Work Orders'!$B$11:$B$1010,$B233)="","",INDEX('Work Orders'!$B$11:$B$1010,$B233)))</f>
        <v/>
      </c>
      <c r="E233" s="43">
        <f>IF($B233="","",IF(INDEX('Work Orders'!$D$11:$D$1010,$B233)="","",INDEX('Work Orders'!$D$11:$D$1010,$B233)))</f>
        <v/>
      </c>
      <c r="F233" s="43">
        <f>IF($B233="","",IF(INDEX('Work Orders'!$Q$11:$Q$1010,$B233)="","",INDEX('Work Orders'!$Q$11:$Q$1010,$B233)))</f>
        <v/>
      </c>
      <c r="G233" s="43">
        <f>IF($B233="","",IF(INDEX('Work Orders'!$V$11:$V$1010,$B233)="","",INDEX('Work Orders'!$V$11:$V$1010,$B233)))</f>
        <v/>
      </c>
      <c r="H233" s="47">
        <f>IF($B233="","",IF(INDEX('Work Orders'!$U$11:$U$1010,$B233)="","",INDEX('Work Orders'!$U$11:$U$1010,$B233)))</f>
        <v/>
      </c>
      <c r="I233" s="47">
        <f>IF($B233="","",IF(INDEX('Work Orders'!$X$11:$X$1010,$B233)="","",INDEX('Work Orders'!$X$11:$X$1010,$B233)))</f>
        <v/>
      </c>
      <c r="J233" s="44">
        <f>IF($B233="","",IF(INDEX('Work Orders'!$Z$11:$Z$1010,$B233)="","",INDEX('Work Orders'!$Z$11:$Z$1010,$B233)))</f>
        <v/>
      </c>
      <c r="K233" s="44">
        <f>IF($B233="","",IF(INDEX('Work Orders'!$AG$11:$AG$1010,$B233)="","",INDEX('Work Orders'!$AG$11:$AG$1010,$B233)))</f>
        <v/>
      </c>
      <c r="L233" s="44">
        <f>IF($B233="","",IF(INDEX('Work Orders'!$AH$11:$AH$1010,$B233)="","",INDEX('Work Orders'!$AH$11:$AH$1010,$B233)))</f>
        <v/>
      </c>
      <c r="M233" s="46">
        <f>IF($B233="","",IF(INDEX('Work Orders'!$AM$11:$AM$1010,$B233)="","",INDEX('Work Orders'!$AM$11:$AM$1010,$B233)))</f>
        <v/>
      </c>
      <c r="N233" s="43">
        <f>IF($B233="","",IF(INDEX('Work Orders'!$AL$11:$AL$1010,$B233)="","",INDEX('Work Orders'!$AL$11:$AL$1010,$B233)))</f>
        <v/>
      </c>
      <c r="O233" s="43">
        <f>IF($B233="","",IF(INDEX('Work Orders'!$N$11:$N$1010,$B233)="","",INDEX('Work Orders'!$N$11:$N$1010,$B233)))</f>
        <v/>
      </c>
    </row>
    <row r="234">
      <c r="A234" s="68" t="n">
        <v>228</v>
      </c>
      <c r="B234">
        <f>IFERROR(MATCH(A234,'Work Orders'!$AO$11:$AO$1010,0),"")</f>
        <v/>
      </c>
      <c r="C234" s="43">
        <f>IF($B234="","",IF(INDEX('Work Orders'!$A$11:$A$1010,$B234)="","",INDEX('Work Orders'!$A$11:$A$1010,$B234)))</f>
        <v/>
      </c>
      <c r="D234" s="43">
        <f>IF($B234="","",IF(INDEX('Work Orders'!$B$11:$B$1010,$B234)="","",INDEX('Work Orders'!$B$11:$B$1010,$B234)))</f>
        <v/>
      </c>
      <c r="E234" s="43">
        <f>IF($B234="","",IF(INDEX('Work Orders'!$D$11:$D$1010,$B234)="","",INDEX('Work Orders'!$D$11:$D$1010,$B234)))</f>
        <v/>
      </c>
      <c r="F234" s="43">
        <f>IF($B234="","",IF(INDEX('Work Orders'!$Q$11:$Q$1010,$B234)="","",INDEX('Work Orders'!$Q$11:$Q$1010,$B234)))</f>
        <v/>
      </c>
      <c r="G234" s="43">
        <f>IF($B234="","",IF(INDEX('Work Orders'!$V$11:$V$1010,$B234)="","",INDEX('Work Orders'!$V$11:$V$1010,$B234)))</f>
        <v/>
      </c>
      <c r="H234" s="47">
        <f>IF($B234="","",IF(INDEX('Work Orders'!$U$11:$U$1010,$B234)="","",INDEX('Work Orders'!$U$11:$U$1010,$B234)))</f>
        <v/>
      </c>
      <c r="I234" s="47">
        <f>IF($B234="","",IF(INDEX('Work Orders'!$X$11:$X$1010,$B234)="","",INDEX('Work Orders'!$X$11:$X$1010,$B234)))</f>
        <v/>
      </c>
      <c r="J234" s="44">
        <f>IF($B234="","",IF(INDEX('Work Orders'!$Z$11:$Z$1010,$B234)="","",INDEX('Work Orders'!$Z$11:$Z$1010,$B234)))</f>
        <v/>
      </c>
      <c r="K234" s="44">
        <f>IF($B234="","",IF(INDEX('Work Orders'!$AG$11:$AG$1010,$B234)="","",INDEX('Work Orders'!$AG$11:$AG$1010,$B234)))</f>
        <v/>
      </c>
      <c r="L234" s="44">
        <f>IF($B234="","",IF(INDEX('Work Orders'!$AH$11:$AH$1010,$B234)="","",INDEX('Work Orders'!$AH$11:$AH$1010,$B234)))</f>
        <v/>
      </c>
      <c r="M234" s="46">
        <f>IF($B234="","",IF(INDEX('Work Orders'!$AM$11:$AM$1010,$B234)="","",INDEX('Work Orders'!$AM$11:$AM$1010,$B234)))</f>
        <v/>
      </c>
      <c r="N234" s="43">
        <f>IF($B234="","",IF(INDEX('Work Orders'!$AL$11:$AL$1010,$B234)="","",INDEX('Work Orders'!$AL$11:$AL$1010,$B234)))</f>
        <v/>
      </c>
      <c r="O234" s="43">
        <f>IF($B234="","",IF(INDEX('Work Orders'!$N$11:$N$1010,$B234)="","",INDEX('Work Orders'!$N$11:$N$1010,$B234)))</f>
        <v/>
      </c>
    </row>
    <row r="235">
      <c r="A235" s="68" t="n">
        <v>229</v>
      </c>
      <c r="B235">
        <f>IFERROR(MATCH(A235,'Work Orders'!$AO$11:$AO$1010,0),"")</f>
        <v/>
      </c>
      <c r="C235" s="43">
        <f>IF($B235="","",IF(INDEX('Work Orders'!$A$11:$A$1010,$B235)="","",INDEX('Work Orders'!$A$11:$A$1010,$B235)))</f>
        <v/>
      </c>
      <c r="D235" s="43">
        <f>IF($B235="","",IF(INDEX('Work Orders'!$B$11:$B$1010,$B235)="","",INDEX('Work Orders'!$B$11:$B$1010,$B235)))</f>
        <v/>
      </c>
      <c r="E235" s="43">
        <f>IF($B235="","",IF(INDEX('Work Orders'!$D$11:$D$1010,$B235)="","",INDEX('Work Orders'!$D$11:$D$1010,$B235)))</f>
        <v/>
      </c>
      <c r="F235" s="43">
        <f>IF($B235="","",IF(INDEX('Work Orders'!$Q$11:$Q$1010,$B235)="","",INDEX('Work Orders'!$Q$11:$Q$1010,$B235)))</f>
        <v/>
      </c>
      <c r="G235" s="43">
        <f>IF($B235="","",IF(INDEX('Work Orders'!$V$11:$V$1010,$B235)="","",INDEX('Work Orders'!$V$11:$V$1010,$B235)))</f>
        <v/>
      </c>
      <c r="H235" s="47">
        <f>IF($B235="","",IF(INDEX('Work Orders'!$U$11:$U$1010,$B235)="","",INDEX('Work Orders'!$U$11:$U$1010,$B235)))</f>
        <v/>
      </c>
      <c r="I235" s="47">
        <f>IF($B235="","",IF(INDEX('Work Orders'!$X$11:$X$1010,$B235)="","",INDEX('Work Orders'!$X$11:$X$1010,$B235)))</f>
        <v/>
      </c>
      <c r="J235" s="44">
        <f>IF($B235="","",IF(INDEX('Work Orders'!$Z$11:$Z$1010,$B235)="","",INDEX('Work Orders'!$Z$11:$Z$1010,$B235)))</f>
        <v/>
      </c>
      <c r="K235" s="44">
        <f>IF($B235="","",IF(INDEX('Work Orders'!$AG$11:$AG$1010,$B235)="","",INDEX('Work Orders'!$AG$11:$AG$1010,$B235)))</f>
        <v/>
      </c>
      <c r="L235" s="44">
        <f>IF($B235="","",IF(INDEX('Work Orders'!$AH$11:$AH$1010,$B235)="","",INDEX('Work Orders'!$AH$11:$AH$1010,$B235)))</f>
        <v/>
      </c>
      <c r="M235" s="46">
        <f>IF($B235="","",IF(INDEX('Work Orders'!$AM$11:$AM$1010,$B235)="","",INDEX('Work Orders'!$AM$11:$AM$1010,$B235)))</f>
        <v/>
      </c>
      <c r="N235" s="43">
        <f>IF($B235="","",IF(INDEX('Work Orders'!$AL$11:$AL$1010,$B235)="","",INDEX('Work Orders'!$AL$11:$AL$1010,$B235)))</f>
        <v/>
      </c>
      <c r="O235" s="43">
        <f>IF($B235="","",IF(INDEX('Work Orders'!$N$11:$N$1010,$B235)="","",INDEX('Work Orders'!$N$11:$N$1010,$B235)))</f>
        <v/>
      </c>
    </row>
    <row r="236">
      <c r="A236" s="68" t="n">
        <v>230</v>
      </c>
      <c r="B236">
        <f>IFERROR(MATCH(A236,'Work Orders'!$AO$11:$AO$1010,0),"")</f>
        <v/>
      </c>
      <c r="C236" s="43">
        <f>IF($B236="","",IF(INDEX('Work Orders'!$A$11:$A$1010,$B236)="","",INDEX('Work Orders'!$A$11:$A$1010,$B236)))</f>
        <v/>
      </c>
      <c r="D236" s="43">
        <f>IF($B236="","",IF(INDEX('Work Orders'!$B$11:$B$1010,$B236)="","",INDEX('Work Orders'!$B$11:$B$1010,$B236)))</f>
        <v/>
      </c>
      <c r="E236" s="43">
        <f>IF($B236="","",IF(INDEX('Work Orders'!$D$11:$D$1010,$B236)="","",INDEX('Work Orders'!$D$11:$D$1010,$B236)))</f>
        <v/>
      </c>
      <c r="F236" s="43">
        <f>IF($B236="","",IF(INDEX('Work Orders'!$Q$11:$Q$1010,$B236)="","",INDEX('Work Orders'!$Q$11:$Q$1010,$B236)))</f>
        <v/>
      </c>
      <c r="G236" s="43">
        <f>IF($B236="","",IF(INDEX('Work Orders'!$V$11:$V$1010,$B236)="","",INDEX('Work Orders'!$V$11:$V$1010,$B236)))</f>
        <v/>
      </c>
      <c r="H236" s="47">
        <f>IF($B236="","",IF(INDEX('Work Orders'!$U$11:$U$1010,$B236)="","",INDEX('Work Orders'!$U$11:$U$1010,$B236)))</f>
        <v/>
      </c>
      <c r="I236" s="47">
        <f>IF($B236="","",IF(INDEX('Work Orders'!$X$11:$X$1010,$B236)="","",INDEX('Work Orders'!$X$11:$X$1010,$B236)))</f>
        <v/>
      </c>
      <c r="J236" s="44">
        <f>IF($B236="","",IF(INDEX('Work Orders'!$Z$11:$Z$1010,$B236)="","",INDEX('Work Orders'!$Z$11:$Z$1010,$B236)))</f>
        <v/>
      </c>
      <c r="K236" s="44">
        <f>IF($B236="","",IF(INDEX('Work Orders'!$AG$11:$AG$1010,$B236)="","",INDEX('Work Orders'!$AG$11:$AG$1010,$B236)))</f>
        <v/>
      </c>
      <c r="L236" s="44">
        <f>IF($B236="","",IF(INDEX('Work Orders'!$AH$11:$AH$1010,$B236)="","",INDEX('Work Orders'!$AH$11:$AH$1010,$B236)))</f>
        <v/>
      </c>
      <c r="M236" s="46">
        <f>IF($B236="","",IF(INDEX('Work Orders'!$AM$11:$AM$1010,$B236)="","",INDEX('Work Orders'!$AM$11:$AM$1010,$B236)))</f>
        <v/>
      </c>
      <c r="N236" s="43">
        <f>IF($B236="","",IF(INDEX('Work Orders'!$AL$11:$AL$1010,$B236)="","",INDEX('Work Orders'!$AL$11:$AL$1010,$B236)))</f>
        <v/>
      </c>
      <c r="O236" s="43">
        <f>IF($B236="","",IF(INDEX('Work Orders'!$N$11:$N$1010,$B236)="","",INDEX('Work Orders'!$N$11:$N$1010,$B236)))</f>
        <v/>
      </c>
    </row>
    <row r="237">
      <c r="A237" s="68" t="n">
        <v>231</v>
      </c>
      <c r="B237">
        <f>IFERROR(MATCH(A237,'Work Orders'!$AO$11:$AO$1010,0),"")</f>
        <v/>
      </c>
      <c r="C237" s="43">
        <f>IF($B237="","",IF(INDEX('Work Orders'!$A$11:$A$1010,$B237)="","",INDEX('Work Orders'!$A$11:$A$1010,$B237)))</f>
        <v/>
      </c>
      <c r="D237" s="43">
        <f>IF($B237="","",IF(INDEX('Work Orders'!$B$11:$B$1010,$B237)="","",INDEX('Work Orders'!$B$11:$B$1010,$B237)))</f>
        <v/>
      </c>
      <c r="E237" s="43">
        <f>IF($B237="","",IF(INDEX('Work Orders'!$D$11:$D$1010,$B237)="","",INDEX('Work Orders'!$D$11:$D$1010,$B237)))</f>
        <v/>
      </c>
      <c r="F237" s="43">
        <f>IF($B237="","",IF(INDEX('Work Orders'!$Q$11:$Q$1010,$B237)="","",INDEX('Work Orders'!$Q$11:$Q$1010,$B237)))</f>
        <v/>
      </c>
      <c r="G237" s="43">
        <f>IF($B237="","",IF(INDEX('Work Orders'!$V$11:$V$1010,$B237)="","",INDEX('Work Orders'!$V$11:$V$1010,$B237)))</f>
        <v/>
      </c>
      <c r="H237" s="47">
        <f>IF($B237="","",IF(INDEX('Work Orders'!$U$11:$U$1010,$B237)="","",INDEX('Work Orders'!$U$11:$U$1010,$B237)))</f>
        <v/>
      </c>
      <c r="I237" s="47">
        <f>IF($B237="","",IF(INDEX('Work Orders'!$X$11:$X$1010,$B237)="","",INDEX('Work Orders'!$X$11:$X$1010,$B237)))</f>
        <v/>
      </c>
      <c r="J237" s="44">
        <f>IF($B237="","",IF(INDEX('Work Orders'!$Z$11:$Z$1010,$B237)="","",INDEX('Work Orders'!$Z$11:$Z$1010,$B237)))</f>
        <v/>
      </c>
      <c r="K237" s="44">
        <f>IF($B237="","",IF(INDEX('Work Orders'!$AG$11:$AG$1010,$B237)="","",INDEX('Work Orders'!$AG$11:$AG$1010,$B237)))</f>
        <v/>
      </c>
      <c r="L237" s="44">
        <f>IF($B237="","",IF(INDEX('Work Orders'!$AH$11:$AH$1010,$B237)="","",INDEX('Work Orders'!$AH$11:$AH$1010,$B237)))</f>
        <v/>
      </c>
      <c r="M237" s="46">
        <f>IF($B237="","",IF(INDEX('Work Orders'!$AM$11:$AM$1010,$B237)="","",INDEX('Work Orders'!$AM$11:$AM$1010,$B237)))</f>
        <v/>
      </c>
      <c r="N237" s="43">
        <f>IF($B237="","",IF(INDEX('Work Orders'!$AL$11:$AL$1010,$B237)="","",INDEX('Work Orders'!$AL$11:$AL$1010,$B237)))</f>
        <v/>
      </c>
      <c r="O237" s="43">
        <f>IF($B237="","",IF(INDEX('Work Orders'!$N$11:$N$1010,$B237)="","",INDEX('Work Orders'!$N$11:$N$1010,$B237)))</f>
        <v/>
      </c>
    </row>
    <row r="238">
      <c r="A238" s="68" t="n">
        <v>232</v>
      </c>
      <c r="B238">
        <f>IFERROR(MATCH(A238,'Work Orders'!$AO$11:$AO$1010,0),"")</f>
        <v/>
      </c>
      <c r="C238" s="43">
        <f>IF($B238="","",IF(INDEX('Work Orders'!$A$11:$A$1010,$B238)="","",INDEX('Work Orders'!$A$11:$A$1010,$B238)))</f>
        <v/>
      </c>
      <c r="D238" s="43">
        <f>IF($B238="","",IF(INDEX('Work Orders'!$B$11:$B$1010,$B238)="","",INDEX('Work Orders'!$B$11:$B$1010,$B238)))</f>
        <v/>
      </c>
      <c r="E238" s="43">
        <f>IF($B238="","",IF(INDEX('Work Orders'!$D$11:$D$1010,$B238)="","",INDEX('Work Orders'!$D$11:$D$1010,$B238)))</f>
        <v/>
      </c>
      <c r="F238" s="43">
        <f>IF($B238="","",IF(INDEX('Work Orders'!$Q$11:$Q$1010,$B238)="","",INDEX('Work Orders'!$Q$11:$Q$1010,$B238)))</f>
        <v/>
      </c>
      <c r="G238" s="43">
        <f>IF($B238="","",IF(INDEX('Work Orders'!$V$11:$V$1010,$B238)="","",INDEX('Work Orders'!$V$11:$V$1010,$B238)))</f>
        <v/>
      </c>
      <c r="H238" s="47">
        <f>IF($B238="","",IF(INDEX('Work Orders'!$U$11:$U$1010,$B238)="","",INDEX('Work Orders'!$U$11:$U$1010,$B238)))</f>
        <v/>
      </c>
      <c r="I238" s="47">
        <f>IF($B238="","",IF(INDEX('Work Orders'!$X$11:$X$1010,$B238)="","",INDEX('Work Orders'!$X$11:$X$1010,$B238)))</f>
        <v/>
      </c>
      <c r="J238" s="44">
        <f>IF($B238="","",IF(INDEX('Work Orders'!$Z$11:$Z$1010,$B238)="","",INDEX('Work Orders'!$Z$11:$Z$1010,$B238)))</f>
        <v/>
      </c>
      <c r="K238" s="44">
        <f>IF($B238="","",IF(INDEX('Work Orders'!$AG$11:$AG$1010,$B238)="","",INDEX('Work Orders'!$AG$11:$AG$1010,$B238)))</f>
        <v/>
      </c>
      <c r="L238" s="44">
        <f>IF($B238="","",IF(INDEX('Work Orders'!$AH$11:$AH$1010,$B238)="","",INDEX('Work Orders'!$AH$11:$AH$1010,$B238)))</f>
        <v/>
      </c>
      <c r="M238" s="46">
        <f>IF($B238="","",IF(INDEX('Work Orders'!$AM$11:$AM$1010,$B238)="","",INDEX('Work Orders'!$AM$11:$AM$1010,$B238)))</f>
        <v/>
      </c>
      <c r="N238" s="43">
        <f>IF($B238="","",IF(INDEX('Work Orders'!$AL$11:$AL$1010,$B238)="","",INDEX('Work Orders'!$AL$11:$AL$1010,$B238)))</f>
        <v/>
      </c>
      <c r="O238" s="43">
        <f>IF($B238="","",IF(INDEX('Work Orders'!$N$11:$N$1010,$B238)="","",INDEX('Work Orders'!$N$11:$N$1010,$B238)))</f>
        <v/>
      </c>
    </row>
    <row r="239">
      <c r="A239" s="68" t="n">
        <v>233</v>
      </c>
      <c r="B239">
        <f>IFERROR(MATCH(A239,'Work Orders'!$AO$11:$AO$1010,0),"")</f>
        <v/>
      </c>
      <c r="C239" s="43">
        <f>IF($B239="","",IF(INDEX('Work Orders'!$A$11:$A$1010,$B239)="","",INDEX('Work Orders'!$A$11:$A$1010,$B239)))</f>
        <v/>
      </c>
      <c r="D239" s="43">
        <f>IF($B239="","",IF(INDEX('Work Orders'!$B$11:$B$1010,$B239)="","",INDEX('Work Orders'!$B$11:$B$1010,$B239)))</f>
        <v/>
      </c>
      <c r="E239" s="43">
        <f>IF($B239="","",IF(INDEX('Work Orders'!$D$11:$D$1010,$B239)="","",INDEX('Work Orders'!$D$11:$D$1010,$B239)))</f>
        <v/>
      </c>
      <c r="F239" s="43">
        <f>IF($B239="","",IF(INDEX('Work Orders'!$Q$11:$Q$1010,$B239)="","",INDEX('Work Orders'!$Q$11:$Q$1010,$B239)))</f>
        <v/>
      </c>
      <c r="G239" s="43">
        <f>IF($B239="","",IF(INDEX('Work Orders'!$V$11:$V$1010,$B239)="","",INDEX('Work Orders'!$V$11:$V$1010,$B239)))</f>
        <v/>
      </c>
      <c r="H239" s="47">
        <f>IF($B239="","",IF(INDEX('Work Orders'!$U$11:$U$1010,$B239)="","",INDEX('Work Orders'!$U$11:$U$1010,$B239)))</f>
        <v/>
      </c>
      <c r="I239" s="47">
        <f>IF($B239="","",IF(INDEX('Work Orders'!$X$11:$X$1010,$B239)="","",INDEX('Work Orders'!$X$11:$X$1010,$B239)))</f>
        <v/>
      </c>
      <c r="J239" s="44">
        <f>IF($B239="","",IF(INDEX('Work Orders'!$Z$11:$Z$1010,$B239)="","",INDEX('Work Orders'!$Z$11:$Z$1010,$B239)))</f>
        <v/>
      </c>
      <c r="K239" s="44">
        <f>IF($B239="","",IF(INDEX('Work Orders'!$AG$11:$AG$1010,$B239)="","",INDEX('Work Orders'!$AG$11:$AG$1010,$B239)))</f>
        <v/>
      </c>
      <c r="L239" s="44">
        <f>IF($B239="","",IF(INDEX('Work Orders'!$AH$11:$AH$1010,$B239)="","",INDEX('Work Orders'!$AH$11:$AH$1010,$B239)))</f>
        <v/>
      </c>
      <c r="M239" s="46">
        <f>IF($B239="","",IF(INDEX('Work Orders'!$AM$11:$AM$1010,$B239)="","",INDEX('Work Orders'!$AM$11:$AM$1010,$B239)))</f>
        <v/>
      </c>
      <c r="N239" s="43">
        <f>IF($B239="","",IF(INDEX('Work Orders'!$AL$11:$AL$1010,$B239)="","",INDEX('Work Orders'!$AL$11:$AL$1010,$B239)))</f>
        <v/>
      </c>
      <c r="O239" s="43">
        <f>IF($B239="","",IF(INDEX('Work Orders'!$N$11:$N$1010,$B239)="","",INDEX('Work Orders'!$N$11:$N$1010,$B239)))</f>
        <v/>
      </c>
    </row>
    <row r="240">
      <c r="A240" s="68" t="n">
        <v>234</v>
      </c>
      <c r="B240">
        <f>IFERROR(MATCH(A240,'Work Orders'!$AO$11:$AO$1010,0),"")</f>
        <v/>
      </c>
      <c r="C240" s="43">
        <f>IF($B240="","",IF(INDEX('Work Orders'!$A$11:$A$1010,$B240)="","",INDEX('Work Orders'!$A$11:$A$1010,$B240)))</f>
        <v/>
      </c>
      <c r="D240" s="43">
        <f>IF($B240="","",IF(INDEX('Work Orders'!$B$11:$B$1010,$B240)="","",INDEX('Work Orders'!$B$11:$B$1010,$B240)))</f>
        <v/>
      </c>
      <c r="E240" s="43">
        <f>IF($B240="","",IF(INDEX('Work Orders'!$D$11:$D$1010,$B240)="","",INDEX('Work Orders'!$D$11:$D$1010,$B240)))</f>
        <v/>
      </c>
      <c r="F240" s="43">
        <f>IF($B240="","",IF(INDEX('Work Orders'!$Q$11:$Q$1010,$B240)="","",INDEX('Work Orders'!$Q$11:$Q$1010,$B240)))</f>
        <v/>
      </c>
      <c r="G240" s="43">
        <f>IF($B240="","",IF(INDEX('Work Orders'!$V$11:$V$1010,$B240)="","",INDEX('Work Orders'!$V$11:$V$1010,$B240)))</f>
        <v/>
      </c>
      <c r="H240" s="47">
        <f>IF($B240="","",IF(INDEX('Work Orders'!$U$11:$U$1010,$B240)="","",INDEX('Work Orders'!$U$11:$U$1010,$B240)))</f>
        <v/>
      </c>
      <c r="I240" s="47">
        <f>IF($B240="","",IF(INDEX('Work Orders'!$X$11:$X$1010,$B240)="","",INDEX('Work Orders'!$X$11:$X$1010,$B240)))</f>
        <v/>
      </c>
      <c r="J240" s="44">
        <f>IF($B240="","",IF(INDEX('Work Orders'!$Z$11:$Z$1010,$B240)="","",INDEX('Work Orders'!$Z$11:$Z$1010,$B240)))</f>
        <v/>
      </c>
      <c r="K240" s="44">
        <f>IF($B240="","",IF(INDEX('Work Orders'!$AG$11:$AG$1010,$B240)="","",INDEX('Work Orders'!$AG$11:$AG$1010,$B240)))</f>
        <v/>
      </c>
      <c r="L240" s="44">
        <f>IF($B240="","",IF(INDEX('Work Orders'!$AH$11:$AH$1010,$B240)="","",INDEX('Work Orders'!$AH$11:$AH$1010,$B240)))</f>
        <v/>
      </c>
      <c r="M240" s="46">
        <f>IF($B240="","",IF(INDEX('Work Orders'!$AM$11:$AM$1010,$B240)="","",INDEX('Work Orders'!$AM$11:$AM$1010,$B240)))</f>
        <v/>
      </c>
      <c r="N240" s="43">
        <f>IF($B240="","",IF(INDEX('Work Orders'!$AL$11:$AL$1010,$B240)="","",INDEX('Work Orders'!$AL$11:$AL$1010,$B240)))</f>
        <v/>
      </c>
      <c r="O240" s="43">
        <f>IF($B240="","",IF(INDEX('Work Orders'!$N$11:$N$1010,$B240)="","",INDEX('Work Orders'!$N$11:$N$1010,$B240)))</f>
        <v/>
      </c>
    </row>
    <row r="241">
      <c r="A241" s="68" t="n">
        <v>235</v>
      </c>
      <c r="B241">
        <f>IFERROR(MATCH(A241,'Work Orders'!$AO$11:$AO$1010,0),"")</f>
        <v/>
      </c>
      <c r="C241" s="43">
        <f>IF($B241="","",IF(INDEX('Work Orders'!$A$11:$A$1010,$B241)="","",INDEX('Work Orders'!$A$11:$A$1010,$B241)))</f>
        <v/>
      </c>
      <c r="D241" s="43">
        <f>IF($B241="","",IF(INDEX('Work Orders'!$B$11:$B$1010,$B241)="","",INDEX('Work Orders'!$B$11:$B$1010,$B241)))</f>
        <v/>
      </c>
      <c r="E241" s="43">
        <f>IF($B241="","",IF(INDEX('Work Orders'!$D$11:$D$1010,$B241)="","",INDEX('Work Orders'!$D$11:$D$1010,$B241)))</f>
        <v/>
      </c>
      <c r="F241" s="43">
        <f>IF($B241="","",IF(INDEX('Work Orders'!$Q$11:$Q$1010,$B241)="","",INDEX('Work Orders'!$Q$11:$Q$1010,$B241)))</f>
        <v/>
      </c>
      <c r="G241" s="43">
        <f>IF($B241="","",IF(INDEX('Work Orders'!$V$11:$V$1010,$B241)="","",INDEX('Work Orders'!$V$11:$V$1010,$B241)))</f>
        <v/>
      </c>
      <c r="H241" s="47">
        <f>IF($B241="","",IF(INDEX('Work Orders'!$U$11:$U$1010,$B241)="","",INDEX('Work Orders'!$U$11:$U$1010,$B241)))</f>
        <v/>
      </c>
      <c r="I241" s="47">
        <f>IF($B241="","",IF(INDEX('Work Orders'!$X$11:$X$1010,$B241)="","",INDEX('Work Orders'!$X$11:$X$1010,$B241)))</f>
        <v/>
      </c>
      <c r="J241" s="44">
        <f>IF($B241="","",IF(INDEX('Work Orders'!$Z$11:$Z$1010,$B241)="","",INDEX('Work Orders'!$Z$11:$Z$1010,$B241)))</f>
        <v/>
      </c>
      <c r="K241" s="44">
        <f>IF($B241="","",IF(INDEX('Work Orders'!$AG$11:$AG$1010,$B241)="","",INDEX('Work Orders'!$AG$11:$AG$1010,$B241)))</f>
        <v/>
      </c>
      <c r="L241" s="44">
        <f>IF($B241="","",IF(INDEX('Work Orders'!$AH$11:$AH$1010,$B241)="","",INDEX('Work Orders'!$AH$11:$AH$1010,$B241)))</f>
        <v/>
      </c>
      <c r="M241" s="46">
        <f>IF($B241="","",IF(INDEX('Work Orders'!$AM$11:$AM$1010,$B241)="","",INDEX('Work Orders'!$AM$11:$AM$1010,$B241)))</f>
        <v/>
      </c>
      <c r="N241" s="43">
        <f>IF($B241="","",IF(INDEX('Work Orders'!$AL$11:$AL$1010,$B241)="","",INDEX('Work Orders'!$AL$11:$AL$1010,$B241)))</f>
        <v/>
      </c>
      <c r="O241" s="43">
        <f>IF($B241="","",IF(INDEX('Work Orders'!$N$11:$N$1010,$B241)="","",INDEX('Work Orders'!$N$11:$N$1010,$B241)))</f>
        <v/>
      </c>
    </row>
    <row r="242">
      <c r="A242" s="68" t="n">
        <v>236</v>
      </c>
      <c r="B242">
        <f>IFERROR(MATCH(A242,'Work Orders'!$AO$11:$AO$1010,0),"")</f>
        <v/>
      </c>
      <c r="C242" s="43">
        <f>IF($B242="","",IF(INDEX('Work Orders'!$A$11:$A$1010,$B242)="","",INDEX('Work Orders'!$A$11:$A$1010,$B242)))</f>
        <v/>
      </c>
      <c r="D242" s="43">
        <f>IF($B242="","",IF(INDEX('Work Orders'!$B$11:$B$1010,$B242)="","",INDEX('Work Orders'!$B$11:$B$1010,$B242)))</f>
        <v/>
      </c>
      <c r="E242" s="43">
        <f>IF($B242="","",IF(INDEX('Work Orders'!$D$11:$D$1010,$B242)="","",INDEX('Work Orders'!$D$11:$D$1010,$B242)))</f>
        <v/>
      </c>
      <c r="F242" s="43">
        <f>IF($B242="","",IF(INDEX('Work Orders'!$Q$11:$Q$1010,$B242)="","",INDEX('Work Orders'!$Q$11:$Q$1010,$B242)))</f>
        <v/>
      </c>
      <c r="G242" s="43">
        <f>IF($B242="","",IF(INDEX('Work Orders'!$V$11:$V$1010,$B242)="","",INDEX('Work Orders'!$V$11:$V$1010,$B242)))</f>
        <v/>
      </c>
      <c r="H242" s="47">
        <f>IF($B242="","",IF(INDEX('Work Orders'!$U$11:$U$1010,$B242)="","",INDEX('Work Orders'!$U$11:$U$1010,$B242)))</f>
        <v/>
      </c>
      <c r="I242" s="47">
        <f>IF($B242="","",IF(INDEX('Work Orders'!$X$11:$X$1010,$B242)="","",INDEX('Work Orders'!$X$11:$X$1010,$B242)))</f>
        <v/>
      </c>
      <c r="J242" s="44">
        <f>IF($B242="","",IF(INDEX('Work Orders'!$Z$11:$Z$1010,$B242)="","",INDEX('Work Orders'!$Z$11:$Z$1010,$B242)))</f>
        <v/>
      </c>
      <c r="K242" s="44">
        <f>IF($B242="","",IF(INDEX('Work Orders'!$AG$11:$AG$1010,$B242)="","",INDEX('Work Orders'!$AG$11:$AG$1010,$B242)))</f>
        <v/>
      </c>
      <c r="L242" s="44">
        <f>IF($B242="","",IF(INDEX('Work Orders'!$AH$11:$AH$1010,$B242)="","",INDEX('Work Orders'!$AH$11:$AH$1010,$B242)))</f>
        <v/>
      </c>
      <c r="M242" s="46">
        <f>IF($B242="","",IF(INDEX('Work Orders'!$AM$11:$AM$1010,$B242)="","",INDEX('Work Orders'!$AM$11:$AM$1010,$B242)))</f>
        <v/>
      </c>
      <c r="N242" s="43">
        <f>IF($B242="","",IF(INDEX('Work Orders'!$AL$11:$AL$1010,$B242)="","",INDEX('Work Orders'!$AL$11:$AL$1010,$B242)))</f>
        <v/>
      </c>
      <c r="O242" s="43">
        <f>IF($B242="","",IF(INDEX('Work Orders'!$N$11:$N$1010,$B242)="","",INDEX('Work Orders'!$N$11:$N$1010,$B242)))</f>
        <v/>
      </c>
    </row>
    <row r="243">
      <c r="A243" s="68" t="n">
        <v>237</v>
      </c>
      <c r="B243">
        <f>IFERROR(MATCH(A243,'Work Orders'!$AO$11:$AO$1010,0),"")</f>
        <v/>
      </c>
      <c r="C243" s="43">
        <f>IF($B243="","",IF(INDEX('Work Orders'!$A$11:$A$1010,$B243)="","",INDEX('Work Orders'!$A$11:$A$1010,$B243)))</f>
        <v/>
      </c>
      <c r="D243" s="43">
        <f>IF($B243="","",IF(INDEX('Work Orders'!$B$11:$B$1010,$B243)="","",INDEX('Work Orders'!$B$11:$B$1010,$B243)))</f>
        <v/>
      </c>
      <c r="E243" s="43">
        <f>IF($B243="","",IF(INDEX('Work Orders'!$D$11:$D$1010,$B243)="","",INDEX('Work Orders'!$D$11:$D$1010,$B243)))</f>
        <v/>
      </c>
      <c r="F243" s="43">
        <f>IF($B243="","",IF(INDEX('Work Orders'!$Q$11:$Q$1010,$B243)="","",INDEX('Work Orders'!$Q$11:$Q$1010,$B243)))</f>
        <v/>
      </c>
      <c r="G243" s="43">
        <f>IF($B243="","",IF(INDEX('Work Orders'!$V$11:$V$1010,$B243)="","",INDEX('Work Orders'!$V$11:$V$1010,$B243)))</f>
        <v/>
      </c>
      <c r="H243" s="47">
        <f>IF($B243="","",IF(INDEX('Work Orders'!$U$11:$U$1010,$B243)="","",INDEX('Work Orders'!$U$11:$U$1010,$B243)))</f>
        <v/>
      </c>
      <c r="I243" s="47">
        <f>IF($B243="","",IF(INDEX('Work Orders'!$X$11:$X$1010,$B243)="","",INDEX('Work Orders'!$X$11:$X$1010,$B243)))</f>
        <v/>
      </c>
      <c r="J243" s="44">
        <f>IF($B243="","",IF(INDEX('Work Orders'!$Z$11:$Z$1010,$B243)="","",INDEX('Work Orders'!$Z$11:$Z$1010,$B243)))</f>
        <v/>
      </c>
      <c r="K243" s="44">
        <f>IF($B243="","",IF(INDEX('Work Orders'!$AG$11:$AG$1010,$B243)="","",INDEX('Work Orders'!$AG$11:$AG$1010,$B243)))</f>
        <v/>
      </c>
      <c r="L243" s="44">
        <f>IF($B243="","",IF(INDEX('Work Orders'!$AH$11:$AH$1010,$B243)="","",INDEX('Work Orders'!$AH$11:$AH$1010,$B243)))</f>
        <v/>
      </c>
      <c r="M243" s="46">
        <f>IF($B243="","",IF(INDEX('Work Orders'!$AM$11:$AM$1010,$B243)="","",INDEX('Work Orders'!$AM$11:$AM$1010,$B243)))</f>
        <v/>
      </c>
      <c r="N243" s="43">
        <f>IF($B243="","",IF(INDEX('Work Orders'!$AL$11:$AL$1010,$B243)="","",INDEX('Work Orders'!$AL$11:$AL$1010,$B243)))</f>
        <v/>
      </c>
      <c r="O243" s="43">
        <f>IF($B243="","",IF(INDEX('Work Orders'!$N$11:$N$1010,$B243)="","",INDEX('Work Orders'!$N$11:$N$1010,$B243)))</f>
        <v/>
      </c>
    </row>
    <row r="244">
      <c r="A244" s="68" t="n">
        <v>238</v>
      </c>
      <c r="B244">
        <f>IFERROR(MATCH(A244,'Work Orders'!$AO$11:$AO$1010,0),"")</f>
        <v/>
      </c>
      <c r="C244" s="43">
        <f>IF($B244="","",IF(INDEX('Work Orders'!$A$11:$A$1010,$B244)="","",INDEX('Work Orders'!$A$11:$A$1010,$B244)))</f>
        <v/>
      </c>
      <c r="D244" s="43">
        <f>IF($B244="","",IF(INDEX('Work Orders'!$B$11:$B$1010,$B244)="","",INDEX('Work Orders'!$B$11:$B$1010,$B244)))</f>
        <v/>
      </c>
      <c r="E244" s="43">
        <f>IF($B244="","",IF(INDEX('Work Orders'!$D$11:$D$1010,$B244)="","",INDEX('Work Orders'!$D$11:$D$1010,$B244)))</f>
        <v/>
      </c>
      <c r="F244" s="43">
        <f>IF($B244="","",IF(INDEX('Work Orders'!$Q$11:$Q$1010,$B244)="","",INDEX('Work Orders'!$Q$11:$Q$1010,$B244)))</f>
        <v/>
      </c>
      <c r="G244" s="43">
        <f>IF($B244="","",IF(INDEX('Work Orders'!$V$11:$V$1010,$B244)="","",INDEX('Work Orders'!$V$11:$V$1010,$B244)))</f>
        <v/>
      </c>
      <c r="H244" s="47">
        <f>IF($B244="","",IF(INDEX('Work Orders'!$U$11:$U$1010,$B244)="","",INDEX('Work Orders'!$U$11:$U$1010,$B244)))</f>
        <v/>
      </c>
      <c r="I244" s="47">
        <f>IF($B244="","",IF(INDEX('Work Orders'!$X$11:$X$1010,$B244)="","",INDEX('Work Orders'!$X$11:$X$1010,$B244)))</f>
        <v/>
      </c>
      <c r="J244" s="44">
        <f>IF($B244="","",IF(INDEX('Work Orders'!$Z$11:$Z$1010,$B244)="","",INDEX('Work Orders'!$Z$11:$Z$1010,$B244)))</f>
        <v/>
      </c>
      <c r="K244" s="44">
        <f>IF($B244="","",IF(INDEX('Work Orders'!$AG$11:$AG$1010,$B244)="","",INDEX('Work Orders'!$AG$11:$AG$1010,$B244)))</f>
        <v/>
      </c>
      <c r="L244" s="44">
        <f>IF($B244="","",IF(INDEX('Work Orders'!$AH$11:$AH$1010,$B244)="","",INDEX('Work Orders'!$AH$11:$AH$1010,$B244)))</f>
        <v/>
      </c>
      <c r="M244" s="46">
        <f>IF($B244="","",IF(INDEX('Work Orders'!$AM$11:$AM$1010,$B244)="","",INDEX('Work Orders'!$AM$11:$AM$1010,$B244)))</f>
        <v/>
      </c>
      <c r="N244" s="43">
        <f>IF($B244="","",IF(INDEX('Work Orders'!$AL$11:$AL$1010,$B244)="","",INDEX('Work Orders'!$AL$11:$AL$1010,$B244)))</f>
        <v/>
      </c>
      <c r="O244" s="43">
        <f>IF($B244="","",IF(INDEX('Work Orders'!$N$11:$N$1010,$B244)="","",INDEX('Work Orders'!$N$11:$N$1010,$B244)))</f>
        <v/>
      </c>
    </row>
    <row r="245">
      <c r="A245" s="68" t="n">
        <v>239</v>
      </c>
      <c r="B245">
        <f>IFERROR(MATCH(A245,'Work Orders'!$AO$11:$AO$1010,0),"")</f>
        <v/>
      </c>
      <c r="C245" s="43">
        <f>IF($B245="","",IF(INDEX('Work Orders'!$A$11:$A$1010,$B245)="","",INDEX('Work Orders'!$A$11:$A$1010,$B245)))</f>
        <v/>
      </c>
      <c r="D245" s="43">
        <f>IF($B245="","",IF(INDEX('Work Orders'!$B$11:$B$1010,$B245)="","",INDEX('Work Orders'!$B$11:$B$1010,$B245)))</f>
        <v/>
      </c>
      <c r="E245" s="43">
        <f>IF($B245="","",IF(INDEX('Work Orders'!$D$11:$D$1010,$B245)="","",INDEX('Work Orders'!$D$11:$D$1010,$B245)))</f>
        <v/>
      </c>
      <c r="F245" s="43">
        <f>IF($B245="","",IF(INDEX('Work Orders'!$Q$11:$Q$1010,$B245)="","",INDEX('Work Orders'!$Q$11:$Q$1010,$B245)))</f>
        <v/>
      </c>
      <c r="G245" s="43">
        <f>IF($B245="","",IF(INDEX('Work Orders'!$V$11:$V$1010,$B245)="","",INDEX('Work Orders'!$V$11:$V$1010,$B245)))</f>
        <v/>
      </c>
      <c r="H245" s="47">
        <f>IF($B245="","",IF(INDEX('Work Orders'!$U$11:$U$1010,$B245)="","",INDEX('Work Orders'!$U$11:$U$1010,$B245)))</f>
        <v/>
      </c>
      <c r="I245" s="47">
        <f>IF($B245="","",IF(INDEX('Work Orders'!$X$11:$X$1010,$B245)="","",INDEX('Work Orders'!$X$11:$X$1010,$B245)))</f>
        <v/>
      </c>
      <c r="J245" s="44">
        <f>IF($B245="","",IF(INDEX('Work Orders'!$Z$11:$Z$1010,$B245)="","",INDEX('Work Orders'!$Z$11:$Z$1010,$B245)))</f>
        <v/>
      </c>
      <c r="K245" s="44">
        <f>IF($B245="","",IF(INDEX('Work Orders'!$AG$11:$AG$1010,$B245)="","",INDEX('Work Orders'!$AG$11:$AG$1010,$B245)))</f>
        <v/>
      </c>
      <c r="L245" s="44">
        <f>IF($B245="","",IF(INDEX('Work Orders'!$AH$11:$AH$1010,$B245)="","",INDEX('Work Orders'!$AH$11:$AH$1010,$B245)))</f>
        <v/>
      </c>
      <c r="M245" s="46">
        <f>IF($B245="","",IF(INDEX('Work Orders'!$AM$11:$AM$1010,$B245)="","",INDEX('Work Orders'!$AM$11:$AM$1010,$B245)))</f>
        <v/>
      </c>
      <c r="N245" s="43">
        <f>IF($B245="","",IF(INDEX('Work Orders'!$AL$11:$AL$1010,$B245)="","",INDEX('Work Orders'!$AL$11:$AL$1010,$B245)))</f>
        <v/>
      </c>
      <c r="O245" s="43">
        <f>IF($B245="","",IF(INDEX('Work Orders'!$N$11:$N$1010,$B245)="","",INDEX('Work Orders'!$N$11:$N$1010,$B245)))</f>
        <v/>
      </c>
    </row>
    <row r="246">
      <c r="A246" s="68" t="n">
        <v>240</v>
      </c>
      <c r="B246">
        <f>IFERROR(MATCH(A246,'Work Orders'!$AO$11:$AO$1010,0),"")</f>
        <v/>
      </c>
      <c r="C246" s="43">
        <f>IF($B246="","",IF(INDEX('Work Orders'!$A$11:$A$1010,$B246)="","",INDEX('Work Orders'!$A$11:$A$1010,$B246)))</f>
        <v/>
      </c>
      <c r="D246" s="43">
        <f>IF($B246="","",IF(INDEX('Work Orders'!$B$11:$B$1010,$B246)="","",INDEX('Work Orders'!$B$11:$B$1010,$B246)))</f>
        <v/>
      </c>
      <c r="E246" s="43">
        <f>IF($B246="","",IF(INDEX('Work Orders'!$D$11:$D$1010,$B246)="","",INDEX('Work Orders'!$D$11:$D$1010,$B246)))</f>
        <v/>
      </c>
      <c r="F246" s="43">
        <f>IF($B246="","",IF(INDEX('Work Orders'!$Q$11:$Q$1010,$B246)="","",INDEX('Work Orders'!$Q$11:$Q$1010,$B246)))</f>
        <v/>
      </c>
      <c r="G246" s="43">
        <f>IF($B246="","",IF(INDEX('Work Orders'!$V$11:$V$1010,$B246)="","",INDEX('Work Orders'!$V$11:$V$1010,$B246)))</f>
        <v/>
      </c>
      <c r="H246" s="47">
        <f>IF($B246="","",IF(INDEX('Work Orders'!$U$11:$U$1010,$B246)="","",INDEX('Work Orders'!$U$11:$U$1010,$B246)))</f>
        <v/>
      </c>
      <c r="I246" s="47">
        <f>IF($B246="","",IF(INDEX('Work Orders'!$X$11:$X$1010,$B246)="","",INDEX('Work Orders'!$X$11:$X$1010,$B246)))</f>
        <v/>
      </c>
      <c r="J246" s="44">
        <f>IF($B246="","",IF(INDEX('Work Orders'!$Z$11:$Z$1010,$B246)="","",INDEX('Work Orders'!$Z$11:$Z$1010,$B246)))</f>
        <v/>
      </c>
      <c r="K246" s="44">
        <f>IF($B246="","",IF(INDEX('Work Orders'!$AG$11:$AG$1010,$B246)="","",INDEX('Work Orders'!$AG$11:$AG$1010,$B246)))</f>
        <v/>
      </c>
      <c r="L246" s="44">
        <f>IF($B246="","",IF(INDEX('Work Orders'!$AH$11:$AH$1010,$B246)="","",INDEX('Work Orders'!$AH$11:$AH$1010,$B246)))</f>
        <v/>
      </c>
      <c r="M246" s="46">
        <f>IF($B246="","",IF(INDEX('Work Orders'!$AM$11:$AM$1010,$B246)="","",INDEX('Work Orders'!$AM$11:$AM$1010,$B246)))</f>
        <v/>
      </c>
      <c r="N246" s="43">
        <f>IF($B246="","",IF(INDEX('Work Orders'!$AL$11:$AL$1010,$B246)="","",INDEX('Work Orders'!$AL$11:$AL$1010,$B246)))</f>
        <v/>
      </c>
      <c r="O246" s="43">
        <f>IF($B246="","",IF(INDEX('Work Orders'!$N$11:$N$1010,$B246)="","",INDEX('Work Orders'!$N$11:$N$1010,$B246)))</f>
        <v/>
      </c>
    </row>
    <row r="247">
      <c r="A247" s="68" t="n">
        <v>241</v>
      </c>
      <c r="B247">
        <f>IFERROR(MATCH(A247,'Work Orders'!$AO$11:$AO$1010,0),"")</f>
        <v/>
      </c>
      <c r="C247" s="43">
        <f>IF($B247="","",IF(INDEX('Work Orders'!$A$11:$A$1010,$B247)="","",INDEX('Work Orders'!$A$11:$A$1010,$B247)))</f>
        <v/>
      </c>
      <c r="D247" s="43">
        <f>IF($B247="","",IF(INDEX('Work Orders'!$B$11:$B$1010,$B247)="","",INDEX('Work Orders'!$B$11:$B$1010,$B247)))</f>
        <v/>
      </c>
      <c r="E247" s="43">
        <f>IF($B247="","",IF(INDEX('Work Orders'!$D$11:$D$1010,$B247)="","",INDEX('Work Orders'!$D$11:$D$1010,$B247)))</f>
        <v/>
      </c>
      <c r="F247" s="43">
        <f>IF($B247="","",IF(INDEX('Work Orders'!$Q$11:$Q$1010,$B247)="","",INDEX('Work Orders'!$Q$11:$Q$1010,$B247)))</f>
        <v/>
      </c>
      <c r="G247" s="43">
        <f>IF($B247="","",IF(INDEX('Work Orders'!$V$11:$V$1010,$B247)="","",INDEX('Work Orders'!$V$11:$V$1010,$B247)))</f>
        <v/>
      </c>
      <c r="H247" s="47">
        <f>IF($B247="","",IF(INDEX('Work Orders'!$U$11:$U$1010,$B247)="","",INDEX('Work Orders'!$U$11:$U$1010,$B247)))</f>
        <v/>
      </c>
      <c r="I247" s="47">
        <f>IF($B247="","",IF(INDEX('Work Orders'!$X$11:$X$1010,$B247)="","",INDEX('Work Orders'!$X$11:$X$1010,$B247)))</f>
        <v/>
      </c>
      <c r="J247" s="44">
        <f>IF($B247="","",IF(INDEX('Work Orders'!$Z$11:$Z$1010,$B247)="","",INDEX('Work Orders'!$Z$11:$Z$1010,$B247)))</f>
        <v/>
      </c>
      <c r="K247" s="44">
        <f>IF($B247="","",IF(INDEX('Work Orders'!$AG$11:$AG$1010,$B247)="","",INDEX('Work Orders'!$AG$11:$AG$1010,$B247)))</f>
        <v/>
      </c>
      <c r="L247" s="44">
        <f>IF($B247="","",IF(INDEX('Work Orders'!$AH$11:$AH$1010,$B247)="","",INDEX('Work Orders'!$AH$11:$AH$1010,$B247)))</f>
        <v/>
      </c>
      <c r="M247" s="46">
        <f>IF($B247="","",IF(INDEX('Work Orders'!$AM$11:$AM$1010,$B247)="","",INDEX('Work Orders'!$AM$11:$AM$1010,$B247)))</f>
        <v/>
      </c>
      <c r="N247" s="43">
        <f>IF($B247="","",IF(INDEX('Work Orders'!$AL$11:$AL$1010,$B247)="","",INDEX('Work Orders'!$AL$11:$AL$1010,$B247)))</f>
        <v/>
      </c>
      <c r="O247" s="43">
        <f>IF($B247="","",IF(INDEX('Work Orders'!$N$11:$N$1010,$B247)="","",INDEX('Work Orders'!$N$11:$N$1010,$B247)))</f>
        <v/>
      </c>
    </row>
    <row r="248">
      <c r="A248" s="68" t="n">
        <v>242</v>
      </c>
      <c r="B248">
        <f>IFERROR(MATCH(A248,'Work Orders'!$AO$11:$AO$1010,0),"")</f>
        <v/>
      </c>
      <c r="C248" s="43">
        <f>IF($B248="","",IF(INDEX('Work Orders'!$A$11:$A$1010,$B248)="","",INDEX('Work Orders'!$A$11:$A$1010,$B248)))</f>
        <v/>
      </c>
      <c r="D248" s="43">
        <f>IF($B248="","",IF(INDEX('Work Orders'!$B$11:$B$1010,$B248)="","",INDEX('Work Orders'!$B$11:$B$1010,$B248)))</f>
        <v/>
      </c>
      <c r="E248" s="43">
        <f>IF($B248="","",IF(INDEX('Work Orders'!$D$11:$D$1010,$B248)="","",INDEX('Work Orders'!$D$11:$D$1010,$B248)))</f>
        <v/>
      </c>
      <c r="F248" s="43">
        <f>IF($B248="","",IF(INDEX('Work Orders'!$Q$11:$Q$1010,$B248)="","",INDEX('Work Orders'!$Q$11:$Q$1010,$B248)))</f>
        <v/>
      </c>
      <c r="G248" s="43">
        <f>IF($B248="","",IF(INDEX('Work Orders'!$V$11:$V$1010,$B248)="","",INDEX('Work Orders'!$V$11:$V$1010,$B248)))</f>
        <v/>
      </c>
      <c r="H248" s="47">
        <f>IF($B248="","",IF(INDEX('Work Orders'!$U$11:$U$1010,$B248)="","",INDEX('Work Orders'!$U$11:$U$1010,$B248)))</f>
        <v/>
      </c>
      <c r="I248" s="47">
        <f>IF($B248="","",IF(INDEX('Work Orders'!$X$11:$X$1010,$B248)="","",INDEX('Work Orders'!$X$11:$X$1010,$B248)))</f>
        <v/>
      </c>
      <c r="J248" s="44">
        <f>IF($B248="","",IF(INDEX('Work Orders'!$Z$11:$Z$1010,$B248)="","",INDEX('Work Orders'!$Z$11:$Z$1010,$B248)))</f>
        <v/>
      </c>
      <c r="K248" s="44">
        <f>IF($B248="","",IF(INDEX('Work Orders'!$AG$11:$AG$1010,$B248)="","",INDEX('Work Orders'!$AG$11:$AG$1010,$B248)))</f>
        <v/>
      </c>
      <c r="L248" s="44">
        <f>IF($B248="","",IF(INDEX('Work Orders'!$AH$11:$AH$1010,$B248)="","",INDEX('Work Orders'!$AH$11:$AH$1010,$B248)))</f>
        <v/>
      </c>
      <c r="M248" s="46">
        <f>IF($B248="","",IF(INDEX('Work Orders'!$AM$11:$AM$1010,$B248)="","",INDEX('Work Orders'!$AM$11:$AM$1010,$B248)))</f>
        <v/>
      </c>
      <c r="N248" s="43">
        <f>IF($B248="","",IF(INDEX('Work Orders'!$AL$11:$AL$1010,$B248)="","",INDEX('Work Orders'!$AL$11:$AL$1010,$B248)))</f>
        <v/>
      </c>
      <c r="O248" s="43">
        <f>IF($B248="","",IF(INDEX('Work Orders'!$N$11:$N$1010,$B248)="","",INDEX('Work Orders'!$N$11:$N$1010,$B248)))</f>
        <v/>
      </c>
    </row>
    <row r="249">
      <c r="A249" s="68" t="n">
        <v>243</v>
      </c>
      <c r="B249">
        <f>IFERROR(MATCH(A249,'Work Orders'!$AO$11:$AO$1010,0),"")</f>
        <v/>
      </c>
      <c r="C249" s="43">
        <f>IF($B249="","",IF(INDEX('Work Orders'!$A$11:$A$1010,$B249)="","",INDEX('Work Orders'!$A$11:$A$1010,$B249)))</f>
        <v/>
      </c>
      <c r="D249" s="43">
        <f>IF($B249="","",IF(INDEX('Work Orders'!$B$11:$B$1010,$B249)="","",INDEX('Work Orders'!$B$11:$B$1010,$B249)))</f>
        <v/>
      </c>
      <c r="E249" s="43">
        <f>IF($B249="","",IF(INDEX('Work Orders'!$D$11:$D$1010,$B249)="","",INDEX('Work Orders'!$D$11:$D$1010,$B249)))</f>
        <v/>
      </c>
      <c r="F249" s="43">
        <f>IF($B249="","",IF(INDEX('Work Orders'!$Q$11:$Q$1010,$B249)="","",INDEX('Work Orders'!$Q$11:$Q$1010,$B249)))</f>
        <v/>
      </c>
      <c r="G249" s="43">
        <f>IF($B249="","",IF(INDEX('Work Orders'!$V$11:$V$1010,$B249)="","",INDEX('Work Orders'!$V$11:$V$1010,$B249)))</f>
        <v/>
      </c>
      <c r="H249" s="47">
        <f>IF($B249="","",IF(INDEX('Work Orders'!$U$11:$U$1010,$B249)="","",INDEX('Work Orders'!$U$11:$U$1010,$B249)))</f>
        <v/>
      </c>
      <c r="I249" s="47">
        <f>IF($B249="","",IF(INDEX('Work Orders'!$X$11:$X$1010,$B249)="","",INDEX('Work Orders'!$X$11:$X$1010,$B249)))</f>
        <v/>
      </c>
      <c r="J249" s="44">
        <f>IF($B249="","",IF(INDEX('Work Orders'!$Z$11:$Z$1010,$B249)="","",INDEX('Work Orders'!$Z$11:$Z$1010,$B249)))</f>
        <v/>
      </c>
      <c r="K249" s="44">
        <f>IF($B249="","",IF(INDEX('Work Orders'!$AG$11:$AG$1010,$B249)="","",INDEX('Work Orders'!$AG$11:$AG$1010,$B249)))</f>
        <v/>
      </c>
      <c r="L249" s="44">
        <f>IF($B249="","",IF(INDEX('Work Orders'!$AH$11:$AH$1010,$B249)="","",INDEX('Work Orders'!$AH$11:$AH$1010,$B249)))</f>
        <v/>
      </c>
      <c r="M249" s="46">
        <f>IF($B249="","",IF(INDEX('Work Orders'!$AM$11:$AM$1010,$B249)="","",INDEX('Work Orders'!$AM$11:$AM$1010,$B249)))</f>
        <v/>
      </c>
      <c r="N249" s="43">
        <f>IF($B249="","",IF(INDEX('Work Orders'!$AL$11:$AL$1010,$B249)="","",INDEX('Work Orders'!$AL$11:$AL$1010,$B249)))</f>
        <v/>
      </c>
      <c r="O249" s="43">
        <f>IF($B249="","",IF(INDEX('Work Orders'!$N$11:$N$1010,$B249)="","",INDEX('Work Orders'!$N$11:$N$1010,$B249)))</f>
        <v/>
      </c>
    </row>
    <row r="250">
      <c r="A250" s="68" t="n">
        <v>244</v>
      </c>
      <c r="B250">
        <f>IFERROR(MATCH(A250,'Work Orders'!$AO$11:$AO$1010,0),"")</f>
        <v/>
      </c>
      <c r="C250" s="43">
        <f>IF($B250="","",IF(INDEX('Work Orders'!$A$11:$A$1010,$B250)="","",INDEX('Work Orders'!$A$11:$A$1010,$B250)))</f>
        <v/>
      </c>
      <c r="D250" s="43">
        <f>IF($B250="","",IF(INDEX('Work Orders'!$B$11:$B$1010,$B250)="","",INDEX('Work Orders'!$B$11:$B$1010,$B250)))</f>
        <v/>
      </c>
      <c r="E250" s="43">
        <f>IF($B250="","",IF(INDEX('Work Orders'!$D$11:$D$1010,$B250)="","",INDEX('Work Orders'!$D$11:$D$1010,$B250)))</f>
        <v/>
      </c>
      <c r="F250" s="43">
        <f>IF($B250="","",IF(INDEX('Work Orders'!$Q$11:$Q$1010,$B250)="","",INDEX('Work Orders'!$Q$11:$Q$1010,$B250)))</f>
        <v/>
      </c>
      <c r="G250" s="43">
        <f>IF($B250="","",IF(INDEX('Work Orders'!$V$11:$V$1010,$B250)="","",INDEX('Work Orders'!$V$11:$V$1010,$B250)))</f>
        <v/>
      </c>
      <c r="H250" s="47">
        <f>IF($B250="","",IF(INDEX('Work Orders'!$U$11:$U$1010,$B250)="","",INDEX('Work Orders'!$U$11:$U$1010,$B250)))</f>
        <v/>
      </c>
      <c r="I250" s="47">
        <f>IF($B250="","",IF(INDEX('Work Orders'!$X$11:$X$1010,$B250)="","",INDEX('Work Orders'!$X$11:$X$1010,$B250)))</f>
        <v/>
      </c>
      <c r="J250" s="44">
        <f>IF($B250="","",IF(INDEX('Work Orders'!$Z$11:$Z$1010,$B250)="","",INDEX('Work Orders'!$Z$11:$Z$1010,$B250)))</f>
        <v/>
      </c>
      <c r="K250" s="44">
        <f>IF($B250="","",IF(INDEX('Work Orders'!$AG$11:$AG$1010,$B250)="","",INDEX('Work Orders'!$AG$11:$AG$1010,$B250)))</f>
        <v/>
      </c>
      <c r="L250" s="44">
        <f>IF($B250="","",IF(INDEX('Work Orders'!$AH$11:$AH$1010,$B250)="","",INDEX('Work Orders'!$AH$11:$AH$1010,$B250)))</f>
        <v/>
      </c>
      <c r="M250" s="46">
        <f>IF($B250="","",IF(INDEX('Work Orders'!$AM$11:$AM$1010,$B250)="","",INDEX('Work Orders'!$AM$11:$AM$1010,$B250)))</f>
        <v/>
      </c>
      <c r="N250" s="43">
        <f>IF($B250="","",IF(INDEX('Work Orders'!$AL$11:$AL$1010,$B250)="","",INDEX('Work Orders'!$AL$11:$AL$1010,$B250)))</f>
        <v/>
      </c>
      <c r="O250" s="43">
        <f>IF($B250="","",IF(INDEX('Work Orders'!$N$11:$N$1010,$B250)="","",INDEX('Work Orders'!$N$11:$N$1010,$B250)))</f>
        <v/>
      </c>
    </row>
    <row r="251">
      <c r="A251" s="68" t="n">
        <v>245</v>
      </c>
      <c r="B251">
        <f>IFERROR(MATCH(A251,'Work Orders'!$AO$11:$AO$1010,0),"")</f>
        <v/>
      </c>
      <c r="C251" s="43">
        <f>IF($B251="","",IF(INDEX('Work Orders'!$A$11:$A$1010,$B251)="","",INDEX('Work Orders'!$A$11:$A$1010,$B251)))</f>
        <v/>
      </c>
      <c r="D251" s="43">
        <f>IF($B251="","",IF(INDEX('Work Orders'!$B$11:$B$1010,$B251)="","",INDEX('Work Orders'!$B$11:$B$1010,$B251)))</f>
        <v/>
      </c>
      <c r="E251" s="43">
        <f>IF($B251="","",IF(INDEX('Work Orders'!$D$11:$D$1010,$B251)="","",INDEX('Work Orders'!$D$11:$D$1010,$B251)))</f>
        <v/>
      </c>
      <c r="F251" s="43">
        <f>IF($B251="","",IF(INDEX('Work Orders'!$Q$11:$Q$1010,$B251)="","",INDEX('Work Orders'!$Q$11:$Q$1010,$B251)))</f>
        <v/>
      </c>
      <c r="G251" s="43">
        <f>IF($B251="","",IF(INDEX('Work Orders'!$V$11:$V$1010,$B251)="","",INDEX('Work Orders'!$V$11:$V$1010,$B251)))</f>
        <v/>
      </c>
      <c r="H251" s="47">
        <f>IF($B251="","",IF(INDEX('Work Orders'!$U$11:$U$1010,$B251)="","",INDEX('Work Orders'!$U$11:$U$1010,$B251)))</f>
        <v/>
      </c>
      <c r="I251" s="47">
        <f>IF($B251="","",IF(INDEX('Work Orders'!$X$11:$X$1010,$B251)="","",INDEX('Work Orders'!$X$11:$X$1010,$B251)))</f>
        <v/>
      </c>
      <c r="J251" s="44">
        <f>IF($B251="","",IF(INDEX('Work Orders'!$Z$11:$Z$1010,$B251)="","",INDEX('Work Orders'!$Z$11:$Z$1010,$B251)))</f>
        <v/>
      </c>
      <c r="K251" s="44">
        <f>IF($B251="","",IF(INDEX('Work Orders'!$AG$11:$AG$1010,$B251)="","",INDEX('Work Orders'!$AG$11:$AG$1010,$B251)))</f>
        <v/>
      </c>
      <c r="L251" s="44">
        <f>IF($B251="","",IF(INDEX('Work Orders'!$AH$11:$AH$1010,$B251)="","",INDEX('Work Orders'!$AH$11:$AH$1010,$B251)))</f>
        <v/>
      </c>
      <c r="M251" s="46">
        <f>IF($B251="","",IF(INDEX('Work Orders'!$AM$11:$AM$1010,$B251)="","",INDEX('Work Orders'!$AM$11:$AM$1010,$B251)))</f>
        <v/>
      </c>
      <c r="N251" s="43">
        <f>IF($B251="","",IF(INDEX('Work Orders'!$AL$11:$AL$1010,$B251)="","",INDEX('Work Orders'!$AL$11:$AL$1010,$B251)))</f>
        <v/>
      </c>
      <c r="O251" s="43">
        <f>IF($B251="","",IF(INDEX('Work Orders'!$N$11:$N$1010,$B251)="","",INDEX('Work Orders'!$N$11:$N$1010,$B251)))</f>
        <v/>
      </c>
    </row>
    <row r="252">
      <c r="A252" s="68" t="n">
        <v>246</v>
      </c>
      <c r="B252">
        <f>IFERROR(MATCH(A252,'Work Orders'!$AO$11:$AO$1010,0),"")</f>
        <v/>
      </c>
      <c r="C252" s="43">
        <f>IF($B252="","",IF(INDEX('Work Orders'!$A$11:$A$1010,$B252)="","",INDEX('Work Orders'!$A$11:$A$1010,$B252)))</f>
        <v/>
      </c>
      <c r="D252" s="43">
        <f>IF($B252="","",IF(INDEX('Work Orders'!$B$11:$B$1010,$B252)="","",INDEX('Work Orders'!$B$11:$B$1010,$B252)))</f>
        <v/>
      </c>
      <c r="E252" s="43">
        <f>IF($B252="","",IF(INDEX('Work Orders'!$D$11:$D$1010,$B252)="","",INDEX('Work Orders'!$D$11:$D$1010,$B252)))</f>
        <v/>
      </c>
      <c r="F252" s="43">
        <f>IF($B252="","",IF(INDEX('Work Orders'!$Q$11:$Q$1010,$B252)="","",INDEX('Work Orders'!$Q$11:$Q$1010,$B252)))</f>
        <v/>
      </c>
      <c r="G252" s="43">
        <f>IF($B252="","",IF(INDEX('Work Orders'!$V$11:$V$1010,$B252)="","",INDEX('Work Orders'!$V$11:$V$1010,$B252)))</f>
        <v/>
      </c>
      <c r="H252" s="47">
        <f>IF($B252="","",IF(INDEX('Work Orders'!$U$11:$U$1010,$B252)="","",INDEX('Work Orders'!$U$11:$U$1010,$B252)))</f>
        <v/>
      </c>
      <c r="I252" s="47">
        <f>IF($B252="","",IF(INDEX('Work Orders'!$X$11:$X$1010,$B252)="","",INDEX('Work Orders'!$X$11:$X$1010,$B252)))</f>
        <v/>
      </c>
      <c r="J252" s="44">
        <f>IF($B252="","",IF(INDEX('Work Orders'!$Z$11:$Z$1010,$B252)="","",INDEX('Work Orders'!$Z$11:$Z$1010,$B252)))</f>
        <v/>
      </c>
      <c r="K252" s="44">
        <f>IF($B252="","",IF(INDEX('Work Orders'!$AG$11:$AG$1010,$B252)="","",INDEX('Work Orders'!$AG$11:$AG$1010,$B252)))</f>
        <v/>
      </c>
      <c r="L252" s="44">
        <f>IF($B252="","",IF(INDEX('Work Orders'!$AH$11:$AH$1010,$B252)="","",INDEX('Work Orders'!$AH$11:$AH$1010,$B252)))</f>
        <v/>
      </c>
      <c r="M252" s="46">
        <f>IF($B252="","",IF(INDEX('Work Orders'!$AM$11:$AM$1010,$B252)="","",INDEX('Work Orders'!$AM$11:$AM$1010,$B252)))</f>
        <v/>
      </c>
      <c r="N252" s="43">
        <f>IF($B252="","",IF(INDEX('Work Orders'!$AL$11:$AL$1010,$B252)="","",INDEX('Work Orders'!$AL$11:$AL$1010,$B252)))</f>
        <v/>
      </c>
      <c r="O252" s="43">
        <f>IF($B252="","",IF(INDEX('Work Orders'!$N$11:$N$1010,$B252)="","",INDEX('Work Orders'!$N$11:$N$1010,$B252)))</f>
        <v/>
      </c>
    </row>
    <row r="253">
      <c r="A253" s="68" t="n">
        <v>247</v>
      </c>
      <c r="B253">
        <f>IFERROR(MATCH(A253,'Work Orders'!$AO$11:$AO$1010,0),"")</f>
        <v/>
      </c>
      <c r="C253" s="43">
        <f>IF($B253="","",IF(INDEX('Work Orders'!$A$11:$A$1010,$B253)="","",INDEX('Work Orders'!$A$11:$A$1010,$B253)))</f>
        <v/>
      </c>
      <c r="D253" s="43">
        <f>IF($B253="","",IF(INDEX('Work Orders'!$B$11:$B$1010,$B253)="","",INDEX('Work Orders'!$B$11:$B$1010,$B253)))</f>
        <v/>
      </c>
      <c r="E253" s="43">
        <f>IF($B253="","",IF(INDEX('Work Orders'!$D$11:$D$1010,$B253)="","",INDEX('Work Orders'!$D$11:$D$1010,$B253)))</f>
        <v/>
      </c>
      <c r="F253" s="43">
        <f>IF($B253="","",IF(INDEX('Work Orders'!$Q$11:$Q$1010,$B253)="","",INDEX('Work Orders'!$Q$11:$Q$1010,$B253)))</f>
        <v/>
      </c>
      <c r="G253" s="43">
        <f>IF($B253="","",IF(INDEX('Work Orders'!$V$11:$V$1010,$B253)="","",INDEX('Work Orders'!$V$11:$V$1010,$B253)))</f>
        <v/>
      </c>
      <c r="H253" s="47">
        <f>IF($B253="","",IF(INDEX('Work Orders'!$U$11:$U$1010,$B253)="","",INDEX('Work Orders'!$U$11:$U$1010,$B253)))</f>
        <v/>
      </c>
      <c r="I253" s="47">
        <f>IF($B253="","",IF(INDEX('Work Orders'!$X$11:$X$1010,$B253)="","",INDEX('Work Orders'!$X$11:$X$1010,$B253)))</f>
        <v/>
      </c>
      <c r="J253" s="44">
        <f>IF($B253="","",IF(INDEX('Work Orders'!$Z$11:$Z$1010,$B253)="","",INDEX('Work Orders'!$Z$11:$Z$1010,$B253)))</f>
        <v/>
      </c>
      <c r="K253" s="44">
        <f>IF($B253="","",IF(INDEX('Work Orders'!$AG$11:$AG$1010,$B253)="","",INDEX('Work Orders'!$AG$11:$AG$1010,$B253)))</f>
        <v/>
      </c>
      <c r="L253" s="44">
        <f>IF($B253="","",IF(INDEX('Work Orders'!$AH$11:$AH$1010,$B253)="","",INDEX('Work Orders'!$AH$11:$AH$1010,$B253)))</f>
        <v/>
      </c>
      <c r="M253" s="46">
        <f>IF($B253="","",IF(INDEX('Work Orders'!$AM$11:$AM$1010,$B253)="","",INDEX('Work Orders'!$AM$11:$AM$1010,$B253)))</f>
        <v/>
      </c>
      <c r="N253" s="43">
        <f>IF($B253="","",IF(INDEX('Work Orders'!$AL$11:$AL$1010,$B253)="","",INDEX('Work Orders'!$AL$11:$AL$1010,$B253)))</f>
        <v/>
      </c>
      <c r="O253" s="43">
        <f>IF($B253="","",IF(INDEX('Work Orders'!$N$11:$N$1010,$B253)="","",INDEX('Work Orders'!$N$11:$N$1010,$B253)))</f>
        <v/>
      </c>
    </row>
    <row r="254">
      <c r="A254" s="68" t="n">
        <v>248</v>
      </c>
      <c r="B254">
        <f>IFERROR(MATCH(A254,'Work Orders'!$AO$11:$AO$1010,0),"")</f>
        <v/>
      </c>
      <c r="C254" s="43">
        <f>IF($B254="","",IF(INDEX('Work Orders'!$A$11:$A$1010,$B254)="","",INDEX('Work Orders'!$A$11:$A$1010,$B254)))</f>
        <v/>
      </c>
      <c r="D254" s="43">
        <f>IF($B254="","",IF(INDEX('Work Orders'!$B$11:$B$1010,$B254)="","",INDEX('Work Orders'!$B$11:$B$1010,$B254)))</f>
        <v/>
      </c>
      <c r="E254" s="43">
        <f>IF($B254="","",IF(INDEX('Work Orders'!$D$11:$D$1010,$B254)="","",INDEX('Work Orders'!$D$11:$D$1010,$B254)))</f>
        <v/>
      </c>
      <c r="F254" s="43">
        <f>IF($B254="","",IF(INDEX('Work Orders'!$Q$11:$Q$1010,$B254)="","",INDEX('Work Orders'!$Q$11:$Q$1010,$B254)))</f>
        <v/>
      </c>
      <c r="G254" s="43">
        <f>IF($B254="","",IF(INDEX('Work Orders'!$V$11:$V$1010,$B254)="","",INDEX('Work Orders'!$V$11:$V$1010,$B254)))</f>
        <v/>
      </c>
      <c r="H254" s="47">
        <f>IF($B254="","",IF(INDEX('Work Orders'!$U$11:$U$1010,$B254)="","",INDEX('Work Orders'!$U$11:$U$1010,$B254)))</f>
        <v/>
      </c>
      <c r="I254" s="47">
        <f>IF($B254="","",IF(INDEX('Work Orders'!$X$11:$X$1010,$B254)="","",INDEX('Work Orders'!$X$11:$X$1010,$B254)))</f>
        <v/>
      </c>
      <c r="J254" s="44">
        <f>IF($B254="","",IF(INDEX('Work Orders'!$Z$11:$Z$1010,$B254)="","",INDEX('Work Orders'!$Z$11:$Z$1010,$B254)))</f>
        <v/>
      </c>
      <c r="K254" s="44">
        <f>IF($B254="","",IF(INDEX('Work Orders'!$AG$11:$AG$1010,$B254)="","",INDEX('Work Orders'!$AG$11:$AG$1010,$B254)))</f>
        <v/>
      </c>
      <c r="L254" s="44">
        <f>IF($B254="","",IF(INDEX('Work Orders'!$AH$11:$AH$1010,$B254)="","",INDEX('Work Orders'!$AH$11:$AH$1010,$B254)))</f>
        <v/>
      </c>
      <c r="M254" s="46">
        <f>IF($B254="","",IF(INDEX('Work Orders'!$AM$11:$AM$1010,$B254)="","",INDEX('Work Orders'!$AM$11:$AM$1010,$B254)))</f>
        <v/>
      </c>
      <c r="N254" s="43">
        <f>IF($B254="","",IF(INDEX('Work Orders'!$AL$11:$AL$1010,$B254)="","",INDEX('Work Orders'!$AL$11:$AL$1010,$B254)))</f>
        <v/>
      </c>
      <c r="O254" s="43">
        <f>IF($B254="","",IF(INDEX('Work Orders'!$N$11:$N$1010,$B254)="","",INDEX('Work Orders'!$N$11:$N$1010,$B254)))</f>
        <v/>
      </c>
    </row>
    <row r="255">
      <c r="A255" s="68" t="n">
        <v>249</v>
      </c>
      <c r="B255">
        <f>IFERROR(MATCH(A255,'Work Orders'!$AO$11:$AO$1010,0),"")</f>
        <v/>
      </c>
      <c r="C255" s="43">
        <f>IF($B255="","",IF(INDEX('Work Orders'!$A$11:$A$1010,$B255)="","",INDEX('Work Orders'!$A$11:$A$1010,$B255)))</f>
        <v/>
      </c>
      <c r="D255" s="43">
        <f>IF($B255="","",IF(INDEX('Work Orders'!$B$11:$B$1010,$B255)="","",INDEX('Work Orders'!$B$11:$B$1010,$B255)))</f>
        <v/>
      </c>
      <c r="E255" s="43">
        <f>IF($B255="","",IF(INDEX('Work Orders'!$D$11:$D$1010,$B255)="","",INDEX('Work Orders'!$D$11:$D$1010,$B255)))</f>
        <v/>
      </c>
      <c r="F255" s="43">
        <f>IF($B255="","",IF(INDEX('Work Orders'!$Q$11:$Q$1010,$B255)="","",INDEX('Work Orders'!$Q$11:$Q$1010,$B255)))</f>
        <v/>
      </c>
      <c r="G255" s="43">
        <f>IF($B255="","",IF(INDEX('Work Orders'!$V$11:$V$1010,$B255)="","",INDEX('Work Orders'!$V$11:$V$1010,$B255)))</f>
        <v/>
      </c>
      <c r="H255" s="47">
        <f>IF($B255="","",IF(INDEX('Work Orders'!$U$11:$U$1010,$B255)="","",INDEX('Work Orders'!$U$11:$U$1010,$B255)))</f>
        <v/>
      </c>
      <c r="I255" s="47">
        <f>IF($B255="","",IF(INDEX('Work Orders'!$X$11:$X$1010,$B255)="","",INDEX('Work Orders'!$X$11:$X$1010,$B255)))</f>
        <v/>
      </c>
      <c r="J255" s="44">
        <f>IF($B255="","",IF(INDEX('Work Orders'!$Z$11:$Z$1010,$B255)="","",INDEX('Work Orders'!$Z$11:$Z$1010,$B255)))</f>
        <v/>
      </c>
      <c r="K255" s="44">
        <f>IF($B255="","",IF(INDEX('Work Orders'!$AG$11:$AG$1010,$B255)="","",INDEX('Work Orders'!$AG$11:$AG$1010,$B255)))</f>
        <v/>
      </c>
      <c r="L255" s="44">
        <f>IF($B255="","",IF(INDEX('Work Orders'!$AH$11:$AH$1010,$B255)="","",INDEX('Work Orders'!$AH$11:$AH$1010,$B255)))</f>
        <v/>
      </c>
      <c r="M255" s="46">
        <f>IF($B255="","",IF(INDEX('Work Orders'!$AM$11:$AM$1010,$B255)="","",INDEX('Work Orders'!$AM$11:$AM$1010,$B255)))</f>
        <v/>
      </c>
      <c r="N255" s="43">
        <f>IF($B255="","",IF(INDEX('Work Orders'!$AL$11:$AL$1010,$B255)="","",INDEX('Work Orders'!$AL$11:$AL$1010,$B255)))</f>
        <v/>
      </c>
      <c r="O255" s="43">
        <f>IF($B255="","",IF(INDEX('Work Orders'!$N$11:$N$1010,$B255)="","",INDEX('Work Orders'!$N$11:$N$1010,$B255)))</f>
        <v/>
      </c>
    </row>
    <row r="256">
      <c r="A256" s="68" t="n">
        <v>250</v>
      </c>
      <c r="B256">
        <f>IFERROR(MATCH(A256,'Work Orders'!$AO$11:$AO$1010,0),"")</f>
        <v/>
      </c>
      <c r="C256" s="43">
        <f>IF($B256="","",IF(INDEX('Work Orders'!$A$11:$A$1010,$B256)="","",INDEX('Work Orders'!$A$11:$A$1010,$B256)))</f>
        <v/>
      </c>
      <c r="D256" s="43">
        <f>IF($B256="","",IF(INDEX('Work Orders'!$B$11:$B$1010,$B256)="","",INDEX('Work Orders'!$B$11:$B$1010,$B256)))</f>
        <v/>
      </c>
      <c r="E256" s="43">
        <f>IF($B256="","",IF(INDEX('Work Orders'!$D$11:$D$1010,$B256)="","",INDEX('Work Orders'!$D$11:$D$1010,$B256)))</f>
        <v/>
      </c>
      <c r="F256" s="43">
        <f>IF($B256="","",IF(INDEX('Work Orders'!$Q$11:$Q$1010,$B256)="","",INDEX('Work Orders'!$Q$11:$Q$1010,$B256)))</f>
        <v/>
      </c>
      <c r="G256" s="43">
        <f>IF($B256="","",IF(INDEX('Work Orders'!$V$11:$V$1010,$B256)="","",INDEX('Work Orders'!$V$11:$V$1010,$B256)))</f>
        <v/>
      </c>
      <c r="H256" s="47">
        <f>IF($B256="","",IF(INDEX('Work Orders'!$U$11:$U$1010,$B256)="","",INDEX('Work Orders'!$U$11:$U$1010,$B256)))</f>
        <v/>
      </c>
      <c r="I256" s="47">
        <f>IF($B256="","",IF(INDEX('Work Orders'!$X$11:$X$1010,$B256)="","",INDEX('Work Orders'!$X$11:$X$1010,$B256)))</f>
        <v/>
      </c>
      <c r="J256" s="44">
        <f>IF($B256="","",IF(INDEX('Work Orders'!$Z$11:$Z$1010,$B256)="","",INDEX('Work Orders'!$Z$11:$Z$1010,$B256)))</f>
        <v/>
      </c>
      <c r="K256" s="44">
        <f>IF($B256="","",IF(INDEX('Work Orders'!$AG$11:$AG$1010,$B256)="","",INDEX('Work Orders'!$AG$11:$AG$1010,$B256)))</f>
        <v/>
      </c>
      <c r="L256" s="44">
        <f>IF($B256="","",IF(INDEX('Work Orders'!$AH$11:$AH$1010,$B256)="","",INDEX('Work Orders'!$AH$11:$AH$1010,$B256)))</f>
        <v/>
      </c>
      <c r="M256" s="46">
        <f>IF($B256="","",IF(INDEX('Work Orders'!$AM$11:$AM$1010,$B256)="","",INDEX('Work Orders'!$AM$11:$AM$1010,$B256)))</f>
        <v/>
      </c>
      <c r="N256" s="43">
        <f>IF($B256="","",IF(INDEX('Work Orders'!$AL$11:$AL$1010,$B256)="","",INDEX('Work Orders'!$AL$11:$AL$1010,$B256)))</f>
        <v/>
      </c>
      <c r="O256" s="43">
        <f>IF($B256="","",IF(INDEX('Work Orders'!$N$11:$N$1010,$B256)="","",INDEX('Work Orders'!$N$11:$N$1010,$B256)))</f>
        <v/>
      </c>
    </row>
    <row r="257">
      <c r="A257" s="68" t="n">
        <v>251</v>
      </c>
      <c r="B257">
        <f>IFERROR(MATCH(A257,'Work Orders'!$AO$11:$AO$1010,0),"")</f>
        <v/>
      </c>
      <c r="C257" s="43">
        <f>IF($B257="","",IF(INDEX('Work Orders'!$A$11:$A$1010,$B257)="","",INDEX('Work Orders'!$A$11:$A$1010,$B257)))</f>
        <v/>
      </c>
      <c r="D257" s="43">
        <f>IF($B257="","",IF(INDEX('Work Orders'!$B$11:$B$1010,$B257)="","",INDEX('Work Orders'!$B$11:$B$1010,$B257)))</f>
        <v/>
      </c>
      <c r="E257" s="43">
        <f>IF($B257="","",IF(INDEX('Work Orders'!$D$11:$D$1010,$B257)="","",INDEX('Work Orders'!$D$11:$D$1010,$B257)))</f>
        <v/>
      </c>
      <c r="F257" s="43">
        <f>IF($B257="","",IF(INDEX('Work Orders'!$Q$11:$Q$1010,$B257)="","",INDEX('Work Orders'!$Q$11:$Q$1010,$B257)))</f>
        <v/>
      </c>
      <c r="G257" s="43">
        <f>IF($B257="","",IF(INDEX('Work Orders'!$V$11:$V$1010,$B257)="","",INDEX('Work Orders'!$V$11:$V$1010,$B257)))</f>
        <v/>
      </c>
      <c r="H257" s="47">
        <f>IF($B257="","",IF(INDEX('Work Orders'!$U$11:$U$1010,$B257)="","",INDEX('Work Orders'!$U$11:$U$1010,$B257)))</f>
        <v/>
      </c>
      <c r="I257" s="47">
        <f>IF($B257="","",IF(INDEX('Work Orders'!$X$11:$X$1010,$B257)="","",INDEX('Work Orders'!$X$11:$X$1010,$B257)))</f>
        <v/>
      </c>
      <c r="J257" s="44">
        <f>IF($B257="","",IF(INDEX('Work Orders'!$Z$11:$Z$1010,$B257)="","",INDEX('Work Orders'!$Z$11:$Z$1010,$B257)))</f>
        <v/>
      </c>
      <c r="K257" s="44">
        <f>IF($B257="","",IF(INDEX('Work Orders'!$AG$11:$AG$1010,$B257)="","",INDEX('Work Orders'!$AG$11:$AG$1010,$B257)))</f>
        <v/>
      </c>
      <c r="L257" s="44">
        <f>IF($B257="","",IF(INDEX('Work Orders'!$AH$11:$AH$1010,$B257)="","",INDEX('Work Orders'!$AH$11:$AH$1010,$B257)))</f>
        <v/>
      </c>
      <c r="M257" s="46">
        <f>IF($B257="","",IF(INDEX('Work Orders'!$AM$11:$AM$1010,$B257)="","",INDEX('Work Orders'!$AM$11:$AM$1010,$B257)))</f>
        <v/>
      </c>
      <c r="N257" s="43">
        <f>IF($B257="","",IF(INDEX('Work Orders'!$AL$11:$AL$1010,$B257)="","",INDEX('Work Orders'!$AL$11:$AL$1010,$B257)))</f>
        <v/>
      </c>
      <c r="O257" s="43">
        <f>IF($B257="","",IF(INDEX('Work Orders'!$N$11:$N$1010,$B257)="","",INDEX('Work Orders'!$N$11:$N$1010,$B257)))</f>
        <v/>
      </c>
    </row>
    <row r="258">
      <c r="A258" s="68" t="n">
        <v>252</v>
      </c>
      <c r="B258">
        <f>IFERROR(MATCH(A258,'Work Orders'!$AO$11:$AO$1010,0),"")</f>
        <v/>
      </c>
      <c r="C258" s="43">
        <f>IF($B258="","",IF(INDEX('Work Orders'!$A$11:$A$1010,$B258)="","",INDEX('Work Orders'!$A$11:$A$1010,$B258)))</f>
        <v/>
      </c>
      <c r="D258" s="43">
        <f>IF($B258="","",IF(INDEX('Work Orders'!$B$11:$B$1010,$B258)="","",INDEX('Work Orders'!$B$11:$B$1010,$B258)))</f>
        <v/>
      </c>
      <c r="E258" s="43">
        <f>IF($B258="","",IF(INDEX('Work Orders'!$D$11:$D$1010,$B258)="","",INDEX('Work Orders'!$D$11:$D$1010,$B258)))</f>
        <v/>
      </c>
      <c r="F258" s="43">
        <f>IF($B258="","",IF(INDEX('Work Orders'!$Q$11:$Q$1010,$B258)="","",INDEX('Work Orders'!$Q$11:$Q$1010,$B258)))</f>
        <v/>
      </c>
      <c r="G258" s="43">
        <f>IF($B258="","",IF(INDEX('Work Orders'!$V$11:$V$1010,$B258)="","",INDEX('Work Orders'!$V$11:$V$1010,$B258)))</f>
        <v/>
      </c>
      <c r="H258" s="47">
        <f>IF($B258="","",IF(INDEX('Work Orders'!$U$11:$U$1010,$B258)="","",INDEX('Work Orders'!$U$11:$U$1010,$B258)))</f>
        <v/>
      </c>
      <c r="I258" s="47">
        <f>IF($B258="","",IF(INDEX('Work Orders'!$X$11:$X$1010,$B258)="","",INDEX('Work Orders'!$X$11:$X$1010,$B258)))</f>
        <v/>
      </c>
      <c r="J258" s="44">
        <f>IF($B258="","",IF(INDEX('Work Orders'!$Z$11:$Z$1010,$B258)="","",INDEX('Work Orders'!$Z$11:$Z$1010,$B258)))</f>
        <v/>
      </c>
      <c r="K258" s="44">
        <f>IF($B258="","",IF(INDEX('Work Orders'!$AG$11:$AG$1010,$B258)="","",INDEX('Work Orders'!$AG$11:$AG$1010,$B258)))</f>
        <v/>
      </c>
      <c r="L258" s="44">
        <f>IF($B258="","",IF(INDEX('Work Orders'!$AH$11:$AH$1010,$B258)="","",INDEX('Work Orders'!$AH$11:$AH$1010,$B258)))</f>
        <v/>
      </c>
      <c r="M258" s="46">
        <f>IF($B258="","",IF(INDEX('Work Orders'!$AM$11:$AM$1010,$B258)="","",INDEX('Work Orders'!$AM$11:$AM$1010,$B258)))</f>
        <v/>
      </c>
      <c r="N258" s="43">
        <f>IF($B258="","",IF(INDEX('Work Orders'!$AL$11:$AL$1010,$B258)="","",INDEX('Work Orders'!$AL$11:$AL$1010,$B258)))</f>
        <v/>
      </c>
      <c r="O258" s="43">
        <f>IF($B258="","",IF(INDEX('Work Orders'!$N$11:$N$1010,$B258)="","",INDEX('Work Orders'!$N$11:$N$1010,$B258)))</f>
        <v/>
      </c>
    </row>
    <row r="259">
      <c r="A259" s="68" t="n">
        <v>253</v>
      </c>
      <c r="B259">
        <f>IFERROR(MATCH(A259,'Work Orders'!$AO$11:$AO$1010,0),"")</f>
        <v/>
      </c>
      <c r="C259" s="43">
        <f>IF($B259="","",IF(INDEX('Work Orders'!$A$11:$A$1010,$B259)="","",INDEX('Work Orders'!$A$11:$A$1010,$B259)))</f>
        <v/>
      </c>
      <c r="D259" s="43">
        <f>IF($B259="","",IF(INDEX('Work Orders'!$B$11:$B$1010,$B259)="","",INDEX('Work Orders'!$B$11:$B$1010,$B259)))</f>
        <v/>
      </c>
      <c r="E259" s="43">
        <f>IF($B259="","",IF(INDEX('Work Orders'!$D$11:$D$1010,$B259)="","",INDEX('Work Orders'!$D$11:$D$1010,$B259)))</f>
        <v/>
      </c>
      <c r="F259" s="43">
        <f>IF($B259="","",IF(INDEX('Work Orders'!$Q$11:$Q$1010,$B259)="","",INDEX('Work Orders'!$Q$11:$Q$1010,$B259)))</f>
        <v/>
      </c>
      <c r="G259" s="43">
        <f>IF($B259="","",IF(INDEX('Work Orders'!$V$11:$V$1010,$B259)="","",INDEX('Work Orders'!$V$11:$V$1010,$B259)))</f>
        <v/>
      </c>
      <c r="H259" s="47">
        <f>IF($B259="","",IF(INDEX('Work Orders'!$U$11:$U$1010,$B259)="","",INDEX('Work Orders'!$U$11:$U$1010,$B259)))</f>
        <v/>
      </c>
      <c r="I259" s="47">
        <f>IF($B259="","",IF(INDEX('Work Orders'!$X$11:$X$1010,$B259)="","",INDEX('Work Orders'!$X$11:$X$1010,$B259)))</f>
        <v/>
      </c>
      <c r="J259" s="44">
        <f>IF($B259="","",IF(INDEX('Work Orders'!$Z$11:$Z$1010,$B259)="","",INDEX('Work Orders'!$Z$11:$Z$1010,$B259)))</f>
        <v/>
      </c>
      <c r="K259" s="44">
        <f>IF($B259="","",IF(INDEX('Work Orders'!$AG$11:$AG$1010,$B259)="","",INDEX('Work Orders'!$AG$11:$AG$1010,$B259)))</f>
        <v/>
      </c>
      <c r="L259" s="44">
        <f>IF($B259="","",IF(INDEX('Work Orders'!$AH$11:$AH$1010,$B259)="","",INDEX('Work Orders'!$AH$11:$AH$1010,$B259)))</f>
        <v/>
      </c>
      <c r="M259" s="46">
        <f>IF($B259="","",IF(INDEX('Work Orders'!$AM$11:$AM$1010,$B259)="","",INDEX('Work Orders'!$AM$11:$AM$1010,$B259)))</f>
        <v/>
      </c>
      <c r="N259" s="43">
        <f>IF($B259="","",IF(INDEX('Work Orders'!$AL$11:$AL$1010,$B259)="","",INDEX('Work Orders'!$AL$11:$AL$1010,$B259)))</f>
        <v/>
      </c>
      <c r="O259" s="43">
        <f>IF($B259="","",IF(INDEX('Work Orders'!$N$11:$N$1010,$B259)="","",INDEX('Work Orders'!$N$11:$N$1010,$B259)))</f>
        <v/>
      </c>
    </row>
    <row r="260">
      <c r="A260" s="68" t="n">
        <v>254</v>
      </c>
      <c r="B260">
        <f>IFERROR(MATCH(A260,'Work Orders'!$AO$11:$AO$1010,0),"")</f>
        <v/>
      </c>
      <c r="C260" s="43">
        <f>IF($B260="","",IF(INDEX('Work Orders'!$A$11:$A$1010,$B260)="","",INDEX('Work Orders'!$A$11:$A$1010,$B260)))</f>
        <v/>
      </c>
      <c r="D260" s="43">
        <f>IF($B260="","",IF(INDEX('Work Orders'!$B$11:$B$1010,$B260)="","",INDEX('Work Orders'!$B$11:$B$1010,$B260)))</f>
        <v/>
      </c>
      <c r="E260" s="43">
        <f>IF($B260="","",IF(INDEX('Work Orders'!$D$11:$D$1010,$B260)="","",INDEX('Work Orders'!$D$11:$D$1010,$B260)))</f>
        <v/>
      </c>
      <c r="F260" s="43">
        <f>IF($B260="","",IF(INDEX('Work Orders'!$Q$11:$Q$1010,$B260)="","",INDEX('Work Orders'!$Q$11:$Q$1010,$B260)))</f>
        <v/>
      </c>
      <c r="G260" s="43">
        <f>IF($B260="","",IF(INDEX('Work Orders'!$V$11:$V$1010,$B260)="","",INDEX('Work Orders'!$V$11:$V$1010,$B260)))</f>
        <v/>
      </c>
      <c r="H260" s="47">
        <f>IF($B260="","",IF(INDEX('Work Orders'!$U$11:$U$1010,$B260)="","",INDEX('Work Orders'!$U$11:$U$1010,$B260)))</f>
        <v/>
      </c>
      <c r="I260" s="47">
        <f>IF($B260="","",IF(INDEX('Work Orders'!$X$11:$X$1010,$B260)="","",INDEX('Work Orders'!$X$11:$X$1010,$B260)))</f>
        <v/>
      </c>
      <c r="J260" s="44">
        <f>IF($B260="","",IF(INDEX('Work Orders'!$Z$11:$Z$1010,$B260)="","",INDEX('Work Orders'!$Z$11:$Z$1010,$B260)))</f>
        <v/>
      </c>
      <c r="K260" s="44">
        <f>IF($B260="","",IF(INDEX('Work Orders'!$AG$11:$AG$1010,$B260)="","",INDEX('Work Orders'!$AG$11:$AG$1010,$B260)))</f>
        <v/>
      </c>
      <c r="L260" s="44">
        <f>IF($B260="","",IF(INDEX('Work Orders'!$AH$11:$AH$1010,$B260)="","",INDEX('Work Orders'!$AH$11:$AH$1010,$B260)))</f>
        <v/>
      </c>
      <c r="M260" s="46">
        <f>IF($B260="","",IF(INDEX('Work Orders'!$AM$11:$AM$1010,$B260)="","",INDEX('Work Orders'!$AM$11:$AM$1010,$B260)))</f>
        <v/>
      </c>
      <c r="N260" s="43">
        <f>IF($B260="","",IF(INDEX('Work Orders'!$AL$11:$AL$1010,$B260)="","",INDEX('Work Orders'!$AL$11:$AL$1010,$B260)))</f>
        <v/>
      </c>
      <c r="O260" s="43">
        <f>IF($B260="","",IF(INDEX('Work Orders'!$N$11:$N$1010,$B260)="","",INDEX('Work Orders'!$N$11:$N$1010,$B260)))</f>
        <v/>
      </c>
    </row>
    <row r="261">
      <c r="A261" s="68" t="n">
        <v>255</v>
      </c>
      <c r="B261">
        <f>IFERROR(MATCH(A261,'Work Orders'!$AO$11:$AO$1010,0),"")</f>
        <v/>
      </c>
      <c r="C261" s="43">
        <f>IF($B261="","",IF(INDEX('Work Orders'!$A$11:$A$1010,$B261)="","",INDEX('Work Orders'!$A$11:$A$1010,$B261)))</f>
        <v/>
      </c>
      <c r="D261" s="43">
        <f>IF($B261="","",IF(INDEX('Work Orders'!$B$11:$B$1010,$B261)="","",INDEX('Work Orders'!$B$11:$B$1010,$B261)))</f>
        <v/>
      </c>
      <c r="E261" s="43">
        <f>IF($B261="","",IF(INDEX('Work Orders'!$D$11:$D$1010,$B261)="","",INDEX('Work Orders'!$D$11:$D$1010,$B261)))</f>
        <v/>
      </c>
      <c r="F261" s="43">
        <f>IF($B261="","",IF(INDEX('Work Orders'!$Q$11:$Q$1010,$B261)="","",INDEX('Work Orders'!$Q$11:$Q$1010,$B261)))</f>
        <v/>
      </c>
      <c r="G261" s="43">
        <f>IF($B261="","",IF(INDEX('Work Orders'!$V$11:$V$1010,$B261)="","",INDEX('Work Orders'!$V$11:$V$1010,$B261)))</f>
        <v/>
      </c>
      <c r="H261" s="47">
        <f>IF($B261="","",IF(INDEX('Work Orders'!$U$11:$U$1010,$B261)="","",INDEX('Work Orders'!$U$11:$U$1010,$B261)))</f>
        <v/>
      </c>
      <c r="I261" s="47">
        <f>IF($B261="","",IF(INDEX('Work Orders'!$X$11:$X$1010,$B261)="","",INDEX('Work Orders'!$X$11:$X$1010,$B261)))</f>
        <v/>
      </c>
      <c r="J261" s="44">
        <f>IF($B261="","",IF(INDEX('Work Orders'!$Z$11:$Z$1010,$B261)="","",INDEX('Work Orders'!$Z$11:$Z$1010,$B261)))</f>
        <v/>
      </c>
      <c r="K261" s="44">
        <f>IF($B261="","",IF(INDEX('Work Orders'!$AG$11:$AG$1010,$B261)="","",INDEX('Work Orders'!$AG$11:$AG$1010,$B261)))</f>
        <v/>
      </c>
      <c r="L261" s="44">
        <f>IF($B261="","",IF(INDEX('Work Orders'!$AH$11:$AH$1010,$B261)="","",INDEX('Work Orders'!$AH$11:$AH$1010,$B261)))</f>
        <v/>
      </c>
      <c r="M261" s="46">
        <f>IF($B261="","",IF(INDEX('Work Orders'!$AM$11:$AM$1010,$B261)="","",INDEX('Work Orders'!$AM$11:$AM$1010,$B261)))</f>
        <v/>
      </c>
      <c r="N261" s="43">
        <f>IF($B261="","",IF(INDEX('Work Orders'!$AL$11:$AL$1010,$B261)="","",INDEX('Work Orders'!$AL$11:$AL$1010,$B261)))</f>
        <v/>
      </c>
      <c r="O261" s="43">
        <f>IF($B261="","",IF(INDEX('Work Orders'!$N$11:$N$1010,$B261)="","",INDEX('Work Orders'!$N$11:$N$1010,$B261)))</f>
        <v/>
      </c>
    </row>
    <row r="262">
      <c r="A262" s="68" t="n">
        <v>256</v>
      </c>
      <c r="B262">
        <f>IFERROR(MATCH(A262,'Work Orders'!$AO$11:$AO$1010,0),"")</f>
        <v/>
      </c>
      <c r="C262" s="43">
        <f>IF($B262="","",IF(INDEX('Work Orders'!$A$11:$A$1010,$B262)="","",INDEX('Work Orders'!$A$11:$A$1010,$B262)))</f>
        <v/>
      </c>
      <c r="D262" s="43">
        <f>IF($B262="","",IF(INDEX('Work Orders'!$B$11:$B$1010,$B262)="","",INDEX('Work Orders'!$B$11:$B$1010,$B262)))</f>
        <v/>
      </c>
      <c r="E262" s="43">
        <f>IF($B262="","",IF(INDEX('Work Orders'!$D$11:$D$1010,$B262)="","",INDEX('Work Orders'!$D$11:$D$1010,$B262)))</f>
        <v/>
      </c>
      <c r="F262" s="43">
        <f>IF($B262="","",IF(INDEX('Work Orders'!$Q$11:$Q$1010,$B262)="","",INDEX('Work Orders'!$Q$11:$Q$1010,$B262)))</f>
        <v/>
      </c>
      <c r="G262" s="43">
        <f>IF($B262="","",IF(INDEX('Work Orders'!$V$11:$V$1010,$B262)="","",INDEX('Work Orders'!$V$11:$V$1010,$B262)))</f>
        <v/>
      </c>
      <c r="H262" s="47">
        <f>IF($B262="","",IF(INDEX('Work Orders'!$U$11:$U$1010,$B262)="","",INDEX('Work Orders'!$U$11:$U$1010,$B262)))</f>
        <v/>
      </c>
      <c r="I262" s="47">
        <f>IF($B262="","",IF(INDEX('Work Orders'!$X$11:$X$1010,$B262)="","",INDEX('Work Orders'!$X$11:$X$1010,$B262)))</f>
        <v/>
      </c>
      <c r="J262" s="44">
        <f>IF($B262="","",IF(INDEX('Work Orders'!$Z$11:$Z$1010,$B262)="","",INDEX('Work Orders'!$Z$11:$Z$1010,$B262)))</f>
        <v/>
      </c>
      <c r="K262" s="44">
        <f>IF($B262="","",IF(INDEX('Work Orders'!$AG$11:$AG$1010,$B262)="","",INDEX('Work Orders'!$AG$11:$AG$1010,$B262)))</f>
        <v/>
      </c>
      <c r="L262" s="44">
        <f>IF($B262="","",IF(INDEX('Work Orders'!$AH$11:$AH$1010,$B262)="","",INDEX('Work Orders'!$AH$11:$AH$1010,$B262)))</f>
        <v/>
      </c>
      <c r="M262" s="46">
        <f>IF($B262="","",IF(INDEX('Work Orders'!$AM$11:$AM$1010,$B262)="","",INDEX('Work Orders'!$AM$11:$AM$1010,$B262)))</f>
        <v/>
      </c>
      <c r="N262" s="43">
        <f>IF($B262="","",IF(INDEX('Work Orders'!$AL$11:$AL$1010,$B262)="","",INDEX('Work Orders'!$AL$11:$AL$1010,$B262)))</f>
        <v/>
      </c>
      <c r="O262" s="43">
        <f>IF($B262="","",IF(INDEX('Work Orders'!$N$11:$N$1010,$B262)="","",INDEX('Work Orders'!$N$11:$N$1010,$B262)))</f>
        <v/>
      </c>
    </row>
    <row r="263">
      <c r="A263" s="68" t="n">
        <v>257</v>
      </c>
      <c r="B263">
        <f>IFERROR(MATCH(A263,'Work Orders'!$AO$11:$AO$1010,0),"")</f>
        <v/>
      </c>
      <c r="C263" s="43">
        <f>IF($B263="","",IF(INDEX('Work Orders'!$A$11:$A$1010,$B263)="","",INDEX('Work Orders'!$A$11:$A$1010,$B263)))</f>
        <v/>
      </c>
      <c r="D263" s="43">
        <f>IF($B263="","",IF(INDEX('Work Orders'!$B$11:$B$1010,$B263)="","",INDEX('Work Orders'!$B$11:$B$1010,$B263)))</f>
        <v/>
      </c>
      <c r="E263" s="43">
        <f>IF($B263="","",IF(INDEX('Work Orders'!$D$11:$D$1010,$B263)="","",INDEX('Work Orders'!$D$11:$D$1010,$B263)))</f>
        <v/>
      </c>
      <c r="F263" s="43">
        <f>IF($B263="","",IF(INDEX('Work Orders'!$Q$11:$Q$1010,$B263)="","",INDEX('Work Orders'!$Q$11:$Q$1010,$B263)))</f>
        <v/>
      </c>
      <c r="G263" s="43">
        <f>IF($B263="","",IF(INDEX('Work Orders'!$V$11:$V$1010,$B263)="","",INDEX('Work Orders'!$V$11:$V$1010,$B263)))</f>
        <v/>
      </c>
      <c r="H263" s="47">
        <f>IF($B263="","",IF(INDEX('Work Orders'!$U$11:$U$1010,$B263)="","",INDEX('Work Orders'!$U$11:$U$1010,$B263)))</f>
        <v/>
      </c>
      <c r="I263" s="47">
        <f>IF($B263="","",IF(INDEX('Work Orders'!$X$11:$X$1010,$B263)="","",INDEX('Work Orders'!$X$11:$X$1010,$B263)))</f>
        <v/>
      </c>
      <c r="J263" s="44">
        <f>IF($B263="","",IF(INDEX('Work Orders'!$Z$11:$Z$1010,$B263)="","",INDEX('Work Orders'!$Z$11:$Z$1010,$B263)))</f>
        <v/>
      </c>
      <c r="K263" s="44">
        <f>IF($B263="","",IF(INDEX('Work Orders'!$AG$11:$AG$1010,$B263)="","",INDEX('Work Orders'!$AG$11:$AG$1010,$B263)))</f>
        <v/>
      </c>
      <c r="L263" s="44">
        <f>IF($B263="","",IF(INDEX('Work Orders'!$AH$11:$AH$1010,$B263)="","",INDEX('Work Orders'!$AH$11:$AH$1010,$B263)))</f>
        <v/>
      </c>
      <c r="M263" s="46">
        <f>IF($B263="","",IF(INDEX('Work Orders'!$AM$11:$AM$1010,$B263)="","",INDEX('Work Orders'!$AM$11:$AM$1010,$B263)))</f>
        <v/>
      </c>
      <c r="N263" s="43">
        <f>IF($B263="","",IF(INDEX('Work Orders'!$AL$11:$AL$1010,$B263)="","",INDEX('Work Orders'!$AL$11:$AL$1010,$B263)))</f>
        <v/>
      </c>
      <c r="O263" s="43">
        <f>IF($B263="","",IF(INDEX('Work Orders'!$N$11:$N$1010,$B263)="","",INDEX('Work Orders'!$N$11:$N$1010,$B263)))</f>
        <v/>
      </c>
    </row>
    <row r="264">
      <c r="A264" s="68" t="n">
        <v>258</v>
      </c>
      <c r="B264">
        <f>IFERROR(MATCH(A264,'Work Orders'!$AO$11:$AO$1010,0),"")</f>
        <v/>
      </c>
      <c r="C264" s="43">
        <f>IF($B264="","",IF(INDEX('Work Orders'!$A$11:$A$1010,$B264)="","",INDEX('Work Orders'!$A$11:$A$1010,$B264)))</f>
        <v/>
      </c>
      <c r="D264" s="43">
        <f>IF($B264="","",IF(INDEX('Work Orders'!$B$11:$B$1010,$B264)="","",INDEX('Work Orders'!$B$11:$B$1010,$B264)))</f>
        <v/>
      </c>
      <c r="E264" s="43">
        <f>IF($B264="","",IF(INDEX('Work Orders'!$D$11:$D$1010,$B264)="","",INDEX('Work Orders'!$D$11:$D$1010,$B264)))</f>
        <v/>
      </c>
      <c r="F264" s="43">
        <f>IF($B264="","",IF(INDEX('Work Orders'!$Q$11:$Q$1010,$B264)="","",INDEX('Work Orders'!$Q$11:$Q$1010,$B264)))</f>
        <v/>
      </c>
      <c r="G264" s="43">
        <f>IF($B264="","",IF(INDEX('Work Orders'!$V$11:$V$1010,$B264)="","",INDEX('Work Orders'!$V$11:$V$1010,$B264)))</f>
        <v/>
      </c>
      <c r="H264" s="47">
        <f>IF($B264="","",IF(INDEX('Work Orders'!$U$11:$U$1010,$B264)="","",INDEX('Work Orders'!$U$11:$U$1010,$B264)))</f>
        <v/>
      </c>
      <c r="I264" s="47">
        <f>IF($B264="","",IF(INDEX('Work Orders'!$X$11:$X$1010,$B264)="","",INDEX('Work Orders'!$X$11:$X$1010,$B264)))</f>
        <v/>
      </c>
      <c r="J264" s="44">
        <f>IF($B264="","",IF(INDEX('Work Orders'!$Z$11:$Z$1010,$B264)="","",INDEX('Work Orders'!$Z$11:$Z$1010,$B264)))</f>
        <v/>
      </c>
      <c r="K264" s="44">
        <f>IF($B264="","",IF(INDEX('Work Orders'!$AG$11:$AG$1010,$B264)="","",INDEX('Work Orders'!$AG$11:$AG$1010,$B264)))</f>
        <v/>
      </c>
      <c r="L264" s="44">
        <f>IF($B264="","",IF(INDEX('Work Orders'!$AH$11:$AH$1010,$B264)="","",INDEX('Work Orders'!$AH$11:$AH$1010,$B264)))</f>
        <v/>
      </c>
      <c r="M264" s="46">
        <f>IF($B264="","",IF(INDEX('Work Orders'!$AM$11:$AM$1010,$B264)="","",INDEX('Work Orders'!$AM$11:$AM$1010,$B264)))</f>
        <v/>
      </c>
      <c r="N264" s="43">
        <f>IF($B264="","",IF(INDEX('Work Orders'!$AL$11:$AL$1010,$B264)="","",INDEX('Work Orders'!$AL$11:$AL$1010,$B264)))</f>
        <v/>
      </c>
      <c r="O264" s="43">
        <f>IF($B264="","",IF(INDEX('Work Orders'!$N$11:$N$1010,$B264)="","",INDEX('Work Orders'!$N$11:$N$1010,$B264)))</f>
        <v/>
      </c>
    </row>
    <row r="265">
      <c r="A265" s="68" t="n">
        <v>259</v>
      </c>
      <c r="B265">
        <f>IFERROR(MATCH(A265,'Work Orders'!$AO$11:$AO$1010,0),"")</f>
        <v/>
      </c>
      <c r="C265" s="43">
        <f>IF($B265="","",IF(INDEX('Work Orders'!$A$11:$A$1010,$B265)="","",INDEX('Work Orders'!$A$11:$A$1010,$B265)))</f>
        <v/>
      </c>
      <c r="D265" s="43">
        <f>IF($B265="","",IF(INDEX('Work Orders'!$B$11:$B$1010,$B265)="","",INDEX('Work Orders'!$B$11:$B$1010,$B265)))</f>
        <v/>
      </c>
      <c r="E265" s="43">
        <f>IF($B265="","",IF(INDEX('Work Orders'!$D$11:$D$1010,$B265)="","",INDEX('Work Orders'!$D$11:$D$1010,$B265)))</f>
        <v/>
      </c>
      <c r="F265" s="43">
        <f>IF($B265="","",IF(INDEX('Work Orders'!$Q$11:$Q$1010,$B265)="","",INDEX('Work Orders'!$Q$11:$Q$1010,$B265)))</f>
        <v/>
      </c>
      <c r="G265" s="43">
        <f>IF($B265="","",IF(INDEX('Work Orders'!$V$11:$V$1010,$B265)="","",INDEX('Work Orders'!$V$11:$V$1010,$B265)))</f>
        <v/>
      </c>
      <c r="H265" s="47">
        <f>IF($B265="","",IF(INDEX('Work Orders'!$U$11:$U$1010,$B265)="","",INDEX('Work Orders'!$U$11:$U$1010,$B265)))</f>
        <v/>
      </c>
      <c r="I265" s="47">
        <f>IF($B265="","",IF(INDEX('Work Orders'!$X$11:$X$1010,$B265)="","",INDEX('Work Orders'!$X$11:$X$1010,$B265)))</f>
        <v/>
      </c>
      <c r="J265" s="44">
        <f>IF($B265="","",IF(INDEX('Work Orders'!$Z$11:$Z$1010,$B265)="","",INDEX('Work Orders'!$Z$11:$Z$1010,$B265)))</f>
        <v/>
      </c>
      <c r="K265" s="44">
        <f>IF($B265="","",IF(INDEX('Work Orders'!$AG$11:$AG$1010,$B265)="","",INDEX('Work Orders'!$AG$11:$AG$1010,$B265)))</f>
        <v/>
      </c>
      <c r="L265" s="44">
        <f>IF($B265="","",IF(INDEX('Work Orders'!$AH$11:$AH$1010,$B265)="","",INDEX('Work Orders'!$AH$11:$AH$1010,$B265)))</f>
        <v/>
      </c>
      <c r="M265" s="46">
        <f>IF($B265="","",IF(INDEX('Work Orders'!$AM$11:$AM$1010,$B265)="","",INDEX('Work Orders'!$AM$11:$AM$1010,$B265)))</f>
        <v/>
      </c>
      <c r="N265" s="43">
        <f>IF($B265="","",IF(INDEX('Work Orders'!$AL$11:$AL$1010,$B265)="","",INDEX('Work Orders'!$AL$11:$AL$1010,$B265)))</f>
        <v/>
      </c>
      <c r="O265" s="43">
        <f>IF($B265="","",IF(INDEX('Work Orders'!$N$11:$N$1010,$B265)="","",INDEX('Work Orders'!$N$11:$N$1010,$B265)))</f>
        <v/>
      </c>
    </row>
    <row r="266">
      <c r="A266" s="68" t="n">
        <v>260</v>
      </c>
      <c r="B266">
        <f>IFERROR(MATCH(A266,'Work Orders'!$AO$11:$AO$1010,0),"")</f>
        <v/>
      </c>
      <c r="C266" s="43">
        <f>IF($B266="","",IF(INDEX('Work Orders'!$A$11:$A$1010,$B266)="","",INDEX('Work Orders'!$A$11:$A$1010,$B266)))</f>
        <v/>
      </c>
      <c r="D266" s="43">
        <f>IF($B266="","",IF(INDEX('Work Orders'!$B$11:$B$1010,$B266)="","",INDEX('Work Orders'!$B$11:$B$1010,$B266)))</f>
        <v/>
      </c>
      <c r="E266" s="43">
        <f>IF($B266="","",IF(INDEX('Work Orders'!$D$11:$D$1010,$B266)="","",INDEX('Work Orders'!$D$11:$D$1010,$B266)))</f>
        <v/>
      </c>
      <c r="F266" s="43">
        <f>IF($B266="","",IF(INDEX('Work Orders'!$Q$11:$Q$1010,$B266)="","",INDEX('Work Orders'!$Q$11:$Q$1010,$B266)))</f>
        <v/>
      </c>
      <c r="G266" s="43">
        <f>IF($B266="","",IF(INDEX('Work Orders'!$V$11:$V$1010,$B266)="","",INDEX('Work Orders'!$V$11:$V$1010,$B266)))</f>
        <v/>
      </c>
      <c r="H266" s="47">
        <f>IF($B266="","",IF(INDEX('Work Orders'!$U$11:$U$1010,$B266)="","",INDEX('Work Orders'!$U$11:$U$1010,$B266)))</f>
        <v/>
      </c>
      <c r="I266" s="47">
        <f>IF($B266="","",IF(INDEX('Work Orders'!$X$11:$X$1010,$B266)="","",INDEX('Work Orders'!$X$11:$X$1010,$B266)))</f>
        <v/>
      </c>
      <c r="J266" s="44">
        <f>IF($B266="","",IF(INDEX('Work Orders'!$Z$11:$Z$1010,$B266)="","",INDEX('Work Orders'!$Z$11:$Z$1010,$B266)))</f>
        <v/>
      </c>
      <c r="K266" s="44">
        <f>IF($B266="","",IF(INDEX('Work Orders'!$AG$11:$AG$1010,$B266)="","",INDEX('Work Orders'!$AG$11:$AG$1010,$B266)))</f>
        <v/>
      </c>
      <c r="L266" s="44">
        <f>IF($B266="","",IF(INDEX('Work Orders'!$AH$11:$AH$1010,$B266)="","",INDEX('Work Orders'!$AH$11:$AH$1010,$B266)))</f>
        <v/>
      </c>
      <c r="M266" s="46">
        <f>IF($B266="","",IF(INDEX('Work Orders'!$AM$11:$AM$1010,$B266)="","",INDEX('Work Orders'!$AM$11:$AM$1010,$B266)))</f>
        <v/>
      </c>
      <c r="N266" s="43">
        <f>IF($B266="","",IF(INDEX('Work Orders'!$AL$11:$AL$1010,$B266)="","",INDEX('Work Orders'!$AL$11:$AL$1010,$B266)))</f>
        <v/>
      </c>
      <c r="O266" s="43">
        <f>IF($B266="","",IF(INDEX('Work Orders'!$N$11:$N$1010,$B266)="","",INDEX('Work Orders'!$N$11:$N$1010,$B266)))</f>
        <v/>
      </c>
    </row>
    <row r="267">
      <c r="A267" s="68" t="n">
        <v>261</v>
      </c>
      <c r="B267">
        <f>IFERROR(MATCH(A267,'Work Orders'!$AO$11:$AO$1010,0),"")</f>
        <v/>
      </c>
      <c r="C267" s="43">
        <f>IF($B267="","",IF(INDEX('Work Orders'!$A$11:$A$1010,$B267)="","",INDEX('Work Orders'!$A$11:$A$1010,$B267)))</f>
        <v/>
      </c>
      <c r="D267" s="43">
        <f>IF($B267="","",IF(INDEX('Work Orders'!$B$11:$B$1010,$B267)="","",INDEX('Work Orders'!$B$11:$B$1010,$B267)))</f>
        <v/>
      </c>
      <c r="E267" s="43">
        <f>IF($B267="","",IF(INDEX('Work Orders'!$D$11:$D$1010,$B267)="","",INDEX('Work Orders'!$D$11:$D$1010,$B267)))</f>
        <v/>
      </c>
      <c r="F267" s="43">
        <f>IF($B267="","",IF(INDEX('Work Orders'!$Q$11:$Q$1010,$B267)="","",INDEX('Work Orders'!$Q$11:$Q$1010,$B267)))</f>
        <v/>
      </c>
      <c r="G267" s="43">
        <f>IF($B267="","",IF(INDEX('Work Orders'!$V$11:$V$1010,$B267)="","",INDEX('Work Orders'!$V$11:$V$1010,$B267)))</f>
        <v/>
      </c>
      <c r="H267" s="47">
        <f>IF($B267="","",IF(INDEX('Work Orders'!$U$11:$U$1010,$B267)="","",INDEX('Work Orders'!$U$11:$U$1010,$B267)))</f>
        <v/>
      </c>
      <c r="I267" s="47">
        <f>IF($B267="","",IF(INDEX('Work Orders'!$X$11:$X$1010,$B267)="","",INDEX('Work Orders'!$X$11:$X$1010,$B267)))</f>
        <v/>
      </c>
      <c r="J267" s="44">
        <f>IF($B267="","",IF(INDEX('Work Orders'!$Z$11:$Z$1010,$B267)="","",INDEX('Work Orders'!$Z$11:$Z$1010,$B267)))</f>
        <v/>
      </c>
      <c r="K267" s="44">
        <f>IF($B267="","",IF(INDEX('Work Orders'!$AG$11:$AG$1010,$B267)="","",INDEX('Work Orders'!$AG$11:$AG$1010,$B267)))</f>
        <v/>
      </c>
      <c r="L267" s="44">
        <f>IF($B267="","",IF(INDEX('Work Orders'!$AH$11:$AH$1010,$B267)="","",INDEX('Work Orders'!$AH$11:$AH$1010,$B267)))</f>
        <v/>
      </c>
      <c r="M267" s="46">
        <f>IF($B267="","",IF(INDEX('Work Orders'!$AM$11:$AM$1010,$B267)="","",INDEX('Work Orders'!$AM$11:$AM$1010,$B267)))</f>
        <v/>
      </c>
      <c r="N267" s="43">
        <f>IF($B267="","",IF(INDEX('Work Orders'!$AL$11:$AL$1010,$B267)="","",INDEX('Work Orders'!$AL$11:$AL$1010,$B267)))</f>
        <v/>
      </c>
      <c r="O267" s="43">
        <f>IF($B267="","",IF(INDEX('Work Orders'!$N$11:$N$1010,$B267)="","",INDEX('Work Orders'!$N$11:$N$1010,$B267)))</f>
        <v/>
      </c>
    </row>
    <row r="268">
      <c r="A268" s="68" t="n">
        <v>262</v>
      </c>
      <c r="B268">
        <f>IFERROR(MATCH(A268,'Work Orders'!$AO$11:$AO$1010,0),"")</f>
        <v/>
      </c>
      <c r="C268" s="43">
        <f>IF($B268="","",IF(INDEX('Work Orders'!$A$11:$A$1010,$B268)="","",INDEX('Work Orders'!$A$11:$A$1010,$B268)))</f>
        <v/>
      </c>
      <c r="D268" s="43">
        <f>IF($B268="","",IF(INDEX('Work Orders'!$B$11:$B$1010,$B268)="","",INDEX('Work Orders'!$B$11:$B$1010,$B268)))</f>
        <v/>
      </c>
      <c r="E268" s="43">
        <f>IF($B268="","",IF(INDEX('Work Orders'!$D$11:$D$1010,$B268)="","",INDEX('Work Orders'!$D$11:$D$1010,$B268)))</f>
        <v/>
      </c>
      <c r="F268" s="43">
        <f>IF($B268="","",IF(INDEX('Work Orders'!$Q$11:$Q$1010,$B268)="","",INDEX('Work Orders'!$Q$11:$Q$1010,$B268)))</f>
        <v/>
      </c>
      <c r="G268" s="43">
        <f>IF($B268="","",IF(INDEX('Work Orders'!$V$11:$V$1010,$B268)="","",INDEX('Work Orders'!$V$11:$V$1010,$B268)))</f>
        <v/>
      </c>
      <c r="H268" s="47">
        <f>IF($B268="","",IF(INDEX('Work Orders'!$U$11:$U$1010,$B268)="","",INDEX('Work Orders'!$U$11:$U$1010,$B268)))</f>
        <v/>
      </c>
      <c r="I268" s="47">
        <f>IF($B268="","",IF(INDEX('Work Orders'!$X$11:$X$1010,$B268)="","",INDEX('Work Orders'!$X$11:$X$1010,$B268)))</f>
        <v/>
      </c>
      <c r="J268" s="44">
        <f>IF($B268="","",IF(INDEX('Work Orders'!$Z$11:$Z$1010,$B268)="","",INDEX('Work Orders'!$Z$11:$Z$1010,$B268)))</f>
        <v/>
      </c>
      <c r="K268" s="44">
        <f>IF($B268="","",IF(INDEX('Work Orders'!$AG$11:$AG$1010,$B268)="","",INDEX('Work Orders'!$AG$11:$AG$1010,$B268)))</f>
        <v/>
      </c>
      <c r="L268" s="44">
        <f>IF($B268="","",IF(INDEX('Work Orders'!$AH$11:$AH$1010,$B268)="","",INDEX('Work Orders'!$AH$11:$AH$1010,$B268)))</f>
        <v/>
      </c>
      <c r="M268" s="46">
        <f>IF($B268="","",IF(INDEX('Work Orders'!$AM$11:$AM$1010,$B268)="","",INDEX('Work Orders'!$AM$11:$AM$1010,$B268)))</f>
        <v/>
      </c>
      <c r="N268" s="43">
        <f>IF($B268="","",IF(INDEX('Work Orders'!$AL$11:$AL$1010,$B268)="","",INDEX('Work Orders'!$AL$11:$AL$1010,$B268)))</f>
        <v/>
      </c>
      <c r="O268" s="43">
        <f>IF($B268="","",IF(INDEX('Work Orders'!$N$11:$N$1010,$B268)="","",INDEX('Work Orders'!$N$11:$N$1010,$B268)))</f>
        <v/>
      </c>
    </row>
    <row r="269">
      <c r="A269" s="68" t="n">
        <v>263</v>
      </c>
      <c r="B269">
        <f>IFERROR(MATCH(A269,'Work Orders'!$AO$11:$AO$1010,0),"")</f>
        <v/>
      </c>
      <c r="C269" s="43">
        <f>IF($B269="","",IF(INDEX('Work Orders'!$A$11:$A$1010,$B269)="","",INDEX('Work Orders'!$A$11:$A$1010,$B269)))</f>
        <v/>
      </c>
      <c r="D269" s="43">
        <f>IF($B269="","",IF(INDEX('Work Orders'!$B$11:$B$1010,$B269)="","",INDEX('Work Orders'!$B$11:$B$1010,$B269)))</f>
        <v/>
      </c>
      <c r="E269" s="43">
        <f>IF($B269="","",IF(INDEX('Work Orders'!$D$11:$D$1010,$B269)="","",INDEX('Work Orders'!$D$11:$D$1010,$B269)))</f>
        <v/>
      </c>
      <c r="F269" s="43">
        <f>IF($B269="","",IF(INDEX('Work Orders'!$Q$11:$Q$1010,$B269)="","",INDEX('Work Orders'!$Q$11:$Q$1010,$B269)))</f>
        <v/>
      </c>
      <c r="G269" s="43">
        <f>IF($B269="","",IF(INDEX('Work Orders'!$V$11:$V$1010,$B269)="","",INDEX('Work Orders'!$V$11:$V$1010,$B269)))</f>
        <v/>
      </c>
      <c r="H269" s="47">
        <f>IF($B269="","",IF(INDEX('Work Orders'!$U$11:$U$1010,$B269)="","",INDEX('Work Orders'!$U$11:$U$1010,$B269)))</f>
        <v/>
      </c>
      <c r="I269" s="47">
        <f>IF($B269="","",IF(INDEX('Work Orders'!$X$11:$X$1010,$B269)="","",INDEX('Work Orders'!$X$11:$X$1010,$B269)))</f>
        <v/>
      </c>
      <c r="J269" s="44">
        <f>IF($B269="","",IF(INDEX('Work Orders'!$Z$11:$Z$1010,$B269)="","",INDEX('Work Orders'!$Z$11:$Z$1010,$B269)))</f>
        <v/>
      </c>
      <c r="K269" s="44">
        <f>IF($B269="","",IF(INDEX('Work Orders'!$AG$11:$AG$1010,$B269)="","",INDEX('Work Orders'!$AG$11:$AG$1010,$B269)))</f>
        <v/>
      </c>
      <c r="L269" s="44">
        <f>IF($B269="","",IF(INDEX('Work Orders'!$AH$11:$AH$1010,$B269)="","",INDEX('Work Orders'!$AH$11:$AH$1010,$B269)))</f>
        <v/>
      </c>
      <c r="M269" s="46">
        <f>IF($B269="","",IF(INDEX('Work Orders'!$AM$11:$AM$1010,$B269)="","",INDEX('Work Orders'!$AM$11:$AM$1010,$B269)))</f>
        <v/>
      </c>
      <c r="N269" s="43">
        <f>IF($B269="","",IF(INDEX('Work Orders'!$AL$11:$AL$1010,$B269)="","",INDEX('Work Orders'!$AL$11:$AL$1010,$B269)))</f>
        <v/>
      </c>
      <c r="O269" s="43">
        <f>IF($B269="","",IF(INDEX('Work Orders'!$N$11:$N$1010,$B269)="","",INDEX('Work Orders'!$N$11:$N$1010,$B269)))</f>
        <v/>
      </c>
    </row>
    <row r="270">
      <c r="A270" s="68" t="n">
        <v>264</v>
      </c>
      <c r="B270">
        <f>IFERROR(MATCH(A270,'Work Orders'!$AO$11:$AO$1010,0),"")</f>
        <v/>
      </c>
      <c r="C270" s="43">
        <f>IF($B270="","",IF(INDEX('Work Orders'!$A$11:$A$1010,$B270)="","",INDEX('Work Orders'!$A$11:$A$1010,$B270)))</f>
        <v/>
      </c>
      <c r="D270" s="43">
        <f>IF($B270="","",IF(INDEX('Work Orders'!$B$11:$B$1010,$B270)="","",INDEX('Work Orders'!$B$11:$B$1010,$B270)))</f>
        <v/>
      </c>
      <c r="E270" s="43">
        <f>IF($B270="","",IF(INDEX('Work Orders'!$D$11:$D$1010,$B270)="","",INDEX('Work Orders'!$D$11:$D$1010,$B270)))</f>
        <v/>
      </c>
      <c r="F270" s="43">
        <f>IF($B270="","",IF(INDEX('Work Orders'!$Q$11:$Q$1010,$B270)="","",INDEX('Work Orders'!$Q$11:$Q$1010,$B270)))</f>
        <v/>
      </c>
      <c r="G270" s="43">
        <f>IF($B270="","",IF(INDEX('Work Orders'!$V$11:$V$1010,$B270)="","",INDEX('Work Orders'!$V$11:$V$1010,$B270)))</f>
        <v/>
      </c>
      <c r="H270" s="47">
        <f>IF($B270="","",IF(INDEX('Work Orders'!$U$11:$U$1010,$B270)="","",INDEX('Work Orders'!$U$11:$U$1010,$B270)))</f>
        <v/>
      </c>
      <c r="I270" s="47">
        <f>IF($B270="","",IF(INDEX('Work Orders'!$X$11:$X$1010,$B270)="","",INDEX('Work Orders'!$X$11:$X$1010,$B270)))</f>
        <v/>
      </c>
      <c r="J270" s="44">
        <f>IF($B270="","",IF(INDEX('Work Orders'!$Z$11:$Z$1010,$B270)="","",INDEX('Work Orders'!$Z$11:$Z$1010,$B270)))</f>
        <v/>
      </c>
      <c r="K270" s="44">
        <f>IF($B270="","",IF(INDEX('Work Orders'!$AG$11:$AG$1010,$B270)="","",INDEX('Work Orders'!$AG$11:$AG$1010,$B270)))</f>
        <v/>
      </c>
      <c r="L270" s="44">
        <f>IF($B270="","",IF(INDEX('Work Orders'!$AH$11:$AH$1010,$B270)="","",INDEX('Work Orders'!$AH$11:$AH$1010,$B270)))</f>
        <v/>
      </c>
      <c r="M270" s="46">
        <f>IF($B270="","",IF(INDEX('Work Orders'!$AM$11:$AM$1010,$B270)="","",INDEX('Work Orders'!$AM$11:$AM$1010,$B270)))</f>
        <v/>
      </c>
      <c r="N270" s="43">
        <f>IF($B270="","",IF(INDEX('Work Orders'!$AL$11:$AL$1010,$B270)="","",INDEX('Work Orders'!$AL$11:$AL$1010,$B270)))</f>
        <v/>
      </c>
      <c r="O270" s="43">
        <f>IF($B270="","",IF(INDEX('Work Orders'!$N$11:$N$1010,$B270)="","",INDEX('Work Orders'!$N$11:$N$1010,$B270)))</f>
        <v/>
      </c>
    </row>
    <row r="271">
      <c r="A271" s="68" t="n">
        <v>265</v>
      </c>
      <c r="B271">
        <f>IFERROR(MATCH(A271,'Work Orders'!$AO$11:$AO$1010,0),"")</f>
        <v/>
      </c>
      <c r="C271" s="43">
        <f>IF($B271="","",IF(INDEX('Work Orders'!$A$11:$A$1010,$B271)="","",INDEX('Work Orders'!$A$11:$A$1010,$B271)))</f>
        <v/>
      </c>
      <c r="D271" s="43">
        <f>IF($B271="","",IF(INDEX('Work Orders'!$B$11:$B$1010,$B271)="","",INDEX('Work Orders'!$B$11:$B$1010,$B271)))</f>
        <v/>
      </c>
      <c r="E271" s="43">
        <f>IF($B271="","",IF(INDEX('Work Orders'!$D$11:$D$1010,$B271)="","",INDEX('Work Orders'!$D$11:$D$1010,$B271)))</f>
        <v/>
      </c>
      <c r="F271" s="43">
        <f>IF($B271="","",IF(INDEX('Work Orders'!$Q$11:$Q$1010,$B271)="","",INDEX('Work Orders'!$Q$11:$Q$1010,$B271)))</f>
        <v/>
      </c>
      <c r="G271" s="43">
        <f>IF($B271="","",IF(INDEX('Work Orders'!$V$11:$V$1010,$B271)="","",INDEX('Work Orders'!$V$11:$V$1010,$B271)))</f>
        <v/>
      </c>
      <c r="H271" s="47">
        <f>IF($B271="","",IF(INDEX('Work Orders'!$U$11:$U$1010,$B271)="","",INDEX('Work Orders'!$U$11:$U$1010,$B271)))</f>
        <v/>
      </c>
      <c r="I271" s="47">
        <f>IF($B271="","",IF(INDEX('Work Orders'!$X$11:$X$1010,$B271)="","",INDEX('Work Orders'!$X$11:$X$1010,$B271)))</f>
        <v/>
      </c>
      <c r="J271" s="44">
        <f>IF($B271="","",IF(INDEX('Work Orders'!$Z$11:$Z$1010,$B271)="","",INDEX('Work Orders'!$Z$11:$Z$1010,$B271)))</f>
        <v/>
      </c>
      <c r="K271" s="44">
        <f>IF($B271="","",IF(INDEX('Work Orders'!$AG$11:$AG$1010,$B271)="","",INDEX('Work Orders'!$AG$11:$AG$1010,$B271)))</f>
        <v/>
      </c>
      <c r="L271" s="44">
        <f>IF($B271="","",IF(INDEX('Work Orders'!$AH$11:$AH$1010,$B271)="","",INDEX('Work Orders'!$AH$11:$AH$1010,$B271)))</f>
        <v/>
      </c>
      <c r="M271" s="46">
        <f>IF($B271="","",IF(INDEX('Work Orders'!$AM$11:$AM$1010,$B271)="","",INDEX('Work Orders'!$AM$11:$AM$1010,$B271)))</f>
        <v/>
      </c>
      <c r="N271" s="43">
        <f>IF($B271="","",IF(INDEX('Work Orders'!$AL$11:$AL$1010,$B271)="","",INDEX('Work Orders'!$AL$11:$AL$1010,$B271)))</f>
        <v/>
      </c>
      <c r="O271" s="43">
        <f>IF($B271="","",IF(INDEX('Work Orders'!$N$11:$N$1010,$B271)="","",INDEX('Work Orders'!$N$11:$N$1010,$B271)))</f>
        <v/>
      </c>
    </row>
    <row r="272">
      <c r="A272" s="68" t="n">
        <v>266</v>
      </c>
      <c r="B272">
        <f>IFERROR(MATCH(A272,'Work Orders'!$AO$11:$AO$1010,0),"")</f>
        <v/>
      </c>
      <c r="C272" s="43">
        <f>IF($B272="","",IF(INDEX('Work Orders'!$A$11:$A$1010,$B272)="","",INDEX('Work Orders'!$A$11:$A$1010,$B272)))</f>
        <v/>
      </c>
      <c r="D272" s="43">
        <f>IF($B272="","",IF(INDEX('Work Orders'!$B$11:$B$1010,$B272)="","",INDEX('Work Orders'!$B$11:$B$1010,$B272)))</f>
        <v/>
      </c>
      <c r="E272" s="43">
        <f>IF($B272="","",IF(INDEX('Work Orders'!$D$11:$D$1010,$B272)="","",INDEX('Work Orders'!$D$11:$D$1010,$B272)))</f>
        <v/>
      </c>
      <c r="F272" s="43">
        <f>IF($B272="","",IF(INDEX('Work Orders'!$Q$11:$Q$1010,$B272)="","",INDEX('Work Orders'!$Q$11:$Q$1010,$B272)))</f>
        <v/>
      </c>
      <c r="G272" s="43">
        <f>IF($B272="","",IF(INDEX('Work Orders'!$V$11:$V$1010,$B272)="","",INDEX('Work Orders'!$V$11:$V$1010,$B272)))</f>
        <v/>
      </c>
      <c r="H272" s="47">
        <f>IF($B272="","",IF(INDEX('Work Orders'!$U$11:$U$1010,$B272)="","",INDEX('Work Orders'!$U$11:$U$1010,$B272)))</f>
        <v/>
      </c>
      <c r="I272" s="47">
        <f>IF($B272="","",IF(INDEX('Work Orders'!$X$11:$X$1010,$B272)="","",INDEX('Work Orders'!$X$11:$X$1010,$B272)))</f>
        <v/>
      </c>
      <c r="J272" s="44">
        <f>IF($B272="","",IF(INDEX('Work Orders'!$Z$11:$Z$1010,$B272)="","",INDEX('Work Orders'!$Z$11:$Z$1010,$B272)))</f>
        <v/>
      </c>
      <c r="K272" s="44">
        <f>IF($B272="","",IF(INDEX('Work Orders'!$AG$11:$AG$1010,$B272)="","",INDEX('Work Orders'!$AG$11:$AG$1010,$B272)))</f>
        <v/>
      </c>
      <c r="L272" s="44">
        <f>IF($B272="","",IF(INDEX('Work Orders'!$AH$11:$AH$1010,$B272)="","",INDEX('Work Orders'!$AH$11:$AH$1010,$B272)))</f>
        <v/>
      </c>
      <c r="M272" s="46">
        <f>IF($B272="","",IF(INDEX('Work Orders'!$AM$11:$AM$1010,$B272)="","",INDEX('Work Orders'!$AM$11:$AM$1010,$B272)))</f>
        <v/>
      </c>
      <c r="N272" s="43">
        <f>IF($B272="","",IF(INDEX('Work Orders'!$AL$11:$AL$1010,$B272)="","",INDEX('Work Orders'!$AL$11:$AL$1010,$B272)))</f>
        <v/>
      </c>
      <c r="O272" s="43">
        <f>IF($B272="","",IF(INDEX('Work Orders'!$N$11:$N$1010,$B272)="","",INDEX('Work Orders'!$N$11:$N$1010,$B272)))</f>
        <v/>
      </c>
    </row>
    <row r="273">
      <c r="A273" s="68" t="n">
        <v>267</v>
      </c>
      <c r="B273">
        <f>IFERROR(MATCH(A273,'Work Orders'!$AO$11:$AO$1010,0),"")</f>
        <v/>
      </c>
      <c r="C273" s="43">
        <f>IF($B273="","",IF(INDEX('Work Orders'!$A$11:$A$1010,$B273)="","",INDEX('Work Orders'!$A$11:$A$1010,$B273)))</f>
        <v/>
      </c>
      <c r="D273" s="43">
        <f>IF($B273="","",IF(INDEX('Work Orders'!$B$11:$B$1010,$B273)="","",INDEX('Work Orders'!$B$11:$B$1010,$B273)))</f>
        <v/>
      </c>
      <c r="E273" s="43">
        <f>IF($B273="","",IF(INDEX('Work Orders'!$D$11:$D$1010,$B273)="","",INDEX('Work Orders'!$D$11:$D$1010,$B273)))</f>
        <v/>
      </c>
      <c r="F273" s="43">
        <f>IF($B273="","",IF(INDEX('Work Orders'!$Q$11:$Q$1010,$B273)="","",INDEX('Work Orders'!$Q$11:$Q$1010,$B273)))</f>
        <v/>
      </c>
      <c r="G273" s="43">
        <f>IF($B273="","",IF(INDEX('Work Orders'!$V$11:$V$1010,$B273)="","",INDEX('Work Orders'!$V$11:$V$1010,$B273)))</f>
        <v/>
      </c>
      <c r="H273" s="47">
        <f>IF($B273="","",IF(INDEX('Work Orders'!$U$11:$U$1010,$B273)="","",INDEX('Work Orders'!$U$11:$U$1010,$B273)))</f>
        <v/>
      </c>
      <c r="I273" s="47">
        <f>IF($B273="","",IF(INDEX('Work Orders'!$X$11:$X$1010,$B273)="","",INDEX('Work Orders'!$X$11:$X$1010,$B273)))</f>
        <v/>
      </c>
      <c r="J273" s="44">
        <f>IF($B273="","",IF(INDEX('Work Orders'!$Z$11:$Z$1010,$B273)="","",INDEX('Work Orders'!$Z$11:$Z$1010,$B273)))</f>
        <v/>
      </c>
      <c r="K273" s="44">
        <f>IF($B273="","",IF(INDEX('Work Orders'!$AG$11:$AG$1010,$B273)="","",INDEX('Work Orders'!$AG$11:$AG$1010,$B273)))</f>
        <v/>
      </c>
      <c r="L273" s="44">
        <f>IF($B273="","",IF(INDEX('Work Orders'!$AH$11:$AH$1010,$B273)="","",INDEX('Work Orders'!$AH$11:$AH$1010,$B273)))</f>
        <v/>
      </c>
      <c r="M273" s="46">
        <f>IF($B273="","",IF(INDEX('Work Orders'!$AM$11:$AM$1010,$B273)="","",INDEX('Work Orders'!$AM$11:$AM$1010,$B273)))</f>
        <v/>
      </c>
      <c r="N273" s="43">
        <f>IF($B273="","",IF(INDEX('Work Orders'!$AL$11:$AL$1010,$B273)="","",INDEX('Work Orders'!$AL$11:$AL$1010,$B273)))</f>
        <v/>
      </c>
      <c r="O273" s="43">
        <f>IF($B273="","",IF(INDEX('Work Orders'!$N$11:$N$1010,$B273)="","",INDEX('Work Orders'!$N$11:$N$1010,$B273)))</f>
        <v/>
      </c>
    </row>
    <row r="274">
      <c r="A274" s="68" t="n">
        <v>268</v>
      </c>
      <c r="B274">
        <f>IFERROR(MATCH(A274,'Work Orders'!$AO$11:$AO$1010,0),"")</f>
        <v/>
      </c>
      <c r="C274" s="43">
        <f>IF($B274="","",IF(INDEX('Work Orders'!$A$11:$A$1010,$B274)="","",INDEX('Work Orders'!$A$11:$A$1010,$B274)))</f>
        <v/>
      </c>
      <c r="D274" s="43">
        <f>IF($B274="","",IF(INDEX('Work Orders'!$B$11:$B$1010,$B274)="","",INDEX('Work Orders'!$B$11:$B$1010,$B274)))</f>
        <v/>
      </c>
      <c r="E274" s="43">
        <f>IF($B274="","",IF(INDEX('Work Orders'!$D$11:$D$1010,$B274)="","",INDEX('Work Orders'!$D$11:$D$1010,$B274)))</f>
        <v/>
      </c>
      <c r="F274" s="43">
        <f>IF($B274="","",IF(INDEX('Work Orders'!$Q$11:$Q$1010,$B274)="","",INDEX('Work Orders'!$Q$11:$Q$1010,$B274)))</f>
        <v/>
      </c>
      <c r="G274" s="43">
        <f>IF($B274="","",IF(INDEX('Work Orders'!$V$11:$V$1010,$B274)="","",INDEX('Work Orders'!$V$11:$V$1010,$B274)))</f>
        <v/>
      </c>
      <c r="H274" s="47">
        <f>IF($B274="","",IF(INDEX('Work Orders'!$U$11:$U$1010,$B274)="","",INDEX('Work Orders'!$U$11:$U$1010,$B274)))</f>
        <v/>
      </c>
      <c r="I274" s="47">
        <f>IF($B274="","",IF(INDEX('Work Orders'!$X$11:$X$1010,$B274)="","",INDEX('Work Orders'!$X$11:$X$1010,$B274)))</f>
        <v/>
      </c>
      <c r="J274" s="44">
        <f>IF($B274="","",IF(INDEX('Work Orders'!$Z$11:$Z$1010,$B274)="","",INDEX('Work Orders'!$Z$11:$Z$1010,$B274)))</f>
        <v/>
      </c>
      <c r="K274" s="44">
        <f>IF($B274="","",IF(INDEX('Work Orders'!$AG$11:$AG$1010,$B274)="","",INDEX('Work Orders'!$AG$11:$AG$1010,$B274)))</f>
        <v/>
      </c>
      <c r="L274" s="44">
        <f>IF($B274="","",IF(INDEX('Work Orders'!$AH$11:$AH$1010,$B274)="","",INDEX('Work Orders'!$AH$11:$AH$1010,$B274)))</f>
        <v/>
      </c>
      <c r="M274" s="46">
        <f>IF($B274="","",IF(INDEX('Work Orders'!$AM$11:$AM$1010,$B274)="","",INDEX('Work Orders'!$AM$11:$AM$1010,$B274)))</f>
        <v/>
      </c>
      <c r="N274" s="43">
        <f>IF($B274="","",IF(INDEX('Work Orders'!$AL$11:$AL$1010,$B274)="","",INDEX('Work Orders'!$AL$11:$AL$1010,$B274)))</f>
        <v/>
      </c>
      <c r="O274" s="43">
        <f>IF($B274="","",IF(INDEX('Work Orders'!$N$11:$N$1010,$B274)="","",INDEX('Work Orders'!$N$11:$N$1010,$B274)))</f>
        <v/>
      </c>
    </row>
    <row r="275">
      <c r="A275" s="68" t="n">
        <v>269</v>
      </c>
      <c r="B275">
        <f>IFERROR(MATCH(A275,'Work Orders'!$AO$11:$AO$1010,0),"")</f>
        <v/>
      </c>
      <c r="C275" s="43">
        <f>IF($B275="","",IF(INDEX('Work Orders'!$A$11:$A$1010,$B275)="","",INDEX('Work Orders'!$A$11:$A$1010,$B275)))</f>
        <v/>
      </c>
      <c r="D275" s="43">
        <f>IF($B275="","",IF(INDEX('Work Orders'!$B$11:$B$1010,$B275)="","",INDEX('Work Orders'!$B$11:$B$1010,$B275)))</f>
        <v/>
      </c>
      <c r="E275" s="43">
        <f>IF($B275="","",IF(INDEX('Work Orders'!$D$11:$D$1010,$B275)="","",INDEX('Work Orders'!$D$11:$D$1010,$B275)))</f>
        <v/>
      </c>
      <c r="F275" s="43">
        <f>IF($B275="","",IF(INDEX('Work Orders'!$Q$11:$Q$1010,$B275)="","",INDEX('Work Orders'!$Q$11:$Q$1010,$B275)))</f>
        <v/>
      </c>
      <c r="G275" s="43">
        <f>IF($B275="","",IF(INDEX('Work Orders'!$V$11:$V$1010,$B275)="","",INDEX('Work Orders'!$V$11:$V$1010,$B275)))</f>
        <v/>
      </c>
      <c r="H275" s="47">
        <f>IF($B275="","",IF(INDEX('Work Orders'!$U$11:$U$1010,$B275)="","",INDEX('Work Orders'!$U$11:$U$1010,$B275)))</f>
        <v/>
      </c>
      <c r="I275" s="47">
        <f>IF($B275="","",IF(INDEX('Work Orders'!$X$11:$X$1010,$B275)="","",INDEX('Work Orders'!$X$11:$X$1010,$B275)))</f>
        <v/>
      </c>
      <c r="J275" s="44">
        <f>IF($B275="","",IF(INDEX('Work Orders'!$Z$11:$Z$1010,$B275)="","",INDEX('Work Orders'!$Z$11:$Z$1010,$B275)))</f>
        <v/>
      </c>
      <c r="K275" s="44">
        <f>IF($B275="","",IF(INDEX('Work Orders'!$AG$11:$AG$1010,$B275)="","",INDEX('Work Orders'!$AG$11:$AG$1010,$B275)))</f>
        <v/>
      </c>
      <c r="L275" s="44">
        <f>IF($B275="","",IF(INDEX('Work Orders'!$AH$11:$AH$1010,$B275)="","",INDEX('Work Orders'!$AH$11:$AH$1010,$B275)))</f>
        <v/>
      </c>
      <c r="M275" s="46">
        <f>IF($B275="","",IF(INDEX('Work Orders'!$AM$11:$AM$1010,$B275)="","",INDEX('Work Orders'!$AM$11:$AM$1010,$B275)))</f>
        <v/>
      </c>
      <c r="N275" s="43">
        <f>IF($B275="","",IF(INDEX('Work Orders'!$AL$11:$AL$1010,$B275)="","",INDEX('Work Orders'!$AL$11:$AL$1010,$B275)))</f>
        <v/>
      </c>
      <c r="O275" s="43">
        <f>IF($B275="","",IF(INDEX('Work Orders'!$N$11:$N$1010,$B275)="","",INDEX('Work Orders'!$N$11:$N$1010,$B275)))</f>
        <v/>
      </c>
    </row>
    <row r="276">
      <c r="A276" s="68" t="n">
        <v>270</v>
      </c>
      <c r="B276">
        <f>IFERROR(MATCH(A276,'Work Orders'!$AO$11:$AO$1010,0),"")</f>
        <v/>
      </c>
      <c r="C276" s="43">
        <f>IF($B276="","",IF(INDEX('Work Orders'!$A$11:$A$1010,$B276)="","",INDEX('Work Orders'!$A$11:$A$1010,$B276)))</f>
        <v/>
      </c>
      <c r="D276" s="43">
        <f>IF($B276="","",IF(INDEX('Work Orders'!$B$11:$B$1010,$B276)="","",INDEX('Work Orders'!$B$11:$B$1010,$B276)))</f>
        <v/>
      </c>
      <c r="E276" s="43">
        <f>IF($B276="","",IF(INDEX('Work Orders'!$D$11:$D$1010,$B276)="","",INDEX('Work Orders'!$D$11:$D$1010,$B276)))</f>
        <v/>
      </c>
      <c r="F276" s="43">
        <f>IF($B276="","",IF(INDEX('Work Orders'!$Q$11:$Q$1010,$B276)="","",INDEX('Work Orders'!$Q$11:$Q$1010,$B276)))</f>
        <v/>
      </c>
      <c r="G276" s="43">
        <f>IF($B276="","",IF(INDEX('Work Orders'!$V$11:$V$1010,$B276)="","",INDEX('Work Orders'!$V$11:$V$1010,$B276)))</f>
        <v/>
      </c>
      <c r="H276" s="47">
        <f>IF($B276="","",IF(INDEX('Work Orders'!$U$11:$U$1010,$B276)="","",INDEX('Work Orders'!$U$11:$U$1010,$B276)))</f>
        <v/>
      </c>
      <c r="I276" s="47">
        <f>IF($B276="","",IF(INDEX('Work Orders'!$X$11:$X$1010,$B276)="","",INDEX('Work Orders'!$X$11:$X$1010,$B276)))</f>
        <v/>
      </c>
      <c r="J276" s="44">
        <f>IF($B276="","",IF(INDEX('Work Orders'!$Z$11:$Z$1010,$B276)="","",INDEX('Work Orders'!$Z$11:$Z$1010,$B276)))</f>
        <v/>
      </c>
      <c r="K276" s="44">
        <f>IF($B276="","",IF(INDEX('Work Orders'!$AG$11:$AG$1010,$B276)="","",INDEX('Work Orders'!$AG$11:$AG$1010,$B276)))</f>
        <v/>
      </c>
      <c r="L276" s="44">
        <f>IF($B276="","",IF(INDEX('Work Orders'!$AH$11:$AH$1010,$B276)="","",INDEX('Work Orders'!$AH$11:$AH$1010,$B276)))</f>
        <v/>
      </c>
      <c r="M276" s="46">
        <f>IF($B276="","",IF(INDEX('Work Orders'!$AM$11:$AM$1010,$B276)="","",INDEX('Work Orders'!$AM$11:$AM$1010,$B276)))</f>
        <v/>
      </c>
      <c r="N276" s="43">
        <f>IF($B276="","",IF(INDEX('Work Orders'!$AL$11:$AL$1010,$B276)="","",INDEX('Work Orders'!$AL$11:$AL$1010,$B276)))</f>
        <v/>
      </c>
      <c r="O276" s="43">
        <f>IF($B276="","",IF(INDEX('Work Orders'!$N$11:$N$1010,$B276)="","",INDEX('Work Orders'!$N$11:$N$1010,$B276)))</f>
        <v/>
      </c>
    </row>
    <row r="277">
      <c r="A277" s="68" t="n">
        <v>271</v>
      </c>
      <c r="B277">
        <f>IFERROR(MATCH(A277,'Work Orders'!$AO$11:$AO$1010,0),"")</f>
        <v/>
      </c>
      <c r="C277" s="43">
        <f>IF($B277="","",IF(INDEX('Work Orders'!$A$11:$A$1010,$B277)="","",INDEX('Work Orders'!$A$11:$A$1010,$B277)))</f>
        <v/>
      </c>
      <c r="D277" s="43">
        <f>IF($B277="","",IF(INDEX('Work Orders'!$B$11:$B$1010,$B277)="","",INDEX('Work Orders'!$B$11:$B$1010,$B277)))</f>
        <v/>
      </c>
      <c r="E277" s="43">
        <f>IF($B277="","",IF(INDEX('Work Orders'!$D$11:$D$1010,$B277)="","",INDEX('Work Orders'!$D$11:$D$1010,$B277)))</f>
        <v/>
      </c>
      <c r="F277" s="43">
        <f>IF($B277="","",IF(INDEX('Work Orders'!$Q$11:$Q$1010,$B277)="","",INDEX('Work Orders'!$Q$11:$Q$1010,$B277)))</f>
        <v/>
      </c>
      <c r="G277" s="43">
        <f>IF($B277="","",IF(INDEX('Work Orders'!$V$11:$V$1010,$B277)="","",INDEX('Work Orders'!$V$11:$V$1010,$B277)))</f>
        <v/>
      </c>
      <c r="H277" s="47">
        <f>IF($B277="","",IF(INDEX('Work Orders'!$U$11:$U$1010,$B277)="","",INDEX('Work Orders'!$U$11:$U$1010,$B277)))</f>
        <v/>
      </c>
      <c r="I277" s="47">
        <f>IF($B277="","",IF(INDEX('Work Orders'!$X$11:$X$1010,$B277)="","",INDEX('Work Orders'!$X$11:$X$1010,$B277)))</f>
        <v/>
      </c>
      <c r="J277" s="44">
        <f>IF($B277="","",IF(INDEX('Work Orders'!$Z$11:$Z$1010,$B277)="","",INDEX('Work Orders'!$Z$11:$Z$1010,$B277)))</f>
        <v/>
      </c>
      <c r="K277" s="44">
        <f>IF($B277="","",IF(INDEX('Work Orders'!$AG$11:$AG$1010,$B277)="","",INDEX('Work Orders'!$AG$11:$AG$1010,$B277)))</f>
        <v/>
      </c>
      <c r="L277" s="44">
        <f>IF($B277="","",IF(INDEX('Work Orders'!$AH$11:$AH$1010,$B277)="","",INDEX('Work Orders'!$AH$11:$AH$1010,$B277)))</f>
        <v/>
      </c>
      <c r="M277" s="46">
        <f>IF($B277="","",IF(INDEX('Work Orders'!$AM$11:$AM$1010,$B277)="","",INDEX('Work Orders'!$AM$11:$AM$1010,$B277)))</f>
        <v/>
      </c>
      <c r="N277" s="43">
        <f>IF($B277="","",IF(INDEX('Work Orders'!$AL$11:$AL$1010,$B277)="","",INDEX('Work Orders'!$AL$11:$AL$1010,$B277)))</f>
        <v/>
      </c>
      <c r="O277" s="43">
        <f>IF($B277="","",IF(INDEX('Work Orders'!$N$11:$N$1010,$B277)="","",INDEX('Work Orders'!$N$11:$N$1010,$B277)))</f>
        <v/>
      </c>
    </row>
    <row r="278">
      <c r="A278" s="68" t="n">
        <v>272</v>
      </c>
      <c r="B278">
        <f>IFERROR(MATCH(A278,'Work Orders'!$AO$11:$AO$1010,0),"")</f>
        <v/>
      </c>
      <c r="C278" s="43">
        <f>IF($B278="","",IF(INDEX('Work Orders'!$A$11:$A$1010,$B278)="","",INDEX('Work Orders'!$A$11:$A$1010,$B278)))</f>
        <v/>
      </c>
      <c r="D278" s="43">
        <f>IF($B278="","",IF(INDEX('Work Orders'!$B$11:$B$1010,$B278)="","",INDEX('Work Orders'!$B$11:$B$1010,$B278)))</f>
        <v/>
      </c>
      <c r="E278" s="43">
        <f>IF($B278="","",IF(INDEX('Work Orders'!$D$11:$D$1010,$B278)="","",INDEX('Work Orders'!$D$11:$D$1010,$B278)))</f>
        <v/>
      </c>
      <c r="F278" s="43">
        <f>IF($B278="","",IF(INDEX('Work Orders'!$Q$11:$Q$1010,$B278)="","",INDEX('Work Orders'!$Q$11:$Q$1010,$B278)))</f>
        <v/>
      </c>
      <c r="G278" s="43">
        <f>IF($B278="","",IF(INDEX('Work Orders'!$V$11:$V$1010,$B278)="","",INDEX('Work Orders'!$V$11:$V$1010,$B278)))</f>
        <v/>
      </c>
      <c r="H278" s="47">
        <f>IF($B278="","",IF(INDEX('Work Orders'!$U$11:$U$1010,$B278)="","",INDEX('Work Orders'!$U$11:$U$1010,$B278)))</f>
        <v/>
      </c>
      <c r="I278" s="47">
        <f>IF($B278="","",IF(INDEX('Work Orders'!$X$11:$X$1010,$B278)="","",INDEX('Work Orders'!$X$11:$X$1010,$B278)))</f>
        <v/>
      </c>
      <c r="J278" s="44">
        <f>IF($B278="","",IF(INDEX('Work Orders'!$Z$11:$Z$1010,$B278)="","",INDEX('Work Orders'!$Z$11:$Z$1010,$B278)))</f>
        <v/>
      </c>
      <c r="K278" s="44">
        <f>IF($B278="","",IF(INDEX('Work Orders'!$AG$11:$AG$1010,$B278)="","",INDEX('Work Orders'!$AG$11:$AG$1010,$B278)))</f>
        <v/>
      </c>
      <c r="L278" s="44">
        <f>IF($B278="","",IF(INDEX('Work Orders'!$AH$11:$AH$1010,$B278)="","",INDEX('Work Orders'!$AH$11:$AH$1010,$B278)))</f>
        <v/>
      </c>
      <c r="M278" s="46">
        <f>IF($B278="","",IF(INDEX('Work Orders'!$AM$11:$AM$1010,$B278)="","",INDEX('Work Orders'!$AM$11:$AM$1010,$B278)))</f>
        <v/>
      </c>
      <c r="N278" s="43">
        <f>IF($B278="","",IF(INDEX('Work Orders'!$AL$11:$AL$1010,$B278)="","",INDEX('Work Orders'!$AL$11:$AL$1010,$B278)))</f>
        <v/>
      </c>
      <c r="O278" s="43">
        <f>IF($B278="","",IF(INDEX('Work Orders'!$N$11:$N$1010,$B278)="","",INDEX('Work Orders'!$N$11:$N$1010,$B278)))</f>
        <v/>
      </c>
    </row>
    <row r="279">
      <c r="A279" s="68" t="n">
        <v>273</v>
      </c>
      <c r="B279">
        <f>IFERROR(MATCH(A279,'Work Orders'!$AO$11:$AO$1010,0),"")</f>
        <v/>
      </c>
      <c r="C279" s="43">
        <f>IF($B279="","",IF(INDEX('Work Orders'!$A$11:$A$1010,$B279)="","",INDEX('Work Orders'!$A$11:$A$1010,$B279)))</f>
        <v/>
      </c>
      <c r="D279" s="43">
        <f>IF($B279="","",IF(INDEX('Work Orders'!$B$11:$B$1010,$B279)="","",INDEX('Work Orders'!$B$11:$B$1010,$B279)))</f>
        <v/>
      </c>
      <c r="E279" s="43">
        <f>IF($B279="","",IF(INDEX('Work Orders'!$D$11:$D$1010,$B279)="","",INDEX('Work Orders'!$D$11:$D$1010,$B279)))</f>
        <v/>
      </c>
      <c r="F279" s="43">
        <f>IF($B279="","",IF(INDEX('Work Orders'!$Q$11:$Q$1010,$B279)="","",INDEX('Work Orders'!$Q$11:$Q$1010,$B279)))</f>
        <v/>
      </c>
      <c r="G279" s="43">
        <f>IF($B279="","",IF(INDEX('Work Orders'!$V$11:$V$1010,$B279)="","",INDEX('Work Orders'!$V$11:$V$1010,$B279)))</f>
        <v/>
      </c>
      <c r="H279" s="47">
        <f>IF($B279="","",IF(INDEX('Work Orders'!$U$11:$U$1010,$B279)="","",INDEX('Work Orders'!$U$11:$U$1010,$B279)))</f>
        <v/>
      </c>
      <c r="I279" s="47">
        <f>IF($B279="","",IF(INDEX('Work Orders'!$X$11:$X$1010,$B279)="","",INDEX('Work Orders'!$X$11:$X$1010,$B279)))</f>
        <v/>
      </c>
      <c r="J279" s="44">
        <f>IF($B279="","",IF(INDEX('Work Orders'!$Z$11:$Z$1010,$B279)="","",INDEX('Work Orders'!$Z$11:$Z$1010,$B279)))</f>
        <v/>
      </c>
      <c r="K279" s="44">
        <f>IF($B279="","",IF(INDEX('Work Orders'!$AG$11:$AG$1010,$B279)="","",INDEX('Work Orders'!$AG$11:$AG$1010,$B279)))</f>
        <v/>
      </c>
      <c r="L279" s="44">
        <f>IF($B279="","",IF(INDEX('Work Orders'!$AH$11:$AH$1010,$B279)="","",INDEX('Work Orders'!$AH$11:$AH$1010,$B279)))</f>
        <v/>
      </c>
      <c r="M279" s="46">
        <f>IF($B279="","",IF(INDEX('Work Orders'!$AM$11:$AM$1010,$B279)="","",INDEX('Work Orders'!$AM$11:$AM$1010,$B279)))</f>
        <v/>
      </c>
      <c r="N279" s="43">
        <f>IF($B279="","",IF(INDEX('Work Orders'!$AL$11:$AL$1010,$B279)="","",INDEX('Work Orders'!$AL$11:$AL$1010,$B279)))</f>
        <v/>
      </c>
      <c r="O279" s="43">
        <f>IF($B279="","",IF(INDEX('Work Orders'!$N$11:$N$1010,$B279)="","",INDEX('Work Orders'!$N$11:$N$1010,$B279)))</f>
        <v/>
      </c>
    </row>
    <row r="280">
      <c r="A280" s="68" t="n">
        <v>274</v>
      </c>
      <c r="B280">
        <f>IFERROR(MATCH(A280,'Work Orders'!$AO$11:$AO$1010,0),"")</f>
        <v/>
      </c>
      <c r="C280" s="43">
        <f>IF($B280="","",IF(INDEX('Work Orders'!$A$11:$A$1010,$B280)="","",INDEX('Work Orders'!$A$11:$A$1010,$B280)))</f>
        <v/>
      </c>
      <c r="D280" s="43">
        <f>IF($B280="","",IF(INDEX('Work Orders'!$B$11:$B$1010,$B280)="","",INDEX('Work Orders'!$B$11:$B$1010,$B280)))</f>
        <v/>
      </c>
      <c r="E280" s="43">
        <f>IF($B280="","",IF(INDEX('Work Orders'!$D$11:$D$1010,$B280)="","",INDEX('Work Orders'!$D$11:$D$1010,$B280)))</f>
        <v/>
      </c>
      <c r="F280" s="43">
        <f>IF($B280="","",IF(INDEX('Work Orders'!$Q$11:$Q$1010,$B280)="","",INDEX('Work Orders'!$Q$11:$Q$1010,$B280)))</f>
        <v/>
      </c>
      <c r="G280" s="43">
        <f>IF($B280="","",IF(INDEX('Work Orders'!$V$11:$V$1010,$B280)="","",INDEX('Work Orders'!$V$11:$V$1010,$B280)))</f>
        <v/>
      </c>
      <c r="H280" s="47">
        <f>IF($B280="","",IF(INDEX('Work Orders'!$U$11:$U$1010,$B280)="","",INDEX('Work Orders'!$U$11:$U$1010,$B280)))</f>
        <v/>
      </c>
      <c r="I280" s="47">
        <f>IF($B280="","",IF(INDEX('Work Orders'!$X$11:$X$1010,$B280)="","",INDEX('Work Orders'!$X$11:$X$1010,$B280)))</f>
        <v/>
      </c>
      <c r="J280" s="44">
        <f>IF($B280="","",IF(INDEX('Work Orders'!$Z$11:$Z$1010,$B280)="","",INDEX('Work Orders'!$Z$11:$Z$1010,$B280)))</f>
        <v/>
      </c>
      <c r="K280" s="44">
        <f>IF($B280="","",IF(INDEX('Work Orders'!$AG$11:$AG$1010,$B280)="","",INDEX('Work Orders'!$AG$11:$AG$1010,$B280)))</f>
        <v/>
      </c>
      <c r="L280" s="44">
        <f>IF($B280="","",IF(INDEX('Work Orders'!$AH$11:$AH$1010,$B280)="","",INDEX('Work Orders'!$AH$11:$AH$1010,$B280)))</f>
        <v/>
      </c>
      <c r="M280" s="46">
        <f>IF($B280="","",IF(INDEX('Work Orders'!$AM$11:$AM$1010,$B280)="","",INDEX('Work Orders'!$AM$11:$AM$1010,$B280)))</f>
        <v/>
      </c>
      <c r="N280" s="43">
        <f>IF($B280="","",IF(INDEX('Work Orders'!$AL$11:$AL$1010,$B280)="","",INDEX('Work Orders'!$AL$11:$AL$1010,$B280)))</f>
        <v/>
      </c>
      <c r="O280" s="43">
        <f>IF($B280="","",IF(INDEX('Work Orders'!$N$11:$N$1010,$B280)="","",INDEX('Work Orders'!$N$11:$N$1010,$B280)))</f>
        <v/>
      </c>
    </row>
    <row r="281">
      <c r="A281" s="68" t="n">
        <v>275</v>
      </c>
      <c r="B281">
        <f>IFERROR(MATCH(A281,'Work Orders'!$AO$11:$AO$1010,0),"")</f>
        <v/>
      </c>
      <c r="C281" s="43">
        <f>IF($B281="","",IF(INDEX('Work Orders'!$A$11:$A$1010,$B281)="","",INDEX('Work Orders'!$A$11:$A$1010,$B281)))</f>
        <v/>
      </c>
      <c r="D281" s="43">
        <f>IF($B281="","",IF(INDEX('Work Orders'!$B$11:$B$1010,$B281)="","",INDEX('Work Orders'!$B$11:$B$1010,$B281)))</f>
        <v/>
      </c>
      <c r="E281" s="43">
        <f>IF($B281="","",IF(INDEX('Work Orders'!$D$11:$D$1010,$B281)="","",INDEX('Work Orders'!$D$11:$D$1010,$B281)))</f>
        <v/>
      </c>
      <c r="F281" s="43">
        <f>IF($B281="","",IF(INDEX('Work Orders'!$Q$11:$Q$1010,$B281)="","",INDEX('Work Orders'!$Q$11:$Q$1010,$B281)))</f>
        <v/>
      </c>
      <c r="G281" s="43">
        <f>IF($B281="","",IF(INDEX('Work Orders'!$V$11:$V$1010,$B281)="","",INDEX('Work Orders'!$V$11:$V$1010,$B281)))</f>
        <v/>
      </c>
      <c r="H281" s="47">
        <f>IF($B281="","",IF(INDEX('Work Orders'!$U$11:$U$1010,$B281)="","",INDEX('Work Orders'!$U$11:$U$1010,$B281)))</f>
        <v/>
      </c>
      <c r="I281" s="47">
        <f>IF($B281="","",IF(INDEX('Work Orders'!$X$11:$X$1010,$B281)="","",INDEX('Work Orders'!$X$11:$X$1010,$B281)))</f>
        <v/>
      </c>
      <c r="J281" s="44">
        <f>IF($B281="","",IF(INDEX('Work Orders'!$Z$11:$Z$1010,$B281)="","",INDEX('Work Orders'!$Z$11:$Z$1010,$B281)))</f>
        <v/>
      </c>
      <c r="K281" s="44">
        <f>IF($B281="","",IF(INDEX('Work Orders'!$AG$11:$AG$1010,$B281)="","",INDEX('Work Orders'!$AG$11:$AG$1010,$B281)))</f>
        <v/>
      </c>
      <c r="L281" s="44">
        <f>IF($B281="","",IF(INDEX('Work Orders'!$AH$11:$AH$1010,$B281)="","",INDEX('Work Orders'!$AH$11:$AH$1010,$B281)))</f>
        <v/>
      </c>
      <c r="M281" s="46">
        <f>IF($B281="","",IF(INDEX('Work Orders'!$AM$11:$AM$1010,$B281)="","",INDEX('Work Orders'!$AM$11:$AM$1010,$B281)))</f>
        <v/>
      </c>
      <c r="N281" s="43">
        <f>IF($B281="","",IF(INDEX('Work Orders'!$AL$11:$AL$1010,$B281)="","",INDEX('Work Orders'!$AL$11:$AL$1010,$B281)))</f>
        <v/>
      </c>
      <c r="O281" s="43">
        <f>IF($B281="","",IF(INDEX('Work Orders'!$N$11:$N$1010,$B281)="","",INDEX('Work Orders'!$N$11:$N$1010,$B281)))</f>
        <v/>
      </c>
    </row>
    <row r="282">
      <c r="A282" s="68" t="n">
        <v>276</v>
      </c>
      <c r="B282">
        <f>IFERROR(MATCH(A282,'Work Orders'!$AO$11:$AO$1010,0),"")</f>
        <v/>
      </c>
      <c r="C282" s="43">
        <f>IF($B282="","",IF(INDEX('Work Orders'!$A$11:$A$1010,$B282)="","",INDEX('Work Orders'!$A$11:$A$1010,$B282)))</f>
        <v/>
      </c>
      <c r="D282" s="43">
        <f>IF($B282="","",IF(INDEX('Work Orders'!$B$11:$B$1010,$B282)="","",INDEX('Work Orders'!$B$11:$B$1010,$B282)))</f>
        <v/>
      </c>
      <c r="E282" s="43">
        <f>IF($B282="","",IF(INDEX('Work Orders'!$D$11:$D$1010,$B282)="","",INDEX('Work Orders'!$D$11:$D$1010,$B282)))</f>
        <v/>
      </c>
      <c r="F282" s="43">
        <f>IF($B282="","",IF(INDEX('Work Orders'!$Q$11:$Q$1010,$B282)="","",INDEX('Work Orders'!$Q$11:$Q$1010,$B282)))</f>
        <v/>
      </c>
      <c r="G282" s="43">
        <f>IF($B282="","",IF(INDEX('Work Orders'!$V$11:$V$1010,$B282)="","",INDEX('Work Orders'!$V$11:$V$1010,$B282)))</f>
        <v/>
      </c>
      <c r="H282" s="47">
        <f>IF($B282="","",IF(INDEX('Work Orders'!$U$11:$U$1010,$B282)="","",INDEX('Work Orders'!$U$11:$U$1010,$B282)))</f>
        <v/>
      </c>
      <c r="I282" s="47">
        <f>IF($B282="","",IF(INDEX('Work Orders'!$X$11:$X$1010,$B282)="","",INDEX('Work Orders'!$X$11:$X$1010,$B282)))</f>
        <v/>
      </c>
      <c r="J282" s="44">
        <f>IF($B282="","",IF(INDEX('Work Orders'!$Z$11:$Z$1010,$B282)="","",INDEX('Work Orders'!$Z$11:$Z$1010,$B282)))</f>
        <v/>
      </c>
      <c r="K282" s="44">
        <f>IF($B282="","",IF(INDEX('Work Orders'!$AG$11:$AG$1010,$B282)="","",INDEX('Work Orders'!$AG$11:$AG$1010,$B282)))</f>
        <v/>
      </c>
      <c r="L282" s="44">
        <f>IF($B282="","",IF(INDEX('Work Orders'!$AH$11:$AH$1010,$B282)="","",INDEX('Work Orders'!$AH$11:$AH$1010,$B282)))</f>
        <v/>
      </c>
      <c r="M282" s="46">
        <f>IF($B282="","",IF(INDEX('Work Orders'!$AM$11:$AM$1010,$B282)="","",INDEX('Work Orders'!$AM$11:$AM$1010,$B282)))</f>
        <v/>
      </c>
      <c r="N282" s="43">
        <f>IF($B282="","",IF(INDEX('Work Orders'!$AL$11:$AL$1010,$B282)="","",INDEX('Work Orders'!$AL$11:$AL$1010,$B282)))</f>
        <v/>
      </c>
      <c r="O282" s="43">
        <f>IF($B282="","",IF(INDEX('Work Orders'!$N$11:$N$1010,$B282)="","",INDEX('Work Orders'!$N$11:$N$1010,$B282)))</f>
        <v/>
      </c>
    </row>
    <row r="283">
      <c r="A283" s="68" t="n">
        <v>277</v>
      </c>
      <c r="B283">
        <f>IFERROR(MATCH(A283,'Work Orders'!$AO$11:$AO$1010,0),"")</f>
        <v/>
      </c>
      <c r="C283" s="43">
        <f>IF($B283="","",IF(INDEX('Work Orders'!$A$11:$A$1010,$B283)="","",INDEX('Work Orders'!$A$11:$A$1010,$B283)))</f>
        <v/>
      </c>
      <c r="D283" s="43">
        <f>IF($B283="","",IF(INDEX('Work Orders'!$B$11:$B$1010,$B283)="","",INDEX('Work Orders'!$B$11:$B$1010,$B283)))</f>
        <v/>
      </c>
      <c r="E283" s="43">
        <f>IF($B283="","",IF(INDEX('Work Orders'!$D$11:$D$1010,$B283)="","",INDEX('Work Orders'!$D$11:$D$1010,$B283)))</f>
        <v/>
      </c>
      <c r="F283" s="43">
        <f>IF($B283="","",IF(INDEX('Work Orders'!$Q$11:$Q$1010,$B283)="","",INDEX('Work Orders'!$Q$11:$Q$1010,$B283)))</f>
        <v/>
      </c>
      <c r="G283" s="43">
        <f>IF($B283="","",IF(INDEX('Work Orders'!$V$11:$V$1010,$B283)="","",INDEX('Work Orders'!$V$11:$V$1010,$B283)))</f>
        <v/>
      </c>
      <c r="H283" s="47">
        <f>IF($B283="","",IF(INDEX('Work Orders'!$U$11:$U$1010,$B283)="","",INDEX('Work Orders'!$U$11:$U$1010,$B283)))</f>
        <v/>
      </c>
      <c r="I283" s="47">
        <f>IF($B283="","",IF(INDEX('Work Orders'!$X$11:$X$1010,$B283)="","",INDEX('Work Orders'!$X$11:$X$1010,$B283)))</f>
        <v/>
      </c>
      <c r="J283" s="44">
        <f>IF($B283="","",IF(INDEX('Work Orders'!$Z$11:$Z$1010,$B283)="","",INDEX('Work Orders'!$Z$11:$Z$1010,$B283)))</f>
        <v/>
      </c>
      <c r="K283" s="44">
        <f>IF($B283="","",IF(INDEX('Work Orders'!$AG$11:$AG$1010,$B283)="","",INDEX('Work Orders'!$AG$11:$AG$1010,$B283)))</f>
        <v/>
      </c>
      <c r="L283" s="44">
        <f>IF($B283="","",IF(INDEX('Work Orders'!$AH$11:$AH$1010,$B283)="","",INDEX('Work Orders'!$AH$11:$AH$1010,$B283)))</f>
        <v/>
      </c>
      <c r="M283" s="46">
        <f>IF($B283="","",IF(INDEX('Work Orders'!$AM$11:$AM$1010,$B283)="","",INDEX('Work Orders'!$AM$11:$AM$1010,$B283)))</f>
        <v/>
      </c>
      <c r="N283" s="43">
        <f>IF($B283="","",IF(INDEX('Work Orders'!$AL$11:$AL$1010,$B283)="","",INDEX('Work Orders'!$AL$11:$AL$1010,$B283)))</f>
        <v/>
      </c>
      <c r="O283" s="43">
        <f>IF($B283="","",IF(INDEX('Work Orders'!$N$11:$N$1010,$B283)="","",INDEX('Work Orders'!$N$11:$N$1010,$B283)))</f>
        <v/>
      </c>
    </row>
    <row r="284">
      <c r="A284" s="68" t="n">
        <v>278</v>
      </c>
      <c r="B284">
        <f>IFERROR(MATCH(A284,'Work Orders'!$AO$11:$AO$1010,0),"")</f>
        <v/>
      </c>
      <c r="C284" s="43">
        <f>IF($B284="","",IF(INDEX('Work Orders'!$A$11:$A$1010,$B284)="","",INDEX('Work Orders'!$A$11:$A$1010,$B284)))</f>
        <v/>
      </c>
      <c r="D284" s="43">
        <f>IF($B284="","",IF(INDEX('Work Orders'!$B$11:$B$1010,$B284)="","",INDEX('Work Orders'!$B$11:$B$1010,$B284)))</f>
        <v/>
      </c>
      <c r="E284" s="43">
        <f>IF($B284="","",IF(INDEX('Work Orders'!$D$11:$D$1010,$B284)="","",INDEX('Work Orders'!$D$11:$D$1010,$B284)))</f>
        <v/>
      </c>
      <c r="F284" s="43">
        <f>IF($B284="","",IF(INDEX('Work Orders'!$Q$11:$Q$1010,$B284)="","",INDEX('Work Orders'!$Q$11:$Q$1010,$B284)))</f>
        <v/>
      </c>
      <c r="G284" s="43">
        <f>IF($B284="","",IF(INDEX('Work Orders'!$V$11:$V$1010,$B284)="","",INDEX('Work Orders'!$V$11:$V$1010,$B284)))</f>
        <v/>
      </c>
      <c r="H284" s="47">
        <f>IF($B284="","",IF(INDEX('Work Orders'!$U$11:$U$1010,$B284)="","",INDEX('Work Orders'!$U$11:$U$1010,$B284)))</f>
        <v/>
      </c>
      <c r="I284" s="47">
        <f>IF($B284="","",IF(INDEX('Work Orders'!$X$11:$X$1010,$B284)="","",INDEX('Work Orders'!$X$11:$X$1010,$B284)))</f>
        <v/>
      </c>
      <c r="J284" s="44">
        <f>IF($B284="","",IF(INDEX('Work Orders'!$Z$11:$Z$1010,$B284)="","",INDEX('Work Orders'!$Z$11:$Z$1010,$B284)))</f>
        <v/>
      </c>
      <c r="K284" s="44">
        <f>IF($B284="","",IF(INDEX('Work Orders'!$AG$11:$AG$1010,$B284)="","",INDEX('Work Orders'!$AG$11:$AG$1010,$B284)))</f>
        <v/>
      </c>
      <c r="L284" s="44">
        <f>IF($B284="","",IF(INDEX('Work Orders'!$AH$11:$AH$1010,$B284)="","",INDEX('Work Orders'!$AH$11:$AH$1010,$B284)))</f>
        <v/>
      </c>
      <c r="M284" s="46">
        <f>IF($B284="","",IF(INDEX('Work Orders'!$AM$11:$AM$1010,$B284)="","",INDEX('Work Orders'!$AM$11:$AM$1010,$B284)))</f>
        <v/>
      </c>
      <c r="N284" s="43">
        <f>IF($B284="","",IF(INDEX('Work Orders'!$AL$11:$AL$1010,$B284)="","",INDEX('Work Orders'!$AL$11:$AL$1010,$B284)))</f>
        <v/>
      </c>
      <c r="O284" s="43">
        <f>IF($B284="","",IF(INDEX('Work Orders'!$N$11:$N$1010,$B284)="","",INDEX('Work Orders'!$N$11:$N$1010,$B284)))</f>
        <v/>
      </c>
    </row>
    <row r="285">
      <c r="A285" s="68" t="n">
        <v>279</v>
      </c>
      <c r="B285">
        <f>IFERROR(MATCH(A285,'Work Orders'!$AO$11:$AO$1010,0),"")</f>
        <v/>
      </c>
      <c r="C285" s="43">
        <f>IF($B285="","",IF(INDEX('Work Orders'!$A$11:$A$1010,$B285)="","",INDEX('Work Orders'!$A$11:$A$1010,$B285)))</f>
        <v/>
      </c>
      <c r="D285" s="43">
        <f>IF($B285="","",IF(INDEX('Work Orders'!$B$11:$B$1010,$B285)="","",INDEX('Work Orders'!$B$11:$B$1010,$B285)))</f>
        <v/>
      </c>
      <c r="E285" s="43">
        <f>IF($B285="","",IF(INDEX('Work Orders'!$D$11:$D$1010,$B285)="","",INDEX('Work Orders'!$D$11:$D$1010,$B285)))</f>
        <v/>
      </c>
      <c r="F285" s="43">
        <f>IF($B285="","",IF(INDEX('Work Orders'!$Q$11:$Q$1010,$B285)="","",INDEX('Work Orders'!$Q$11:$Q$1010,$B285)))</f>
        <v/>
      </c>
      <c r="G285" s="43">
        <f>IF($B285="","",IF(INDEX('Work Orders'!$V$11:$V$1010,$B285)="","",INDEX('Work Orders'!$V$11:$V$1010,$B285)))</f>
        <v/>
      </c>
      <c r="H285" s="47">
        <f>IF($B285="","",IF(INDEX('Work Orders'!$U$11:$U$1010,$B285)="","",INDEX('Work Orders'!$U$11:$U$1010,$B285)))</f>
        <v/>
      </c>
      <c r="I285" s="47">
        <f>IF($B285="","",IF(INDEX('Work Orders'!$X$11:$X$1010,$B285)="","",INDEX('Work Orders'!$X$11:$X$1010,$B285)))</f>
        <v/>
      </c>
      <c r="J285" s="44">
        <f>IF($B285="","",IF(INDEX('Work Orders'!$Z$11:$Z$1010,$B285)="","",INDEX('Work Orders'!$Z$11:$Z$1010,$B285)))</f>
        <v/>
      </c>
      <c r="K285" s="44">
        <f>IF($B285="","",IF(INDEX('Work Orders'!$AG$11:$AG$1010,$B285)="","",INDEX('Work Orders'!$AG$11:$AG$1010,$B285)))</f>
        <v/>
      </c>
      <c r="L285" s="44">
        <f>IF($B285="","",IF(INDEX('Work Orders'!$AH$11:$AH$1010,$B285)="","",INDEX('Work Orders'!$AH$11:$AH$1010,$B285)))</f>
        <v/>
      </c>
      <c r="M285" s="46">
        <f>IF($B285="","",IF(INDEX('Work Orders'!$AM$11:$AM$1010,$B285)="","",INDEX('Work Orders'!$AM$11:$AM$1010,$B285)))</f>
        <v/>
      </c>
      <c r="N285" s="43">
        <f>IF($B285="","",IF(INDEX('Work Orders'!$AL$11:$AL$1010,$B285)="","",INDEX('Work Orders'!$AL$11:$AL$1010,$B285)))</f>
        <v/>
      </c>
      <c r="O285" s="43">
        <f>IF($B285="","",IF(INDEX('Work Orders'!$N$11:$N$1010,$B285)="","",INDEX('Work Orders'!$N$11:$N$1010,$B285)))</f>
        <v/>
      </c>
    </row>
    <row r="286">
      <c r="A286" s="68" t="n">
        <v>280</v>
      </c>
      <c r="B286">
        <f>IFERROR(MATCH(A286,'Work Orders'!$AO$11:$AO$1010,0),"")</f>
        <v/>
      </c>
      <c r="C286" s="43">
        <f>IF($B286="","",IF(INDEX('Work Orders'!$A$11:$A$1010,$B286)="","",INDEX('Work Orders'!$A$11:$A$1010,$B286)))</f>
        <v/>
      </c>
      <c r="D286" s="43">
        <f>IF($B286="","",IF(INDEX('Work Orders'!$B$11:$B$1010,$B286)="","",INDEX('Work Orders'!$B$11:$B$1010,$B286)))</f>
        <v/>
      </c>
      <c r="E286" s="43">
        <f>IF($B286="","",IF(INDEX('Work Orders'!$D$11:$D$1010,$B286)="","",INDEX('Work Orders'!$D$11:$D$1010,$B286)))</f>
        <v/>
      </c>
      <c r="F286" s="43">
        <f>IF($B286="","",IF(INDEX('Work Orders'!$Q$11:$Q$1010,$B286)="","",INDEX('Work Orders'!$Q$11:$Q$1010,$B286)))</f>
        <v/>
      </c>
      <c r="G286" s="43">
        <f>IF($B286="","",IF(INDEX('Work Orders'!$V$11:$V$1010,$B286)="","",INDEX('Work Orders'!$V$11:$V$1010,$B286)))</f>
        <v/>
      </c>
      <c r="H286" s="47">
        <f>IF($B286="","",IF(INDEX('Work Orders'!$U$11:$U$1010,$B286)="","",INDEX('Work Orders'!$U$11:$U$1010,$B286)))</f>
        <v/>
      </c>
      <c r="I286" s="47">
        <f>IF($B286="","",IF(INDEX('Work Orders'!$X$11:$X$1010,$B286)="","",INDEX('Work Orders'!$X$11:$X$1010,$B286)))</f>
        <v/>
      </c>
      <c r="J286" s="44">
        <f>IF($B286="","",IF(INDEX('Work Orders'!$Z$11:$Z$1010,$B286)="","",INDEX('Work Orders'!$Z$11:$Z$1010,$B286)))</f>
        <v/>
      </c>
      <c r="K286" s="44">
        <f>IF($B286="","",IF(INDEX('Work Orders'!$AG$11:$AG$1010,$B286)="","",INDEX('Work Orders'!$AG$11:$AG$1010,$B286)))</f>
        <v/>
      </c>
      <c r="L286" s="44">
        <f>IF($B286="","",IF(INDEX('Work Orders'!$AH$11:$AH$1010,$B286)="","",INDEX('Work Orders'!$AH$11:$AH$1010,$B286)))</f>
        <v/>
      </c>
      <c r="M286" s="46">
        <f>IF($B286="","",IF(INDEX('Work Orders'!$AM$11:$AM$1010,$B286)="","",INDEX('Work Orders'!$AM$11:$AM$1010,$B286)))</f>
        <v/>
      </c>
      <c r="N286" s="43">
        <f>IF($B286="","",IF(INDEX('Work Orders'!$AL$11:$AL$1010,$B286)="","",INDEX('Work Orders'!$AL$11:$AL$1010,$B286)))</f>
        <v/>
      </c>
      <c r="O286" s="43">
        <f>IF($B286="","",IF(INDEX('Work Orders'!$N$11:$N$1010,$B286)="","",INDEX('Work Orders'!$N$11:$N$1010,$B286)))</f>
        <v/>
      </c>
    </row>
    <row r="287">
      <c r="A287" s="68" t="n">
        <v>281</v>
      </c>
      <c r="B287">
        <f>IFERROR(MATCH(A287,'Work Orders'!$AO$11:$AO$1010,0),"")</f>
        <v/>
      </c>
      <c r="C287" s="43">
        <f>IF($B287="","",IF(INDEX('Work Orders'!$A$11:$A$1010,$B287)="","",INDEX('Work Orders'!$A$11:$A$1010,$B287)))</f>
        <v/>
      </c>
      <c r="D287" s="43">
        <f>IF($B287="","",IF(INDEX('Work Orders'!$B$11:$B$1010,$B287)="","",INDEX('Work Orders'!$B$11:$B$1010,$B287)))</f>
        <v/>
      </c>
      <c r="E287" s="43">
        <f>IF($B287="","",IF(INDEX('Work Orders'!$D$11:$D$1010,$B287)="","",INDEX('Work Orders'!$D$11:$D$1010,$B287)))</f>
        <v/>
      </c>
      <c r="F287" s="43">
        <f>IF($B287="","",IF(INDEX('Work Orders'!$Q$11:$Q$1010,$B287)="","",INDEX('Work Orders'!$Q$11:$Q$1010,$B287)))</f>
        <v/>
      </c>
      <c r="G287" s="43">
        <f>IF($B287="","",IF(INDEX('Work Orders'!$V$11:$V$1010,$B287)="","",INDEX('Work Orders'!$V$11:$V$1010,$B287)))</f>
        <v/>
      </c>
      <c r="H287" s="47">
        <f>IF($B287="","",IF(INDEX('Work Orders'!$U$11:$U$1010,$B287)="","",INDEX('Work Orders'!$U$11:$U$1010,$B287)))</f>
        <v/>
      </c>
      <c r="I287" s="47">
        <f>IF($B287="","",IF(INDEX('Work Orders'!$X$11:$X$1010,$B287)="","",INDEX('Work Orders'!$X$11:$X$1010,$B287)))</f>
        <v/>
      </c>
      <c r="J287" s="44">
        <f>IF($B287="","",IF(INDEX('Work Orders'!$Z$11:$Z$1010,$B287)="","",INDEX('Work Orders'!$Z$11:$Z$1010,$B287)))</f>
        <v/>
      </c>
      <c r="K287" s="44">
        <f>IF($B287="","",IF(INDEX('Work Orders'!$AG$11:$AG$1010,$B287)="","",INDEX('Work Orders'!$AG$11:$AG$1010,$B287)))</f>
        <v/>
      </c>
      <c r="L287" s="44">
        <f>IF($B287="","",IF(INDEX('Work Orders'!$AH$11:$AH$1010,$B287)="","",INDEX('Work Orders'!$AH$11:$AH$1010,$B287)))</f>
        <v/>
      </c>
      <c r="M287" s="46">
        <f>IF($B287="","",IF(INDEX('Work Orders'!$AM$11:$AM$1010,$B287)="","",INDEX('Work Orders'!$AM$11:$AM$1010,$B287)))</f>
        <v/>
      </c>
      <c r="N287" s="43">
        <f>IF($B287="","",IF(INDEX('Work Orders'!$AL$11:$AL$1010,$B287)="","",INDEX('Work Orders'!$AL$11:$AL$1010,$B287)))</f>
        <v/>
      </c>
      <c r="O287" s="43">
        <f>IF($B287="","",IF(INDEX('Work Orders'!$N$11:$N$1010,$B287)="","",INDEX('Work Orders'!$N$11:$N$1010,$B287)))</f>
        <v/>
      </c>
    </row>
    <row r="288">
      <c r="A288" s="68" t="n">
        <v>282</v>
      </c>
      <c r="B288">
        <f>IFERROR(MATCH(A288,'Work Orders'!$AO$11:$AO$1010,0),"")</f>
        <v/>
      </c>
      <c r="C288" s="43">
        <f>IF($B288="","",IF(INDEX('Work Orders'!$A$11:$A$1010,$B288)="","",INDEX('Work Orders'!$A$11:$A$1010,$B288)))</f>
        <v/>
      </c>
      <c r="D288" s="43">
        <f>IF($B288="","",IF(INDEX('Work Orders'!$B$11:$B$1010,$B288)="","",INDEX('Work Orders'!$B$11:$B$1010,$B288)))</f>
        <v/>
      </c>
      <c r="E288" s="43">
        <f>IF($B288="","",IF(INDEX('Work Orders'!$D$11:$D$1010,$B288)="","",INDEX('Work Orders'!$D$11:$D$1010,$B288)))</f>
        <v/>
      </c>
      <c r="F288" s="43">
        <f>IF($B288="","",IF(INDEX('Work Orders'!$Q$11:$Q$1010,$B288)="","",INDEX('Work Orders'!$Q$11:$Q$1010,$B288)))</f>
        <v/>
      </c>
      <c r="G288" s="43">
        <f>IF($B288="","",IF(INDEX('Work Orders'!$V$11:$V$1010,$B288)="","",INDEX('Work Orders'!$V$11:$V$1010,$B288)))</f>
        <v/>
      </c>
      <c r="H288" s="47">
        <f>IF($B288="","",IF(INDEX('Work Orders'!$U$11:$U$1010,$B288)="","",INDEX('Work Orders'!$U$11:$U$1010,$B288)))</f>
        <v/>
      </c>
      <c r="I288" s="47">
        <f>IF($B288="","",IF(INDEX('Work Orders'!$X$11:$X$1010,$B288)="","",INDEX('Work Orders'!$X$11:$X$1010,$B288)))</f>
        <v/>
      </c>
      <c r="J288" s="44">
        <f>IF($B288="","",IF(INDEX('Work Orders'!$Z$11:$Z$1010,$B288)="","",INDEX('Work Orders'!$Z$11:$Z$1010,$B288)))</f>
        <v/>
      </c>
      <c r="K288" s="44">
        <f>IF($B288="","",IF(INDEX('Work Orders'!$AG$11:$AG$1010,$B288)="","",INDEX('Work Orders'!$AG$11:$AG$1010,$B288)))</f>
        <v/>
      </c>
      <c r="L288" s="44">
        <f>IF($B288="","",IF(INDEX('Work Orders'!$AH$11:$AH$1010,$B288)="","",INDEX('Work Orders'!$AH$11:$AH$1010,$B288)))</f>
        <v/>
      </c>
      <c r="M288" s="46">
        <f>IF($B288="","",IF(INDEX('Work Orders'!$AM$11:$AM$1010,$B288)="","",INDEX('Work Orders'!$AM$11:$AM$1010,$B288)))</f>
        <v/>
      </c>
      <c r="N288" s="43">
        <f>IF($B288="","",IF(INDEX('Work Orders'!$AL$11:$AL$1010,$B288)="","",INDEX('Work Orders'!$AL$11:$AL$1010,$B288)))</f>
        <v/>
      </c>
      <c r="O288" s="43">
        <f>IF($B288="","",IF(INDEX('Work Orders'!$N$11:$N$1010,$B288)="","",INDEX('Work Orders'!$N$11:$N$1010,$B288)))</f>
        <v/>
      </c>
    </row>
    <row r="289">
      <c r="A289" s="68" t="n">
        <v>283</v>
      </c>
      <c r="B289">
        <f>IFERROR(MATCH(A289,'Work Orders'!$AO$11:$AO$1010,0),"")</f>
        <v/>
      </c>
      <c r="C289" s="43">
        <f>IF($B289="","",IF(INDEX('Work Orders'!$A$11:$A$1010,$B289)="","",INDEX('Work Orders'!$A$11:$A$1010,$B289)))</f>
        <v/>
      </c>
      <c r="D289" s="43">
        <f>IF($B289="","",IF(INDEX('Work Orders'!$B$11:$B$1010,$B289)="","",INDEX('Work Orders'!$B$11:$B$1010,$B289)))</f>
        <v/>
      </c>
      <c r="E289" s="43">
        <f>IF($B289="","",IF(INDEX('Work Orders'!$D$11:$D$1010,$B289)="","",INDEX('Work Orders'!$D$11:$D$1010,$B289)))</f>
        <v/>
      </c>
      <c r="F289" s="43">
        <f>IF($B289="","",IF(INDEX('Work Orders'!$Q$11:$Q$1010,$B289)="","",INDEX('Work Orders'!$Q$11:$Q$1010,$B289)))</f>
        <v/>
      </c>
      <c r="G289" s="43">
        <f>IF($B289="","",IF(INDEX('Work Orders'!$V$11:$V$1010,$B289)="","",INDEX('Work Orders'!$V$11:$V$1010,$B289)))</f>
        <v/>
      </c>
      <c r="H289" s="47">
        <f>IF($B289="","",IF(INDEX('Work Orders'!$U$11:$U$1010,$B289)="","",INDEX('Work Orders'!$U$11:$U$1010,$B289)))</f>
        <v/>
      </c>
      <c r="I289" s="47">
        <f>IF($B289="","",IF(INDEX('Work Orders'!$X$11:$X$1010,$B289)="","",INDEX('Work Orders'!$X$11:$X$1010,$B289)))</f>
        <v/>
      </c>
      <c r="J289" s="44">
        <f>IF($B289="","",IF(INDEX('Work Orders'!$Z$11:$Z$1010,$B289)="","",INDEX('Work Orders'!$Z$11:$Z$1010,$B289)))</f>
        <v/>
      </c>
      <c r="K289" s="44">
        <f>IF($B289="","",IF(INDEX('Work Orders'!$AG$11:$AG$1010,$B289)="","",INDEX('Work Orders'!$AG$11:$AG$1010,$B289)))</f>
        <v/>
      </c>
      <c r="L289" s="44">
        <f>IF($B289="","",IF(INDEX('Work Orders'!$AH$11:$AH$1010,$B289)="","",INDEX('Work Orders'!$AH$11:$AH$1010,$B289)))</f>
        <v/>
      </c>
      <c r="M289" s="46">
        <f>IF($B289="","",IF(INDEX('Work Orders'!$AM$11:$AM$1010,$B289)="","",INDEX('Work Orders'!$AM$11:$AM$1010,$B289)))</f>
        <v/>
      </c>
      <c r="N289" s="43">
        <f>IF($B289="","",IF(INDEX('Work Orders'!$AL$11:$AL$1010,$B289)="","",INDEX('Work Orders'!$AL$11:$AL$1010,$B289)))</f>
        <v/>
      </c>
      <c r="O289" s="43">
        <f>IF($B289="","",IF(INDEX('Work Orders'!$N$11:$N$1010,$B289)="","",INDEX('Work Orders'!$N$11:$N$1010,$B289)))</f>
        <v/>
      </c>
    </row>
    <row r="290">
      <c r="A290" s="68" t="n">
        <v>284</v>
      </c>
      <c r="B290">
        <f>IFERROR(MATCH(A290,'Work Orders'!$AO$11:$AO$1010,0),"")</f>
        <v/>
      </c>
      <c r="C290" s="43">
        <f>IF($B290="","",IF(INDEX('Work Orders'!$A$11:$A$1010,$B290)="","",INDEX('Work Orders'!$A$11:$A$1010,$B290)))</f>
        <v/>
      </c>
      <c r="D290" s="43">
        <f>IF($B290="","",IF(INDEX('Work Orders'!$B$11:$B$1010,$B290)="","",INDEX('Work Orders'!$B$11:$B$1010,$B290)))</f>
        <v/>
      </c>
      <c r="E290" s="43">
        <f>IF($B290="","",IF(INDEX('Work Orders'!$D$11:$D$1010,$B290)="","",INDEX('Work Orders'!$D$11:$D$1010,$B290)))</f>
        <v/>
      </c>
      <c r="F290" s="43">
        <f>IF($B290="","",IF(INDEX('Work Orders'!$Q$11:$Q$1010,$B290)="","",INDEX('Work Orders'!$Q$11:$Q$1010,$B290)))</f>
        <v/>
      </c>
      <c r="G290" s="43">
        <f>IF($B290="","",IF(INDEX('Work Orders'!$V$11:$V$1010,$B290)="","",INDEX('Work Orders'!$V$11:$V$1010,$B290)))</f>
        <v/>
      </c>
      <c r="H290" s="47">
        <f>IF($B290="","",IF(INDEX('Work Orders'!$U$11:$U$1010,$B290)="","",INDEX('Work Orders'!$U$11:$U$1010,$B290)))</f>
        <v/>
      </c>
      <c r="I290" s="47">
        <f>IF($B290="","",IF(INDEX('Work Orders'!$X$11:$X$1010,$B290)="","",INDEX('Work Orders'!$X$11:$X$1010,$B290)))</f>
        <v/>
      </c>
      <c r="J290" s="44">
        <f>IF($B290="","",IF(INDEX('Work Orders'!$Z$11:$Z$1010,$B290)="","",INDEX('Work Orders'!$Z$11:$Z$1010,$B290)))</f>
        <v/>
      </c>
      <c r="K290" s="44">
        <f>IF($B290="","",IF(INDEX('Work Orders'!$AG$11:$AG$1010,$B290)="","",INDEX('Work Orders'!$AG$11:$AG$1010,$B290)))</f>
        <v/>
      </c>
      <c r="L290" s="44">
        <f>IF($B290="","",IF(INDEX('Work Orders'!$AH$11:$AH$1010,$B290)="","",INDEX('Work Orders'!$AH$11:$AH$1010,$B290)))</f>
        <v/>
      </c>
      <c r="M290" s="46">
        <f>IF($B290="","",IF(INDEX('Work Orders'!$AM$11:$AM$1010,$B290)="","",INDEX('Work Orders'!$AM$11:$AM$1010,$B290)))</f>
        <v/>
      </c>
      <c r="N290" s="43">
        <f>IF($B290="","",IF(INDEX('Work Orders'!$AL$11:$AL$1010,$B290)="","",INDEX('Work Orders'!$AL$11:$AL$1010,$B290)))</f>
        <v/>
      </c>
      <c r="O290" s="43">
        <f>IF($B290="","",IF(INDEX('Work Orders'!$N$11:$N$1010,$B290)="","",INDEX('Work Orders'!$N$11:$N$1010,$B290)))</f>
        <v/>
      </c>
    </row>
    <row r="291">
      <c r="A291" s="68" t="n">
        <v>285</v>
      </c>
      <c r="B291">
        <f>IFERROR(MATCH(A291,'Work Orders'!$AO$11:$AO$1010,0),"")</f>
        <v/>
      </c>
      <c r="C291" s="43">
        <f>IF($B291="","",IF(INDEX('Work Orders'!$A$11:$A$1010,$B291)="","",INDEX('Work Orders'!$A$11:$A$1010,$B291)))</f>
        <v/>
      </c>
      <c r="D291" s="43">
        <f>IF($B291="","",IF(INDEX('Work Orders'!$B$11:$B$1010,$B291)="","",INDEX('Work Orders'!$B$11:$B$1010,$B291)))</f>
        <v/>
      </c>
      <c r="E291" s="43">
        <f>IF($B291="","",IF(INDEX('Work Orders'!$D$11:$D$1010,$B291)="","",INDEX('Work Orders'!$D$11:$D$1010,$B291)))</f>
        <v/>
      </c>
      <c r="F291" s="43">
        <f>IF($B291="","",IF(INDEX('Work Orders'!$Q$11:$Q$1010,$B291)="","",INDEX('Work Orders'!$Q$11:$Q$1010,$B291)))</f>
        <v/>
      </c>
      <c r="G291" s="43">
        <f>IF($B291="","",IF(INDEX('Work Orders'!$V$11:$V$1010,$B291)="","",INDEX('Work Orders'!$V$11:$V$1010,$B291)))</f>
        <v/>
      </c>
      <c r="H291" s="47">
        <f>IF($B291="","",IF(INDEX('Work Orders'!$U$11:$U$1010,$B291)="","",INDEX('Work Orders'!$U$11:$U$1010,$B291)))</f>
        <v/>
      </c>
      <c r="I291" s="47">
        <f>IF($B291="","",IF(INDEX('Work Orders'!$X$11:$X$1010,$B291)="","",INDEX('Work Orders'!$X$11:$X$1010,$B291)))</f>
        <v/>
      </c>
      <c r="J291" s="44">
        <f>IF($B291="","",IF(INDEX('Work Orders'!$Z$11:$Z$1010,$B291)="","",INDEX('Work Orders'!$Z$11:$Z$1010,$B291)))</f>
        <v/>
      </c>
      <c r="K291" s="44">
        <f>IF($B291="","",IF(INDEX('Work Orders'!$AG$11:$AG$1010,$B291)="","",INDEX('Work Orders'!$AG$11:$AG$1010,$B291)))</f>
        <v/>
      </c>
      <c r="L291" s="44">
        <f>IF($B291="","",IF(INDEX('Work Orders'!$AH$11:$AH$1010,$B291)="","",INDEX('Work Orders'!$AH$11:$AH$1010,$B291)))</f>
        <v/>
      </c>
      <c r="M291" s="46">
        <f>IF($B291="","",IF(INDEX('Work Orders'!$AM$11:$AM$1010,$B291)="","",INDEX('Work Orders'!$AM$11:$AM$1010,$B291)))</f>
        <v/>
      </c>
      <c r="N291" s="43">
        <f>IF($B291="","",IF(INDEX('Work Orders'!$AL$11:$AL$1010,$B291)="","",INDEX('Work Orders'!$AL$11:$AL$1010,$B291)))</f>
        <v/>
      </c>
      <c r="O291" s="43">
        <f>IF($B291="","",IF(INDEX('Work Orders'!$N$11:$N$1010,$B291)="","",INDEX('Work Orders'!$N$11:$N$1010,$B291)))</f>
        <v/>
      </c>
    </row>
    <row r="292">
      <c r="A292" s="68" t="n">
        <v>286</v>
      </c>
      <c r="B292">
        <f>IFERROR(MATCH(A292,'Work Orders'!$AO$11:$AO$1010,0),"")</f>
        <v/>
      </c>
      <c r="C292" s="43">
        <f>IF($B292="","",IF(INDEX('Work Orders'!$A$11:$A$1010,$B292)="","",INDEX('Work Orders'!$A$11:$A$1010,$B292)))</f>
        <v/>
      </c>
      <c r="D292" s="43">
        <f>IF($B292="","",IF(INDEX('Work Orders'!$B$11:$B$1010,$B292)="","",INDEX('Work Orders'!$B$11:$B$1010,$B292)))</f>
        <v/>
      </c>
      <c r="E292" s="43">
        <f>IF($B292="","",IF(INDEX('Work Orders'!$D$11:$D$1010,$B292)="","",INDEX('Work Orders'!$D$11:$D$1010,$B292)))</f>
        <v/>
      </c>
      <c r="F292" s="43">
        <f>IF($B292="","",IF(INDEX('Work Orders'!$Q$11:$Q$1010,$B292)="","",INDEX('Work Orders'!$Q$11:$Q$1010,$B292)))</f>
        <v/>
      </c>
      <c r="G292" s="43">
        <f>IF($B292="","",IF(INDEX('Work Orders'!$V$11:$V$1010,$B292)="","",INDEX('Work Orders'!$V$11:$V$1010,$B292)))</f>
        <v/>
      </c>
      <c r="H292" s="47">
        <f>IF($B292="","",IF(INDEX('Work Orders'!$U$11:$U$1010,$B292)="","",INDEX('Work Orders'!$U$11:$U$1010,$B292)))</f>
        <v/>
      </c>
      <c r="I292" s="47">
        <f>IF($B292="","",IF(INDEX('Work Orders'!$X$11:$X$1010,$B292)="","",INDEX('Work Orders'!$X$11:$X$1010,$B292)))</f>
        <v/>
      </c>
      <c r="J292" s="44">
        <f>IF($B292="","",IF(INDEX('Work Orders'!$Z$11:$Z$1010,$B292)="","",INDEX('Work Orders'!$Z$11:$Z$1010,$B292)))</f>
        <v/>
      </c>
      <c r="K292" s="44">
        <f>IF($B292="","",IF(INDEX('Work Orders'!$AG$11:$AG$1010,$B292)="","",INDEX('Work Orders'!$AG$11:$AG$1010,$B292)))</f>
        <v/>
      </c>
      <c r="L292" s="44">
        <f>IF($B292="","",IF(INDEX('Work Orders'!$AH$11:$AH$1010,$B292)="","",INDEX('Work Orders'!$AH$11:$AH$1010,$B292)))</f>
        <v/>
      </c>
      <c r="M292" s="46">
        <f>IF($B292="","",IF(INDEX('Work Orders'!$AM$11:$AM$1010,$B292)="","",INDEX('Work Orders'!$AM$11:$AM$1010,$B292)))</f>
        <v/>
      </c>
      <c r="N292" s="43">
        <f>IF($B292="","",IF(INDEX('Work Orders'!$AL$11:$AL$1010,$B292)="","",INDEX('Work Orders'!$AL$11:$AL$1010,$B292)))</f>
        <v/>
      </c>
      <c r="O292" s="43">
        <f>IF($B292="","",IF(INDEX('Work Orders'!$N$11:$N$1010,$B292)="","",INDEX('Work Orders'!$N$11:$N$1010,$B292)))</f>
        <v/>
      </c>
    </row>
    <row r="293">
      <c r="A293" s="68" t="n">
        <v>287</v>
      </c>
      <c r="B293">
        <f>IFERROR(MATCH(A293,'Work Orders'!$AO$11:$AO$1010,0),"")</f>
        <v/>
      </c>
      <c r="C293" s="43">
        <f>IF($B293="","",IF(INDEX('Work Orders'!$A$11:$A$1010,$B293)="","",INDEX('Work Orders'!$A$11:$A$1010,$B293)))</f>
        <v/>
      </c>
      <c r="D293" s="43">
        <f>IF($B293="","",IF(INDEX('Work Orders'!$B$11:$B$1010,$B293)="","",INDEX('Work Orders'!$B$11:$B$1010,$B293)))</f>
        <v/>
      </c>
      <c r="E293" s="43">
        <f>IF($B293="","",IF(INDEX('Work Orders'!$D$11:$D$1010,$B293)="","",INDEX('Work Orders'!$D$11:$D$1010,$B293)))</f>
        <v/>
      </c>
      <c r="F293" s="43">
        <f>IF($B293="","",IF(INDEX('Work Orders'!$Q$11:$Q$1010,$B293)="","",INDEX('Work Orders'!$Q$11:$Q$1010,$B293)))</f>
        <v/>
      </c>
      <c r="G293" s="43">
        <f>IF($B293="","",IF(INDEX('Work Orders'!$V$11:$V$1010,$B293)="","",INDEX('Work Orders'!$V$11:$V$1010,$B293)))</f>
        <v/>
      </c>
      <c r="H293" s="47">
        <f>IF($B293="","",IF(INDEX('Work Orders'!$U$11:$U$1010,$B293)="","",INDEX('Work Orders'!$U$11:$U$1010,$B293)))</f>
        <v/>
      </c>
      <c r="I293" s="47">
        <f>IF($B293="","",IF(INDEX('Work Orders'!$X$11:$X$1010,$B293)="","",INDEX('Work Orders'!$X$11:$X$1010,$B293)))</f>
        <v/>
      </c>
      <c r="J293" s="44">
        <f>IF($B293="","",IF(INDEX('Work Orders'!$Z$11:$Z$1010,$B293)="","",INDEX('Work Orders'!$Z$11:$Z$1010,$B293)))</f>
        <v/>
      </c>
      <c r="K293" s="44">
        <f>IF($B293="","",IF(INDEX('Work Orders'!$AG$11:$AG$1010,$B293)="","",INDEX('Work Orders'!$AG$11:$AG$1010,$B293)))</f>
        <v/>
      </c>
      <c r="L293" s="44">
        <f>IF($B293="","",IF(INDEX('Work Orders'!$AH$11:$AH$1010,$B293)="","",INDEX('Work Orders'!$AH$11:$AH$1010,$B293)))</f>
        <v/>
      </c>
      <c r="M293" s="46">
        <f>IF($B293="","",IF(INDEX('Work Orders'!$AM$11:$AM$1010,$B293)="","",INDEX('Work Orders'!$AM$11:$AM$1010,$B293)))</f>
        <v/>
      </c>
      <c r="N293" s="43">
        <f>IF($B293="","",IF(INDEX('Work Orders'!$AL$11:$AL$1010,$B293)="","",INDEX('Work Orders'!$AL$11:$AL$1010,$B293)))</f>
        <v/>
      </c>
      <c r="O293" s="43">
        <f>IF($B293="","",IF(INDEX('Work Orders'!$N$11:$N$1010,$B293)="","",INDEX('Work Orders'!$N$11:$N$1010,$B293)))</f>
        <v/>
      </c>
    </row>
    <row r="294">
      <c r="A294" s="68" t="n">
        <v>288</v>
      </c>
      <c r="B294">
        <f>IFERROR(MATCH(A294,'Work Orders'!$AO$11:$AO$1010,0),"")</f>
        <v/>
      </c>
      <c r="C294" s="43">
        <f>IF($B294="","",IF(INDEX('Work Orders'!$A$11:$A$1010,$B294)="","",INDEX('Work Orders'!$A$11:$A$1010,$B294)))</f>
        <v/>
      </c>
      <c r="D294" s="43">
        <f>IF($B294="","",IF(INDEX('Work Orders'!$B$11:$B$1010,$B294)="","",INDEX('Work Orders'!$B$11:$B$1010,$B294)))</f>
        <v/>
      </c>
      <c r="E294" s="43">
        <f>IF($B294="","",IF(INDEX('Work Orders'!$D$11:$D$1010,$B294)="","",INDEX('Work Orders'!$D$11:$D$1010,$B294)))</f>
        <v/>
      </c>
      <c r="F294" s="43">
        <f>IF($B294="","",IF(INDEX('Work Orders'!$Q$11:$Q$1010,$B294)="","",INDEX('Work Orders'!$Q$11:$Q$1010,$B294)))</f>
        <v/>
      </c>
      <c r="G294" s="43">
        <f>IF($B294="","",IF(INDEX('Work Orders'!$V$11:$V$1010,$B294)="","",INDEX('Work Orders'!$V$11:$V$1010,$B294)))</f>
        <v/>
      </c>
      <c r="H294" s="47">
        <f>IF($B294="","",IF(INDEX('Work Orders'!$U$11:$U$1010,$B294)="","",INDEX('Work Orders'!$U$11:$U$1010,$B294)))</f>
        <v/>
      </c>
      <c r="I294" s="47">
        <f>IF($B294="","",IF(INDEX('Work Orders'!$X$11:$X$1010,$B294)="","",INDEX('Work Orders'!$X$11:$X$1010,$B294)))</f>
        <v/>
      </c>
      <c r="J294" s="44">
        <f>IF($B294="","",IF(INDEX('Work Orders'!$Z$11:$Z$1010,$B294)="","",INDEX('Work Orders'!$Z$11:$Z$1010,$B294)))</f>
        <v/>
      </c>
      <c r="K294" s="44">
        <f>IF($B294="","",IF(INDEX('Work Orders'!$AG$11:$AG$1010,$B294)="","",INDEX('Work Orders'!$AG$11:$AG$1010,$B294)))</f>
        <v/>
      </c>
      <c r="L294" s="44">
        <f>IF($B294="","",IF(INDEX('Work Orders'!$AH$11:$AH$1010,$B294)="","",INDEX('Work Orders'!$AH$11:$AH$1010,$B294)))</f>
        <v/>
      </c>
      <c r="M294" s="46">
        <f>IF($B294="","",IF(INDEX('Work Orders'!$AM$11:$AM$1010,$B294)="","",INDEX('Work Orders'!$AM$11:$AM$1010,$B294)))</f>
        <v/>
      </c>
      <c r="N294" s="43">
        <f>IF($B294="","",IF(INDEX('Work Orders'!$AL$11:$AL$1010,$B294)="","",INDEX('Work Orders'!$AL$11:$AL$1010,$B294)))</f>
        <v/>
      </c>
      <c r="O294" s="43">
        <f>IF($B294="","",IF(INDEX('Work Orders'!$N$11:$N$1010,$B294)="","",INDEX('Work Orders'!$N$11:$N$1010,$B294)))</f>
        <v/>
      </c>
    </row>
    <row r="295">
      <c r="A295" s="68" t="n">
        <v>289</v>
      </c>
      <c r="B295">
        <f>IFERROR(MATCH(A295,'Work Orders'!$AO$11:$AO$1010,0),"")</f>
        <v/>
      </c>
      <c r="C295" s="43">
        <f>IF($B295="","",IF(INDEX('Work Orders'!$A$11:$A$1010,$B295)="","",INDEX('Work Orders'!$A$11:$A$1010,$B295)))</f>
        <v/>
      </c>
      <c r="D295" s="43">
        <f>IF($B295="","",IF(INDEX('Work Orders'!$B$11:$B$1010,$B295)="","",INDEX('Work Orders'!$B$11:$B$1010,$B295)))</f>
        <v/>
      </c>
      <c r="E295" s="43">
        <f>IF($B295="","",IF(INDEX('Work Orders'!$D$11:$D$1010,$B295)="","",INDEX('Work Orders'!$D$11:$D$1010,$B295)))</f>
        <v/>
      </c>
      <c r="F295" s="43">
        <f>IF($B295="","",IF(INDEX('Work Orders'!$Q$11:$Q$1010,$B295)="","",INDEX('Work Orders'!$Q$11:$Q$1010,$B295)))</f>
        <v/>
      </c>
      <c r="G295" s="43">
        <f>IF($B295="","",IF(INDEX('Work Orders'!$V$11:$V$1010,$B295)="","",INDEX('Work Orders'!$V$11:$V$1010,$B295)))</f>
        <v/>
      </c>
      <c r="H295" s="47">
        <f>IF($B295="","",IF(INDEX('Work Orders'!$U$11:$U$1010,$B295)="","",INDEX('Work Orders'!$U$11:$U$1010,$B295)))</f>
        <v/>
      </c>
      <c r="I295" s="47">
        <f>IF($B295="","",IF(INDEX('Work Orders'!$X$11:$X$1010,$B295)="","",INDEX('Work Orders'!$X$11:$X$1010,$B295)))</f>
        <v/>
      </c>
      <c r="J295" s="44">
        <f>IF($B295="","",IF(INDEX('Work Orders'!$Z$11:$Z$1010,$B295)="","",INDEX('Work Orders'!$Z$11:$Z$1010,$B295)))</f>
        <v/>
      </c>
      <c r="K295" s="44">
        <f>IF($B295="","",IF(INDEX('Work Orders'!$AG$11:$AG$1010,$B295)="","",INDEX('Work Orders'!$AG$11:$AG$1010,$B295)))</f>
        <v/>
      </c>
      <c r="L295" s="44">
        <f>IF($B295="","",IF(INDEX('Work Orders'!$AH$11:$AH$1010,$B295)="","",INDEX('Work Orders'!$AH$11:$AH$1010,$B295)))</f>
        <v/>
      </c>
      <c r="M295" s="46">
        <f>IF($B295="","",IF(INDEX('Work Orders'!$AM$11:$AM$1010,$B295)="","",INDEX('Work Orders'!$AM$11:$AM$1010,$B295)))</f>
        <v/>
      </c>
      <c r="N295" s="43">
        <f>IF($B295="","",IF(INDEX('Work Orders'!$AL$11:$AL$1010,$B295)="","",INDEX('Work Orders'!$AL$11:$AL$1010,$B295)))</f>
        <v/>
      </c>
      <c r="O295" s="43">
        <f>IF($B295="","",IF(INDEX('Work Orders'!$N$11:$N$1010,$B295)="","",INDEX('Work Orders'!$N$11:$N$1010,$B295)))</f>
        <v/>
      </c>
    </row>
    <row r="296">
      <c r="A296" s="68" t="n">
        <v>290</v>
      </c>
      <c r="B296">
        <f>IFERROR(MATCH(A296,'Work Orders'!$AO$11:$AO$1010,0),"")</f>
        <v/>
      </c>
      <c r="C296" s="43">
        <f>IF($B296="","",IF(INDEX('Work Orders'!$A$11:$A$1010,$B296)="","",INDEX('Work Orders'!$A$11:$A$1010,$B296)))</f>
        <v/>
      </c>
      <c r="D296" s="43">
        <f>IF($B296="","",IF(INDEX('Work Orders'!$B$11:$B$1010,$B296)="","",INDEX('Work Orders'!$B$11:$B$1010,$B296)))</f>
        <v/>
      </c>
      <c r="E296" s="43">
        <f>IF($B296="","",IF(INDEX('Work Orders'!$D$11:$D$1010,$B296)="","",INDEX('Work Orders'!$D$11:$D$1010,$B296)))</f>
        <v/>
      </c>
      <c r="F296" s="43">
        <f>IF($B296="","",IF(INDEX('Work Orders'!$Q$11:$Q$1010,$B296)="","",INDEX('Work Orders'!$Q$11:$Q$1010,$B296)))</f>
        <v/>
      </c>
      <c r="G296" s="43">
        <f>IF($B296="","",IF(INDEX('Work Orders'!$V$11:$V$1010,$B296)="","",INDEX('Work Orders'!$V$11:$V$1010,$B296)))</f>
        <v/>
      </c>
      <c r="H296" s="47">
        <f>IF($B296="","",IF(INDEX('Work Orders'!$U$11:$U$1010,$B296)="","",INDEX('Work Orders'!$U$11:$U$1010,$B296)))</f>
        <v/>
      </c>
      <c r="I296" s="47">
        <f>IF($B296="","",IF(INDEX('Work Orders'!$X$11:$X$1010,$B296)="","",INDEX('Work Orders'!$X$11:$X$1010,$B296)))</f>
        <v/>
      </c>
      <c r="J296" s="44">
        <f>IF($B296="","",IF(INDEX('Work Orders'!$Z$11:$Z$1010,$B296)="","",INDEX('Work Orders'!$Z$11:$Z$1010,$B296)))</f>
        <v/>
      </c>
      <c r="K296" s="44">
        <f>IF($B296="","",IF(INDEX('Work Orders'!$AG$11:$AG$1010,$B296)="","",INDEX('Work Orders'!$AG$11:$AG$1010,$B296)))</f>
        <v/>
      </c>
      <c r="L296" s="44">
        <f>IF($B296="","",IF(INDEX('Work Orders'!$AH$11:$AH$1010,$B296)="","",INDEX('Work Orders'!$AH$11:$AH$1010,$B296)))</f>
        <v/>
      </c>
      <c r="M296" s="46">
        <f>IF($B296="","",IF(INDEX('Work Orders'!$AM$11:$AM$1010,$B296)="","",INDEX('Work Orders'!$AM$11:$AM$1010,$B296)))</f>
        <v/>
      </c>
      <c r="N296" s="43">
        <f>IF($B296="","",IF(INDEX('Work Orders'!$AL$11:$AL$1010,$B296)="","",INDEX('Work Orders'!$AL$11:$AL$1010,$B296)))</f>
        <v/>
      </c>
      <c r="O296" s="43">
        <f>IF($B296="","",IF(INDEX('Work Orders'!$N$11:$N$1010,$B296)="","",INDEX('Work Orders'!$N$11:$N$1010,$B296)))</f>
        <v/>
      </c>
    </row>
    <row r="297">
      <c r="A297" s="68" t="n">
        <v>291</v>
      </c>
      <c r="B297">
        <f>IFERROR(MATCH(A297,'Work Orders'!$AO$11:$AO$1010,0),"")</f>
        <v/>
      </c>
      <c r="C297" s="43">
        <f>IF($B297="","",IF(INDEX('Work Orders'!$A$11:$A$1010,$B297)="","",INDEX('Work Orders'!$A$11:$A$1010,$B297)))</f>
        <v/>
      </c>
      <c r="D297" s="43">
        <f>IF($B297="","",IF(INDEX('Work Orders'!$B$11:$B$1010,$B297)="","",INDEX('Work Orders'!$B$11:$B$1010,$B297)))</f>
        <v/>
      </c>
      <c r="E297" s="43">
        <f>IF($B297="","",IF(INDEX('Work Orders'!$D$11:$D$1010,$B297)="","",INDEX('Work Orders'!$D$11:$D$1010,$B297)))</f>
        <v/>
      </c>
      <c r="F297" s="43">
        <f>IF($B297="","",IF(INDEX('Work Orders'!$Q$11:$Q$1010,$B297)="","",INDEX('Work Orders'!$Q$11:$Q$1010,$B297)))</f>
        <v/>
      </c>
      <c r="G297" s="43">
        <f>IF($B297="","",IF(INDEX('Work Orders'!$V$11:$V$1010,$B297)="","",INDEX('Work Orders'!$V$11:$V$1010,$B297)))</f>
        <v/>
      </c>
      <c r="H297" s="47">
        <f>IF($B297="","",IF(INDEX('Work Orders'!$U$11:$U$1010,$B297)="","",INDEX('Work Orders'!$U$11:$U$1010,$B297)))</f>
        <v/>
      </c>
      <c r="I297" s="47">
        <f>IF($B297="","",IF(INDEX('Work Orders'!$X$11:$X$1010,$B297)="","",INDEX('Work Orders'!$X$11:$X$1010,$B297)))</f>
        <v/>
      </c>
      <c r="J297" s="44">
        <f>IF($B297="","",IF(INDEX('Work Orders'!$Z$11:$Z$1010,$B297)="","",INDEX('Work Orders'!$Z$11:$Z$1010,$B297)))</f>
        <v/>
      </c>
      <c r="K297" s="44">
        <f>IF($B297="","",IF(INDEX('Work Orders'!$AG$11:$AG$1010,$B297)="","",INDEX('Work Orders'!$AG$11:$AG$1010,$B297)))</f>
        <v/>
      </c>
      <c r="L297" s="44">
        <f>IF($B297="","",IF(INDEX('Work Orders'!$AH$11:$AH$1010,$B297)="","",INDEX('Work Orders'!$AH$11:$AH$1010,$B297)))</f>
        <v/>
      </c>
      <c r="M297" s="46">
        <f>IF($B297="","",IF(INDEX('Work Orders'!$AM$11:$AM$1010,$B297)="","",INDEX('Work Orders'!$AM$11:$AM$1010,$B297)))</f>
        <v/>
      </c>
      <c r="N297" s="43">
        <f>IF($B297="","",IF(INDEX('Work Orders'!$AL$11:$AL$1010,$B297)="","",INDEX('Work Orders'!$AL$11:$AL$1010,$B297)))</f>
        <v/>
      </c>
      <c r="O297" s="43">
        <f>IF($B297="","",IF(INDEX('Work Orders'!$N$11:$N$1010,$B297)="","",INDEX('Work Orders'!$N$11:$N$1010,$B297)))</f>
        <v/>
      </c>
    </row>
    <row r="298">
      <c r="A298" s="68" t="n">
        <v>292</v>
      </c>
      <c r="B298">
        <f>IFERROR(MATCH(A298,'Work Orders'!$AO$11:$AO$1010,0),"")</f>
        <v/>
      </c>
      <c r="C298" s="43">
        <f>IF($B298="","",IF(INDEX('Work Orders'!$A$11:$A$1010,$B298)="","",INDEX('Work Orders'!$A$11:$A$1010,$B298)))</f>
        <v/>
      </c>
      <c r="D298" s="43">
        <f>IF($B298="","",IF(INDEX('Work Orders'!$B$11:$B$1010,$B298)="","",INDEX('Work Orders'!$B$11:$B$1010,$B298)))</f>
        <v/>
      </c>
      <c r="E298" s="43">
        <f>IF($B298="","",IF(INDEX('Work Orders'!$D$11:$D$1010,$B298)="","",INDEX('Work Orders'!$D$11:$D$1010,$B298)))</f>
        <v/>
      </c>
      <c r="F298" s="43">
        <f>IF($B298="","",IF(INDEX('Work Orders'!$Q$11:$Q$1010,$B298)="","",INDEX('Work Orders'!$Q$11:$Q$1010,$B298)))</f>
        <v/>
      </c>
      <c r="G298" s="43">
        <f>IF($B298="","",IF(INDEX('Work Orders'!$V$11:$V$1010,$B298)="","",INDEX('Work Orders'!$V$11:$V$1010,$B298)))</f>
        <v/>
      </c>
      <c r="H298" s="47">
        <f>IF($B298="","",IF(INDEX('Work Orders'!$U$11:$U$1010,$B298)="","",INDEX('Work Orders'!$U$11:$U$1010,$B298)))</f>
        <v/>
      </c>
      <c r="I298" s="47">
        <f>IF($B298="","",IF(INDEX('Work Orders'!$X$11:$X$1010,$B298)="","",INDEX('Work Orders'!$X$11:$X$1010,$B298)))</f>
        <v/>
      </c>
      <c r="J298" s="44">
        <f>IF($B298="","",IF(INDEX('Work Orders'!$Z$11:$Z$1010,$B298)="","",INDEX('Work Orders'!$Z$11:$Z$1010,$B298)))</f>
        <v/>
      </c>
      <c r="K298" s="44">
        <f>IF($B298="","",IF(INDEX('Work Orders'!$AG$11:$AG$1010,$B298)="","",INDEX('Work Orders'!$AG$11:$AG$1010,$B298)))</f>
        <v/>
      </c>
      <c r="L298" s="44">
        <f>IF($B298="","",IF(INDEX('Work Orders'!$AH$11:$AH$1010,$B298)="","",INDEX('Work Orders'!$AH$11:$AH$1010,$B298)))</f>
        <v/>
      </c>
      <c r="M298" s="46">
        <f>IF($B298="","",IF(INDEX('Work Orders'!$AM$11:$AM$1010,$B298)="","",INDEX('Work Orders'!$AM$11:$AM$1010,$B298)))</f>
        <v/>
      </c>
      <c r="N298" s="43">
        <f>IF($B298="","",IF(INDEX('Work Orders'!$AL$11:$AL$1010,$B298)="","",INDEX('Work Orders'!$AL$11:$AL$1010,$B298)))</f>
        <v/>
      </c>
      <c r="O298" s="43">
        <f>IF($B298="","",IF(INDEX('Work Orders'!$N$11:$N$1010,$B298)="","",INDEX('Work Orders'!$N$11:$N$1010,$B298)))</f>
        <v/>
      </c>
    </row>
    <row r="299">
      <c r="A299" s="68" t="n">
        <v>293</v>
      </c>
      <c r="B299">
        <f>IFERROR(MATCH(A299,'Work Orders'!$AO$11:$AO$1010,0),"")</f>
        <v/>
      </c>
      <c r="C299" s="43">
        <f>IF($B299="","",IF(INDEX('Work Orders'!$A$11:$A$1010,$B299)="","",INDEX('Work Orders'!$A$11:$A$1010,$B299)))</f>
        <v/>
      </c>
      <c r="D299" s="43">
        <f>IF($B299="","",IF(INDEX('Work Orders'!$B$11:$B$1010,$B299)="","",INDEX('Work Orders'!$B$11:$B$1010,$B299)))</f>
        <v/>
      </c>
      <c r="E299" s="43">
        <f>IF($B299="","",IF(INDEX('Work Orders'!$D$11:$D$1010,$B299)="","",INDEX('Work Orders'!$D$11:$D$1010,$B299)))</f>
        <v/>
      </c>
      <c r="F299" s="43">
        <f>IF($B299="","",IF(INDEX('Work Orders'!$Q$11:$Q$1010,$B299)="","",INDEX('Work Orders'!$Q$11:$Q$1010,$B299)))</f>
        <v/>
      </c>
      <c r="G299" s="43">
        <f>IF($B299="","",IF(INDEX('Work Orders'!$V$11:$V$1010,$B299)="","",INDEX('Work Orders'!$V$11:$V$1010,$B299)))</f>
        <v/>
      </c>
      <c r="H299" s="47">
        <f>IF($B299="","",IF(INDEX('Work Orders'!$U$11:$U$1010,$B299)="","",INDEX('Work Orders'!$U$11:$U$1010,$B299)))</f>
        <v/>
      </c>
      <c r="I299" s="47">
        <f>IF($B299="","",IF(INDEX('Work Orders'!$X$11:$X$1010,$B299)="","",INDEX('Work Orders'!$X$11:$X$1010,$B299)))</f>
        <v/>
      </c>
      <c r="J299" s="44">
        <f>IF($B299="","",IF(INDEX('Work Orders'!$Z$11:$Z$1010,$B299)="","",INDEX('Work Orders'!$Z$11:$Z$1010,$B299)))</f>
        <v/>
      </c>
      <c r="K299" s="44">
        <f>IF($B299="","",IF(INDEX('Work Orders'!$AG$11:$AG$1010,$B299)="","",INDEX('Work Orders'!$AG$11:$AG$1010,$B299)))</f>
        <v/>
      </c>
      <c r="L299" s="44">
        <f>IF($B299="","",IF(INDEX('Work Orders'!$AH$11:$AH$1010,$B299)="","",INDEX('Work Orders'!$AH$11:$AH$1010,$B299)))</f>
        <v/>
      </c>
      <c r="M299" s="46">
        <f>IF($B299="","",IF(INDEX('Work Orders'!$AM$11:$AM$1010,$B299)="","",INDEX('Work Orders'!$AM$11:$AM$1010,$B299)))</f>
        <v/>
      </c>
      <c r="N299" s="43">
        <f>IF($B299="","",IF(INDEX('Work Orders'!$AL$11:$AL$1010,$B299)="","",INDEX('Work Orders'!$AL$11:$AL$1010,$B299)))</f>
        <v/>
      </c>
      <c r="O299" s="43">
        <f>IF($B299="","",IF(INDEX('Work Orders'!$N$11:$N$1010,$B299)="","",INDEX('Work Orders'!$N$11:$N$1010,$B299)))</f>
        <v/>
      </c>
    </row>
    <row r="300">
      <c r="A300" s="68" t="n">
        <v>294</v>
      </c>
      <c r="B300">
        <f>IFERROR(MATCH(A300,'Work Orders'!$AO$11:$AO$1010,0),"")</f>
        <v/>
      </c>
      <c r="C300" s="43">
        <f>IF($B300="","",IF(INDEX('Work Orders'!$A$11:$A$1010,$B300)="","",INDEX('Work Orders'!$A$11:$A$1010,$B300)))</f>
        <v/>
      </c>
      <c r="D300" s="43">
        <f>IF($B300="","",IF(INDEX('Work Orders'!$B$11:$B$1010,$B300)="","",INDEX('Work Orders'!$B$11:$B$1010,$B300)))</f>
        <v/>
      </c>
      <c r="E300" s="43">
        <f>IF($B300="","",IF(INDEX('Work Orders'!$D$11:$D$1010,$B300)="","",INDEX('Work Orders'!$D$11:$D$1010,$B300)))</f>
        <v/>
      </c>
      <c r="F300" s="43">
        <f>IF($B300="","",IF(INDEX('Work Orders'!$Q$11:$Q$1010,$B300)="","",INDEX('Work Orders'!$Q$11:$Q$1010,$B300)))</f>
        <v/>
      </c>
      <c r="G300" s="43">
        <f>IF($B300="","",IF(INDEX('Work Orders'!$V$11:$V$1010,$B300)="","",INDEX('Work Orders'!$V$11:$V$1010,$B300)))</f>
        <v/>
      </c>
      <c r="H300" s="47">
        <f>IF($B300="","",IF(INDEX('Work Orders'!$U$11:$U$1010,$B300)="","",INDEX('Work Orders'!$U$11:$U$1010,$B300)))</f>
        <v/>
      </c>
      <c r="I300" s="47">
        <f>IF($B300="","",IF(INDEX('Work Orders'!$X$11:$X$1010,$B300)="","",INDEX('Work Orders'!$X$11:$X$1010,$B300)))</f>
        <v/>
      </c>
      <c r="J300" s="44">
        <f>IF($B300="","",IF(INDEX('Work Orders'!$Z$11:$Z$1010,$B300)="","",INDEX('Work Orders'!$Z$11:$Z$1010,$B300)))</f>
        <v/>
      </c>
      <c r="K300" s="44">
        <f>IF($B300="","",IF(INDEX('Work Orders'!$AG$11:$AG$1010,$B300)="","",INDEX('Work Orders'!$AG$11:$AG$1010,$B300)))</f>
        <v/>
      </c>
      <c r="L300" s="44">
        <f>IF($B300="","",IF(INDEX('Work Orders'!$AH$11:$AH$1010,$B300)="","",INDEX('Work Orders'!$AH$11:$AH$1010,$B300)))</f>
        <v/>
      </c>
      <c r="M300" s="46">
        <f>IF($B300="","",IF(INDEX('Work Orders'!$AM$11:$AM$1010,$B300)="","",INDEX('Work Orders'!$AM$11:$AM$1010,$B300)))</f>
        <v/>
      </c>
      <c r="N300" s="43">
        <f>IF($B300="","",IF(INDEX('Work Orders'!$AL$11:$AL$1010,$B300)="","",INDEX('Work Orders'!$AL$11:$AL$1010,$B300)))</f>
        <v/>
      </c>
      <c r="O300" s="43">
        <f>IF($B300="","",IF(INDEX('Work Orders'!$N$11:$N$1010,$B300)="","",INDEX('Work Orders'!$N$11:$N$1010,$B300)))</f>
        <v/>
      </c>
    </row>
    <row r="301">
      <c r="A301" s="68" t="n">
        <v>295</v>
      </c>
      <c r="B301">
        <f>IFERROR(MATCH(A301,'Work Orders'!$AO$11:$AO$1010,0),"")</f>
        <v/>
      </c>
      <c r="C301" s="43">
        <f>IF($B301="","",IF(INDEX('Work Orders'!$A$11:$A$1010,$B301)="","",INDEX('Work Orders'!$A$11:$A$1010,$B301)))</f>
        <v/>
      </c>
      <c r="D301" s="43">
        <f>IF($B301="","",IF(INDEX('Work Orders'!$B$11:$B$1010,$B301)="","",INDEX('Work Orders'!$B$11:$B$1010,$B301)))</f>
        <v/>
      </c>
      <c r="E301" s="43">
        <f>IF($B301="","",IF(INDEX('Work Orders'!$D$11:$D$1010,$B301)="","",INDEX('Work Orders'!$D$11:$D$1010,$B301)))</f>
        <v/>
      </c>
      <c r="F301" s="43">
        <f>IF($B301="","",IF(INDEX('Work Orders'!$Q$11:$Q$1010,$B301)="","",INDEX('Work Orders'!$Q$11:$Q$1010,$B301)))</f>
        <v/>
      </c>
      <c r="G301" s="43">
        <f>IF($B301="","",IF(INDEX('Work Orders'!$V$11:$V$1010,$B301)="","",INDEX('Work Orders'!$V$11:$V$1010,$B301)))</f>
        <v/>
      </c>
      <c r="H301" s="47">
        <f>IF($B301="","",IF(INDEX('Work Orders'!$U$11:$U$1010,$B301)="","",INDEX('Work Orders'!$U$11:$U$1010,$B301)))</f>
        <v/>
      </c>
      <c r="I301" s="47">
        <f>IF($B301="","",IF(INDEX('Work Orders'!$X$11:$X$1010,$B301)="","",INDEX('Work Orders'!$X$11:$X$1010,$B301)))</f>
        <v/>
      </c>
      <c r="J301" s="44">
        <f>IF($B301="","",IF(INDEX('Work Orders'!$Z$11:$Z$1010,$B301)="","",INDEX('Work Orders'!$Z$11:$Z$1010,$B301)))</f>
        <v/>
      </c>
      <c r="K301" s="44">
        <f>IF($B301="","",IF(INDEX('Work Orders'!$AG$11:$AG$1010,$B301)="","",INDEX('Work Orders'!$AG$11:$AG$1010,$B301)))</f>
        <v/>
      </c>
      <c r="L301" s="44">
        <f>IF($B301="","",IF(INDEX('Work Orders'!$AH$11:$AH$1010,$B301)="","",INDEX('Work Orders'!$AH$11:$AH$1010,$B301)))</f>
        <v/>
      </c>
      <c r="M301" s="46">
        <f>IF($B301="","",IF(INDEX('Work Orders'!$AM$11:$AM$1010,$B301)="","",INDEX('Work Orders'!$AM$11:$AM$1010,$B301)))</f>
        <v/>
      </c>
      <c r="N301" s="43">
        <f>IF($B301="","",IF(INDEX('Work Orders'!$AL$11:$AL$1010,$B301)="","",INDEX('Work Orders'!$AL$11:$AL$1010,$B301)))</f>
        <v/>
      </c>
      <c r="O301" s="43">
        <f>IF($B301="","",IF(INDEX('Work Orders'!$N$11:$N$1010,$B301)="","",INDEX('Work Orders'!$N$11:$N$1010,$B301)))</f>
        <v/>
      </c>
    </row>
    <row r="302">
      <c r="A302" s="68" t="n">
        <v>296</v>
      </c>
      <c r="B302">
        <f>IFERROR(MATCH(A302,'Work Orders'!$AO$11:$AO$1010,0),"")</f>
        <v/>
      </c>
      <c r="C302" s="43">
        <f>IF($B302="","",IF(INDEX('Work Orders'!$A$11:$A$1010,$B302)="","",INDEX('Work Orders'!$A$11:$A$1010,$B302)))</f>
        <v/>
      </c>
      <c r="D302" s="43">
        <f>IF($B302="","",IF(INDEX('Work Orders'!$B$11:$B$1010,$B302)="","",INDEX('Work Orders'!$B$11:$B$1010,$B302)))</f>
        <v/>
      </c>
      <c r="E302" s="43">
        <f>IF($B302="","",IF(INDEX('Work Orders'!$D$11:$D$1010,$B302)="","",INDEX('Work Orders'!$D$11:$D$1010,$B302)))</f>
        <v/>
      </c>
      <c r="F302" s="43">
        <f>IF($B302="","",IF(INDEX('Work Orders'!$Q$11:$Q$1010,$B302)="","",INDEX('Work Orders'!$Q$11:$Q$1010,$B302)))</f>
        <v/>
      </c>
      <c r="G302" s="43">
        <f>IF($B302="","",IF(INDEX('Work Orders'!$V$11:$V$1010,$B302)="","",INDEX('Work Orders'!$V$11:$V$1010,$B302)))</f>
        <v/>
      </c>
      <c r="H302" s="47">
        <f>IF($B302="","",IF(INDEX('Work Orders'!$U$11:$U$1010,$B302)="","",INDEX('Work Orders'!$U$11:$U$1010,$B302)))</f>
        <v/>
      </c>
      <c r="I302" s="47">
        <f>IF($B302="","",IF(INDEX('Work Orders'!$X$11:$X$1010,$B302)="","",INDEX('Work Orders'!$X$11:$X$1010,$B302)))</f>
        <v/>
      </c>
      <c r="J302" s="44">
        <f>IF($B302="","",IF(INDEX('Work Orders'!$Z$11:$Z$1010,$B302)="","",INDEX('Work Orders'!$Z$11:$Z$1010,$B302)))</f>
        <v/>
      </c>
      <c r="K302" s="44">
        <f>IF($B302="","",IF(INDEX('Work Orders'!$AG$11:$AG$1010,$B302)="","",INDEX('Work Orders'!$AG$11:$AG$1010,$B302)))</f>
        <v/>
      </c>
      <c r="L302" s="44">
        <f>IF($B302="","",IF(INDEX('Work Orders'!$AH$11:$AH$1010,$B302)="","",INDEX('Work Orders'!$AH$11:$AH$1010,$B302)))</f>
        <v/>
      </c>
      <c r="M302" s="46">
        <f>IF($B302="","",IF(INDEX('Work Orders'!$AM$11:$AM$1010,$B302)="","",INDEX('Work Orders'!$AM$11:$AM$1010,$B302)))</f>
        <v/>
      </c>
      <c r="N302" s="43">
        <f>IF($B302="","",IF(INDEX('Work Orders'!$AL$11:$AL$1010,$B302)="","",INDEX('Work Orders'!$AL$11:$AL$1010,$B302)))</f>
        <v/>
      </c>
      <c r="O302" s="43">
        <f>IF($B302="","",IF(INDEX('Work Orders'!$N$11:$N$1010,$B302)="","",INDEX('Work Orders'!$N$11:$N$1010,$B302)))</f>
        <v/>
      </c>
    </row>
    <row r="303">
      <c r="A303" s="68" t="n">
        <v>297</v>
      </c>
      <c r="B303">
        <f>IFERROR(MATCH(A303,'Work Orders'!$AO$11:$AO$1010,0),"")</f>
        <v/>
      </c>
      <c r="C303" s="43">
        <f>IF($B303="","",IF(INDEX('Work Orders'!$A$11:$A$1010,$B303)="","",INDEX('Work Orders'!$A$11:$A$1010,$B303)))</f>
        <v/>
      </c>
      <c r="D303" s="43">
        <f>IF($B303="","",IF(INDEX('Work Orders'!$B$11:$B$1010,$B303)="","",INDEX('Work Orders'!$B$11:$B$1010,$B303)))</f>
        <v/>
      </c>
      <c r="E303" s="43">
        <f>IF($B303="","",IF(INDEX('Work Orders'!$D$11:$D$1010,$B303)="","",INDEX('Work Orders'!$D$11:$D$1010,$B303)))</f>
        <v/>
      </c>
      <c r="F303" s="43">
        <f>IF($B303="","",IF(INDEX('Work Orders'!$Q$11:$Q$1010,$B303)="","",INDEX('Work Orders'!$Q$11:$Q$1010,$B303)))</f>
        <v/>
      </c>
      <c r="G303" s="43">
        <f>IF($B303="","",IF(INDEX('Work Orders'!$V$11:$V$1010,$B303)="","",INDEX('Work Orders'!$V$11:$V$1010,$B303)))</f>
        <v/>
      </c>
      <c r="H303" s="47">
        <f>IF($B303="","",IF(INDEX('Work Orders'!$U$11:$U$1010,$B303)="","",INDEX('Work Orders'!$U$11:$U$1010,$B303)))</f>
        <v/>
      </c>
      <c r="I303" s="47">
        <f>IF($B303="","",IF(INDEX('Work Orders'!$X$11:$X$1010,$B303)="","",INDEX('Work Orders'!$X$11:$X$1010,$B303)))</f>
        <v/>
      </c>
      <c r="J303" s="44">
        <f>IF($B303="","",IF(INDEX('Work Orders'!$Z$11:$Z$1010,$B303)="","",INDEX('Work Orders'!$Z$11:$Z$1010,$B303)))</f>
        <v/>
      </c>
      <c r="K303" s="44">
        <f>IF($B303="","",IF(INDEX('Work Orders'!$AG$11:$AG$1010,$B303)="","",INDEX('Work Orders'!$AG$11:$AG$1010,$B303)))</f>
        <v/>
      </c>
      <c r="L303" s="44">
        <f>IF($B303="","",IF(INDEX('Work Orders'!$AH$11:$AH$1010,$B303)="","",INDEX('Work Orders'!$AH$11:$AH$1010,$B303)))</f>
        <v/>
      </c>
      <c r="M303" s="46">
        <f>IF($B303="","",IF(INDEX('Work Orders'!$AM$11:$AM$1010,$B303)="","",INDEX('Work Orders'!$AM$11:$AM$1010,$B303)))</f>
        <v/>
      </c>
      <c r="N303" s="43">
        <f>IF($B303="","",IF(INDEX('Work Orders'!$AL$11:$AL$1010,$B303)="","",INDEX('Work Orders'!$AL$11:$AL$1010,$B303)))</f>
        <v/>
      </c>
      <c r="O303" s="43">
        <f>IF($B303="","",IF(INDEX('Work Orders'!$N$11:$N$1010,$B303)="","",INDEX('Work Orders'!$N$11:$N$1010,$B303)))</f>
        <v/>
      </c>
    </row>
    <row r="304">
      <c r="A304" s="68" t="n">
        <v>298</v>
      </c>
      <c r="B304">
        <f>IFERROR(MATCH(A304,'Work Orders'!$AO$11:$AO$1010,0),"")</f>
        <v/>
      </c>
      <c r="C304" s="43">
        <f>IF($B304="","",IF(INDEX('Work Orders'!$A$11:$A$1010,$B304)="","",INDEX('Work Orders'!$A$11:$A$1010,$B304)))</f>
        <v/>
      </c>
      <c r="D304" s="43">
        <f>IF($B304="","",IF(INDEX('Work Orders'!$B$11:$B$1010,$B304)="","",INDEX('Work Orders'!$B$11:$B$1010,$B304)))</f>
        <v/>
      </c>
      <c r="E304" s="43">
        <f>IF($B304="","",IF(INDEX('Work Orders'!$D$11:$D$1010,$B304)="","",INDEX('Work Orders'!$D$11:$D$1010,$B304)))</f>
        <v/>
      </c>
      <c r="F304" s="43">
        <f>IF($B304="","",IF(INDEX('Work Orders'!$Q$11:$Q$1010,$B304)="","",INDEX('Work Orders'!$Q$11:$Q$1010,$B304)))</f>
        <v/>
      </c>
      <c r="G304" s="43">
        <f>IF($B304="","",IF(INDEX('Work Orders'!$V$11:$V$1010,$B304)="","",INDEX('Work Orders'!$V$11:$V$1010,$B304)))</f>
        <v/>
      </c>
      <c r="H304" s="47">
        <f>IF($B304="","",IF(INDEX('Work Orders'!$U$11:$U$1010,$B304)="","",INDEX('Work Orders'!$U$11:$U$1010,$B304)))</f>
        <v/>
      </c>
      <c r="I304" s="47">
        <f>IF($B304="","",IF(INDEX('Work Orders'!$X$11:$X$1010,$B304)="","",INDEX('Work Orders'!$X$11:$X$1010,$B304)))</f>
        <v/>
      </c>
      <c r="J304" s="44">
        <f>IF($B304="","",IF(INDEX('Work Orders'!$Z$11:$Z$1010,$B304)="","",INDEX('Work Orders'!$Z$11:$Z$1010,$B304)))</f>
        <v/>
      </c>
      <c r="K304" s="44">
        <f>IF($B304="","",IF(INDEX('Work Orders'!$AG$11:$AG$1010,$B304)="","",INDEX('Work Orders'!$AG$11:$AG$1010,$B304)))</f>
        <v/>
      </c>
      <c r="L304" s="44">
        <f>IF($B304="","",IF(INDEX('Work Orders'!$AH$11:$AH$1010,$B304)="","",INDEX('Work Orders'!$AH$11:$AH$1010,$B304)))</f>
        <v/>
      </c>
      <c r="M304" s="46">
        <f>IF($B304="","",IF(INDEX('Work Orders'!$AM$11:$AM$1010,$B304)="","",INDEX('Work Orders'!$AM$11:$AM$1010,$B304)))</f>
        <v/>
      </c>
      <c r="N304" s="43">
        <f>IF($B304="","",IF(INDEX('Work Orders'!$AL$11:$AL$1010,$B304)="","",INDEX('Work Orders'!$AL$11:$AL$1010,$B304)))</f>
        <v/>
      </c>
      <c r="O304" s="43">
        <f>IF($B304="","",IF(INDEX('Work Orders'!$N$11:$N$1010,$B304)="","",INDEX('Work Orders'!$N$11:$N$1010,$B304)))</f>
        <v/>
      </c>
    </row>
    <row r="305">
      <c r="A305" s="68" t="n">
        <v>299</v>
      </c>
      <c r="B305">
        <f>IFERROR(MATCH(A305,'Work Orders'!$AO$11:$AO$1010,0),"")</f>
        <v/>
      </c>
      <c r="C305" s="43">
        <f>IF($B305="","",IF(INDEX('Work Orders'!$A$11:$A$1010,$B305)="","",INDEX('Work Orders'!$A$11:$A$1010,$B305)))</f>
        <v/>
      </c>
      <c r="D305" s="43">
        <f>IF($B305="","",IF(INDEX('Work Orders'!$B$11:$B$1010,$B305)="","",INDEX('Work Orders'!$B$11:$B$1010,$B305)))</f>
        <v/>
      </c>
      <c r="E305" s="43">
        <f>IF($B305="","",IF(INDEX('Work Orders'!$D$11:$D$1010,$B305)="","",INDEX('Work Orders'!$D$11:$D$1010,$B305)))</f>
        <v/>
      </c>
      <c r="F305" s="43">
        <f>IF($B305="","",IF(INDEX('Work Orders'!$Q$11:$Q$1010,$B305)="","",INDEX('Work Orders'!$Q$11:$Q$1010,$B305)))</f>
        <v/>
      </c>
      <c r="G305" s="43">
        <f>IF($B305="","",IF(INDEX('Work Orders'!$V$11:$V$1010,$B305)="","",INDEX('Work Orders'!$V$11:$V$1010,$B305)))</f>
        <v/>
      </c>
      <c r="H305" s="47">
        <f>IF($B305="","",IF(INDEX('Work Orders'!$U$11:$U$1010,$B305)="","",INDEX('Work Orders'!$U$11:$U$1010,$B305)))</f>
        <v/>
      </c>
      <c r="I305" s="47">
        <f>IF($B305="","",IF(INDEX('Work Orders'!$X$11:$X$1010,$B305)="","",INDEX('Work Orders'!$X$11:$X$1010,$B305)))</f>
        <v/>
      </c>
      <c r="J305" s="44">
        <f>IF($B305="","",IF(INDEX('Work Orders'!$Z$11:$Z$1010,$B305)="","",INDEX('Work Orders'!$Z$11:$Z$1010,$B305)))</f>
        <v/>
      </c>
      <c r="K305" s="44">
        <f>IF($B305="","",IF(INDEX('Work Orders'!$AG$11:$AG$1010,$B305)="","",INDEX('Work Orders'!$AG$11:$AG$1010,$B305)))</f>
        <v/>
      </c>
      <c r="L305" s="44">
        <f>IF($B305="","",IF(INDEX('Work Orders'!$AH$11:$AH$1010,$B305)="","",INDEX('Work Orders'!$AH$11:$AH$1010,$B305)))</f>
        <v/>
      </c>
      <c r="M305" s="46">
        <f>IF($B305="","",IF(INDEX('Work Orders'!$AM$11:$AM$1010,$B305)="","",INDEX('Work Orders'!$AM$11:$AM$1010,$B305)))</f>
        <v/>
      </c>
      <c r="N305" s="43">
        <f>IF($B305="","",IF(INDEX('Work Orders'!$AL$11:$AL$1010,$B305)="","",INDEX('Work Orders'!$AL$11:$AL$1010,$B305)))</f>
        <v/>
      </c>
      <c r="O305" s="43">
        <f>IF($B305="","",IF(INDEX('Work Orders'!$N$11:$N$1010,$B305)="","",INDEX('Work Orders'!$N$11:$N$1010,$B305)))</f>
        <v/>
      </c>
    </row>
    <row r="306">
      <c r="A306" s="68" t="n">
        <v>300</v>
      </c>
      <c r="B306">
        <f>IFERROR(MATCH(A306,'Work Orders'!$AO$11:$AO$1010,0),"")</f>
        <v/>
      </c>
      <c r="C306" s="43">
        <f>IF($B306="","",IF(INDEX('Work Orders'!$A$11:$A$1010,$B306)="","",INDEX('Work Orders'!$A$11:$A$1010,$B306)))</f>
        <v/>
      </c>
      <c r="D306" s="43">
        <f>IF($B306="","",IF(INDEX('Work Orders'!$B$11:$B$1010,$B306)="","",INDEX('Work Orders'!$B$11:$B$1010,$B306)))</f>
        <v/>
      </c>
      <c r="E306" s="43">
        <f>IF($B306="","",IF(INDEX('Work Orders'!$D$11:$D$1010,$B306)="","",INDEX('Work Orders'!$D$11:$D$1010,$B306)))</f>
        <v/>
      </c>
      <c r="F306" s="43">
        <f>IF($B306="","",IF(INDEX('Work Orders'!$Q$11:$Q$1010,$B306)="","",INDEX('Work Orders'!$Q$11:$Q$1010,$B306)))</f>
        <v/>
      </c>
      <c r="G306" s="43">
        <f>IF($B306="","",IF(INDEX('Work Orders'!$V$11:$V$1010,$B306)="","",INDEX('Work Orders'!$V$11:$V$1010,$B306)))</f>
        <v/>
      </c>
      <c r="H306" s="47">
        <f>IF($B306="","",IF(INDEX('Work Orders'!$U$11:$U$1010,$B306)="","",INDEX('Work Orders'!$U$11:$U$1010,$B306)))</f>
        <v/>
      </c>
      <c r="I306" s="47">
        <f>IF($B306="","",IF(INDEX('Work Orders'!$X$11:$X$1010,$B306)="","",INDEX('Work Orders'!$X$11:$X$1010,$B306)))</f>
        <v/>
      </c>
      <c r="J306" s="44">
        <f>IF($B306="","",IF(INDEX('Work Orders'!$Z$11:$Z$1010,$B306)="","",INDEX('Work Orders'!$Z$11:$Z$1010,$B306)))</f>
        <v/>
      </c>
      <c r="K306" s="44">
        <f>IF($B306="","",IF(INDEX('Work Orders'!$AG$11:$AG$1010,$B306)="","",INDEX('Work Orders'!$AG$11:$AG$1010,$B306)))</f>
        <v/>
      </c>
      <c r="L306" s="44">
        <f>IF($B306="","",IF(INDEX('Work Orders'!$AH$11:$AH$1010,$B306)="","",INDEX('Work Orders'!$AH$11:$AH$1010,$B306)))</f>
        <v/>
      </c>
      <c r="M306" s="46">
        <f>IF($B306="","",IF(INDEX('Work Orders'!$AM$11:$AM$1010,$B306)="","",INDEX('Work Orders'!$AM$11:$AM$1010,$B306)))</f>
        <v/>
      </c>
      <c r="N306" s="43">
        <f>IF($B306="","",IF(INDEX('Work Orders'!$AL$11:$AL$1010,$B306)="","",INDEX('Work Orders'!$AL$11:$AL$1010,$B306)))</f>
        <v/>
      </c>
      <c r="O306" s="43">
        <f>IF($B306="","",IF(INDEX('Work Orders'!$N$11:$N$1010,$B306)="","",INDEX('Work Orders'!$N$11:$N$1010,$B306)))</f>
        <v/>
      </c>
    </row>
    <row r="307">
      <c r="A307" s="68" t="n">
        <v>301</v>
      </c>
      <c r="B307">
        <f>IFERROR(MATCH(A307,'Work Orders'!$AO$11:$AO$1010,0),"")</f>
        <v/>
      </c>
      <c r="C307" s="43">
        <f>IF($B307="","",IF(INDEX('Work Orders'!$A$11:$A$1010,$B307)="","",INDEX('Work Orders'!$A$11:$A$1010,$B307)))</f>
        <v/>
      </c>
      <c r="D307" s="43">
        <f>IF($B307="","",IF(INDEX('Work Orders'!$B$11:$B$1010,$B307)="","",INDEX('Work Orders'!$B$11:$B$1010,$B307)))</f>
        <v/>
      </c>
      <c r="E307" s="43">
        <f>IF($B307="","",IF(INDEX('Work Orders'!$D$11:$D$1010,$B307)="","",INDEX('Work Orders'!$D$11:$D$1010,$B307)))</f>
        <v/>
      </c>
      <c r="F307" s="43">
        <f>IF($B307="","",IF(INDEX('Work Orders'!$Q$11:$Q$1010,$B307)="","",INDEX('Work Orders'!$Q$11:$Q$1010,$B307)))</f>
        <v/>
      </c>
      <c r="G307" s="43">
        <f>IF($B307="","",IF(INDEX('Work Orders'!$V$11:$V$1010,$B307)="","",INDEX('Work Orders'!$V$11:$V$1010,$B307)))</f>
        <v/>
      </c>
      <c r="H307" s="47">
        <f>IF($B307="","",IF(INDEX('Work Orders'!$U$11:$U$1010,$B307)="","",INDEX('Work Orders'!$U$11:$U$1010,$B307)))</f>
        <v/>
      </c>
      <c r="I307" s="47">
        <f>IF($B307="","",IF(INDEX('Work Orders'!$X$11:$X$1010,$B307)="","",INDEX('Work Orders'!$X$11:$X$1010,$B307)))</f>
        <v/>
      </c>
      <c r="J307" s="44">
        <f>IF($B307="","",IF(INDEX('Work Orders'!$Z$11:$Z$1010,$B307)="","",INDEX('Work Orders'!$Z$11:$Z$1010,$B307)))</f>
        <v/>
      </c>
      <c r="K307" s="44">
        <f>IF($B307="","",IF(INDEX('Work Orders'!$AG$11:$AG$1010,$B307)="","",INDEX('Work Orders'!$AG$11:$AG$1010,$B307)))</f>
        <v/>
      </c>
      <c r="L307" s="44">
        <f>IF($B307="","",IF(INDEX('Work Orders'!$AH$11:$AH$1010,$B307)="","",INDEX('Work Orders'!$AH$11:$AH$1010,$B307)))</f>
        <v/>
      </c>
      <c r="M307" s="46">
        <f>IF($B307="","",IF(INDEX('Work Orders'!$AM$11:$AM$1010,$B307)="","",INDEX('Work Orders'!$AM$11:$AM$1010,$B307)))</f>
        <v/>
      </c>
      <c r="N307" s="43">
        <f>IF($B307="","",IF(INDEX('Work Orders'!$AL$11:$AL$1010,$B307)="","",INDEX('Work Orders'!$AL$11:$AL$1010,$B307)))</f>
        <v/>
      </c>
      <c r="O307" s="43">
        <f>IF($B307="","",IF(INDEX('Work Orders'!$N$11:$N$1010,$B307)="","",INDEX('Work Orders'!$N$11:$N$1010,$B307)))</f>
        <v/>
      </c>
    </row>
    <row r="308">
      <c r="A308" s="68" t="n">
        <v>302</v>
      </c>
      <c r="B308">
        <f>IFERROR(MATCH(A308,'Work Orders'!$AO$11:$AO$1010,0),"")</f>
        <v/>
      </c>
      <c r="C308" s="43">
        <f>IF($B308="","",IF(INDEX('Work Orders'!$A$11:$A$1010,$B308)="","",INDEX('Work Orders'!$A$11:$A$1010,$B308)))</f>
        <v/>
      </c>
      <c r="D308" s="43">
        <f>IF($B308="","",IF(INDEX('Work Orders'!$B$11:$B$1010,$B308)="","",INDEX('Work Orders'!$B$11:$B$1010,$B308)))</f>
        <v/>
      </c>
      <c r="E308" s="43">
        <f>IF($B308="","",IF(INDEX('Work Orders'!$D$11:$D$1010,$B308)="","",INDEX('Work Orders'!$D$11:$D$1010,$B308)))</f>
        <v/>
      </c>
      <c r="F308" s="43">
        <f>IF($B308="","",IF(INDEX('Work Orders'!$Q$11:$Q$1010,$B308)="","",INDEX('Work Orders'!$Q$11:$Q$1010,$B308)))</f>
        <v/>
      </c>
      <c r="G308" s="43">
        <f>IF($B308="","",IF(INDEX('Work Orders'!$V$11:$V$1010,$B308)="","",INDEX('Work Orders'!$V$11:$V$1010,$B308)))</f>
        <v/>
      </c>
      <c r="H308" s="47">
        <f>IF($B308="","",IF(INDEX('Work Orders'!$U$11:$U$1010,$B308)="","",INDEX('Work Orders'!$U$11:$U$1010,$B308)))</f>
        <v/>
      </c>
      <c r="I308" s="47">
        <f>IF($B308="","",IF(INDEX('Work Orders'!$X$11:$X$1010,$B308)="","",INDEX('Work Orders'!$X$11:$X$1010,$B308)))</f>
        <v/>
      </c>
      <c r="J308" s="44">
        <f>IF($B308="","",IF(INDEX('Work Orders'!$Z$11:$Z$1010,$B308)="","",INDEX('Work Orders'!$Z$11:$Z$1010,$B308)))</f>
        <v/>
      </c>
      <c r="K308" s="44">
        <f>IF($B308="","",IF(INDEX('Work Orders'!$AG$11:$AG$1010,$B308)="","",INDEX('Work Orders'!$AG$11:$AG$1010,$B308)))</f>
        <v/>
      </c>
      <c r="L308" s="44">
        <f>IF($B308="","",IF(INDEX('Work Orders'!$AH$11:$AH$1010,$B308)="","",INDEX('Work Orders'!$AH$11:$AH$1010,$B308)))</f>
        <v/>
      </c>
      <c r="M308" s="46">
        <f>IF($B308="","",IF(INDEX('Work Orders'!$AM$11:$AM$1010,$B308)="","",INDEX('Work Orders'!$AM$11:$AM$1010,$B308)))</f>
        <v/>
      </c>
      <c r="N308" s="43">
        <f>IF($B308="","",IF(INDEX('Work Orders'!$AL$11:$AL$1010,$B308)="","",INDEX('Work Orders'!$AL$11:$AL$1010,$B308)))</f>
        <v/>
      </c>
      <c r="O308" s="43">
        <f>IF($B308="","",IF(INDEX('Work Orders'!$N$11:$N$1010,$B308)="","",INDEX('Work Orders'!$N$11:$N$1010,$B308)))</f>
        <v/>
      </c>
    </row>
    <row r="309">
      <c r="A309" s="68" t="n">
        <v>303</v>
      </c>
      <c r="B309">
        <f>IFERROR(MATCH(A309,'Work Orders'!$AO$11:$AO$1010,0),"")</f>
        <v/>
      </c>
      <c r="C309" s="43">
        <f>IF($B309="","",IF(INDEX('Work Orders'!$A$11:$A$1010,$B309)="","",INDEX('Work Orders'!$A$11:$A$1010,$B309)))</f>
        <v/>
      </c>
      <c r="D309" s="43">
        <f>IF($B309="","",IF(INDEX('Work Orders'!$B$11:$B$1010,$B309)="","",INDEX('Work Orders'!$B$11:$B$1010,$B309)))</f>
        <v/>
      </c>
      <c r="E309" s="43">
        <f>IF($B309="","",IF(INDEX('Work Orders'!$D$11:$D$1010,$B309)="","",INDEX('Work Orders'!$D$11:$D$1010,$B309)))</f>
        <v/>
      </c>
      <c r="F309" s="43">
        <f>IF($B309="","",IF(INDEX('Work Orders'!$Q$11:$Q$1010,$B309)="","",INDEX('Work Orders'!$Q$11:$Q$1010,$B309)))</f>
        <v/>
      </c>
      <c r="G309" s="43">
        <f>IF($B309="","",IF(INDEX('Work Orders'!$V$11:$V$1010,$B309)="","",INDEX('Work Orders'!$V$11:$V$1010,$B309)))</f>
        <v/>
      </c>
      <c r="H309" s="47">
        <f>IF($B309="","",IF(INDEX('Work Orders'!$U$11:$U$1010,$B309)="","",INDEX('Work Orders'!$U$11:$U$1010,$B309)))</f>
        <v/>
      </c>
      <c r="I309" s="47">
        <f>IF($B309="","",IF(INDEX('Work Orders'!$X$11:$X$1010,$B309)="","",INDEX('Work Orders'!$X$11:$X$1010,$B309)))</f>
        <v/>
      </c>
      <c r="J309" s="44">
        <f>IF($B309="","",IF(INDEX('Work Orders'!$Z$11:$Z$1010,$B309)="","",INDEX('Work Orders'!$Z$11:$Z$1010,$B309)))</f>
        <v/>
      </c>
      <c r="K309" s="44">
        <f>IF($B309="","",IF(INDEX('Work Orders'!$AG$11:$AG$1010,$B309)="","",INDEX('Work Orders'!$AG$11:$AG$1010,$B309)))</f>
        <v/>
      </c>
      <c r="L309" s="44">
        <f>IF($B309="","",IF(INDEX('Work Orders'!$AH$11:$AH$1010,$B309)="","",INDEX('Work Orders'!$AH$11:$AH$1010,$B309)))</f>
        <v/>
      </c>
      <c r="M309" s="46">
        <f>IF($B309="","",IF(INDEX('Work Orders'!$AM$11:$AM$1010,$B309)="","",INDEX('Work Orders'!$AM$11:$AM$1010,$B309)))</f>
        <v/>
      </c>
      <c r="N309" s="43">
        <f>IF($B309="","",IF(INDEX('Work Orders'!$AL$11:$AL$1010,$B309)="","",INDEX('Work Orders'!$AL$11:$AL$1010,$B309)))</f>
        <v/>
      </c>
      <c r="O309" s="43">
        <f>IF($B309="","",IF(INDEX('Work Orders'!$N$11:$N$1010,$B309)="","",INDEX('Work Orders'!$N$11:$N$1010,$B309)))</f>
        <v/>
      </c>
    </row>
    <row r="310">
      <c r="A310" s="68" t="n">
        <v>304</v>
      </c>
      <c r="B310">
        <f>IFERROR(MATCH(A310,'Work Orders'!$AO$11:$AO$1010,0),"")</f>
        <v/>
      </c>
      <c r="C310" s="43">
        <f>IF($B310="","",IF(INDEX('Work Orders'!$A$11:$A$1010,$B310)="","",INDEX('Work Orders'!$A$11:$A$1010,$B310)))</f>
        <v/>
      </c>
      <c r="D310" s="43">
        <f>IF($B310="","",IF(INDEX('Work Orders'!$B$11:$B$1010,$B310)="","",INDEX('Work Orders'!$B$11:$B$1010,$B310)))</f>
        <v/>
      </c>
      <c r="E310" s="43">
        <f>IF($B310="","",IF(INDEX('Work Orders'!$D$11:$D$1010,$B310)="","",INDEX('Work Orders'!$D$11:$D$1010,$B310)))</f>
        <v/>
      </c>
      <c r="F310" s="43">
        <f>IF($B310="","",IF(INDEX('Work Orders'!$Q$11:$Q$1010,$B310)="","",INDEX('Work Orders'!$Q$11:$Q$1010,$B310)))</f>
        <v/>
      </c>
      <c r="G310" s="43">
        <f>IF($B310="","",IF(INDEX('Work Orders'!$V$11:$V$1010,$B310)="","",INDEX('Work Orders'!$V$11:$V$1010,$B310)))</f>
        <v/>
      </c>
      <c r="H310" s="47">
        <f>IF($B310="","",IF(INDEX('Work Orders'!$U$11:$U$1010,$B310)="","",INDEX('Work Orders'!$U$11:$U$1010,$B310)))</f>
        <v/>
      </c>
      <c r="I310" s="47">
        <f>IF($B310="","",IF(INDEX('Work Orders'!$X$11:$X$1010,$B310)="","",INDEX('Work Orders'!$X$11:$X$1010,$B310)))</f>
        <v/>
      </c>
      <c r="J310" s="44">
        <f>IF($B310="","",IF(INDEX('Work Orders'!$Z$11:$Z$1010,$B310)="","",INDEX('Work Orders'!$Z$11:$Z$1010,$B310)))</f>
        <v/>
      </c>
      <c r="K310" s="44">
        <f>IF($B310="","",IF(INDEX('Work Orders'!$AG$11:$AG$1010,$B310)="","",INDEX('Work Orders'!$AG$11:$AG$1010,$B310)))</f>
        <v/>
      </c>
      <c r="L310" s="44">
        <f>IF($B310="","",IF(INDEX('Work Orders'!$AH$11:$AH$1010,$B310)="","",INDEX('Work Orders'!$AH$11:$AH$1010,$B310)))</f>
        <v/>
      </c>
      <c r="M310" s="46">
        <f>IF($B310="","",IF(INDEX('Work Orders'!$AM$11:$AM$1010,$B310)="","",INDEX('Work Orders'!$AM$11:$AM$1010,$B310)))</f>
        <v/>
      </c>
      <c r="N310" s="43">
        <f>IF($B310="","",IF(INDEX('Work Orders'!$AL$11:$AL$1010,$B310)="","",INDEX('Work Orders'!$AL$11:$AL$1010,$B310)))</f>
        <v/>
      </c>
      <c r="O310" s="43">
        <f>IF($B310="","",IF(INDEX('Work Orders'!$N$11:$N$1010,$B310)="","",INDEX('Work Orders'!$N$11:$N$1010,$B310)))</f>
        <v/>
      </c>
    </row>
    <row r="311">
      <c r="A311" s="68" t="n">
        <v>305</v>
      </c>
      <c r="B311">
        <f>IFERROR(MATCH(A311,'Work Orders'!$AO$11:$AO$1010,0),"")</f>
        <v/>
      </c>
      <c r="C311" s="43">
        <f>IF($B311="","",IF(INDEX('Work Orders'!$A$11:$A$1010,$B311)="","",INDEX('Work Orders'!$A$11:$A$1010,$B311)))</f>
        <v/>
      </c>
      <c r="D311" s="43">
        <f>IF($B311="","",IF(INDEX('Work Orders'!$B$11:$B$1010,$B311)="","",INDEX('Work Orders'!$B$11:$B$1010,$B311)))</f>
        <v/>
      </c>
      <c r="E311" s="43">
        <f>IF($B311="","",IF(INDEX('Work Orders'!$D$11:$D$1010,$B311)="","",INDEX('Work Orders'!$D$11:$D$1010,$B311)))</f>
        <v/>
      </c>
      <c r="F311" s="43">
        <f>IF($B311="","",IF(INDEX('Work Orders'!$Q$11:$Q$1010,$B311)="","",INDEX('Work Orders'!$Q$11:$Q$1010,$B311)))</f>
        <v/>
      </c>
      <c r="G311" s="43">
        <f>IF($B311="","",IF(INDEX('Work Orders'!$V$11:$V$1010,$B311)="","",INDEX('Work Orders'!$V$11:$V$1010,$B311)))</f>
        <v/>
      </c>
      <c r="H311" s="47">
        <f>IF($B311="","",IF(INDEX('Work Orders'!$U$11:$U$1010,$B311)="","",INDEX('Work Orders'!$U$11:$U$1010,$B311)))</f>
        <v/>
      </c>
      <c r="I311" s="47">
        <f>IF($B311="","",IF(INDEX('Work Orders'!$X$11:$X$1010,$B311)="","",INDEX('Work Orders'!$X$11:$X$1010,$B311)))</f>
        <v/>
      </c>
      <c r="J311" s="44">
        <f>IF($B311="","",IF(INDEX('Work Orders'!$Z$11:$Z$1010,$B311)="","",INDEX('Work Orders'!$Z$11:$Z$1010,$B311)))</f>
        <v/>
      </c>
      <c r="K311" s="44">
        <f>IF($B311="","",IF(INDEX('Work Orders'!$AG$11:$AG$1010,$B311)="","",INDEX('Work Orders'!$AG$11:$AG$1010,$B311)))</f>
        <v/>
      </c>
      <c r="L311" s="44">
        <f>IF($B311="","",IF(INDEX('Work Orders'!$AH$11:$AH$1010,$B311)="","",INDEX('Work Orders'!$AH$11:$AH$1010,$B311)))</f>
        <v/>
      </c>
      <c r="M311" s="46">
        <f>IF($B311="","",IF(INDEX('Work Orders'!$AM$11:$AM$1010,$B311)="","",INDEX('Work Orders'!$AM$11:$AM$1010,$B311)))</f>
        <v/>
      </c>
      <c r="N311" s="43">
        <f>IF($B311="","",IF(INDEX('Work Orders'!$AL$11:$AL$1010,$B311)="","",INDEX('Work Orders'!$AL$11:$AL$1010,$B311)))</f>
        <v/>
      </c>
      <c r="O311" s="43">
        <f>IF($B311="","",IF(INDEX('Work Orders'!$N$11:$N$1010,$B311)="","",INDEX('Work Orders'!$N$11:$N$1010,$B311)))</f>
        <v/>
      </c>
    </row>
    <row r="312">
      <c r="A312" s="68" t="n">
        <v>306</v>
      </c>
      <c r="B312">
        <f>IFERROR(MATCH(A312,'Work Orders'!$AO$11:$AO$1010,0),"")</f>
        <v/>
      </c>
      <c r="C312" s="43">
        <f>IF($B312="","",IF(INDEX('Work Orders'!$A$11:$A$1010,$B312)="","",INDEX('Work Orders'!$A$11:$A$1010,$B312)))</f>
        <v/>
      </c>
      <c r="D312" s="43">
        <f>IF($B312="","",IF(INDEX('Work Orders'!$B$11:$B$1010,$B312)="","",INDEX('Work Orders'!$B$11:$B$1010,$B312)))</f>
        <v/>
      </c>
      <c r="E312" s="43">
        <f>IF($B312="","",IF(INDEX('Work Orders'!$D$11:$D$1010,$B312)="","",INDEX('Work Orders'!$D$11:$D$1010,$B312)))</f>
        <v/>
      </c>
      <c r="F312" s="43">
        <f>IF($B312="","",IF(INDEX('Work Orders'!$Q$11:$Q$1010,$B312)="","",INDEX('Work Orders'!$Q$11:$Q$1010,$B312)))</f>
        <v/>
      </c>
      <c r="G312" s="43">
        <f>IF($B312="","",IF(INDEX('Work Orders'!$V$11:$V$1010,$B312)="","",INDEX('Work Orders'!$V$11:$V$1010,$B312)))</f>
        <v/>
      </c>
      <c r="H312" s="47">
        <f>IF($B312="","",IF(INDEX('Work Orders'!$U$11:$U$1010,$B312)="","",INDEX('Work Orders'!$U$11:$U$1010,$B312)))</f>
        <v/>
      </c>
      <c r="I312" s="47">
        <f>IF($B312="","",IF(INDEX('Work Orders'!$X$11:$X$1010,$B312)="","",INDEX('Work Orders'!$X$11:$X$1010,$B312)))</f>
        <v/>
      </c>
      <c r="J312" s="44">
        <f>IF($B312="","",IF(INDEX('Work Orders'!$Z$11:$Z$1010,$B312)="","",INDEX('Work Orders'!$Z$11:$Z$1010,$B312)))</f>
        <v/>
      </c>
      <c r="K312" s="44">
        <f>IF($B312="","",IF(INDEX('Work Orders'!$AG$11:$AG$1010,$B312)="","",INDEX('Work Orders'!$AG$11:$AG$1010,$B312)))</f>
        <v/>
      </c>
      <c r="L312" s="44">
        <f>IF($B312="","",IF(INDEX('Work Orders'!$AH$11:$AH$1010,$B312)="","",INDEX('Work Orders'!$AH$11:$AH$1010,$B312)))</f>
        <v/>
      </c>
      <c r="M312" s="46">
        <f>IF($B312="","",IF(INDEX('Work Orders'!$AM$11:$AM$1010,$B312)="","",INDEX('Work Orders'!$AM$11:$AM$1010,$B312)))</f>
        <v/>
      </c>
      <c r="N312" s="43">
        <f>IF($B312="","",IF(INDEX('Work Orders'!$AL$11:$AL$1010,$B312)="","",INDEX('Work Orders'!$AL$11:$AL$1010,$B312)))</f>
        <v/>
      </c>
      <c r="O312" s="43">
        <f>IF($B312="","",IF(INDEX('Work Orders'!$N$11:$N$1010,$B312)="","",INDEX('Work Orders'!$N$11:$N$1010,$B312)))</f>
        <v/>
      </c>
    </row>
    <row r="313">
      <c r="A313" s="68" t="n">
        <v>307</v>
      </c>
      <c r="B313">
        <f>IFERROR(MATCH(A313,'Work Orders'!$AO$11:$AO$1010,0),"")</f>
        <v/>
      </c>
      <c r="C313" s="43">
        <f>IF($B313="","",IF(INDEX('Work Orders'!$A$11:$A$1010,$B313)="","",INDEX('Work Orders'!$A$11:$A$1010,$B313)))</f>
        <v/>
      </c>
      <c r="D313" s="43">
        <f>IF($B313="","",IF(INDEX('Work Orders'!$B$11:$B$1010,$B313)="","",INDEX('Work Orders'!$B$11:$B$1010,$B313)))</f>
        <v/>
      </c>
      <c r="E313" s="43">
        <f>IF($B313="","",IF(INDEX('Work Orders'!$D$11:$D$1010,$B313)="","",INDEX('Work Orders'!$D$11:$D$1010,$B313)))</f>
        <v/>
      </c>
      <c r="F313" s="43">
        <f>IF($B313="","",IF(INDEX('Work Orders'!$Q$11:$Q$1010,$B313)="","",INDEX('Work Orders'!$Q$11:$Q$1010,$B313)))</f>
        <v/>
      </c>
      <c r="G313" s="43">
        <f>IF($B313="","",IF(INDEX('Work Orders'!$V$11:$V$1010,$B313)="","",INDEX('Work Orders'!$V$11:$V$1010,$B313)))</f>
        <v/>
      </c>
      <c r="H313" s="47">
        <f>IF($B313="","",IF(INDEX('Work Orders'!$U$11:$U$1010,$B313)="","",INDEX('Work Orders'!$U$11:$U$1010,$B313)))</f>
        <v/>
      </c>
      <c r="I313" s="47">
        <f>IF($B313="","",IF(INDEX('Work Orders'!$X$11:$X$1010,$B313)="","",INDEX('Work Orders'!$X$11:$X$1010,$B313)))</f>
        <v/>
      </c>
      <c r="J313" s="44">
        <f>IF($B313="","",IF(INDEX('Work Orders'!$Z$11:$Z$1010,$B313)="","",INDEX('Work Orders'!$Z$11:$Z$1010,$B313)))</f>
        <v/>
      </c>
      <c r="K313" s="44">
        <f>IF($B313="","",IF(INDEX('Work Orders'!$AG$11:$AG$1010,$B313)="","",INDEX('Work Orders'!$AG$11:$AG$1010,$B313)))</f>
        <v/>
      </c>
      <c r="L313" s="44">
        <f>IF($B313="","",IF(INDEX('Work Orders'!$AH$11:$AH$1010,$B313)="","",INDEX('Work Orders'!$AH$11:$AH$1010,$B313)))</f>
        <v/>
      </c>
      <c r="M313" s="46">
        <f>IF($B313="","",IF(INDEX('Work Orders'!$AM$11:$AM$1010,$B313)="","",INDEX('Work Orders'!$AM$11:$AM$1010,$B313)))</f>
        <v/>
      </c>
      <c r="N313" s="43">
        <f>IF($B313="","",IF(INDEX('Work Orders'!$AL$11:$AL$1010,$B313)="","",INDEX('Work Orders'!$AL$11:$AL$1010,$B313)))</f>
        <v/>
      </c>
      <c r="O313" s="43">
        <f>IF($B313="","",IF(INDEX('Work Orders'!$N$11:$N$1010,$B313)="","",INDEX('Work Orders'!$N$11:$N$1010,$B313)))</f>
        <v/>
      </c>
    </row>
    <row r="314">
      <c r="A314" s="68" t="n">
        <v>308</v>
      </c>
      <c r="B314">
        <f>IFERROR(MATCH(A314,'Work Orders'!$AO$11:$AO$1010,0),"")</f>
        <v/>
      </c>
      <c r="C314" s="43">
        <f>IF($B314="","",IF(INDEX('Work Orders'!$A$11:$A$1010,$B314)="","",INDEX('Work Orders'!$A$11:$A$1010,$B314)))</f>
        <v/>
      </c>
      <c r="D314" s="43">
        <f>IF($B314="","",IF(INDEX('Work Orders'!$B$11:$B$1010,$B314)="","",INDEX('Work Orders'!$B$11:$B$1010,$B314)))</f>
        <v/>
      </c>
      <c r="E314" s="43">
        <f>IF($B314="","",IF(INDEX('Work Orders'!$D$11:$D$1010,$B314)="","",INDEX('Work Orders'!$D$11:$D$1010,$B314)))</f>
        <v/>
      </c>
      <c r="F314" s="43">
        <f>IF($B314="","",IF(INDEX('Work Orders'!$Q$11:$Q$1010,$B314)="","",INDEX('Work Orders'!$Q$11:$Q$1010,$B314)))</f>
        <v/>
      </c>
      <c r="G314" s="43">
        <f>IF($B314="","",IF(INDEX('Work Orders'!$V$11:$V$1010,$B314)="","",INDEX('Work Orders'!$V$11:$V$1010,$B314)))</f>
        <v/>
      </c>
      <c r="H314" s="47">
        <f>IF($B314="","",IF(INDEX('Work Orders'!$U$11:$U$1010,$B314)="","",INDEX('Work Orders'!$U$11:$U$1010,$B314)))</f>
        <v/>
      </c>
      <c r="I314" s="47">
        <f>IF($B314="","",IF(INDEX('Work Orders'!$X$11:$X$1010,$B314)="","",INDEX('Work Orders'!$X$11:$X$1010,$B314)))</f>
        <v/>
      </c>
      <c r="J314" s="44">
        <f>IF($B314="","",IF(INDEX('Work Orders'!$Z$11:$Z$1010,$B314)="","",INDEX('Work Orders'!$Z$11:$Z$1010,$B314)))</f>
        <v/>
      </c>
      <c r="K314" s="44">
        <f>IF($B314="","",IF(INDEX('Work Orders'!$AG$11:$AG$1010,$B314)="","",INDEX('Work Orders'!$AG$11:$AG$1010,$B314)))</f>
        <v/>
      </c>
      <c r="L314" s="44">
        <f>IF($B314="","",IF(INDEX('Work Orders'!$AH$11:$AH$1010,$B314)="","",INDEX('Work Orders'!$AH$11:$AH$1010,$B314)))</f>
        <v/>
      </c>
      <c r="M314" s="46">
        <f>IF($B314="","",IF(INDEX('Work Orders'!$AM$11:$AM$1010,$B314)="","",INDEX('Work Orders'!$AM$11:$AM$1010,$B314)))</f>
        <v/>
      </c>
      <c r="N314" s="43">
        <f>IF($B314="","",IF(INDEX('Work Orders'!$AL$11:$AL$1010,$B314)="","",INDEX('Work Orders'!$AL$11:$AL$1010,$B314)))</f>
        <v/>
      </c>
      <c r="O314" s="43">
        <f>IF($B314="","",IF(INDEX('Work Orders'!$N$11:$N$1010,$B314)="","",INDEX('Work Orders'!$N$11:$N$1010,$B314)))</f>
        <v/>
      </c>
    </row>
    <row r="315">
      <c r="A315" s="68" t="n">
        <v>309</v>
      </c>
      <c r="B315">
        <f>IFERROR(MATCH(A315,'Work Orders'!$AO$11:$AO$1010,0),"")</f>
        <v/>
      </c>
      <c r="C315" s="43">
        <f>IF($B315="","",IF(INDEX('Work Orders'!$A$11:$A$1010,$B315)="","",INDEX('Work Orders'!$A$11:$A$1010,$B315)))</f>
        <v/>
      </c>
      <c r="D315" s="43">
        <f>IF($B315="","",IF(INDEX('Work Orders'!$B$11:$B$1010,$B315)="","",INDEX('Work Orders'!$B$11:$B$1010,$B315)))</f>
        <v/>
      </c>
      <c r="E315" s="43">
        <f>IF($B315="","",IF(INDEX('Work Orders'!$D$11:$D$1010,$B315)="","",INDEX('Work Orders'!$D$11:$D$1010,$B315)))</f>
        <v/>
      </c>
      <c r="F315" s="43">
        <f>IF($B315="","",IF(INDEX('Work Orders'!$Q$11:$Q$1010,$B315)="","",INDEX('Work Orders'!$Q$11:$Q$1010,$B315)))</f>
        <v/>
      </c>
      <c r="G315" s="43">
        <f>IF($B315="","",IF(INDEX('Work Orders'!$V$11:$V$1010,$B315)="","",INDEX('Work Orders'!$V$11:$V$1010,$B315)))</f>
        <v/>
      </c>
      <c r="H315" s="47">
        <f>IF($B315="","",IF(INDEX('Work Orders'!$U$11:$U$1010,$B315)="","",INDEX('Work Orders'!$U$11:$U$1010,$B315)))</f>
        <v/>
      </c>
      <c r="I315" s="47">
        <f>IF($B315="","",IF(INDEX('Work Orders'!$X$11:$X$1010,$B315)="","",INDEX('Work Orders'!$X$11:$X$1010,$B315)))</f>
        <v/>
      </c>
      <c r="J315" s="44">
        <f>IF($B315="","",IF(INDEX('Work Orders'!$Z$11:$Z$1010,$B315)="","",INDEX('Work Orders'!$Z$11:$Z$1010,$B315)))</f>
        <v/>
      </c>
      <c r="K315" s="44">
        <f>IF($B315="","",IF(INDEX('Work Orders'!$AG$11:$AG$1010,$B315)="","",INDEX('Work Orders'!$AG$11:$AG$1010,$B315)))</f>
        <v/>
      </c>
      <c r="L315" s="44">
        <f>IF($B315="","",IF(INDEX('Work Orders'!$AH$11:$AH$1010,$B315)="","",INDEX('Work Orders'!$AH$11:$AH$1010,$B315)))</f>
        <v/>
      </c>
      <c r="M315" s="46">
        <f>IF($B315="","",IF(INDEX('Work Orders'!$AM$11:$AM$1010,$B315)="","",INDEX('Work Orders'!$AM$11:$AM$1010,$B315)))</f>
        <v/>
      </c>
      <c r="N315" s="43">
        <f>IF($B315="","",IF(INDEX('Work Orders'!$AL$11:$AL$1010,$B315)="","",INDEX('Work Orders'!$AL$11:$AL$1010,$B315)))</f>
        <v/>
      </c>
      <c r="O315" s="43">
        <f>IF($B315="","",IF(INDEX('Work Orders'!$N$11:$N$1010,$B315)="","",INDEX('Work Orders'!$N$11:$N$1010,$B315)))</f>
        <v/>
      </c>
    </row>
    <row r="316">
      <c r="A316" s="68" t="n">
        <v>310</v>
      </c>
      <c r="B316">
        <f>IFERROR(MATCH(A316,'Work Orders'!$AO$11:$AO$1010,0),"")</f>
        <v/>
      </c>
      <c r="C316" s="43">
        <f>IF($B316="","",IF(INDEX('Work Orders'!$A$11:$A$1010,$B316)="","",INDEX('Work Orders'!$A$11:$A$1010,$B316)))</f>
        <v/>
      </c>
      <c r="D316" s="43">
        <f>IF($B316="","",IF(INDEX('Work Orders'!$B$11:$B$1010,$B316)="","",INDEX('Work Orders'!$B$11:$B$1010,$B316)))</f>
        <v/>
      </c>
      <c r="E316" s="43">
        <f>IF($B316="","",IF(INDEX('Work Orders'!$D$11:$D$1010,$B316)="","",INDEX('Work Orders'!$D$11:$D$1010,$B316)))</f>
        <v/>
      </c>
      <c r="F316" s="43">
        <f>IF($B316="","",IF(INDEX('Work Orders'!$Q$11:$Q$1010,$B316)="","",INDEX('Work Orders'!$Q$11:$Q$1010,$B316)))</f>
        <v/>
      </c>
      <c r="G316" s="43">
        <f>IF($B316="","",IF(INDEX('Work Orders'!$V$11:$V$1010,$B316)="","",INDEX('Work Orders'!$V$11:$V$1010,$B316)))</f>
        <v/>
      </c>
      <c r="H316" s="47">
        <f>IF($B316="","",IF(INDEX('Work Orders'!$U$11:$U$1010,$B316)="","",INDEX('Work Orders'!$U$11:$U$1010,$B316)))</f>
        <v/>
      </c>
      <c r="I316" s="47">
        <f>IF($B316="","",IF(INDEX('Work Orders'!$X$11:$X$1010,$B316)="","",INDEX('Work Orders'!$X$11:$X$1010,$B316)))</f>
        <v/>
      </c>
      <c r="J316" s="44">
        <f>IF($B316="","",IF(INDEX('Work Orders'!$Z$11:$Z$1010,$B316)="","",INDEX('Work Orders'!$Z$11:$Z$1010,$B316)))</f>
        <v/>
      </c>
      <c r="K316" s="44">
        <f>IF($B316="","",IF(INDEX('Work Orders'!$AG$11:$AG$1010,$B316)="","",INDEX('Work Orders'!$AG$11:$AG$1010,$B316)))</f>
        <v/>
      </c>
      <c r="L316" s="44">
        <f>IF($B316="","",IF(INDEX('Work Orders'!$AH$11:$AH$1010,$B316)="","",INDEX('Work Orders'!$AH$11:$AH$1010,$B316)))</f>
        <v/>
      </c>
      <c r="M316" s="46">
        <f>IF($B316="","",IF(INDEX('Work Orders'!$AM$11:$AM$1010,$B316)="","",INDEX('Work Orders'!$AM$11:$AM$1010,$B316)))</f>
        <v/>
      </c>
      <c r="N316" s="43">
        <f>IF($B316="","",IF(INDEX('Work Orders'!$AL$11:$AL$1010,$B316)="","",INDEX('Work Orders'!$AL$11:$AL$1010,$B316)))</f>
        <v/>
      </c>
      <c r="O316" s="43">
        <f>IF($B316="","",IF(INDEX('Work Orders'!$N$11:$N$1010,$B316)="","",INDEX('Work Orders'!$N$11:$N$1010,$B316)))</f>
        <v/>
      </c>
    </row>
    <row r="317">
      <c r="A317" s="68" t="n">
        <v>311</v>
      </c>
      <c r="B317">
        <f>IFERROR(MATCH(A317,'Work Orders'!$AO$11:$AO$1010,0),"")</f>
        <v/>
      </c>
      <c r="C317" s="43">
        <f>IF($B317="","",IF(INDEX('Work Orders'!$A$11:$A$1010,$B317)="","",INDEX('Work Orders'!$A$11:$A$1010,$B317)))</f>
        <v/>
      </c>
      <c r="D317" s="43">
        <f>IF($B317="","",IF(INDEX('Work Orders'!$B$11:$B$1010,$B317)="","",INDEX('Work Orders'!$B$11:$B$1010,$B317)))</f>
        <v/>
      </c>
      <c r="E317" s="43">
        <f>IF($B317="","",IF(INDEX('Work Orders'!$D$11:$D$1010,$B317)="","",INDEX('Work Orders'!$D$11:$D$1010,$B317)))</f>
        <v/>
      </c>
      <c r="F317" s="43">
        <f>IF($B317="","",IF(INDEX('Work Orders'!$Q$11:$Q$1010,$B317)="","",INDEX('Work Orders'!$Q$11:$Q$1010,$B317)))</f>
        <v/>
      </c>
      <c r="G317" s="43">
        <f>IF($B317="","",IF(INDEX('Work Orders'!$V$11:$V$1010,$B317)="","",INDEX('Work Orders'!$V$11:$V$1010,$B317)))</f>
        <v/>
      </c>
      <c r="H317" s="47">
        <f>IF($B317="","",IF(INDEX('Work Orders'!$U$11:$U$1010,$B317)="","",INDEX('Work Orders'!$U$11:$U$1010,$B317)))</f>
        <v/>
      </c>
      <c r="I317" s="47">
        <f>IF($B317="","",IF(INDEX('Work Orders'!$X$11:$X$1010,$B317)="","",INDEX('Work Orders'!$X$11:$X$1010,$B317)))</f>
        <v/>
      </c>
      <c r="J317" s="44">
        <f>IF($B317="","",IF(INDEX('Work Orders'!$Z$11:$Z$1010,$B317)="","",INDEX('Work Orders'!$Z$11:$Z$1010,$B317)))</f>
        <v/>
      </c>
      <c r="K317" s="44">
        <f>IF($B317="","",IF(INDEX('Work Orders'!$AG$11:$AG$1010,$B317)="","",INDEX('Work Orders'!$AG$11:$AG$1010,$B317)))</f>
        <v/>
      </c>
      <c r="L317" s="44">
        <f>IF($B317="","",IF(INDEX('Work Orders'!$AH$11:$AH$1010,$B317)="","",INDEX('Work Orders'!$AH$11:$AH$1010,$B317)))</f>
        <v/>
      </c>
      <c r="M317" s="46">
        <f>IF($B317="","",IF(INDEX('Work Orders'!$AM$11:$AM$1010,$B317)="","",INDEX('Work Orders'!$AM$11:$AM$1010,$B317)))</f>
        <v/>
      </c>
      <c r="N317" s="43">
        <f>IF($B317="","",IF(INDEX('Work Orders'!$AL$11:$AL$1010,$B317)="","",INDEX('Work Orders'!$AL$11:$AL$1010,$B317)))</f>
        <v/>
      </c>
      <c r="O317" s="43">
        <f>IF($B317="","",IF(INDEX('Work Orders'!$N$11:$N$1010,$B317)="","",INDEX('Work Orders'!$N$11:$N$1010,$B317)))</f>
        <v/>
      </c>
    </row>
    <row r="318">
      <c r="A318" s="68" t="n">
        <v>312</v>
      </c>
      <c r="B318">
        <f>IFERROR(MATCH(A318,'Work Orders'!$AO$11:$AO$1010,0),"")</f>
        <v/>
      </c>
      <c r="C318" s="43">
        <f>IF($B318="","",IF(INDEX('Work Orders'!$A$11:$A$1010,$B318)="","",INDEX('Work Orders'!$A$11:$A$1010,$B318)))</f>
        <v/>
      </c>
      <c r="D318" s="43">
        <f>IF($B318="","",IF(INDEX('Work Orders'!$B$11:$B$1010,$B318)="","",INDEX('Work Orders'!$B$11:$B$1010,$B318)))</f>
        <v/>
      </c>
      <c r="E318" s="43">
        <f>IF($B318="","",IF(INDEX('Work Orders'!$D$11:$D$1010,$B318)="","",INDEX('Work Orders'!$D$11:$D$1010,$B318)))</f>
        <v/>
      </c>
      <c r="F318" s="43">
        <f>IF($B318="","",IF(INDEX('Work Orders'!$Q$11:$Q$1010,$B318)="","",INDEX('Work Orders'!$Q$11:$Q$1010,$B318)))</f>
        <v/>
      </c>
      <c r="G318" s="43">
        <f>IF($B318="","",IF(INDEX('Work Orders'!$V$11:$V$1010,$B318)="","",INDEX('Work Orders'!$V$11:$V$1010,$B318)))</f>
        <v/>
      </c>
      <c r="H318" s="47">
        <f>IF($B318="","",IF(INDEX('Work Orders'!$U$11:$U$1010,$B318)="","",INDEX('Work Orders'!$U$11:$U$1010,$B318)))</f>
        <v/>
      </c>
      <c r="I318" s="47">
        <f>IF($B318="","",IF(INDEX('Work Orders'!$X$11:$X$1010,$B318)="","",INDEX('Work Orders'!$X$11:$X$1010,$B318)))</f>
        <v/>
      </c>
      <c r="J318" s="44">
        <f>IF($B318="","",IF(INDEX('Work Orders'!$Z$11:$Z$1010,$B318)="","",INDEX('Work Orders'!$Z$11:$Z$1010,$B318)))</f>
        <v/>
      </c>
      <c r="K318" s="44">
        <f>IF($B318="","",IF(INDEX('Work Orders'!$AG$11:$AG$1010,$B318)="","",INDEX('Work Orders'!$AG$11:$AG$1010,$B318)))</f>
        <v/>
      </c>
      <c r="L318" s="44">
        <f>IF($B318="","",IF(INDEX('Work Orders'!$AH$11:$AH$1010,$B318)="","",INDEX('Work Orders'!$AH$11:$AH$1010,$B318)))</f>
        <v/>
      </c>
      <c r="M318" s="46">
        <f>IF($B318="","",IF(INDEX('Work Orders'!$AM$11:$AM$1010,$B318)="","",INDEX('Work Orders'!$AM$11:$AM$1010,$B318)))</f>
        <v/>
      </c>
      <c r="N318" s="43">
        <f>IF($B318="","",IF(INDEX('Work Orders'!$AL$11:$AL$1010,$B318)="","",INDEX('Work Orders'!$AL$11:$AL$1010,$B318)))</f>
        <v/>
      </c>
      <c r="O318" s="43">
        <f>IF($B318="","",IF(INDEX('Work Orders'!$N$11:$N$1010,$B318)="","",INDEX('Work Orders'!$N$11:$N$1010,$B318)))</f>
        <v/>
      </c>
    </row>
    <row r="319">
      <c r="A319" s="68" t="n">
        <v>313</v>
      </c>
      <c r="B319">
        <f>IFERROR(MATCH(A319,'Work Orders'!$AO$11:$AO$1010,0),"")</f>
        <v/>
      </c>
      <c r="C319" s="43">
        <f>IF($B319="","",IF(INDEX('Work Orders'!$A$11:$A$1010,$B319)="","",INDEX('Work Orders'!$A$11:$A$1010,$B319)))</f>
        <v/>
      </c>
      <c r="D319" s="43">
        <f>IF($B319="","",IF(INDEX('Work Orders'!$B$11:$B$1010,$B319)="","",INDEX('Work Orders'!$B$11:$B$1010,$B319)))</f>
        <v/>
      </c>
      <c r="E319" s="43">
        <f>IF($B319="","",IF(INDEX('Work Orders'!$D$11:$D$1010,$B319)="","",INDEX('Work Orders'!$D$11:$D$1010,$B319)))</f>
        <v/>
      </c>
      <c r="F319" s="43">
        <f>IF($B319="","",IF(INDEX('Work Orders'!$Q$11:$Q$1010,$B319)="","",INDEX('Work Orders'!$Q$11:$Q$1010,$B319)))</f>
        <v/>
      </c>
      <c r="G319" s="43">
        <f>IF($B319="","",IF(INDEX('Work Orders'!$V$11:$V$1010,$B319)="","",INDEX('Work Orders'!$V$11:$V$1010,$B319)))</f>
        <v/>
      </c>
      <c r="H319" s="47">
        <f>IF($B319="","",IF(INDEX('Work Orders'!$U$11:$U$1010,$B319)="","",INDEX('Work Orders'!$U$11:$U$1010,$B319)))</f>
        <v/>
      </c>
      <c r="I319" s="47">
        <f>IF($B319="","",IF(INDEX('Work Orders'!$X$11:$X$1010,$B319)="","",INDEX('Work Orders'!$X$11:$X$1010,$B319)))</f>
        <v/>
      </c>
      <c r="J319" s="44">
        <f>IF($B319="","",IF(INDEX('Work Orders'!$Z$11:$Z$1010,$B319)="","",INDEX('Work Orders'!$Z$11:$Z$1010,$B319)))</f>
        <v/>
      </c>
      <c r="K319" s="44">
        <f>IF($B319="","",IF(INDEX('Work Orders'!$AG$11:$AG$1010,$B319)="","",INDEX('Work Orders'!$AG$11:$AG$1010,$B319)))</f>
        <v/>
      </c>
      <c r="L319" s="44">
        <f>IF($B319="","",IF(INDEX('Work Orders'!$AH$11:$AH$1010,$B319)="","",INDEX('Work Orders'!$AH$11:$AH$1010,$B319)))</f>
        <v/>
      </c>
      <c r="M319" s="46">
        <f>IF($B319="","",IF(INDEX('Work Orders'!$AM$11:$AM$1010,$B319)="","",INDEX('Work Orders'!$AM$11:$AM$1010,$B319)))</f>
        <v/>
      </c>
      <c r="N319" s="43">
        <f>IF($B319="","",IF(INDEX('Work Orders'!$AL$11:$AL$1010,$B319)="","",INDEX('Work Orders'!$AL$11:$AL$1010,$B319)))</f>
        <v/>
      </c>
      <c r="O319" s="43">
        <f>IF($B319="","",IF(INDEX('Work Orders'!$N$11:$N$1010,$B319)="","",INDEX('Work Orders'!$N$11:$N$1010,$B319)))</f>
        <v/>
      </c>
    </row>
    <row r="320">
      <c r="A320" s="68" t="n">
        <v>314</v>
      </c>
      <c r="B320">
        <f>IFERROR(MATCH(A320,'Work Orders'!$AO$11:$AO$1010,0),"")</f>
        <v/>
      </c>
      <c r="C320" s="43">
        <f>IF($B320="","",IF(INDEX('Work Orders'!$A$11:$A$1010,$B320)="","",INDEX('Work Orders'!$A$11:$A$1010,$B320)))</f>
        <v/>
      </c>
      <c r="D320" s="43">
        <f>IF($B320="","",IF(INDEX('Work Orders'!$B$11:$B$1010,$B320)="","",INDEX('Work Orders'!$B$11:$B$1010,$B320)))</f>
        <v/>
      </c>
      <c r="E320" s="43">
        <f>IF($B320="","",IF(INDEX('Work Orders'!$D$11:$D$1010,$B320)="","",INDEX('Work Orders'!$D$11:$D$1010,$B320)))</f>
        <v/>
      </c>
      <c r="F320" s="43">
        <f>IF($B320="","",IF(INDEX('Work Orders'!$Q$11:$Q$1010,$B320)="","",INDEX('Work Orders'!$Q$11:$Q$1010,$B320)))</f>
        <v/>
      </c>
      <c r="G320" s="43">
        <f>IF($B320="","",IF(INDEX('Work Orders'!$V$11:$V$1010,$B320)="","",INDEX('Work Orders'!$V$11:$V$1010,$B320)))</f>
        <v/>
      </c>
      <c r="H320" s="47">
        <f>IF($B320="","",IF(INDEX('Work Orders'!$U$11:$U$1010,$B320)="","",INDEX('Work Orders'!$U$11:$U$1010,$B320)))</f>
        <v/>
      </c>
      <c r="I320" s="47">
        <f>IF($B320="","",IF(INDEX('Work Orders'!$X$11:$X$1010,$B320)="","",INDEX('Work Orders'!$X$11:$X$1010,$B320)))</f>
        <v/>
      </c>
      <c r="J320" s="44">
        <f>IF($B320="","",IF(INDEX('Work Orders'!$Z$11:$Z$1010,$B320)="","",INDEX('Work Orders'!$Z$11:$Z$1010,$B320)))</f>
        <v/>
      </c>
      <c r="K320" s="44">
        <f>IF($B320="","",IF(INDEX('Work Orders'!$AG$11:$AG$1010,$B320)="","",INDEX('Work Orders'!$AG$11:$AG$1010,$B320)))</f>
        <v/>
      </c>
      <c r="L320" s="44">
        <f>IF($B320="","",IF(INDEX('Work Orders'!$AH$11:$AH$1010,$B320)="","",INDEX('Work Orders'!$AH$11:$AH$1010,$B320)))</f>
        <v/>
      </c>
      <c r="M320" s="46">
        <f>IF($B320="","",IF(INDEX('Work Orders'!$AM$11:$AM$1010,$B320)="","",INDEX('Work Orders'!$AM$11:$AM$1010,$B320)))</f>
        <v/>
      </c>
      <c r="N320" s="43">
        <f>IF($B320="","",IF(INDEX('Work Orders'!$AL$11:$AL$1010,$B320)="","",INDEX('Work Orders'!$AL$11:$AL$1010,$B320)))</f>
        <v/>
      </c>
      <c r="O320" s="43">
        <f>IF($B320="","",IF(INDEX('Work Orders'!$N$11:$N$1010,$B320)="","",INDEX('Work Orders'!$N$11:$N$1010,$B320)))</f>
        <v/>
      </c>
    </row>
    <row r="321">
      <c r="A321" s="68" t="n">
        <v>315</v>
      </c>
      <c r="B321">
        <f>IFERROR(MATCH(A321,'Work Orders'!$AO$11:$AO$1010,0),"")</f>
        <v/>
      </c>
      <c r="C321" s="43">
        <f>IF($B321="","",IF(INDEX('Work Orders'!$A$11:$A$1010,$B321)="","",INDEX('Work Orders'!$A$11:$A$1010,$B321)))</f>
        <v/>
      </c>
      <c r="D321" s="43">
        <f>IF($B321="","",IF(INDEX('Work Orders'!$B$11:$B$1010,$B321)="","",INDEX('Work Orders'!$B$11:$B$1010,$B321)))</f>
        <v/>
      </c>
      <c r="E321" s="43">
        <f>IF($B321="","",IF(INDEX('Work Orders'!$D$11:$D$1010,$B321)="","",INDEX('Work Orders'!$D$11:$D$1010,$B321)))</f>
        <v/>
      </c>
      <c r="F321" s="43">
        <f>IF($B321="","",IF(INDEX('Work Orders'!$Q$11:$Q$1010,$B321)="","",INDEX('Work Orders'!$Q$11:$Q$1010,$B321)))</f>
        <v/>
      </c>
      <c r="G321" s="43">
        <f>IF($B321="","",IF(INDEX('Work Orders'!$V$11:$V$1010,$B321)="","",INDEX('Work Orders'!$V$11:$V$1010,$B321)))</f>
        <v/>
      </c>
      <c r="H321" s="47">
        <f>IF($B321="","",IF(INDEX('Work Orders'!$U$11:$U$1010,$B321)="","",INDEX('Work Orders'!$U$11:$U$1010,$B321)))</f>
        <v/>
      </c>
      <c r="I321" s="47">
        <f>IF($B321="","",IF(INDEX('Work Orders'!$X$11:$X$1010,$B321)="","",INDEX('Work Orders'!$X$11:$X$1010,$B321)))</f>
        <v/>
      </c>
      <c r="J321" s="44">
        <f>IF($B321="","",IF(INDEX('Work Orders'!$Z$11:$Z$1010,$B321)="","",INDEX('Work Orders'!$Z$11:$Z$1010,$B321)))</f>
        <v/>
      </c>
      <c r="K321" s="44">
        <f>IF($B321="","",IF(INDEX('Work Orders'!$AG$11:$AG$1010,$B321)="","",INDEX('Work Orders'!$AG$11:$AG$1010,$B321)))</f>
        <v/>
      </c>
      <c r="L321" s="44">
        <f>IF($B321="","",IF(INDEX('Work Orders'!$AH$11:$AH$1010,$B321)="","",INDEX('Work Orders'!$AH$11:$AH$1010,$B321)))</f>
        <v/>
      </c>
      <c r="M321" s="46">
        <f>IF($B321="","",IF(INDEX('Work Orders'!$AM$11:$AM$1010,$B321)="","",INDEX('Work Orders'!$AM$11:$AM$1010,$B321)))</f>
        <v/>
      </c>
      <c r="N321" s="43">
        <f>IF($B321="","",IF(INDEX('Work Orders'!$AL$11:$AL$1010,$B321)="","",INDEX('Work Orders'!$AL$11:$AL$1010,$B321)))</f>
        <v/>
      </c>
      <c r="O321" s="43">
        <f>IF($B321="","",IF(INDEX('Work Orders'!$N$11:$N$1010,$B321)="","",INDEX('Work Orders'!$N$11:$N$1010,$B321)))</f>
        <v/>
      </c>
    </row>
    <row r="322">
      <c r="A322" s="68" t="n">
        <v>316</v>
      </c>
      <c r="B322">
        <f>IFERROR(MATCH(A322,'Work Orders'!$AO$11:$AO$1010,0),"")</f>
        <v/>
      </c>
      <c r="C322" s="43">
        <f>IF($B322="","",IF(INDEX('Work Orders'!$A$11:$A$1010,$B322)="","",INDEX('Work Orders'!$A$11:$A$1010,$B322)))</f>
        <v/>
      </c>
      <c r="D322" s="43">
        <f>IF($B322="","",IF(INDEX('Work Orders'!$B$11:$B$1010,$B322)="","",INDEX('Work Orders'!$B$11:$B$1010,$B322)))</f>
        <v/>
      </c>
      <c r="E322" s="43">
        <f>IF($B322="","",IF(INDEX('Work Orders'!$D$11:$D$1010,$B322)="","",INDEX('Work Orders'!$D$11:$D$1010,$B322)))</f>
        <v/>
      </c>
      <c r="F322" s="43">
        <f>IF($B322="","",IF(INDEX('Work Orders'!$Q$11:$Q$1010,$B322)="","",INDEX('Work Orders'!$Q$11:$Q$1010,$B322)))</f>
        <v/>
      </c>
      <c r="G322" s="43">
        <f>IF($B322="","",IF(INDEX('Work Orders'!$V$11:$V$1010,$B322)="","",INDEX('Work Orders'!$V$11:$V$1010,$B322)))</f>
        <v/>
      </c>
      <c r="H322" s="47">
        <f>IF($B322="","",IF(INDEX('Work Orders'!$U$11:$U$1010,$B322)="","",INDEX('Work Orders'!$U$11:$U$1010,$B322)))</f>
        <v/>
      </c>
      <c r="I322" s="47">
        <f>IF($B322="","",IF(INDEX('Work Orders'!$X$11:$X$1010,$B322)="","",INDEX('Work Orders'!$X$11:$X$1010,$B322)))</f>
        <v/>
      </c>
      <c r="J322" s="44">
        <f>IF($B322="","",IF(INDEX('Work Orders'!$Z$11:$Z$1010,$B322)="","",INDEX('Work Orders'!$Z$11:$Z$1010,$B322)))</f>
        <v/>
      </c>
      <c r="K322" s="44">
        <f>IF($B322="","",IF(INDEX('Work Orders'!$AG$11:$AG$1010,$B322)="","",INDEX('Work Orders'!$AG$11:$AG$1010,$B322)))</f>
        <v/>
      </c>
      <c r="L322" s="44">
        <f>IF($B322="","",IF(INDEX('Work Orders'!$AH$11:$AH$1010,$B322)="","",INDEX('Work Orders'!$AH$11:$AH$1010,$B322)))</f>
        <v/>
      </c>
      <c r="M322" s="46">
        <f>IF($B322="","",IF(INDEX('Work Orders'!$AM$11:$AM$1010,$B322)="","",INDEX('Work Orders'!$AM$11:$AM$1010,$B322)))</f>
        <v/>
      </c>
      <c r="N322" s="43">
        <f>IF($B322="","",IF(INDEX('Work Orders'!$AL$11:$AL$1010,$B322)="","",INDEX('Work Orders'!$AL$11:$AL$1010,$B322)))</f>
        <v/>
      </c>
      <c r="O322" s="43">
        <f>IF($B322="","",IF(INDEX('Work Orders'!$N$11:$N$1010,$B322)="","",INDEX('Work Orders'!$N$11:$N$1010,$B322)))</f>
        <v/>
      </c>
    </row>
    <row r="323">
      <c r="A323" s="68" t="n">
        <v>317</v>
      </c>
      <c r="B323">
        <f>IFERROR(MATCH(A323,'Work Orders'!$AO$11:$AO$1010,0),"")</f>
        <v/>
      </c>
      <c r="C323" s="43">
        <f>IF($B323="","",IF(INDEX('Work Orders'!$A$11:$A$1010,$B323)="","",INDEX('Work Orders'!$A$11:$A$1010,$B323)))</f>
        <v/>
      </c>
      <c r="D323" s="43">
        <f>IF($B323="","",IF(INDEX('Work Orders'!$B$11:$B$1010,$B323)="","",INDEX('Work Orders'!$B$11:$B$1010,$B323)))</f>
        <v/>
      </c>
      <c r="E323" s="43">
        <f>IF($B323="","",IF(INDEX('Work Orders'!$D$11:$D$1010,$B323)="","",INDEX('Work Orders'!$D$11:$D$1010,$B323)))</f>
        <v/>
      </c>
      <c r="F323" s="43">
        <f>IF($B323="","",IF(INDEX('Work Orders'!$Q$11:$Q$1010,$B323)="","",INDEX('Work Orders'!$Q$11:$Q$1010,$B323)))</f>
        <v/>
      </c>
      <c r="G323" s="43">
        <f>IF($B323="","",IF(INDEX('Work Orders'!$V$11:$V$1010,$B323)="","",INDEX('Work Orders'!$V$11:$V$1010,$B323)))</f>
        <v/>
      </c>
      <c r="H323" s="47">
        <f>IF($B323="","",IF(INDEX('Work Orders'!$U$11:$U$1010,$B323)="","",INDEX('Work Orders'!$U$11:$U$1010,$B323)))</f>
        <v/>
      </c>
      <c r="I323" s="47">
        <f>IF($B323="","",IF(INDEX('Work Orders'!$X$11:$X$1010,$B323)="","",INDEX('Work Orders'!$X$11:$X$1010,$B323)))</f>
        <v/>
      </c>
      <c r="J323" s="44">
        <f>IF($B323="","",IF(INDEX('Work Orders'!$Z$11:$Z$1010,$B323)="","",INDEX('Work Orders'!$Z$11:$Z$1010,$B323)))</f>
        <v/>
      </c>
      <c r="K323" s="44">
        <f>IF($B323="","",IF(INDEX('Work Orders'!$AG$11:$AG$1010,$B323)="","",INDEX('Work Orders'!$AG$11:$AG$1010,$B323)))</f>
        <v/>
      </c>
      <c r="L323" s="44">
        <f>IF($B323="","",IF(INDEX('Work Orders'!$AH$11:$AH$1010,$B323)="","",INDEX('Work Orders'!$AH$11:$AH$1010,$B323)))</f>
        <v/>
      </c>
      <c r="M323" s="46">
        <f>IF($B323="","",IF(INDEX('Work Orders'!$AM$11:$AM$1010,$B323)="","",INDEX('Work Orders'!$AM$11:$AM$1010,$B323)))</f>
        <v/>
      </c>
      <c r="N323" s="43">
        <f>IF($B323="","",IF(INDEX('Work Orders'!$AL$11:$AL$1010,$B323)="","",INDEX('Work Orders'!$AL$11:$AL$1010,$B323)))</f>
        <v/>
      </c>
      <c r="O323" s="43">
        <f>IF($B323="","",IF(INDEX('Work Orders'!$N$11:$N$1010,$B323)="","",INDEX('Work Orders'!$N$11:$N$1010,$B323)))</f>
        <v/>
      </c>
    </row>
    <row r="324">
      <c r="A324" s="68" t="n">
        <v>318</v>
      </c>
      <c r="B324">
        <f>IFERROR(MATCH(A324,'Work Orders'!$AO$11:$AO$1010,0),"")</f>
        <v/>
      </c>
      <c r="C324" s="43">
        <f>IF($B324="","",IF(INDEX('Work Orders'!$A$11:$A$1010,$B324)="","",INDEX('Work Orders'!$A$11:$A$1010,$B324)))</f>
        <v/>
      </c>
      <c r="D324" s="43">
        <f>IF($B324="","",IF(INDEX('Work Orders'!$B$11:$B$1010,$B324)="","",INDEX('Work Orders'!$B$11:$B$1010,$B324)))</f>
        <v/>
      </c>
      <c r="E324" s="43">
        <f>IF($B324="","",IF(INDEX('Work Orders'!$D$11:$D$1010,$B324)="","",INDEX('Work Orders'!$D$11:$D$1010,$B324)))</f>
        <v/>
      </c>
      <c r="F324" s="43">
        <f>IF($B324="","",IF(INDEX('Work Orders'!$Q$11:$Q$1010,$B324)="","",INDEX('Work Orders'!$Q$11:$Q$1010,$B324)))</f>
        <v/>
      </c>
      <c r="G324" s="43">
        <f>IF($B324="","",IF(INDEX('Work Orders'!$V$11:$V$1010,$B324)="","",INDEX('Work Orders'!$V$11:$V$1010,$B324)))</f>
        <v/>
      </c>
      <c r="H324" s="47">
        <f>IF($B324="","",IF(INDEX('Work Orders'!$U$11:$U$1010,$B324)="","",INDEX('Work Orders'!$U$11:$U$1010,$B324)))</f>
        <v/>
      </c>
      <c r="I324" s="47">
        <f>IF($B324="","",IF(INDEX('Work Orders'!$X$11:$X$1010,$B324)="","",INDEX('Work Orders'!$X$11:$X$1010,$B324)))</f>
        <v/>
      </c>
      <c r="J324" s="44">
        <f>IF($B324="","",IF(INDEX('Work Orders'!$Z$11:$Z$1010,$B324)="","",INDEX('Work Orders'!$Z$11:$Z$1010,$B324)))</f>
        <v/>
      </c>
      <c r="K324" s="44">
        <f>IF($B324="","",IF(INDEX('Work Orders'!$AG$11:$AG$1010,$B324)="","",INDEX('Work Orders'!$AG$11:$AG$1010,$B324)))</f>
        <v/>
      </c>
      <c r="L324" s="44">
        <f>IF($B324="","",IF(INDEX('Work Orders'!$AH$11:$AH$1010,$B324)="","",INDEX('Work Orders'!$AH$11:$AH$1010,$B324)))</f>
        <v/>
      </c>
      <c r="M324" s="46">
        <f>IF($B324="","",IF(INDEX('Work Orders'!$AM$11:$AM$1010,$B324)="","",INDEX('Work Orders'!$AM$11:$AM$1010,$B324)))</f>
        <v/>
      </c>
      <c r="N324" s="43">
        <f>IF($B324="","",IF(INDEX('Work Orders'!$AL$11:$AL$1010,$B324)="","",INDEX('Work Orders'!$AL$11:$AL$1010,$B324)))</f>
        <v/>
      </c>
      <c r="O324" s="43">
        <f>IF($B324="","",IF(INDEX('Work Orders'!$N$11:$N$1010,$B324)="","",INDEX('Work Orders'!$N$11:$N$1010,$B324)))</f>
        <v/>
      </c>
    </row>
    <row r="325">
      <c r="A325" s="68" t="n">
        <v>319</v>
      </c>
      <c r="B325">
        <f>IFERROR(MATCH(A325,'Work Orders'!$AO$11:$AO$1010,0),"")</f>
        <v/>
      </c>
      <c r="C325" s="43">
        <f>IF($B325="","",IF(INDEX('Work Orders'!$A$11:$A$1010,$B325)="","",INDEX('Work Orders'!$A$11:$A$1010,$B325)))</f>
        <v/>
      </c>
      <c r="D325" s="43">
        <f>IF($B325="","",IF(INDEX('Work Orders'!$B$11:$B$1010,$B325)="","",INDEX('Work Orders'!$B$11:$B$1010,$B325)))</f>
        <v/>
      </c>
      <c r="E325" s="43">
        <f>IF($B325="","",IF(INDEX('Work Orders'!$D$11:$D$1010,$B325)="","",INDEX('Work Orders'!$D$11:$D$1010,$B325)))</f>
        <v/>
      </c>
      <c r="F325" s="43">
        <f>IF($B325="","",IF(INDEX('Work Orders'!$Q$11:$Q$1010,$B325)="","",INDEX('Work Orders'!$Q$11:$Q$1010,$B325)))</f>
        <v/>
      </c>
      <c r="G325" s="43">
        <f>IF($B325="","",IF(INDEX('Work Orders'!$V$11:$V$1010,$B325)="","",INDEX('Work Orders'!$V$11:$V$1010,$B325)))</f>
        <v/>
      </c>
      <c r="H325" s="47">
        <f>IF($B325="","",IF(INDEX('Work Orders'!$U$11:$U$1010,$B325)="","",INDEX('Work Orders'!$U$11:$U$1010,$B325)))</f>
        <v/>
      </c>
      <c r="I325" s="47">
        <f>IF($B325="","",IF(INDEX('Work Orders'!$X$11:$X$1010,$B325)="","",INDEX('Work Orders'!$X$11:$X$1010,$B325)))</f>
        <v/>
      </c>
      <c r="J325" s="44">
        <f>IF($B325="","",IF(INDEX('Work Orders'!$Z$11:$Z$1010,$B325)="","",INDEX('Work Orders'!$Z$11:$Z$1010,$B325)))</f>
        <v/>
      </c>
      <c r="K325" s="44">
        <f>IF($B325="","",IF(INDEX('Work Orders'!$AG$11:$AG$1010,$B325)="","",INDEX('Work Orders'!$AG$11:$AG$1010,$B325)))</f>
        <v/>
      </c>
      <c r="L325" s="44">
        <f>IF($B325="","",IF(INDEX('Work Orders'!$AH$11:$AH$1010,$B325)="","",INDEX('Work Orders'!$AH$11:$AH$1010,$B325)))</f>
        <v/>
      </c>
      <c r="M325" s="46">
        <f>IF($B325="","",IF(INDEX('Work Orders'!$AM$11:$AM$1010,$B325)="","",INDEX('Work Orders'!$AM$11:$AM$1010,$B325)))</f>
        <v/>
      </c>
      <c r="N325" s="43">
        <f>IF($B325="","",IF(INDEX('Work Orders'!$AL$11:$AL$1010,$B325)="","",INDEX('Work Orders'!$AL$11:$AL$1010,$B325)))</f>
        <v/>
      </c>
      <c r="O325" s="43">
        <f>IF($B325="","",IF(INDEX('Work Orders'!$N$11:$N$1010,$B325)="","",INDEX('Work Orders'!$N$11:$N$1010,$B325)))</f>
        <v/>
      </c>
    </row>
    <row r="326">
      <c r="A326" s="68" t="n">
        <v>320</v>
      </c>
      <c r="B326">
        <f>IFERROR(MATCH(A326,'Work Orders'!$AO$11:$AO$1010,0),"")</f>
        <v/>
      </c>
      <c r="C326" s="43">
        <f>IF($B326="","",IF(INDEX('Work Orders'!$A$11:$A$1010,$B326)="","",INDEX('Work Orders'!$A$11:$A$1010,$B326)))</f>
        <v/>
      </c>
      <c r="D326" s="43">
        <f>IF($B326="","",IF(INDEX('Work Orders'!$B$11:$B$1010,$B326)="","",INDEX('Work Orders'!$B$11:$B$1010,$B326)))</f>
        <v/>
      </c>
      <c r="E326" s="43">
        <f>IF($B326="","",IF(INDEX('Work Orders'!$D$11:$D$1010,$B326)="","",INDEX('Work Orders'!$D$11:$D$1010,$B326)))</f>
        <v/>
      </c>
      <c r="F326" s="43">
        <f>IF($B326="","",IF(INDEX('Work Orders'!$Q$11:$Q$1010,$B326)="","",INDEX('Work Orders'!$Q$11:$Q$1010,$B326)))</f>
        <v/>
      </c>
      <c r="G326" s="43">
        <f>IF($B326="","",IF(INDEX('Work Orders'!$V$11:$V$1010,$B326)="","",INDEX('Work Orders'!$V$11:$V$1010,$B326)))</f>
        <v/>
      </c>
      <c r="H326" s="47">
        <f>IF($B326="","",IF(INDEX('Work Orders'!$U$11:$U$1010,$B326)="","",INDEX('Work Orders'!$U$11:$U$1010,$B326)))</f>
        <v/>
      </c>
      <c r="I326" s="47">
        <f>IF($B326="","",IF(INDEX('Work Orders'!$X$11:$X$1010,$B326)="","",INDEX('Work Orders'!$X$11:$X$1010,$B326)))</f>
        <v/>
      </c>
      <c r="J326" s="44">
        <f>IF($B326="","",IF(INDEX('Work Orders'!$Z$11:$Z$1010,$B326)="","",INDEX('Work Orders'!$Z$11:$Z$1010,$B326)))</f>
        <v/>
      </c>
      <c r="K326" s="44">
        <f>IF($B326="","",IF(INDEX('Work Orders'!$AG$11:$AG$1010,$B326)="","",INDEX('Work Orders'!$AG$11:$AG$1010,$B326)))</f>
        <v/>
      </c>
      <c r="L326" s="44">
        <f>IF($B326="","",IF(INDEX('Work Orders'!$AH$11:$AH$1010,$B326)="","",INDEX('Work Orders'!$AH$11:$AH$1010,$B326)))</f>
        <v/>
      </c>
      <c r="M326" s="46">
        <f>IF($B326="","",IF(INDEX('Work Orders'!$AM$11:$AM$1010,$B326)="","",INDEX('Work Orders'!$AM$11:$AM$1010,$B326)))</f>
        <v/>
      </c>
      <c r="N326" s="43">
        <f>IF($B326="","",IF(INDEX('Work Orders'!$AL$11:$AL$1010,$B326)="","",INDEX('Work Orders'!$AL$11:$AL$1010,$B326)))</f>
        <v/>
      </c>
      <c r="O326" s="43">
        <f>IF($B326="","",IF(INDEX('Work Orders'!$N$11:$N$1010,$B326)="","",INDEX('Work Orders'!$N$11:$N$1010,$B326)))</f>
        <v/>
      </c>
    </row>
    <row r="327">
      <c r="A327" s="68" t="n">
        <v>321</v>
      </c>
      <c r="B327">
        <f>IFERROR(MATCH(A327,'Work Orders'!$AO$11:$AO$1010,0),"")</f>
        <v/>
      </c>
      <c r="C327" s="43">
        <f>IF($B327="","",IF(INDEX('Work Orders'!$A$11:$A$1010,$B327)="","",INDEX('Work Orders'!$A$11:$A$1010,$B327)))</f>
        <v/>
      </c>
      <c r="D327" s="43">
        <f>IF($B327="","",IF(INDEX('Work Orders'!$B$11:$B$1010,$B327)="","",INDEX('Work Orders'!$B$11:$B$1010,$B327)))</f>
        <v/>
      </c>
      <c r="E327" s="43">
        <f>IF($B327="","",IF(INDEX('Work Orders'!$D$11:$D$1010,$B327)="","",INDEX('Work Orders'!$D$11:$D$1010,$B327)))</f>
        <v/>
      </c>
      <c r="F327" s="43">
        <f>IF($B327="","",IF(INDEX('Work Orders'!$Q$11:$Q$1010,$B327)="","",INDEX('Work Orders'!$Q$11:$Q$1010,$B327)))</f>
        <v/>
      </c>
      <c r="G327" s="43">
        <f>IF($B327="","",IF(INDEX('Work Orders'!$V$11:$V$1010,$B327)="","",INDEX('Work Orders'!$V$11:$V$1010,$B327)))</f>
        <v/>
      </c>
      <c r="H327" s="47">
        <f>IF($B327="","",IF(INDEX('Work Orders'!$U$11:$U$1010,$B327)="","",INDEX('Work Orders'!$U$11:$U$1010,$B327)))</f>
        <v/>
      </c>
      <c r="I327" s="47">
        <f>IF($B327="","",IF(INDEX('Work Orders'!$X$11:$X$1010,$B327)="","",INDEX('Work Orders'!$X$11:$X$1010,$B327)))</f>
        <v/>
      </c>
      <c r="J327" s="44">
        <f>IF($B327="","",IF(INDEX('Work Orders'!$Z$11:$Z$1010,$B327)="","",INDEX('Work Orders'!$Z$11:$Z$1010,$B327)))</f>
        <v/>
      </c>
      <c r="K327" s="44">
        <f>IF($B327="","",IF(INDEX('Work Orders'!$AG$11:$AG$1010,$B327)="","",INDEX('Work Orders'!$AG$11:$AG$1010,$B327)))</f>
        <v/>
      </c>
      <c r="L327" s="44">
        <f>IF($B327="","",IF(INDEX('Work Orders'!$AH$11:$AH$1010,$B327)="","",INDEX('Work Orders'!$AH$11:$AH$1010,$B327)))</f>
        <v/>
      </c>
      <c r="M327" s="46">
        <f>IF($B327="","",IF(INDEX('Work Orders'!$AM$11:$AM$1010,$B327)="","",INDEX('Work Orders'!$AM$11:$AM$1010,$B327)))</f>
        <v/>
      </c>
      <c r="N327" s="43">
        <f>IF($B327="","",IF(INDEX('Work Orders'!$AL$11:$AL$1010,$B327)="","",INDEX('Work Orders'!$AL$11:$AL$1010,$B327)))</f>
        <v/>
      </c>
      <c r="O327" s="43">
        <f>IF($B327="","",IF(INDEX('Work Orders'!$N$11:$N$1010,$B327)="","",INDEX('Work Orders'!$N$11:$N$1010,$B327)))</f>
        <v/>
      </c>
    </row>
    <row r="328">
      <c r="A328" s="68" t="n">
        <v>322</v>
      </c>
      <c r="B328">
        <f>IFERROR(MATCH(A328,'Work Orders'!$AO$11:$AO$1010,0),"")</f>
        <v/>
      </c>
      <c r="C328" s="43">
        <f>IF($B328="","",IF(INDEX('Work Orders'!$A$11:$A$1010,$B328)="","",INDEX('Work Orders'!$A$11:$A$1010,$B328)))</f>
        <v/>
      </c>
      <c r="D328" s="43">
        <f>IF($B328="","",IF(INDEX('Work Orders'!$B$11:$B$1010,$B328)="","",INDEX('Work Orders'!$B$11:$B$1010,$B328)))</f>
        <v/>
      </c>
      <c r="E328" s="43">
        <f>IF($B328="","",IF(INDEX('Work Orders'!$D$11:$D$1010,$B328)="","",INDEX('Work Orders'!$D$11:$D$1010,$B328)))</f>
        <v/>
      </c>
      <c r="F328" s="43">
        <f>IF($B328="","",IF(INDEX('Work Orders'!$Q$11:$Q$1010,$B328)="","",INDEX('Work Orders'!$Q$11:$Q$1010,$B328)))</f>
        <v/>
      </c>
      <c r="G328" s="43">
        <f>IF($B328="","",IF(INDEX('Work Orders'!$V$11:$V$1010,$B328)="","",INDEX('Work Orders'!$V$11:$V$1010,$B328)))</f>
        <v/>
      </c>
      <c r="H328" s="47">
        <f>IF($B328="","",IF(INDEX('Work Orders'!$U$11:$U$1010,$B328)="","",INDEX('Work Orders'!$U$11:$U$1010,$B328)))</f>
        <v/>
      </c>
      <c r="I328" s="47">
        <f>IF($B328="","",IF(INDEX('Work Orders'!$X$11:$X$1010,$B328)="","",INDEX('Work Orders'!$X$11:$X$1010,$B328)))</f>
        <v/>
      </c>
      <c r="J328" s="44">
        <f>IF($B328="","",IF(INDEX('Work Orders'!$Z$11:$Z$1010,$B328)="","",INDEX('Work Orders'!$Z$11:$Z$1010,$B328)))</f>
        <v/>
      </c>
      <c r="K328" s="44">
        <f>IF($B328="","",IF(INDEX('Work Orders'!$AG$11:$AG$1010,$B328)="","",INDEX('Work Orders'!$AG$11:$AG$1010,$B328)))</f>
        <v/>
      </c>
      <c r="L328" s="44">
        <f>IF($B328="","",IF(INDEX('Work Orders'!$AH$11:$AH$1010,$B328)="","",INDEX('Work Orders'!$AH$11:$AH$1010,$B328)))</f>
        <v/>
      </c>
      <c r="M328" s="46">
        <f>IF($B328="","",IF(INDEX('Work Orders'!$AM$11:$AM$1010,$B328)="","",INDEX('Work Orders'!$AM$11:$AM$1010,$B328)))</f>
        <v/>
      </c>
      <c r="N328" s="43">
        <f>IF($B328="","",IF(INDEX('Work Orders'!$AL$11:$AL$1010,$B328)="","",INDEX('Work Orders'!$AL$11:$AL$1010,$B328)))</f>
        <v/>
      </c>
      <c r="O328" s="43">
        <f>IF($B328="","",IF(INDEX('Work Orders'!$N$11:$N$1010,$B328)="","",INDEX('Work Orders'!$N$11:$N$1010,$B328)))</f>
        <v/>
      </c>
    </row>
    <row r="329">
      <c r="A329" s="68" t="n">
        <v>323</v>
      </c>
      <c r="B329">
        <f>IFERROR(MATCH(A329,'Work Orders'!$AO$11:$AO$1010,0),"")</f>
        <v/>
      </c>
      <c r="C329" s="43">
        <f>IF($B329="","",IF(INDEX('Work Orders'!$A$11:$A$1010,$B329)="","",INDEX('Work Orders'!$A$11:$A$1010,$B329)))</f>
        <v/>
      </c>
      <c r="D329" s="43">
        <f>IF($B329="","",IF(INDEX('Work Orders'!$B$11:$B$1010,$B329)="","",INDEX('Work Orders'!$B$11:$B$1010,$B329)))</f>
        <v/>
      </c>
      <c r="E329" s="43">
        <f>IF($B329="","",IF(INDEX('Work Orders'!$D$11:$D$1010,$B329)="","",INDEX('Work Orders'!$D$11:$D$1010,$B329)))</f>
        <v/>
      </c>
      <c r="F329" s="43">
        <f>IF($B329="","",IF(INDEX('Work Orders'!$Q$11:$Q$1010,$B329)="","",INDEX('Work Orders'!$Q$11:$Q$1010,$B329)))</f>
        <v/>
      </c>
      <c r="G329" s="43">
        <f>IF($B329="","",IF(INDEX('Work Orders'!$V$11:$V$1010,$B329)="","",INDEX('Work Orders'!$V$11:$V$1010,$B329)))</f>
        <v/>
      </c>
      <c r="H329" s="47">
        <f>IF($B329="","",IF(INDEX('Work Orders'!$U$11:$U$1010,$B329)="","",INDEX('Work Orders'!$U$11:$U$1010,$B329)))</f>
        <v/>
      </c>
      <c r="I329" s="47">
        <f>IF($B329="","",IF(INDEX('Work Orders'!$X$11:$X$1010,$B329)="","",INDEX('Work Orders'!$X$11:$X$1010,$B329)))</f>
        <v/>
      </c>
      <c r="J329" s="44">
        <f>IF($B329="","",IF(INDEX('Work Orders'!$Z$11:$Z$1010,$B329)="","",INDEX('Work Orders'!$Z$11:$Z$1010,$B329)))</f>
        <v/>
      </c>
      <c r="K329" s="44">
        <f>IF($B329="","",IF(INDEX('Work Orders'!$AG$11:$AG$1010,$B329)="","",INDEX('Work Orders'!$AG$11:$AG$1010,$B329)))</f>
        <v/>
      </c>
      <c r="L329" s="44">
        <f>IF($B329="","",IF(INDEX('Work Orders'!$AH$11:$AH$1010,$B329)="","",INDEX('Work Orders'!$AH$11:$AH$1010,$B329)))</f>
        <v/>
      </c>
      <c r="M329" s="46">
        <f>IF($B329="","",IF(INDEX('Work Orders'!$AM$11:$AM$1010,$B329)="","",INDEX('Work Orders'!$AM$11:$AM$1010,$B329)))</f>
        <v/>
      </c>
      <c r="N329" s="43">
        <f>IF($B329="","",IF(INDEX('Work Orders'!$AL$11:$AL$1010,$B329)="","",INDEX('Work Orders'!$AL$11:$AL$1010,$B329)))</f>
        <v/>
      </c>
      <c r="O329" s="43">
        <f>IF($B329="","",IF(INDEX('Work Orders'!$N$11:$N$1010,$B329)="","",INDEX('Work Orders'!$N$11:$N$1010,$B329)))</f>
        <v/>
      </c>
    </row>
    <row r="330">
      <c r="A330" s="68" t="n">
        <v>324</v>
      </c>
      <c r="B330">
        <f>IFERROR(MATCH(A330,'Work Orders'!$AO$11:$AO$1010,0),"")</f>
        <v/>
      </c>
      <c r="C330" s="43">
        <f>IF($B330="","",IF(INDEX('Work Orders'!$A$11:$A$1010,$B330)="","",INDEX('Work Orders'!$A$11:$A$1010,$B330)))</f>
        <v/>
      </c>
      <c r="D330" s="43">
        <f>IF($B330="","",IF(INDEX('Work Orders'!$B$11:$B$1010,$B330)="","",INDEX('Work Orders'!$B$11:$B$1010,$B330)))</f>
        <v/>
      </c>
      <c r="E330" s="43">
        <f>IF($B330="","",IF(INDEX('Work Orders'!$D$11:$D$1010,$B330)="","",INDEX('Work Orders'!$D$11:$D$1010,$B330)))</f>
        <v/>
      </c>
      <c r="F330" s="43">
        <f>IF($B330="","",IF(INDEX('Work Orders'!$Q$11:$Q$1010,$B330)="","",INDEX('Work Orders'!$Q$11:$Q$1010,$B330)))</f>
        <v/>
      </c>
      <c r="G330" s="43">
        <f>IF($B330="","",IF(INDEX('Work Orders'!$V$11:$V$1010,$B330)="","",INDEX('Work Orders'!$V$11:$V$1010,$B330)))</f>
        <v/>
      </c>
      <c r="H330" s="47">
        <f>IF($B330="","",IF(INDEX('Work Orders'!$U$11:$U$1010,$B330)="","",INDEX('Work Orders'!$U$11:$U$1010,$B330)))</f>
        <v/>
      </c>
      <c r="I330" s="47">
        <f>IF($B330="","",IF(INDEX('Work Orders'!$X$11:$X$1010,$B330)="","",INDEX('Work Orders'!$X$11:$X$1010,$B330)))</f>
        <v/>
      </c>
      <c r="J330" s="44">
        <f>IF($B330="","",IF(INDEX('Work Orders'!$Z$11:$Z$1010,$B330)="","",INDEX('Work Orders'!$Z$11:$Z$1010,$B330)))</f>
        <v/>
      </c>
      <c r="K330" s="44">
        <f>IF($B330="","",IF(INDEX('Work Orders'!$AG$11:$AG$1010,$B330)="","",INDEX('Work Orders'!$AG$11:$AG$1010,$B330)))</f>
        <v/>
      </c>
      <c r="L330" s="44">
        <f>IF($B330="","",IF(INDEX('Work Orders'!$AH$11:$AH$1010,$B330)="","",INDEX('Work Orders'!$AH$11:$AH$1010,$B330)))</f>
        <v/>
      </c>
      <c r="M330" s="46">
        <f>IF($B330="","",IF(INDEX('Work Orders'!$AM$11:$AM$1010,$B330)="","",INDEX('Work Orders'!$AM$11:$AM$1010,$B330)))</f>
        <v/>
      </c>
      <c r="N330" s="43">
        <f>IF($B330="","",IF(INDEX('Work Orders'!$AL$11:$AL$1010,$B330)="","",INDEX('Work Orders'!$AL$11:$AL$1010,$B330)))</f>
        <v/>
      </c>
      <c r="O330" s="43">
        <f>IF($B330="","",IF(INDEX('Work Orders'!$N$11:$N$1010,$B330)="","",INDEX('Work Orders'!$N$11:$N$1010,$B330)))</f>
        <v/>
      </c>
    </row>
    <row r="331">
      <c r="A331" s="68" t="n">
        <v>325</v>
      </c>
      <c r="B331">
        <f>IFERROR(MATCH(A331,'Work Orders'!$AO$11:$AO$1010,0),"")</f>
        <v/>
      </c>
      <c r="C331" s="43">
        <f>IF($B331="","",IF(INDEX('Work Orders'!$A$11:$A$1010,$B331)="","",INDEX('Work Orders'!$A$11:$A$1010,$B331)))</f>
        <v/>
      </c>
      <c r="D331" s="43">
        <f>IF($B331="","",IF(INDEX('Work Orders'!$B$11:$B$1010,$B331)="","",INDEX('Work Orders'!$B$11:$B$1010,$B331)))</f>
        <v/>
      </c>
      <c r="E331" s="43">
        <f>IF($B331="","",IF(INDEX('Work Orders'!$D$11:$D$1010,$B331)="","",INDEX('Work Orders'!$D$11:$D$1010,$B331)))</f>
        <v/>
      </c>
      <c r="F331" s="43">
        <f>IF($B331="","",IF(INDEX('Work Orders'!$Q$11:$Q$1010,$B331)="","",INDEX('Work Orders'!$Q$11:$Q$1010,$B331)))</f>
        <v/>
      </c>
      <c r="G331" s="43">
        <f>IF($B331="","",IF(INDEX('Work Orders'!$V$11:$V$1010,$B331)="","",INDEX('Work Orders'!$V$11:$V$1010,$B331)))</f>
        <v/>
      </c>
      <c r="H331" s="47">
        <f>IF($B331="","",IF(INDEX('Work Orders'!$U$11:$U$1010,$B331)="","",INDEX('Work Orders'!$U$11:$U$1010,$B331)))</f>
        <v/>
      </c>
      <c r="I331" s="47">
        <f>IF($B331="","",IF(INDEX('Work Orders'!$X$11:$X$1010,$B331)="","",INDEX('Work Orders'!$X$11:$X$1010,$B331)))</f>
        <v/>
      </c>
      <c r="J331" s="44">
        <f>IF($B331="","",IF(INDEX('Work Orders'!$Z$11:$Z$1010,$B331)="","",INDEX('Work Orders'!$Z$11:$Z$1010,$B331)))</f>
        <v/>
      </c>
      <c r="K331" s="44">
        <f>IF($B331="","",IF(INDEX('Work Orders'!$AG$11:$AG$1010,$B331)="","",INDEX('Work Orders'!$AG$11:$AG$1010,$B331)))</f>
        <v/>
      </c>
      <c r="L331" s="44">
        <f>IF($B331="","",IF(INDEX('Work Orders'!$AH$11:$AH$1010,$B331)="","",INDEX('Work Orders'!$AH$11:$AH$1010,$B331)))</f>
        <v/>
      </c>
      <c r="M331" s="46">
        <f>IF($B331="","",IF(INDEX('Work Orders'!$AM$11:$AM$1010,$B331)="","",INDEX('Work Orders'!$AM$11:$AM$1010,$B331)))</f>
        <v/>
      </c>
      <c r="N331" s="43">
        <f>IF($B331="","",IF(INDEX('Work Orders'!$AL$11:$AL$1010,$B331)="","",INDEX('Work Orders'!$AL$11:$AL$1010,$B331)))</f>
        <v/>
      </c>
      <c r="O331" s="43">
        <f>IF($B331="","",IF(INDEX('Work Orders'!$N$11:$N$1010,$B331)="","",INDEX('Work Orders'!$N$11:$N$1010,$B331)))</f>
        <v/>
      </c>
    </row>
    <row r="332">
      <c r="A332" s="68" t="n">
        <v>326</v>
      </c>
      <c r="B332">
        <f>IFERROR(MATCH(A332,'Work Orders'!$AO$11:$AO$1010,0),"")</f>
        <v/>
      </c>
      <c r="C332" s="43">
        <f>IF($B332="","",IF(INDEX('Work Orders'!$A$11:$A$1010,$B332)="","",INDEX('Work Orders'!$A$11:$A$1010,$B332)))</f>
        <v/>
      </c>
      <c r="D332" s="43">
        <f>IF($B332="","",IF(INDEX('Work Orders'!$B$11:$B$1010,$B332)="","",INDEX('Work Orders'!$B$11:$B$1010,$B332)))</f>
        <v/>
      </c>
      <c r="E332" s="43">
        <f>IF($B332="","",IF(INDEX('Work Orders'!$D$11:$D$1010,$B332)="","",INDEX('Work Orders'!$D$11:$D$1010,$B332)))</f>
        <v/>
      </c>
      <c r="F332" s="43">
        <f>IF($B332="","",IF(INDEX('Work Orders'!$Q$11:$Q$1010,$B332)="","",INDEX('Work Orders'!$Q$11:$Q$1010,$B332)))</f>
        <v/>
      </c>
      <c r="G332" s="43">
        <f>IF($B332="","",IF(INDEX('Work Orders'!$V$11:$V$1010,$B332)="","",INDEX('Work Orders'!$V$11:$V$1010,$B332)))</f>
        <v/>
      </c>
      <c r="H332" s="47">
        <f>IF($B332="","",IF(INDEX('Work Orders'!$U$11:$U$1010,$B332)="","",INDEX('Work Orders'!$U$11:$U$1010,$B332)))</f>
        <v/>
      </c>
      <c r="I332" s="47">
        <f>IF($B332="","",IF(INDEX('Work Orders'!$X$11:$X$1010,$B332)="","",INDEX('Work Orders'!$X$11:$X$1010,$B332)))</f>
        <v/>
      </c>
      <c r="J332" s="44">
        <f>IF($B332="","",IF(INDEX('Work Orders'!$Z$11:$Z$1010,$B332)="","",INDEX('Work Orders'!$Z$11:$Z$1010,$B332)))</f>
        <v/>
      </c>
      <c r="K332" s="44">
        <f>IF($B332="","",IF(INDEX('Work Orders'!$AG$11:$AG$1010,$B332)="","",INDEX('Work Orders'!$AG$11:$AG$1010,$B332)))</f>
        <v/>
      </c>
      <c r="L332" s="44">
        <f>IF($B332="","",IF(INDEX('Work Orders'!$AH$11:$AH$1010,$B332)="","",INDEX('Work Orders'!$AH$11:$AH$1010,$B332)))</f>
        <v/>
      </c>
      <c r="M332" s="46">
        <f>IF($B332="","",IF(INDEX('Work Orders'!$AM$11:$AM$1010,$B332)="","",INDEX('Work Orders'!$AM$11:$AM$1010,$B332)))</f>
        <v/>
      </c>
      <c r="N332" s="43">
        <f>IF($B332="","",IF(INDEX('Work Orders'!$AL$11:$AL$1010,$B332)="","",INDEX('Work Orders'!$AL$11:$AL$1010,$B332)))</f>
        <v/>
      </c>
      <c r="O332" s="43">
        <f>IF($B332="","",IF(INDEX('Work Orders'!$N$11:$N$1010,$B332)="","",INDEX('Work Orders'!$N$11:$N$1010,$B332)))</f>
        <v/>
      </c>
    </row>
    <row r="333">
      <c r="A333" s="68" t="n">
        <v>327</v>
      </c>
      <c r="B333">
        <f>IFERROR(MATCH(A333,'Work Orders'!$AO$11:$AO$1010,0),"")</f>
        <v/>
      </c>
      <c r="C333" s="43">
        <f>IF($B333="","",IF(INDEX('Work Orders'!$A$11:$A$1010,$B333)="","",INDEX('Work Orders'!$A$11:$A$1010,$B333)))</f>
        <v/>
      </c>
      <c r="D333" s="43">
        <f>IF($B333="","",IF(INDEX('Work Orders'!$B$11:$B$1010,$B333)="","",INDEX('Work Orders'!$B$11:$B$1010,$B333)))</f>
        <v/>
      </c>
      <c r="E333" s="43">
        <f>IF($B333="","",IF(INDEX('Work Orders'!$D$11:$D$1010,$B333)="","",INDEX('Work Orders'!$D$11:$D$1010,$B333)))</f>
        <v/>
      </c>
      <c r="F333" s="43">
        <f>IF($B333="","",IF(INDEX('Work Orders'!$Q$11:$Q$1010,$B333)="","",INDEX('Work Orders'!$Q$11:$Q$1010,$B333)))</f>
        <v/>
      </c>
      <c r="G333" s="43">
        <f>IF($B333="","",IF(INDEX('Work Orders'!$V$11:$V$1010,$B333)="","",INDEX('Work Orders'!$V$11:$V$1010,$B333)))</f>
        <v/>
      </c>
      <c r="H333" s="47">
        <f>IF($B333="","",IF(INDEX('Work Orders'!$U$11:$U$1010,$B333)="","",INDEX('Work Orders'!$U$11:$U$1010,$B333)))</f>
        <v/>
      </c>
      <c r="I333" s="47">
        <f>IF($B333="","",IF(INDEX('Work Orders'!$X$11:$X$1010,$B333)="","",INDEX('Work Orders'!$X$11:$X$1010,$B333)))</f>
        <v/>
      </c>
      <c r="J333" s="44">
        <f>IF($B333="","",IF(INDEX('Work Orders'!$Z$11:$Z$1010,$B333)="","",INDEX('Work Orders'!$Z$11:$Z$1010,$B333)))</f>
        <v/>
      </c>
      <c r="K333" s="44">
        <f>IF($B333="","",IF(INDEX('Work Orders'!$AG$11:$AG$1010,$B333)="","",INDEX('Work Orders'!$AG$11:$AG$1010,$B333)))</f>
        <v/>
      </c>
      <c r="L333" s="44">
        <f>IF($B333="","",IF(INDEX('Work Orders'!$AH$11:$AH$1010,$B333)="","",INDEX('Work Orders'!$AH$11:$AH$1010,$B333)))</f>
        <v/>
      </c>
      <c r="M333" s="46">
        <f>IF($B333="","",IF(INDEX('Work Orders'!$AM$11:$AM$1010,$B333)="","",INDEX('Work Orders'!$AM$11:$AM$1010,$B333)))</f>
        <v/>
      </c>
      <c r="N333" s="43">
        <f>IF($B333="","",IF(INDEX('Work Orders'!$AL$11:$AL$1010,$B333)="","",INDEX('Work Orders'!$AL$11:$AL$1010,$B333)))</f>
        <v/>
      </c>
      <c r="O333" s="43">
        <f>IF($B333="","",IF(INDEX('Work Orders'!$N$11:$N$1010,$B333)="","",INDEX('Work Orders'!$N$11:$N$1010,$B333)))</f>
        <v/>
      </c>
    </row>
    <row r="334">
      <c r="A334" s="68" t="n">
        <v>328</v>
      </c>
      <c r="B334">
        <f>IFERROR(MATCH(A334,'Work Orders'!$AO$11:$AO$1010,0),"")</f>
        <v/>
      </c>
      <c r="C334" s="43">
        <f>IF($B334="","",IF(INDEX('Work Orders'!$A$11:$A$1010,$B334)="","",INDEX('Work Orders'!$A$11:$A$1010,$B334)))</f>
        <v/>
      </c>
      <c r="D334" s="43">
        <f>IF($B334="","",IF(INDEX('Work Orders'!$B$11:$B$1010,$B334)="","",INDEX('Work Orders'!$B$11:$B$1010,$B334)))</f>
        <v/>
      </c>
      <c r="E334" s="43">
        <f>IF($B334="","",IF(INDEX('Work Orders'!$D$11:$D$1010,$B334)="","",INDEX('Work Orders'!$D$11:$D$1010,$B334)))</f>
        <v/>
      </c>
      <c r="F334" s="43">
        <f>IF($B334="","",IF(INDEX('Work Orders'!$Q$11:$Q$1010,$B334)="","",INDEX('Work Orders'!$Q$11:$Q$1010,$B334)))</f>
        <v/>
      </c>
      <c r="G334" s="43">
        <f>IF($B334="","",IF(INDEX('Work Orders'!$V$11:$V$1010,$B334)="","",INDEX('Work Orders'!$V$11:$V$1010,$B334)))</f>
        <v/>
      </c>
      <c r="H334" s="47">
        <f>IF($B334="","",IF(INDEX('Work Orders'!$U$11:$U$1010,$B334)="","",INDEX('Work Orders'!$U$11:$U$1010,$B334)))</f>
        <v/>
      </c>
      <c r="I334" s="47">
        <f>IF($B334="","",IF(INDEX('Work Orders'!$X$11:$X$1010,$B334)="","",INDEX('Work Orders'!$X$11:$X$1010,$B334)))</f>
        <v/>
      </c>
      <c r="J334" s="44">
        <f>IF($B334="","",IF(INDEX('Work Orders'!$Z$11:$Z$1010,$B334)="","",INDEX('Work Orders'!$Z$11:$Z$1010,$B334)))</f>
        <v/>
      </c>
      <c r="K334" s="44">
        <f>IF($B334="","",IF(INDEX('Work Orders'!$AG$11:$AG$1010,$B334)="","",INDEX('Work Orders'!$AG$11:$AG$1010,$B334)))</f>
        <v/>
      </c>
      <c r="L334" s="44">
        <f>IF($B334="","",IF(INDEX('Work Orders'!$AH$11:$AH$1010,$B334)="","",INDEX('Work Orders'!$AH$11:$AH$1010,$B334)))</f>
        <v/>
      </c>
      <c r="M334" s="46">
        <f>IF($B334="","",IF(INDEX('Work Orders'!$AM$11:$AM$1010,$B334)="","",INDEX('Work Orders'!$AM$11:$AM$1010,$B334)))</f>
        <v/>
      </c>
      <c r="N334" s="43">
        <f>IF($B334="","",IF(INDEX('Work Orders'!$AL$11:$AL$1010,$B334)="","",INDEX('Work Orders'!$AL$11:$AL$1010,$B334)))</f>
        <v/>
      </c>
      <c r="O334" s="43">
        <f>IF($B334="","",IF(INDEX('Work Orders'!$N$11:$N$1010,$B334)="","",INDEX('Work Orders'!$N$11:$N$1010,$B334)))</f>
        <v/>
      </c>
    </row>
    <row r="335">
      <c r="A335" s="68" t="n">
        <v>329</v>
      </c>
      <c r="B335">
        <f>IFERROR(MATCH(A335,'Work Orders'!$AO$11:$AO$1010,0),"")</f>
        <v/>
      </c>
      <c r="C335" s="43">
        <f>IF($B335="","",IF(INDEX('Work Orders'!$A$11:$A$1010,$B335)="","",INDEX('Work Orders'!$A$11:$A$1010,$B335)))</f>
        <v/>
      </c>
      <c r="D335" s="43">
        <f>IF($B335="","",IF(INDEX('Work Orders'!$B$11:$B$1010,$B335)="","",INDEX('Work Orders'!$B$11:$B$1010,$B335)))</f>
        <v/>
      </c>
      <c r="E335" s="43">
        <f>IF($B335="","",IF(INDEX('Work Orders'!$D$11:$D$1010,$B335)="","",INDEX('Work Orders'!$D$11:$D$1010,$B335)))</f>
        <v/>
      </c>
      <c r="F335" s="43">
        <f>IF($B335="","",IF(INDEX('Work Orders'!$Q$11:$Q$1010,$B335)="","",INDEX('Work Orders'!$Q$11:$Q$1010,$B335)))</f>
        <v/>
      </c>
      <c r="G335" s="43">
        <f>IF($B335="","",IF(INDEX('Work Orders'!$V$11:$V$1010,$B335)="","",INDEX('Work Orders'!$V$11:$V$1010,$B335)))</f>
        <v/>
      </c>
      <c r="H335" s="47">
        <f>IF($B335="","",IF(INDEX('Work Orders'!$U$11:$U$1010,$B335)="","",INDEX('Work Orders'!$U$11:$U$1010,$B335)))</f>
        <v/>
      </c>
      <c r="I335" s="47">
        <f>IF($B335="","",IF(INDEX('Work Orders'!$X$11:$X$1010,$B335)="","",INDEX('Work Orders'!$X$11:$X$1010,$B335)))</f>
        <v/>
      </c>
      <c r="J335" s="44">
        <f>IF($B335="","",IF(INDEX('Work Orders'!$Z$11:$Z$1010,$B335)="","",INDEX('Work Orders'!$Z$11:$Z$1010,$B335)))</f>
        <v/>
      </c>
      <c r="K335" s="44">
        <f>IF($B335="","",IF(INDEX('Work Orders'!$AG$11:$AG$1010,$B335)="","",INDEX('Work Orders'!$AG$11:$AG$1010,$B335)))</f>
        <v/>
      </c>
      <c r="L335" s="44">
        <f>IF($B335="","",IF(INDEX('Work Orders'!$AH$11:$AH$1010,$B335)="","",INDEX('Work Orders'!$AH$11:$AH$1010,$B335)))</f>
        <v/>
      </c>
      <c r="M335" s="46">
        <f>IF($B335="","",IF(INDEX('Work Orders'!$AM$11:$AM$1010,$B335)="","",INDEX('Work Orders'!$AM$11:$AM$1010,$B335)))</f>
        <v/>
      </c>
      <c r="N335" s="43">
        <f>IF($B335="","",IF(INDEX('Work Orders'!$AL$11:$AL$1010,$B335)="","",INDEX('Work Orders'!$AL$11:$AL$1010,$B335)))</f>
        <v/>
      </c>
      <c r="O335" s="43">
        <f>IF($B335="","",IF(INDEX('Work Orders'!$N$11:$N$1010,$B335)="","",INDEX('Work Orders'!$N$11:$N$1010,$B335)))</f>
        <v/>
      </c>
    </row>
    <row r="336">
      <c r="A336" s="68" t="n">
        <v>330</v>
      </c>
      <c r="B336">
        <f>IFERROR(MATCH(A336,'Work Orders'!$AO$11:$AO$1010,0),"")</f>
        <v/>
      </c>
      <c r="C336" s="43">
        <f>IF($B336="","",IF(INDEX('Work Orders'!$A$11:$A$1010,$B336)="","",INDEX('Work Orders'!$A$11:$A$1010,$B336)))</f>
        <v/>
      </c>
      <c r="D336" s="43">
        <f>IF($B336="","",IF(INDEX('Work Orders'!$B$11:$B$1010,$B336)="","",INDEX('Work Orders'!$B$11:$B$1010,$B336)))</f>
        <v/>
      </c>
      <c r="E336" s="43">
        <f>IF($B336="","",IF(INDEX('Work Orders'!$D$11:$D$1010,$B336)="","",INDEX('Work Orders'!$D$11:$D$1010,$B336)))</f>
        <v/>
      </c>
      <c r="F336" s="43">
        <f>IF($B336="","",IF(INDEX('Work Orders'!$Q$11:$Q$1010,$B336)="","",INDEX('Work Orders'!$Q$11:$Q$1010,$B336)))</f>
        <v/>
      </c>
      <c r="G336" s="43">
        <f>IF($B336="","",IF(INDEX('Work Orders'!$V$11:$V$1010,$B336)="","",INDEX('Work Orders'!$V$11:$V$1010,$B336)))</f>
        <v/>
      </c>
      <c r="H336" s="47">
        <f>IF($B336="","",IF(INDEX('Work Orders'!$U$11:$U$1010,$B336)="","",INDEX('Work Orders'!$U$11:$U$1010,$B336)))</f>
        <v/>
      </c>
      <c r="I336" s="47">
        <f>IF($B336="","",IF(INDEX('Work Orders'!$X$11:$X$1010,$B336)="","",INDEX('Work Orders'!$X$11:$X$1010,$B336)))</f>
        <v/>
      </c>
      <c r="J336" s="44">
        <f>IF($B336="","",IF(INDEX('Work Orders'!$Z$11:$Z$1010,$B336)="","",INDEX('Work Orders'!$Z$11:$Z$1010,$B336)))</f>
        <v/>
      </c>
      <c r="K336" s="44">
        <f>IF($B336="","",IF(INDEX('Work Orders'!$AG$11:$AG$1010,$B336)="","",INDEX('Work Orders'!$AG$11:$AG$1010,$B336)))</f>
        <v/>
      </c>
      <c r="L336" s="44">
        <f>IF($B336="","",IF(INDEX('Work Orders'!$AH$11:$AH$1010,$B336)="","",INDEX('Work Orders'!$AH$11:$AH$1010,$B336)))</f>
        <v/>
      </c>
      <c r="M336" s="46">
        <f>IF($B336="","",IF(INDEX('Work Orders'!$AM$11:$AM$1010,$B336)="","",INDEX('Work Orders'!$AM$11:$AM$1010,$B336)))</f>
        <v/>
      </c>
      <c r="N336" s="43">
        <f>IF($B336="","",IF(INDEX('Work Orders'!$AL$11:$AL$1010,$B336)="","",INDEX('Work Orders'!$AL$11:$AL$1010,$B336)))</f>
        <v/>
      </c>
      <c r="O336" s="43">
        <f>IF($B336="","",IF(INDEX('Work Orders'!$N$11:$N$1010,$B336)="","",INDEX('Work Orders'!$N$11:$N$1010,$B336)))</f>
        <v/>
      </c>
    </row>
    <row r="337">
      <c r="A337" s="68" t="n">
        <v>331</v>
      </c>
      <c r="B337">
        <f>IFERROR(MATCH(A337,'Work Orders'!$AO$11:$AO$1010,0),"")</f>
        <v/>
      </c>
      <c r="C337" s="43">
        <f>IF($B337="","",IF(INDEX('Work Orders'!$A$11:$A$1010,$B337)="","",INDEX('Work Orders'!$A$11:$A$1010,$B337)))</f>
        <v/>
      </c>
      <c r="D337" s="43">
        <f>IF($B337="","",IF(INDEX('Work Orders'!$B$11:$B$1010,$B337)="","",INDEX('Work Orders'!$B$11:$B$1010,$B337)))</f>
        <v/>
      </c>
      <c r="E337" s="43">
        <f>IF($B337="","",IF(INDEX('Work Orders'!$D$11:$D$1010,$B337)="","",INDEX('Work Orders'!$D$11:$D$1010,$B337)))</f>
        <v/>
      </c>
      <c r="F337" s="43">
        <f>IF($B337="","",IF(INDEX('Work Orders'!$Q$11:$Q$1010,$B337)="","",INDEX('Work Orders'!$Q$11:$Q$1010,$B337)))</f>
        <v/>
      </c>
      <c r="G337" s="43">
        <f>IF($B337="","",IF(INDEX('Work Orders'!$V$11:$V$1010,$B337)="","",INDEX('Work Orders'!$V$11:$V$1010,$B337)))</f>
        <v/>
      </c>
      <c r="H337" s="47">
        <f>IF($B337="","",IF(INDEX('Work Orders'!$U$11:$U$1010,$B337)="","",INDEX('Work Orders'!$U$11:$U$1010,$B337)))</f>
        <v/>
      </c>
      <c r="I337" s="47">
        <f>IF($B337="","",IF(INDEX('Work Orders'!$X$11:$X$1010,$B337)="","",INDEX('Work Orders'!$X$11:$X$1010,$B337)))</f>
        <v/>
      </c>
      <c r="J337" s="44">
        <f>IF($B337="","",IF(INDEX('Work Orders'!$Z$11:$Z$1010,$B337)="","",INDEX('Work Orders'!$Z$11:$Z$1010,$B337)))</f>
        <v/>
      </c>
      <c r="K337" s="44">
        <f>IF($B337="","",IF(INDEX('Work Orders'!$AG$11:$AG$1010,$B337)="","",INDEX('Work Orders'!$AG$11:$AG$1010,$B337)))</f>
        <v/>
      </c>
      <c r="L337" s="44">
        <f>IF($B337="","",IF(INDEX('Work Orders'!$AH$11:$AH$1010,$B337)="","",INDEX('Work Orders'!$AH$11:$AH$1010,$B337)))</f>
        <v/>
      </c>
      <c r="M337" s="46">
        <f>IF($B337="","",IF(INDEX('Work Orders'!$AM$11:$AM$1010,$B337)="","",INDEX('Work Orders'!$AM$11:$AM$1010,$B337)))</f>
        <v/>
      </c>
      <c r="N337" s="43">
        <f>IF($B337="","",IF(INDEX('Work Orders'!$AL$11:$AL$1010,$B337)="","",INDEX('Work Orders'!$AL$11:$AL$1010,$B337)))</f>
        <v/>
      </c>
      <c r="O337" s="43">
        <f>IF($B337="","",IF(INDEX('Work Orders'!$N$11:$N$1010,$B337)="","",INDEX('Work Orders'!$N$11:$N$1010,$B337)))</f>
        <v/>
      </c>
    </row>
    <row r="338">
      <c r="A338" s="68" t="n">
        <v>332</v>
      </c>
      <c r="B338">
        <f>IFERROR(MATCH(A338,'Work Orders'!$AO$11:$AO$1010,0),"")</f>
        <v/>
      </c>
      <c r="C338" s="43">
        <f>IF($B338="","",IF(INDEX('Work Orders'!$A$11:$A$1010,$B338)="","",INDEX('Work Orders'!$A$11:$A$1010,$B338)))</f>
        <v/>
      </c>
      <c r="D338" s="43">
        <f>IF($B338="","",IF(INDEX('Work Orders'!$B$11:$B$1010,$B338)="","",INDEX('Work Orders'!$B$11:$B$1010,$B338)))</f>
        <v/>
      </c>
      <c r="E338" s="43">
        <f>IF($B338="","",IF(INDEX('Work Orders'!$D$11:$D$1010,$B338)="","",INDEX('Work Orders'!$D$11:$D$1010,$B338)))</f>
        <v/>
      </c>
      <c r="F338" s="43">
        <f>IF($B338="","",IF(INDEX('Work Orders'!$Q$11:$Q$1010,$B338)="","",INDEX('Work Orders'!$Q$11:$Q$1010,$B338)))</f>
        <v/>
      </c>
      <c r="G338" s="43">
        <f>IF($B338="","",IF(INDEX('Work Orders'!$V$11:$V$1010,$B338)="","",INDEX('Work Orders'!$V$11:$V$1010,$B338)))</f>
        <v/>
      </c>
      <c r="H338" s="47">
        <f>IF($B338="","",IF(INDEX('Work Orders'!$U$11:$U$1010,$B338)="","",INDEX('Work Orders'!$U$11:$U$1010,$B338)))</f>
        <v/>
      </c>
      <c r="I338" s="47">
        <f>IF($B338="","",IF(INDEX('Work Orders'!$X$11:$X$1010,$B338)="","",INDEX('Work Orders'!$X$11:$X$1010,$B338)))</f>
        <v/>
      </c>
      <c r="J338" s="44">
        <f>IF($B338="","",IF(INDEX('Work Orders'!$Z$11:$Z$1010,$B338)="","",INDEX('Work Orders'!$Z$11:$Z$1010,$B338)))</f>
        <v/>
      </c>
      <c r="K338" s="44">
        <f>IF($B338="","",IF(INDEX('Work Orders'!$AG$11:$AG$1010,$B338)="","",INDEX('Work Orders'!$AG$11:$AG$1010,$B338)))</f>
        <v/>
      </c>
      <c r="L338" s="44">
        <f>IF($B338="","",IF(INDEX('Work Orders'!$AH$11:$AH$1010,$B338)="","",INDEX('Work Orders'!$AH$11:$AH$1010,$B338)))</f>
        <v/>
      </c>
      <c r="M338" s="46">
        <f>IF($B338="","",IF(INDEX('Work Orders'!$AM$11:$AM$1010,$B338)="","",INDEX('Work Orders'!$AM$11:$AM$1010,$B338)))</f>
        <v/>
      </c>
      <c r="N338" s="43">
        <f>IF($B338="","",IF(INDEX('Work Orders'!$AL$11:$AL$1010,$B338)="","",INDEX('Work Orders'!$AL$11:$AL$1010,$B338)))</f>
        <v/>
      </c>
      <c r="O338" s="43">
        <f>IF($B338="","",IF(INDEX('Work Orders'!$N$11:$N$1010,$B338)="","",INDEX('Work Orders'!$N$11:$N$1010,$B338)))</f>
        <v/>
      </c>
    </row>
    <row r="339">
      <c r="A339" s="68" t="n">
        <v>333</v>
      </c>
      <c r="B339">
        <f>IFERROR(MATCH(A339,'Work Orders'!$AO$11:$AO$1010,0),"")</f>
        <v/>
      </c>
      <c r="C339" s="43">
        <f>IF($B339="","",IF(INDEX('Work Orders'!$A$11:$A$1010,$B339)="","",INDEX('Work Orders'!$A$11:$A$1010,$B339)))</f>
        <v/>
      </c>
      <c r="D339" s="43">
        <f>IF($B339="","",IF(INDEX('Work Orders'!$B$11:$B$1010,$B339)="","",INDEX('Work Orders'!$B$11:$B$1010,$B339)))</f>
        <v/>
      </c>
      <c r="E339" s="43">
        <f>IF($B339="","",IF(INDEX('Work Orders'!$D$11:$D$1010,$B339)="","",INDEX('Work Orders'!$D$11:$D$1010,$B339)))</f>
        <v/>
      </c>
      <c r="F339" s="43">
        <f>IF($B339="","",IF(INDEX('Work Orders'!$Q$11:$Q$1010,$B339)="","",INDEX('Work Orders'!$Q$11:$Q$1010,$B339)))</f>
        <v/>
      </c>
      <c r="G339" s="43">
        <f>IF($B339="","",IF(INDEX('Work Orders'!$V$11:$V$1010,$B339)="","",INDEX('Work Orders'!$V$11:$V$1010,$B339)))</f>
        <v/>
      </c>
      <c r="H339" s="47">
        <f>IF($B339="","",IF(INDEX('Work Orders'!$U$11:$U$1010,$B339)="","",INDEX('Work Orders'!$U$11:$U$1010,$B339)))</f>
        <v/>
      </c>
      <c r="I339" s="47">
        <f>IF($B339="","",IF(INDEX('Work Orders'!$X$11:$X$1010,$B339)="","",INDEX('Work Orders'!$X$11:$X$1010,$B339)))</f>
        <v/>
      </c>
      <c r="J339" s="44">
        <f>IF($B339="","",IF(INDEX('Work Orders'!$Z$11:$Z$1010,$B339)="","",INDEX('Work Orders'!$Z$11:$Z$1010,$B339)))</f>
        <v/>
      </c>
      <c r="K339" s="44">
        <f>IF($B339="","",IF(INDEX('Work Orders'!$AG$11:$AG$1010,$B339)="","",INDEX('Work Orders'!$AG$11:$AG$1010,$B339)))</f>
        <v/>
      </c>
      <c r="L339" s="44">
        <f>IF($B339="","",IF(INDEX('Work Orders'!$AH$11:$AH$1010,$B339)="","",INDEX('Work Orders'!$AH$11:$AH$1010,$B339)))</f>
        <v/>
      </c>
      <c r="M339" s="46">
        <f>IF($B339="","",IF(INDEX('Work Orders'!$AM$11:$AM$1010,$B339)="","",INDEX('Work Orders'!$AM$11:$AM$1010,$B339)))</f>
        <v/>
      </c>
      <c r="N339" s="43">
        <f>IF($B339="","",IF(INDEX('Work Orders'!$AL$11:$AL$1010,$B339)="","",INDEX('Work Orders'!$AL$11:$AL$1010,$B339)))</f>
        <v/>
      </c>
      <c r="O339" s="43">
        <f>IF($B339="","",IF(INDEX('Work Orders'!$N$11:$N$1010,$B339)="","",INDEX('Work Orders'!$N$11:$N$1010,$B339)))</f>
        <v/>
      </c>
    </row>
    <row r="340">
      <c r="A340" s="68" t="n">
        <v>334</v>
      </c>
      <c r="B340">
        <f>IFERROR(MATCH(A340,'Work Orders'!$AO$11:$AO$1010,0),"")</f>
        <v/>
      </c>
      <c r="C340" s="43">
        <f>IF($B340="","",IF(INDEX('Work Orders'!$A$11:$A$1010,$B340)="","",INDEX('Work Orders'!$A$11:$A$1010,$B340)))</f>
        <v/>
      </c>
      <c r="D340" s="43">
        <f>IF($B340="","",IF(INDEX('Work Orders'!$B$11:$B$1010,$B340)="","",INDEX('Work Orders'!$B$11:$B$1010,$B340)))</f>
        <v/>
      </c>
      <c r="E340" s="43">
        <f>IF($B340="","",IF(INDEX('Work Orders'!$D$11:$D$1010,$B340)="","",INDEX('Work Orders'!$D$11:$D$1010,$B340)))</f>
        <v/>
      </c>
      <c r="F340" s="43">
        <f>IF($B340="","",IF(INDEX('Work Orders'!$Q$11:$Q$1010,$B340)="","",INDEX('Work Orders'!$Q$11:$Q$1010,$B340)))</f>
        <v/>
      </c>
      <c r="G340" s="43">
        <f>IF($B340="","",IF(INDEX('Work Orders'!$V$11:$V$1010,$B340)="","",INDEX('Work Orders'!$V$11:$V$1010,$B340)))</f>
        <v/>
      </c>
      <c r="H340" s="47">
        <f>IF($B340="","",IF(INDEX('Work Orders'!$U$11:$U$1010,$B340)="","",INDEX('Work Orders'!$U$11:$U$1010,$B340)))</f>
        <v/>
      </c>
      <c r="I340" s="47">
        <f>IF($B340="","",IF(INDEX('Work Orders'!$X$11:$X$1010,$B340)="","",INDEX('Work Orders'!$X$11:$X$1010,$B340)))</f>
        <v/>
      </c>
      <c r="J340" s="44">
        <f>IF($B340="","",IF(INDEX('Work Orders'!$Z$11:$Z$1010,$B340)="","",INDEX('Work Orders'!$Z$11:$Z$1010,$B340)))</f>
        <v/>
      </c>
      <c r="K340" s="44">
        <f>IF($B340="","",IF(INDEX('Work Orders'!$AG$11:$AG$1010,$B340)="","",INDEX('Work Orders'!$AG$11:$AG$1010,$B340)))</f>
        <v/>
      </c>
      <c r="L340" s="44">
        <f>IF($B340="","",IF(INDEX('Work Orders'!$AH$11:$AH$1010,$B340)="","",INDEX('Work Orders'!$AH$11:$AH$1010,$B340)))</f>
        <v/>
      </c>
      <c r="M340" s="46">
        <f>IF($B340="","",IF(INDEX('Work Orders'!$AM$11:$AM$1010,$B340)="","",INDEX('Work Orders'!$AM$11:$AM$1010,$B340)))</f>
        <v/>
      </c>
      <c r="N340" s="43">
        <f>IF($B340="","",IF(INDEX('Work Orders'!$AL$11:$AL$1010,$B340)="","",INDEX('Work Orders'!$AL$11:$AL$1010,$B340)))</f>
        <v/>
      </c>
      <c r="O340" s="43">
        <f>IF($B340="","",IF(INDEX('Work Orders'!$N$11:$N$1010,$B340)="","",INDEX('Work Orders'!$N$11:$N$1010,$B340)))</f>
        <v/>
      </c>
    </row>
    <row r="341">
      <c r="A341" s="68" t="n">
        <v>335</v>
      </c>
      <c r="B341">
        <f>IFERROR(MATCH(A341,'Work Orders'!$AO$11:$AO$1010,0),"")</f>
        <v/>
      </c>
      <c r="C341" s="43">
        <f>IF($B341="","",IF(INDEX('Work Orders'!$A$11:$A$1010,$B341)="","",INDEX('Work Orders'!$A$11:$A$1010,$B341)))</f>
        <v/>
      </c>
      <c r="D341" s="43">
        <f>IF($B341="","",IF(INDEX('Work Orders'!$B$11:$B$1010,$B341)="","",INDEX('Work Orders'!$B$11:$B$1010,$B341)))</f>
        <v/>
      </c>
      <c r="E341" s="43">
        <f>IF($B341="","",IF(INDEX('Work Orders'!$D$11:$D$1010,$B341)="","",INDEX('Work Orders'!$D$11:$D$1010,$B341)))</f>
        <v/>
      </c>
      <c r="F341" s="43">
        <f>IF($B341="","",IF(INDEX('Work Orders'!$Q$11:$Q$1010,$B341)="","",INDEX('Work Orders'!$Q$11:$Q$1010,$B341)))</f>
        <v/>
      </c>
      <c r="G341" s="43">
        <f>IF($B341="","",IF(INDEX('Work Orders'!$V$11:$V$1010,$B341)="","",INDEX('Work Orders'!$V$11:$V$1010,$B341)))</f>
        <v/>
      </c>
      <c r="H341" s="47">
        <f>IF($B341="","",IF(INDEX('Work Orders'!$U$11:$U$1010,$B341)="","",INDEX('Work Orders'!$U$11:$U$1010,$B341)))</f>
        <v/>
      </c>
      <c r="I341" s="47">
        <f>IF($B341="","",IF(INDEX('Work Orders'!$X$11:$X$1010,$B341)="","",INDEX('Work Orders'!$X$11:$X$1010,$B341)))</f>
        <v/>
      </c>
      <c r="J341" s="44">
        <f>IF($B341="","",IF(INDEX('Work Orders'!$Z$11:$Z$1010,$B341)="","",INDEX('Work Orders'!$Z$11:$Z$1010,$B341)))</f>
        <v/>
      </c>
      <c r="K341" s="44">
        <f>IF($B341="","",IF(INDEX('Work Orders'!$AG$11:$AG$1010,$B341)="","",INDEX('Work Orders'!$AG$11:$AG$1010,$B341)))</f>
        <v/>
      </c>
      <c r="L341" s="44">
        <f>IF($B341="","",IF(INDEX('Work Orders'!$AH$11:$AH$1010,$B341)="","",INDEX('Work Orders'!$AH$11:$AH$1010,$B341)))</f>
        <v/>
      </c>
      <c r="M341" s="46">
        <f>IF($B341="","",IF(INDEX('Work Orders'!$AM$11:$AM$1010,$B341)="","",INDEX('Work Orders'!$AM$11:$AM$1010,$B341)))</f>
        <v/>
      </c>
      <c r="N341" s="43">
        <f>IF($B341="","",IF(INDEX('Work Orders'!$AL$11:$AL$1010,$B341)="","",INDEX('Work Orders'!$AL$11:$AL$1010,$B341)))</f>
        <v/>
      </c>
      <c r="O341" s="43">
        <f>IF($B341="","",IF(INDEX('Work Orders'!$N$11:$N$1010,$B341)="","",INDEX('Work Orders'!$N$11:$N$1010,$B341)))</f>
        <v/>
      </c>
    </row>
    <row r="342">
      <c r="A342" s="68" t="n">
        <v>336</v>
      </c>
      <c r="B342">
        <f>IFERROR(MATCH(A342,'Work Orders'!$AO$11:$AO$1010,0),"")</f>
        <v/>
      </c>
      <c r="C342" s="43">
        <f>IF($B342="","",IF(INDEX('Work Orders'!$A$11:$A$1010,$B342)="","",INDEX('Work Orders'!$A$11:$A$1010,$B342)))</f>
        <v/>
      </c>
      <c r="D342" s="43">
        <f>IF($B342="","",IF(INDEX('Work Orders'!$B$11:$B$1010,$B342)="","",INDEX('Work Orders'!$B$11:$B$1010,$B342)))</f>
        <v/>
      </c>
      <c r="E342" s="43">
        <f>IF($B342="","",IF(INDEX('Work Orders'!$D$11:$D$1010,$B342)="","",INDEX('Work Orders'!$D$11:$D$1010,$B342)))</f>
        <v/>
      </c>
      <c r="F342" s="43">
        <f>IF($B342="","",IF(INDEX('Work Orders'!$Q$11:$Q$1010,$B342)="","",INDEX('Work Orders'!$Q$11:$Q$1010,$B342)))</f>
        <v/>
      </c>
      <c r="G342" s="43">
        <f>IF($B342="","",IF(INDEX('Work Orders'!$V$11:$V$1010,$B342)="","",INDEX('Work Orders'!$V$11:$V$1010,$B342)))</f>
        <v/>
      </c>
      <c r="H342" s="47">
        <f>IF($B342="","",IF(INDEX('Work Orders'!$U$11:$U$1010,$B342)="","",INDEX('Work Orders'!$U$11:$U$1010,$B342)))</f>
        <v/>
      </c>
      <c r="I342" s="47">
        <f>IF($B342="","",IF(INDEX('Work Orders'!$X$11:$X$1010,$B342)="","",INDEX('Work Orders'!$X$11:$X$1010,$B342)))</f>
        <v/>
      </c>
      <c r="J342" s="44">
        <f>IF($B342="","",IF(INDEX('Work Orders'!$Z$11:$Z$1010,$B342)="","",INDEX('Work Orders'!$Z$11:$Z$1010,$B342)))</f>
        <v/>
      </c>
      <c r="K342" s="44">
        <f>IF($B342="","",IF(INDEX('Work Orders'!$AG$11:$AG$1010,$B342)="","",INDEX('Work Orders'!$AG$11:$AG$1010,$B342)))</f>
        <v/>
      </c>
      <c r="L342" s="44">
        <f>IF($B342="","",IF(INDEX('Work Orders'!$AH$11:$AH$1010,$B342)="","",INDEX('Work Orders'!$AH$11:$AH$1010,$B342)))</f>
        <v/>
      </c>
      <c r="M342" s="46">
        <f>IF($B342="","",IF(INDEX('Work Orders'!$AM$11:$AM$1010,$B342)="","",INDEX('Work Orders'!$AM$11:$AM$1010,$B342)))</f>
        <v/>
      </c>
      <c r="N342" s="43">
        <f>IF($B342="","",IF(INDEX('Work Orders'!$AL$11:$AL$1010,$B342)="","",INDEX('Work Orders'!$AL$11:$AL$1010,$B342)))</f>
        <v/>
      </c>
      <c r="O342" s="43">
        <f>IF($B342="","",IF(INDEX('Work Orders'!$N$11:$N$1010,$B342)="","",INDEX('Work Orders'!$N$11:$N$1010,$B342)))</f>
        <v/>
      </c>
    </row>
    <row r="343">
      <c r="A343" s="68" t="n">
        <v>337</v>
      </c>
      <c r="B343">
        <f>IFERROR(MATCH(A343,'Work Orders'!$AO$11:$AO$1010,0),"")</f>
        <v/>
      </c>
      <c r="C343" s="43">
        <f>IF($B343="","",IF(INDEX('Work Orders'!$A$11:$A$1010,$B343)="","",INDEX('Work Orders'!$A$11:$A$1010,$B343)))</f>
        <v/>
      </c>
      <c r="D343" s="43">
        <f>IF($B343="","",IF(INDEX('Work Orders'!$B$11:$B$1010,$B343)="","",INDEX('Work Orders'!$B$11:$B$1010,$B343)))</f>
        <v/>
      </c>
      <c r="E343" s="43">
        <f>IF($B343="","",IF(INDEX('Work Orders'!$D$11:$D$1010,$B343)="","",INDEX('Work Orders'!$D$11:$D$1010,$B343)))</f>
        <v/>
      </c>
      <c r="F343" s="43">
        <f>IF($B343="","",IF(INDEX('Work Orders'!$Q$11:$Q$1010,$B343)="","",INDEX('Work Orders'!$Q$11:$Q$1010,$B343)))</f>
        <v/>
      </c>
      <c r="G343" s="43">
        <f>IF($B343="","",IF(INDEX('Work Orders'!$V$11:$V$1010,$B343)="","",INDEX('Work Orders'!$V$11:$V$1010,$B343)))</f>
        <v/>
      </c>
      <c r="H343" s="47">
        <f>IF($B343="","",IF(INDEX('Work Orders'!$U$11:$U$1010,$B343)="","",INDEX('Work Orders'!$U$11:$U$1010,$B343)))</f>
        <v/>
      </c>
      <c r="I343" s="47">
        <f>IF($B343="","",IF(INDEX('Work Orders'!$X$11:$X$1010,$B343)="","",INDEX('Work Orders'!$X$11:$X$1010,$B343)))</f>
        <v/>
      </c>
      <c r="J343" s="44">
        <f>IF($B343="","",IF(INDEX('Work Orders'!$Z$11:$Z$1010,$B343)="","",INDEX('Work Orders'!$Z$11:$Z$1010,$B343)))</f>
        <v/>
      </c>
      <c r="K343" s="44">
        <f>IF($B343="","",IF(INDEX('Work Orders'!$AG$11:$AG$1010,$B343)="","",INDEX('Work Orders'!$AG$11:$AG$1010,$B343)))</f>
        <v/>
      </c>
      <c r="L343" s="44">
        <f>IF($B343="","",IF(INDEX('Work Orders'!$AH$11:$AH$1010,$B343)="","",INDEX('Work Orders'!$AH$11:$AH$1010,$B343)))</f>
        <v/>
      </c>
      <c r="M343" s="46">
        <f>IF($B343="","",IF(INDEX('Work Orders'!$AM$11:$AM$1010,$B343)="","",INDEX('Work Orders'!$AM$11:$AM$1010,$B343)))</f>
        <v/>
      </c>
      <c r="N343" s="43">
        <f>IF($B343="","",IF(INDEX('Work Orders'!$AL$11:$AL$1010,$B343)="","",INDEX('Work Orders'!$AL$11:$AL$1010,$B343)))</f>
        <v/>
      </c>
      <c r="O343" s="43">
        <f>IF($B343="","",IF(INDEX('Work Orders'!$N$11:$N$1010,$B343)="","",INDEX('Work Orders'!$N$11:$N$1010,$B343)))</f>
        <v/>
      </c>
    </row>
    <row r="344">
      <c r="A344" s="68" t="n">
        <v>338</v>
      </c>
      <c r="B344">
        <f>IFERROR(MATCH(A344,'Work Orders'!$AO$11:$AO$1010,0),"")</f>
        <v/>
      </c>
      <c r="C344" s="43">
        <f>IF($B344="","",IF(INDEX('Work Orders'!$A$11:$A$1010,$B344)="","",INDEX('Work Orders'!$A$11:$A$1010,$B344)))</f>
        <v/>
      </c>
      <c r="D344" s="43">
        <f>IF($B344="","",IF(INDEX('Work Orders'!$B$11:$B$1010,$B344)="","",INDEX('Work Orders'!$B$11:$B$1010,$B344)))</f>
        <v/>
      </c>
      <c r="E344" s="43">
        <f>IF($B344="","",IF(INDEX('Work Orders'!$D$11:$D$1010,$B344)="","",INDEX('Work Orders'!$D$11:$D$1010,$B344)))</f>
        <v/>
      </c>
      <c r="F344" s="43">
        <f>IF($B344="","",IF(INDEX('Work Orders'!$Q$11:$Q$1010,$B344)="","",INDEX('Work Orders'!$Q$11:$Q$1010,$B344)))</f>
        <v/>
      </c>
      <c r="G344" s="43">
        <f>IF($B344="","",IF(INDEX('Work Orders'!$V$11:$V$1010,$B344)="","",INDEX('Work Orders'!$V$11:$V$1010,$B344)))</f>
        <v/>
      </c>
      <c r="H344" s="47">
        <f>IF($B344="","",IF(INDEX('Work Orders'!$U$11:$U$1010,$B344)="","",INDEX('Work Orders'!$U$11:$U$1010,$B344)))</f>
        <v/>
      </c>
      <c r="I344" s="47">
        <f>IF($B344="","",IF(INDEX('Work Orders'!$X$11:$X$1010,$B344)="","",INDEX('Work Orders'!$X$11:$X$1010,$B344)))</f>
        <v/>
      </c>
      <c r="J344" s="44">
        <f>IF($B344="","",IF(INDEX('Work Orders'!$Z$11:$Z$1010,$B344)="","",INDEX('Work Orders'!$Z$11:$Z$1010,$B344)))</f>
        <v/>
      </c>
      <c r="K344" s="44">
        <f>IF($B344="","",IF(INDEX('Work Orders'!$AG$11:$AG$1010,$B344)="","",INDEX('Work Orders'!$AG$11:$AG$1010,$B344)))</f>
        <v/>
      </c>
      <c r="L344" s="44">
        <f>IF($B344="","",IF(INDEX('Work Orders'!$AH$11:$AH$1010,$B344)="","",INDEX('Work Orders'!$AH$11:$AH$1010,$B344)))</f>
        <v/>
      </c>
      <c r="M344" s="46">
        <f>IF($B344="","",IF(INDEX('Work Orders'!$AM$11:$AM$1010,$B344)="","",INDEX('Work Orders'!$AM$11:$AM$1010,$B344)))</f>
        <v/>
      </c>
      <c r="N344" s="43">
        <f>IF($B344="","",IF(INDEX('Work Orders'!$AL$11:$AL$1010,$B344)="","",INDEX('Work Orders'!$AL$11:$AL$1010,$B344)))</f>
        <v/>
      </c>
      <c r="O344" s="43">
        <f>IF($B344="","",IF(INDEX('Work Orders'!$N$11:$N$1010,$B344)="","",INDEX('Work Orders'!$N$11:$N$1010,$B344)))</f>
        <v/>
      </c>
    </row>
    <row r="345">
      <c r="A345" s="68" t="n">
        <v>339</v>
      </c>
      <c r="B345">
        <f>IFERROR(MATCH(A345,'Work Orders'!$AO$11:$AO$1010,0),"")</f>
        <v/>
      </c>
      <c r="C345" s="43">
        <f>IF($B345="","",IF(INDEX('Work Orders'!$A$11:$A$1010,$B345)="","",INDEX('Work Orders'!$A$11:$A$1010,$B345)))</f>
        <v/>
      </c>
      <c r="D345" s="43">
        <f>IF($B345="","",IF(INDEX('Work Orders'!$B$11:$B$1010,$B345)="","",INDEX('Work Orders'!$B$11:$B$1010,$B345)))</f>
        <v/>
      </c>
      <c r="E345" s="43">
        <f>IF($B345="","",IF(INDEX('Work Orders'!$D$11:$D$1010,$B345)="","",INDEX('Work Orders'!$D$11:$D$1010,$B345)))</f>
        <v/>
      </c>
      <c r="F345" s="43">
        <f>IF($B345="","",IF(INDEX('Work Orders'!$Q$11:$Q$1010,$B345)="","",INDEX('Work Orders'!$Q$11:$Q$1010,$B345)))</f>
        <v/>
      </c>
      <c r="G345" s="43">
        <f>IF($B345="","",IF(INDEX('Work Orders'!$V$11:$V$1010,$B345)="","",INDEX('Work Orders'!$V$11:$V$1010,$B345)))</f>
        <v/>
      </c>
      <c r="H345" s="47">
        <f>IF($B345="","",IF(INDEX('Work Orders'!$U$11:$U$1010,$B345)="","",INDEX('Work Orders'!$U$11:$U$1010,$B345)))</f>
        <v/>
      </c>
      <c r="I345" s="47">
        <f>IF($B345="","",IF(INDEX('Work Orders'!$X$11:$X$1010,$B345)="","",INDEX('Work Orders'!$X$11:$X$1010,$B345)))</f>
        <v/>
      </c>
      <c r="J345" s="44">
        <f>IF($B345="","",IF(INDEX('Work Orders'!$Z$11:$Z$1010,$B345)="","",INDEX('Work Orders'!$Z$11:$Z$1010,$B345)))</f>
        <v/>
      </c>
      <c r="K345" s="44">
        <f>IF($B345="","",IF(INDEX('Work Orders'!$AG$11:$AG$1010,$B345)="","",INDEX('Work Orders'!$AG$11:$AG$1010,$B345)))</f>
        <v/>
      </c>
      <c r="L345" s="44">
        <f>IF($B345="","",IF(INDEX('Work Orders'!$AH$11:$AH$1010,$B345)="","",INDEX('Work Orders'!$AH$11:$AH$1010,$B345)))</f>
        <v/>
      </c>
      <c r="M345" s="46">
        <f>IF($B345="","",IF(INDEX('Work Orders'!$AM$11:$AM$1010,$B345)="","",INDEX('Work Orders'!$AM$11:$AM$1010,$B345)))</f>
        <v/>
      </c>
      <c r="N345" s="43">
        <f>IF($B345="","",IF(INDEX('Work Orders'!$AL$11:$AL$1010,$B345)="","",INDEX('Work Orders'!$AL$11:$AL$1010,$B345)))</f>
        <v/>
      </c>
      <c r="O345" s="43">
        <f>IF($B345="","",IF(INDEX('Work Orders'!$N$11:$N$1010,$B345)="","",INDEX('Work Orders'!$N$11:$N$1010,$B345)))</f>
        <v/>
      </c>
    </row>
    <row r="346">
      <c r="A346" s="68" t="n">
        <v>340</v>
      </c>
      <c r="B346">
        <f>IFERROR(MATCH(A346,'Work Orders'!$AO$11:$AO$1010,0),"")</f>
        <v/>
      </c>
      <c r="C346" s="43">
        <f>IF($B346="","",IF(INDEX('Work Orders'!$A$11:$A$1010,$B346)="","",INDEX('Work Orders'!$A$11:$A$1010,$B346)))</f>
        <v/>
      </c>
      <c r="D346" s="43">
        <f>IF($B346="","",IF(INDEX('Work Orders'!$B$11:$B$1010,$B346)="","",INDEX('Work Orders'!$B$11:$B$1010,$B346)))</f>
        <v/>
      </c>
      <c r="E346" s="43">
        <f>IF($B346="","",IF(INDEX('Work Orders'!$D$11:$D$1010,$B346)="","",INDEX('Work Orders'!$D$11:$D$1010,$B346)))</f>
        <v/>
      </c>
      <c r="F346" s="43">
        <f>IF($B346="","",IF(INDEX('Work Orders'!$Q$11:$Q$1010,$B346)="","",INDEX('Work Orders'!$Q$11:$Q$1010,$B346)))</f>
        <v/>
      </c>
      <c r="G346" s="43">
        <f>IF($B346="","",IF(INDEX('Work Orders'!$V$11:$V$1010,$B346)="","",INDEX('Work Orders'!$V$11:$V$1010,$B346)))</f>
        <v/>
      </c>
      <c r="H346" s="47">
        <f>IF($B346="","",IF(INDEX('Work Orders'!$U$11:$U$1010,$B346)="","",INDEX('Work Orders'!$U$11:$U$1010,$B346)))</f>
        <v/>
      </c>
      <c r="I346" s="47">
        <f>IF($B346="","",IF(INDEX('Work Orders'!$X$11:$X$1010,$B346)="","",INDEX('Work Orders'!$X$11:$X$1010,$B346)))</f>
        <v/>
      </c>
      <c r="J346" s="44">
        <f>IF($B346="","",IF(INDEX('Work Orders'!$Z$11:$Z$1010,$B346)="","",INDEX('Work Orders'!$Z$11:$Z$1010,$B346)))</f>
        <v/>
      </c>
      <c r="K346" s="44">
        <f>IF($B346="","",IF(INDEX('Work Orders'!$AG$11:$AG$1010,$B346)="","",INDEX('Work Orders'!$AG$11:$AG$1010,$B346)))</f>
        <v/>
      </c>
      <c r="L346" s="44">
        <f>IF($B346="","",IF(INDEX('Work Orders'!$AH$11:$AH$1010,$B346)="","",INDEX('Work Orders'!$AH$11:$AH$1010,$B346)))</f>
        <v/>
      </c>
      <c r="M346" s="46">
        <f>IF($B346="","",IF(INDEX('Work Orders'!$AM$11:$AM$1010,$B346)="","",INDEX('Work Orders'!$AM$11:$AM$1010,$B346)))</f>
        <v/>
      </c>
      <c r="N346" s="43">
        <f>IF($B346="","",IF(INDEX('Work Orders'!$AL$11:$AL$1010,$B346)="","",INDEX('Work Orders'!$AL$11:$AL$1010,$B346)))</f>
        <v/>
      </c>
      <c r="O346" s="43">
        <f>IF($B346="","",IF(INDEX('Work Orders'!$N$11:$N$1010,$B346)="","",INDEX('Work Orders'!$N$11:$N$1010,$B346)))</f>
        <v/>
      </c>
    </row>
    <row r="347">
      <c r="A347" s="68" t="n">
        <v>341</v>
      </c>
      <c r="B347">
        <f>IFERROR(MATCH(A347,'Work Orders'!$AO$11:$AO$1010,0),"")</f>
        <v/>
      </c>
      <c r="C347" s="43">
        <f>IF($B347="","",IF(INDEX('Work Orders'!$A$11:$A$1010,$B347)="","",INDEX('Work Orders'!$A$11:$A$1010,$B347)))</f>
        <v/>
      </c>
      <c r="D347" s="43">
        <f>IF($B347="","",IF(INDEX('Work Orders'!$B$11:$B$1010,$B347)="","",INDEX('Work Orders'!$B$11:$B$1010,$B347)))</f>
        <v/>
      </c>
      <c r="E347" s="43">
        <f>IF($B347="","",IF(INDEX('Work Orders'!$D$11:$D$1010,$B347)="","",INDEX('Work Orders'!$D$11:$D$1010,$B347)))</f>
        <v/>
      </c>
      <c r="F347" s="43">
        <f>IF($B347="","",IF(INDEX('Work Orders'!$Q$11:$Q$1010,$B347)="","",INDEX('Work Orders'!$Q$11:$Q$1010,$B347)))</f>
        <v/>
      </c>
      <c r="G347" s="43">
        <f>IF($B347="","",IF(INDEX('Work Orders'!$V$11:$V$1010,$B347)="","",INDEX('Work Orders'!$V$11:$V$1010,$B347)))</f>
        <v/>
      </c>
      <c r="H347" s="47">
        <f>IF($B347="","",IF(INDEX('Work Orders'!$U$11:$U$1010,$B347)="","",INDEX('Work Orders'!$U$11:$U$1010,$B347)))</f>
        <v/>
      </c>
      <c r="I347" s="47">
        <f>IF($B347="","",IF(INDEX('Work Orders'!$X$11:$X$1010,$B347)="","",INDEX('Work Orders'!$X$11:$X$1010,$B347)))</f>
        <v/>
      </c>
      <c r="J347" s="44">
        <f>IF($B347="","",IF(INDEX('Work Orders'!$Z$11:$Z$1010,$B347)="","",INDEX('Work Orders'!$Z$11:$Z$1010,$B347)))</f>
        <v/>
      </c>
      <c r="K347" s="44">
        <f>IF($B347="","",IF(INDEX('Work Orders'!$AG$11:$AG$1010,$B347)="","",INDEX('Work Orders'!$AG$11:$AG$1010,$B347)))</f>
        <v/>
      </c>
      <c r="L347" s="44">
        <f>IF($B347="","",IF(INDEX('Work Orders'!$AH$11:$AH$1010,$B347)="","",INDEX('Work Orders'!$AH$11:$AH$1010,$B347)))</f>
        <v/>
      </c>
      <c r="M347" s="46">
        <f>IF($B347="","",IF(INDEX('Work Orders'!$AM$11:$AM$1010,$B347)="","",INDEX('Work Orders'!$AM$11:$AM$1010,$B347)))</f>
        <v/>
      </c>
      <c r="N347" s="43">
        <f>IF($B347="","",IF(INDEX('Work Orders'!$AL$11:$AL$1010,$B347)="","",INDEX('Work Orders'!$AL$11:$AL$1010,$B347)))</f>
        <v/>
      </c>
      <c r="O347" s="43">
        <f>IF($B347="","",IF(INDEX('Work Orders'!$N$11:$N$1010,$B347)="","",INDEX('Work Orders'!$N$11:$N$1010,$B347)))</f>
        <v/>
      </c>
    </row>
    <row r="348">
      <c r="A348" s="68" t="n">
        <v>342</v>
      </c>
      <c r="B348">
        <f>IFERROR(MATCH(A348,'Work Orders'!$AO$11:$AO$1010,0),"")</f>
        <v/>
      </c>
      <c r="C348" s="43">
        <f>IF($B348="","",IF(INDEX('Work Orders'!$A$11:$A$1010,$B348)="","",INDEX('Work Orders'!$A$11:$A$1010,$B348)))</f>
        <v/>
      </c>
      <c r="D348" s="43">
        <f>IF($B348="","",IF(INDEX('Work Orders'!$B$11:$B$1010,$B348)="","",INDEX('Work Orders'!$B$11:$B$1010,$B348)))</f>
        <v/>
      </c>
      <c r="E348" s="43">
        <f>IF($B348="","",IF(INDEX('Work Orders'!$D$11:$D$1010,$B348)="","",INDEX('Work Orders'!$D$11:$D$1010,$B348)))</f>
        <v/>
      </c>
      <c r="F348" s="43">
        <f>IF($B348="","",IF(INDEX('Work Orders'!$Q$11:$Q$1010,$B348)="","",INDEX('Work Orders'!$Q$11:$Q$1010,$B348)))</f>
        <v/>
      </c>
      <c r="G348" s="43">
        <f>IF($B348="","",IF(INDEX('Work Orders'!$V$11:$V$1010,$B348)="","",INDEX('Work Orders'!$V$11:$V$1010,$B348)))</f>
        <v/>
      </c>
      <c r="H348" s="47">
        <f>IF($B348="","",IF(INDEX('Work Orders'!$U$11:$U$1010,$B348)="","",INDEX('Work Orders'!$U$11:$U$1010,$B348)))</f>
        <v/>
      </c>
      <c r="I348" s="47">
        <f>IF($B348="","",IF(INDEX('Work Orders'!$X$11:$X$1010,$B348)="","",INDEX('Work Orders'!$X$11:$X$1010,$B348)))</f>
        <v/>
      </c>
      <c r="J348" s="44">
        <f>IF($B348="","",IF(INDEX('Work Orders'!$Z$11:$Z$1010,$B348)="","",INDEX('Work Orders'!$Z$11:$Z$1010,$B348)))</f>
        <v/>
      </c>
      <c r="K348" s="44">
        <f>IF($B348="","",IF(INDEX('Work Orders'!$AG$11:$AG$1010,$B348)="","",INDEX('Work Orders'!$AG$11:$AG$1010,$B348)))</f>
        <v/>
      </c>
      <c r="L348" s="44">
        <f>IF($B348="","",IF(INDEX('Work Orders'!$AH$11:$AH$1010,$B348)="","",INDEX('Work Orders'!$AH$11:$AH$1010,$B348)))</f>
        <v/>
      </c>
      <c r="M348" s="46">
        <f>IF($B348="","",IF(INDEX('Work Orders'!$AM$11:$AM$1010,$B348)="","",INDEX('Work Orders'!$AM$11:$AM$1010,$B348)))</f>
        <v/>
      </c>
      <c r="N348" s="43">
        <f>IF($B348="","",IF(INDEX('Work Orders'!$AL$11:$AL$1010,$B348)="","",INDEX('Work Orders'!$AL$11:$AL$1010,$B348)))</f>
        <v/>
      </c>
      <c r="O348" s="43">
        <f>IF($B348="","",IF(INDEX('Work Orders'!$N$11:$N$1010,$B348)="","",INDEX('Work Orders'!$N$11:$N$1010,$B348)))</f>
        <v/>
      </c>
    </row>
    <row r="349">
      <c r="A349" s="68" t="n">
        <v>343</v>
      </c>
      <c r="B349">
        <f>IFERROR(MATCH(A349,'Work Orders'!$AO$11:$AO$1010,0),"")</f>
        <v/>
      </c>
      <c r="C349" s="43">
        <f>IF($B349="","",IF(INDEX('Work Orders'!$A$11:$A$1010,$B349)="","",INDEX('Work Orders'!$A$11:$A$1010,$B349)))</f>
        <v/>
      </c>
      <c r="D349" s="43">
        <f>IF($B349="","",IF(INDEX('Work Orders'!$B$11:$B$1010,$B349)="","",INDEX('Work Orders'!$B$11:$B$1010,$B349)))</f>
        <v/>
      </c>
      <c r="E349" s="43">
        <f>IF($B349="","",IF(INDEX('Work Orders'!$D$11:$D$1010,$B349)="","",INDEX('Work Orders'!$D$11:$D$1010,$B349)))</f>
        <v/>
      </c>
      <c r="F349" s="43">
        <f>IF($B349="","",IF(INDEX('Work Orders'!$Q$11:$Q$1010,$B349)="","",INDEX('Work Orders'!$Q$11:$Q$1010,$B349)))</f>
        <v/>
      </c>
      <c r="G349" s="43">
        <f>IF($B349="","",IF(INDEX('Work Orders'!$V$11:$V$1010,$B349)="","",INDEX('Work Orders'!$V$11:$V$1010,$B349)))</f>
        <v/>
      </c>
      <c r="H349" s="47">
        <f>IF($B349="","",IF(INDEX('Work Orders'!$U$11:$U$1010,$B349)="","",INDEX('Work Orders'!$U$11:$U$1010,$B349)))</f>
        <v/>
      </c>
      <c r="I349" s="47">
        <f>IF($B349="","",IF(INDEX('Work Orders'!$X$11:$X$1010,$B349)="","",INDEX('Work Orders'!$X$11:$X$1010,$B349)))</f>
        <v/>
      </c>
      <c r="J349" s="44">
        <f>IF($B349="","",IF(INDEX('Work Orders'!$Z$11:$Z$1010,$B349)="","",INDEX('Work Orders'!$Z$11:$Z$1010,$B349)))</f>
        <v/>
      </c>
      <c r="K349" s="44">
        <f>IF($B349="","",IF(INDEX('Work Orders'!$AG$11:$AG$1010,$B349)="","",INDEX('Work Orders'!$AG$11:$AG$1010,$B349)))</f>
        <v/>
      </c>
      <c r="L349" s="44">
        <f>IF($B349="","",IF(INDEX('Work Orders'!$AH$11:$AH$1010,$B349)="","",INDEX('Work Orders'!$AH$11:$AH$1010,$B349)))</f>
        <v/>
      </c>
      <c r="M349" s="46">
        <f>IF($B349="","",IF(INDEX('Work Orders'!$AM$11:$AM$1010,$B349)="","",INDEX('Work Orders'!$AM$11:$AM$1010,$B349)))</f>
        <v/>
      </c>
      <c r="N349" s="43">
        <f>IF($B349="","",IF(INDEX('Work Orders'!$AL$11:$AL$1010,$B349)="","",INDEX('Work Orders'!$AL$11:$AL$1010,$B349)))</f>
        <v/>
      </c>
      <c r="O349" s="43">
        <f>IF($B349="","",IF(INDEX('Work Orders'!$N$11:$N$1010,$B349)="","",INDEX('Work Orders'!$N$11:$N$1010,$B349)))</f>
        <v/>
      </c>
    </row>
    <row r="350">
      <c r="A350" s="68" t="n">
        <v>344</v>
      </c>
      <c r="B350">
        <f>IFERROR(MATCH(A350,'Work Orders'!$AO$11:$AO$1010,0),"")</f>
        <v/>
      </c>
      <c r="C350" s="43">
        <f>IF($B350="","",IF(INDEX('Work Orders'!$A$11:$A$1010,$B350)="","",INDEX('Work Orders'!$A$11:$A$1010,$B350)))</f>
        <v/>
      </c>
      <c r="D350" s="43">
        <f>IF($B350="","",IF(INDEX('Work Orders'!$B$11:$B$1010,$B350)="","",INDEX('Work Orders'!$B$11:$B$1010,$B350)))</f>
        <v/>
      </c>
      <c r="E350" s="43">
        <f>IF($B350="","",IF(INDEX('Work Orders'!$D$11:$D$1010,$B350)="","",INDEX('Work Orders'!$D$11:$D$1010,$B350)))</f>
        <v/>
      </c>
      <c r="F350" s="43">
        <f>IF($B350="","",IF(INDEX('Work Orders'!$Q$11:$Q$1010,$B350)="","",INDEX('Work Orders'!$Q$11:$Q$1010,$B350)))</f>
        <v/>
      </c>
      <c r="G350" s="43">
        <f>IF($B350="","",IF(INDEX('Work Orders'!$V$11:$V$1010,$B350)="","",INDEX('Work Orders'!$V$11:$V$1010,$B350)))</f>
        <v/>
      </c>
      <c r="H350" s="47">
        <f>IF($B350="","",IF(INDEX('Work Orders'!$U$11:$U$1010,$B350)="","",INDEX('Work Orders'!$U$11:$U$1010,$B350)))</f>
        <v/>
      </c>
      <c r="I350" s="47">
        <f>IF($B350="","",IF(INDEX('Work Orders'!$X$11:$X$1010,$B350)="","",INDEX('Work Orders'!$X$11:$X$1010,$B350)))</f>
        <v/>
      </c>
      <c r="J350" s="44">
        <f>IF($B350="","",IF(INDEX('Work Orders'!$Z$11:$Z$1010,$B350)="","",INDEX('Work Orders'!$Z$11:$Z$1010,$B350)))</f>
        <v/>
      </c>
      <c r="K350" s="44">
        <f>IF($B350="","",IF(INDEX('Work Orders'!$AG$11:$AG$1010,$B350)="","",INDEX('Work Orders'!$AG$11:$AG$1010,$B350)))</f>
        <v/>
      </c>
      <c r="L350" s="44">
        <f>IF($B350="","",IF(INDEX('Work Orders'!$AH$11:$AH$1010,$B350)="","",INDEX('Work Orders'!$AH$11:$AH$1010,$B350)))</f>
        <v/>
      </c>
      <c r="M350" s="46">
        <f>IF($B350="","",IF(INDEX('Work Orders'!$AM$11:$AM$1010,$B350)="","",INDEX('Work Orders'!$AM$11:$AM$1010,$B350)))</f>
        <v/>
      </c>
      <c r="N350" s="43">
        <f>IF($B350="","",IF(INDEX('Work Orders'!$AL$11:$AL$1010,$B350)="","",INDEX('Work Orders'!$AL$11:$AL$1010,$B350)))</f>
        <v/>
      </c>
      <c r="O350" s="43">
        <f>IF($B350="","",IF(INDEX('Work Orders'!$N$11:$N$1010,$B350)="","",INDEX('Work Orders'!$N$11:$N$1010,$B350)))</f>
        <v/>
      </c>
    </row>
    <row r="351">
      <c r="A351" s="68" t="n">
        <v>345</v>
      </c>
      <c r="B351">
        <f>IFERROR(MATCH(A351,'Work Orders'!$AO$11:$AO$1010,0),"")</f>
        <v/>
      </c>
      <c r="C351" s="43">
        <f>IF($B351="","",IF(INDEX('Work Orders'!$A$11:$A$1010,$B351)="","",INDEX('Work Orders'!$A$11:$A$1010,$B351)))</f>
        <v/>
      </c>
      <c r="D351" s="43">
        <f>IF($B351="","",IF(INDEX('Work Orders'!$B$11:$B$1010,$B351)="","",INDEX('Work Orders'!$B$11:$B$1010,$B351)))</f>
        <v/>
      </c>
      <c r="E351" s="43">
        <f>IF($B351="","",IF(INDEX('Work Orders'!$D$11:$D$1010,$B351)="","",INDEX('Work Orders'!$D$11:$D$1010,$B351)))</f>
        <v/>
      </c>
      <c r="F351" s="43">
        <f>IF($B351="","",IF(INDEX('Work Orders'!$Q$11:$Q$1010,$B351)="","",INDEX('Work Orders'!$Q$11:$Q$1010,$B351)))</f>
        <v/>
      </c>
      <c r="G351" s="43">
        <f>IF($B351="","",IF(INDEX('Work Orders'!$V$11:$V$1010,$B351)="","",INDEX('Work Orders'!$V$11:$V$1010,$B351)))</f>
        <v/>
      </c>
      <c r="H351" s="47">
        <f>IF($B351="","",IF(INDEX('Work Orders'!$U$11:$U$1010,$B351)="","",INDEX('Work Orders'!$U$11:$U$1010,$B351)))</f>
        <v/>
      </c>
      <c r="I351" s="47">
        <f>IF($B351="","",IF(INDEX('Work Orders'!$X$11:$X$1010,$B351)="","",INDEX('Work Orders'!$X$11:$X$1010,$B351)))</f>
        <v/>
      </c>
      <c r="J351" s="44">
        <f>IF($B351="","",IF(INDEX('Work Orders'!$Z$11:$Z$1010,$B351)="","",INDEX('Work Orders'!$Z$11:$Z$1010,$B351)))</f>
        <v/>
      </c>
      <c r="K351" s="44">
        <f>IF($B351="","",IF(INDEX('Work Orders'!$AG$11:$AG$1010,$B351)="","",INDEX('Work Orders'!$AG$11:$AG$1010,$B351)))</f>
        <v/>
      </c>
      <c r="L351" s="44">
        <f>IF($B351="","",IF(INDEX('Work Orders'!$AH$11:$AH$1010,$B351)="","",INDEX('Work Orders'!$AH$11:$AH$1010,$B351)))</f>
        <v/>
      </c>
      <c r="M351" s="46">
        <f>IF($B351="","",IF(INDEX('Work Orders'!$AM$11:$AM$1010,$B351)="","",INDEX('Work Orders'!$AM$11:$AM$1010,$B351)))</f>
        <v/>
      </c>
      <c r="N351" s="43">
        <f>IF($B351="","",IF(INDEX('Work Orders'!$AL$11:$AL$1010,$B351)="","",INDEX('Work Orders'!$AL$11:$AL$1010,$B351)))</f>
        <v/>
      </c>
      <c r="O351" s="43">
        <f>IF($B351="","",IF(INDEX('Work Orders'!$N$11:$N$1010,$B351)="","",INDEX('Work Orders'!$N$11:$N$1010,$B351)))</f>
        <v/>
      </c>
    </row>
    <row r="352">
      <c r="A352" s="68" t="n">
        <v>346</v>
      </c>
      <c r="B352">
        <f>IFERROR(MATCH(A352,'Work Orders'!$AO$11:$AO$1010,0),"")</f>
        <v/>
      </c>
      <c r="C352" s="43">
        <f>IF($B352="","",IF(INDEX('Work Orders'!$A$11:$A$1010,$B352)="","",INDEX('Work Orders'!$A$11:$A$1010,$B352)))</f>
        <v/>
      </c>
      <c r="D352" s="43">
        <f>IF($B352="","",IF(INDEX('Work Orders'!$B$11:$B$1010,$B352)="","",INDEX('Work Orders'!$B$11:$B$1010,$B352)))</f>
        <v/>
      </c>
      <c r="E352" s="43">
        <f>IF($B352="","",IF(INDEX('Work Orders'!$D$11:$D$1010,$B352)="","",INDEX('Work Orders'!$D$11:$D$1010,$B352)))</f>
        <v/>
      </c>
      <c r="F352" s="43">
        <f>IF($B352="","",IF(INDEX('Work Orders'!$Q$11:$Q$1010,$B352)="","",INDEX('Work Orders'!$Q$11:$Q$1010,$B352)))</f>
        <v/>
      </c>
      <c r="G352" s="43">
        <f>IF($B352="","",IF(INDEX('Work Orders'!$V$11:$V$1010,$B352)="","",INDEX('Work Orders'!$V$11:$V$1010,$B352)))</f>
        <v/>
      </c>
      <c r="H352" s="47">
        <f>IF($B352="","",IF(INDEX('Work Orders'!$U$11:$U$1010,$B352)="","",INDEX('Work Orders'!$U$11:$U$1010,$B352)))</f>
        <v/>
      </c>
      <c r="I352" s="47">
        <f>IF($B352="","",IF(INDEX('Work Orders'!$X$11:$X$1010,$B352)="","",INDEX('Work Orders'!$X$11:$X$1010,$B352)))</f>
        <v/>
      </c>
      <c r="J352" s="44">
        <f>IF($B352="","",IF(INDEX('Work Orders'!$Z$11:$Z$1010,$B352)="","",INDEX('Work Orders'!$Z$11:$Z$1010,$B352)))</f>
        <v/>
      </c>
      <c r="K352" s="44">
        <f>IF($B352="","",IF(INDEX('Work Orders'!$AG$11:$AG$1010,$B352)="","",INDEX('Work Orders'!$AG$11:$AG$1010,$B352)))</f>
        <v/>
      </c>
      <c r="L352" s="44">
        <f>IF($B352="","",IF(INDEX('Work Orders'!$AH$11:$AH$1010,$B352)="","",INDEX('Work Orders'!$AH$11:$AH$1010,$B352)))</f>
        <v/>
      </c>
      <c r="M352" s="46">
        <f>IF($B352="","",IF(INDEX('Work Orders'!$AM$11:$AM$1010,$B352)="","",INDEX('Work Orders'!$AM$11:$AM$1010,$B352)))</f>
        <v/>
      </c>
      <c r="N352" s="43">
        <f>IF($B352="","",IF(INDEX('Work Orders'!$AL$11:$AL$1010,$B352)="","",INDEX('Work Orders'!$AL$11:$AL$1010,$B352)))</f>
        <v/>
      </c>
      <c r="O352" s="43">
        <f>IF($B352="","",IF(INDEX('Work Orders'!$N$11:$N$1010,$B352)="","",INDEX('Work Orders'!$N$11:$N$1010,$B352)))</f>
        <v/>
      </c>
    </row>
    <row r="353">
      <c r="A353" s="68" t="n">
        <v>347</v>
      </c>
      <c r="B353">
        <f>IFERROR(MATCH(A353,'Work Orders'!$AO$11:$AO$1010,0),"")</f>
        <v/>
      </c>
      <c r="C353" s="43">
        <f>IF($B353="","",IF(INDEX('Work Orders'!$A$11:$A$1010,$B353)="","",INDEX('Work Orders'!$A$11:$A$1010,$B353)))</f>
        <v/>
      </c>
      <c r="D353" s="43">
        <f>IF($B353="","",IF(INDEX('Work Orders'!$B$11:$B$1010,$B353)="","",INDEX('Work Orders'!$B$11:$B$1010,$B353)))</f>
        <v/>
      </c>
      <c r="E353" s="43">
        <f>IF($B353="","",IF(INDEX('Work Orders'!$D$11:$D$1010,$B353)="","",INDEX('Work Orders'!$D$11:$D$1010,$B353)))</f>
        <v/>
      </c>
      <c r="F353" s="43">
        <f>IF($B353="","",IF(INDEX('Work Orders'!$Q$11:$Q$1010,$B353)="","",INDEX('Work Orders'!$Q$11:$Q$1010,$B353)))</f>
        <v/>
      </c>
      <c r="G353" s="43">
        <f>IF($B353="","",IF(INDEX('Work Orders'!$V$11:$V$1010,$B353)="","",INDEX('Work Orders'!$V$11:$V$1010,$B353)))</f>
        <v/>
      </c>
      <c r="H353" s="47">
        <f>IF($B353="","",IF(INDEX('Work Orders'!$U$11:$U$1010,$B353)="","",INDEX('Work Orders'!$U$11:$U$1010,$B353)))</f>
        <v/>
      </c>
      <c r="I353" s="47">
        <f>IF($B353="","",IF(INDEX('Work Orders'!$X$11:$X$1010,$B353)="","",INDEX('Work Orders'!$X$11:$X$1010,$B353)))</f>
        <v/>
      </c>
      <c r="J353" s="44">
        <f>IF($B353="","",IF(INDEX('Work Orders'!$Z$11:$Z$1010,$B353)="","",INDEX('Work Orders'!$Z$11:$Z$1010,$B353)))</f>
        <v/>
      </c>
      <c r="K353" s="44">
        <f>IF($B353="","",IF(INDEX('Work Orders'!$AG$11:$AG$1010,$B353)="","",INDEX('Work Orders'!$AG$11:$AG$1010,$B353)))</f>
        <v/>
      </c>
      <c r="L353" s="44">
        <f>IF($B353="","",IF(INDEX('Work Orders'!$AH$11:$AH$1010,$B353)="","",INDEX('Work Orders'!$AH$11:$AH$1010,$B353)))</f>
        <v/>
      </c>
      <c r="M353" s="46">
        <f>IF($B353="","",IF(INDEX('Work Orders'!$AM$11:$AM$1010,$B353)="","",INDEX('Work Orders'!$AM$11:$AM$1010,$B353)))</f>
        <v/>
      </c>
      <c r="N353" s="43">
        <f>IF($B353="","",IF(INDEX('Work Orders'!$AL$11:$AL$1010,$B353)="","",INDEX('Work Orders'!$AL$11:$AL$1010,$B353)))</f>
        <v/>
      </c>
      <c r="O353" s="43">
        <f>IF($B353="","",IF(INDEX('Work Orders'!$N$11:$N$1010,$B353)="","",INDEX('Work Orders'!$N$11:$N$1010,$B353)))</f>
        <v/>
      </c>
    </row>
    <row r="354">
      <c r="A354" s="68" t="n">
        <v>348</v>
      </c>
      <c r="B354">
        <f>IFERROR(MATCH(A354,'Work Orders'!$AO$11:$AO$1010,0),"")</f>
        <v/>
      </c>
      <c r="C354" s="43">
        <f>IF($B354="","",IF(INDEX('Work Orders'!$A$11:$A$1010,$B354)="","",INDEX('Work Orders'!$A$11:$A$1010,$B354)))</f>
        <v/>
      </c>
      <c r="D354" s="43">
        <f>IF($B354="","",IF(INDEX('Work Orders'!$B$11:$B$1010,$B354)="","",INDEX('Work Orders'!$B$11:$B$1010,$B354)))</f>
        <v/>
      </c>
      <c r="E354" s="43">
        <f>IF($B354="","",IF(INDEX('Work Orders'!$D$11:$D$1010,$B354)="","",INDEX('Work Orders'!$D$11:$D$1010,$B354)))</f>
        <v/>
      </c>
      <c r="F354" s="43">
        <f>IF($B354="","",IF(INDEX('Work Orders'!$Q$11:$Q$1010,$B354)="","",INDEX('Work Orders'!$Q$11:$Q$1010,$B354)))</f>
        <v/>
      </c>
      <c r="G354" s="43">
        <f>IF($B354="","",IF(INDEX('Work Orders'!$V$11:$V$1010,$B354)="","",INDEX('Work Orders'!$V$11:$V$1010,$B354)))</f>
        <v/>
      </c>
      <c r="H354" s="47">
        <f>IF($B354="","",IF(INDEX('Work Orders'!$U$11:$U$1010,$B354)="","",INDEX('Work Orders'!$U$11:$U$1010,$B354)))</f>
        <v/>
      </c>
      <c r="I354" s="47">
        <f>IF($B354="","",IF(INDEX('Work Orders'!$X$11:$X$1010,$B354)="","",INDEX('Work Orders'!$X$11:$X$1010,$B354)))</f>
        <v/>
      </c>
      <c r="J354" s="44">
        <f>IF($B354="","",IF(INDEX('Work Orders'!$Z$11:$Z$1010,$B354)="","",INDEX('Work Orders'!$Z$11:$Z$1010,$B354)))</f>
        <v/>
      </c>
      <c r="K354" s="44">
        <f>IF($B354="","",IF(INDEX('Work Orders'!$AG$11:$AG$1010,$B354)="","",INDEX('Work Orders'!$AG$11:$AG$1010,$B354)))</f>
        <v/>
      </c>
      <c r="L354" s="44">
        <f>IF($B354="","",IF(INDEX('Work Orders'!$AH$11:$AH$1010,$B354)="","",INDEX('Work Orders'!$AH$11:$AH$1010,$B354)))</f>
        <v/>
      </c>
      <c r="M354" s="46">
        <f>IF($B354="","",IF(INDEX('Work Orders'!$AM$11:$AM$1010,$B354)="","",INDEX('Work Orders'!$AM$11:$AM$1010,$B354)))</f>
        <v/>
      </c>
      <c r="N354" s="43">
        <f>IF($B354="","",IF(INDEX('Work Orders'!$AL$11:$AL$1010,$B354)="","",INDEX('Work Orders'!$AL$11:$AL$1010,$B354)))</f>
        <v/>
      </c>
      <c r="O354" s="43">
        <f>IF($B354="","",IF(INDEX('Work Orders'!$N$11:$N$1010,$B354)="","",INDEX('Work Orders'!$N$11:$N$1010,$B354)))</f>
        <v/>
      </c>
    </row>
    <row r="355">
      <c r="A355" s="68" t="n">
        <v>349</v>
      </c>
      <c r="B355">
        <f>IFERROR(MATCH(A355,'Work Orders'!$AO$11:$AO$1010,0),"")</f>
        <v/>
      </c>
      <c r="C355" s="43">
        <f>IF($B355="","",IF(INDEX('Work Orders'!$A$11:$A$1010,$B355)="","",INDEX('Work Orders'!$A$11:$A$1010,$B355)))</f>
        <v/>
      </c>
      <c r="D355" s="43">
        <f>IF($B355="","",IF(INDEX('Work Orders'!$B$11:$B$1010,$B355)="","",INDEX('Work Orders'!$B$11:$B$1010,$B355)))</f>
        <v/>
      </c>
      <c r="E355" s="43">
        <f>IF($B355="","",IF(INDEX('Work Orders'!$D$11:$D$1010,$B355)="","",INDEX('Work Orders'!$D$11:$D$1010,$B355)))</f>
        <v/>
      </c>
      <c r="F355" s="43">
        <f>IF($B355="","",IF(INDEX('Work Orders'!$Q$11:$Q$1010,$B355)="","",INDEX('Work Orders'!$Q$11:$Q$1010,$B355)))</f>
        <v/>
      </c>
      <c r="G355" s="43">
        <f>IF($B355="","",IF(INDEX('Work Orders'!$V$11:$V$1010,$B355)="","",INDEX('Work Orders'!$V$11:$V$1010,$B355)))</f>
        <v/>
      </c>
      <c r="H355" s="47">
        <f>IF($B355="","",IF(INDEX('Work Orders'!$U$11:$U$1010,$B355)="","",INDEX('Work Orders'!$U$11:$U$1010,$B355)))</f>
        <v/>
      </c>
      <c r="I355" s="47">
        <f>IF($B355="","",IF(INDEX('Work Orders'!$X$11:$X$1010,$B355)="","",INDEX('Work Orders'!$X$11:$X$1010,$B355)))</f>
        <v/>
      </c>
      <c r="J355" s="44">
        <f>IF($B355="","",IF(INDEX('Work Orders'!$Z$11:$Z$1010,$B355)="","",INDEX('Work Orders'!$Z$11:$Z$1010,$B355)))</f>
        <v/>
      </c>
      <c r="K355" s="44">
        <f>IF($B355="","",IF(INDEX('Work Orders'!$AG$11:$AG$1010,$B355)="","",INDEX('Work Orders'!$AG$11:$AG$1010,$B355)))</f>
        <v/>
      </c>
      <c r="L355" s="44">
        <f>IF($B355="","",IF(INDEX('Work Orders'!$AH$11:$AH$1010,$B355)="","",INDEX('Work Orders'!$AH$11:$AH$1010,$B355)))</f>
        <v/>
      </c>
      <c r="M355" s="46">
        <f>IF($B355="","",IF(INDEX('Work Orders'!$AM$11:$AM$1010,$B355)="","",INDEX('Work Orders'!$AM$11:$AM$1010,$B355)))</f>
        <v/>
      </c>
      <c r="N355" s="43">
        <f>IF($B355="","",IF(INDEX('Work Orders'!$AL$11:$AL$1010,$B355)="","",INDEX('Work Orders'!$AL$11:$AL$1010,$B355)))</f>
        <v/>
      </c>
      <c r="O355" s="43">
        <f>IF($B355="","",IF(INDEX('Work Orders'!$N$11:$N$1010,$B355)="","",INDEX('Work Orders'!$N$11:$N$1010,$B355)))</f>
        <v/>
      </c>
    </row>
    <row r="356">
      <c r="A356" s="68" t="n">
        <v>350</v>
      </c>
      <c r="B356">
        <f>IFERROR(MATCH(A356,'Work Orders'!$AO$11:$AO$1010,0),"")</f>
        <v/>
      </c>
      <c r="C356" s="43">
        <f>IF($B356="","",IF(INDEX('Work Orders'!$A$11:$A$1010,$B356)="","",INDEX('Work Orders'!$A$11:$A$1010,$B356)))</f>
        <v/>
      </c>
      <c r="D356" s="43">
        <f>IF($B356="","",IF(INDEX('Work Orders'!$B$11:$B$1010,$B356)="","",INDEX('Work Orders'!$B$11:$B$1010,$B356)))</f>
        <v/>
      </c>
      <c r="E356" s="43">
        <f>IF($B356="","",IF(INDEX('Work Orders'!$D$11:$D$1010,$B356)="","",INDEX('Work Orders'!$D$11:$D$1010,$B356)))</f>
        <v/>
      </c>
      <c r="F356" s="43">
        <f>IF($B356="","",IF(INDEX('Work Orders'!$Q$11:$Q$1010,$B356)="","",INDEX('Work Orders'!$Q$11:$Q$1010,$B356)))</f>
        <v/>
      </c>
      <c r="G356" s="43">
        <f>IF($B356="","",IF(INDEX('Work Orders'!$V$11:$V$1010,$B356)="","",INDEX('Work Orders'!$V$11:$V$1010,$B356)))</f>
        <v/>
      </c>
      <c r="H356" s="47">
        <f>IF($B356="","",IF(INDEX('Work Orders'!$U$11:$U$1010,$B356)="","",INDEX('Work Orders'!$U$11:$U$1010,$B356)))</f>
        <v/>
      </c>
      <c r="I356" s="47">
        <f>IF($B356="","",IF(INDEX('Work Orders'!$X$11:$X$1010,$B356)="","",INDEX('Work Orders'!$X$11:$X$1010,$B356)))</f>
        <v/>
      </c>
      <c r="J356" s="44">
        <f>IF($B356="","",IF(INDEX('Work Orders'!$Z$11:$Z$1010,$B356)="","",INDEX('Work Orders'!$Z$11:$Z$1010,$B356)))</f>
        <v/>
      </c>
      <c r="K356" s="44">
        <f>IF($B356="","",IF(INDEX('Work Orders'!$AG$11:$AG$1010,$B356)="","",INDEX('Work Orders'!$AG$11:$AG$1010,$B356)))</f>
        <v/>
      </c>
      <c r="L356" s="44">
        <f>IF($B356="","",IF(INDEX('Work Orders'!$AH$11:$AH$1010,$B356)="","",INDEX('Work Orders'!$AH$11:$AH$1010,$B356)))</f>
        <v/>
      </c>
      <c r="M356" s="46">
        <f>IF($B356="","",IF(INDEX('Work Orders'!$AM$11:$AM$1010,$B356)="","",INDEX('Work Orders'!$AM$11:$AM$1010,$B356)))</f>
        <v/>
      </c>
      <c r="N356" s="43">
        <f>IF($B356="","",IF(INDEX('Work Orders'!$AL$11:$AL$1010,$B356)="","",INDEX('Work Orders'!$AL$11:$AL$1010,$B356)))</f>
        <v/>
      </c>
      <c r="O356" s="43">
        <f>IF($B356="","",IF(INDEX('Work Orders'!$N$11:$N$1010,$B356)="","",INDEX('Work Orders'!$N$11:$N$1010,$B356)))</f>
        <v/>
      </c>
    </row>
    <row r="357">
      <c r="A357" s="68" t="n">
        <v>351</v>
      </c>
      <c r="B357">
        <f>IFERROR(MATCH(A357,'Work Orders'!$AO$11:$AO$1010,0),"")</f>
        <v/>
      </c>
      <c r="C357" s="43">
        <f>IF($B357="","",IF(INDEX('Work Orders'!$A$11:$A$1010,$B357)="","",INDEX('Work Orders'!$A$11:$A$1010,$B357)))</f>
        <v/>
      </c>
      <c r="D357" s="43">
        <f>IF($B357="","",IF(INDEX('Work Orders'!$B$11:$B$1010,$B357)="","",INDEX('Work Orders'!$B$11:$B$1010,$B357)))</f>
        <v/>
      </c>
      <c r="E357" s="43">
        <f>IF($B357="","",IF(INDEX('Work Orders'!$D$11:$D$1010,$B357)="","",INDEX('Work Orders'!$D$11:$D$1010,$B357)))</f>
        <v/>
      </c>
      <c r="F357" s="43">
        <f>IF($B357="","",IF(INDEX('Work Orders'!$Q$11:$Q$1010,$B357)="","",INDEX('Work Orders'!$Q$11:$Q$1010,$B357)))</f>
        <v/>
      </c>
      <c r="G357" s="43">
        <f>IF($B357="","",IF(INDEX('Work Orders'!$V$11:$V$1010,$B357)="","",INDEX('Work Orders'!$V$11:$V$1010,$B357)))</f>
        <v/>
      </c>
      <c r="H357" s="47">
        <f>IF($B357="","",IF(INDEX('Work Orders'!$U$11:$U$1010,$B357)="","",INDEX('Work Orders'!$U$11:$U$1010,$B357)))</f>
        <v/>
      </c>
      <c r="I357" s="47">
        <f>IF($B357="","",IF(INDEX('Work Orders'!$X$11:$X$1010,$B357)="","",INDEX('Work Orders'!$X$11:$X$1010,$B357)))</f>
        <v/>
      </c>
      <c r="J357" s="44">
        <f>IF($B357="","",IF(INDEX('Work Orders'!$Z$11:$Z$1010,$B357)="","",INDEX('Work Orders'!$Z$11:$Z$1010,$B357)))</f>
        <v/>
      </c>
      <c r="K357" s="44">
        <f>IF($B357="","",IF(INDEX('Work Orders'!$AG$11:$AG$1010,$B357)="","",INDEX('Work Orders'!$AG$11:$AG$1010,$B357)))</f>
        <v/>
      </c>
      <c r="L357" s="44">
        <f>IF($B357="","",IF(INDEX('Work Orders'!$AH$11:$AH$1010,$B357)="","",INDEX('Work Orders'!$AH$11:$AH$1010,$B357)))</f>
        <v/>
      </c>
      <c r="M357" s="46">
        <f>IF($B357="","",IF(INDEX('Work Orders'!$AM$11:$AM$1010,$B357)="","",INDEX('Work Orders'!$AM$11:$AM$1010,$B357)))</f>
        <v/>
      </c>
      <c r="N357" s="43">
        <f>IF($B357="","",IF(INDEX('Work Orders'!$AL$11:$AL$1010,$B357)="","",INDEX('Work Orders'!$AL$11:$AL$1010,$B357)))</f>
        <v/>
      </c>
      <c r="O357" s="43">
        <f>IF($B357="","",IF(INDEX('Work Orders'!$N$11:$N$1010,$B357)="","",INDEX('Work Orders'!$N$11:$N$1010,$B357)))</f>
        <v/>
      </c>
    </row>
    <row r="358">
      <c r="A358" s="68" t="n">
        <v>352</v>
      </c>
      <c r="B358">
        <f>IFERROR(MATCH(A358,'Work Orders'!$AO$11:$AO$1010,0),"")</f>
        <v/>
      </c>
      <c r="C358" s="43">
        <f>IF($B358="","",IF(INDEX('Work Orders'!$A$11:$A$1010,$B358)="","",INDEX('Work Orders'!$A$11:$A$1010,$B358)))</f>
        <v/>
      </c>
      <c r="D358" s="43">
        <f>IF($B358="","",IF(INDEX('Work Orders'!$B$11:$B$1010,$B358)="","",INDEX('Work Orders'!$B$11:$B$1010,$B358)))</f>
        <v/>
      </c>
      <c r="E358" s="43">
        <f>IF($B358="","",IF(INDEX('Work Orders'!$D$11:$D$1010,$B358)="","",INDEX('Work Orders'!$D$11:$D$1010,$B358)))</f>
        <v/>
      </c>
      <c r="F358" s="43">
        <f>IF($B358="","",IF(INDEX('Work Orders'!$Q$11:$Q$1010,$B358)="","",INDEX('Work Orders'!$Q$11:$Q$1010,$B358)))</f>
        <v/>
      </c>
      <c r="G358" s="43">
        <f>IF($B358="","",IF(INDEX('Work Orders'!$V$11:$V$1010,$B358)="","",INDEX('Work Orders'!$V$11:$V$1010,$B358)))</f>
        <v/>
      </c>
      <c r="H358" s="47">
        <f>IF($B358="","",IF(INDEX('Work Orders'!$U$11:$U$1010,$B358)="","",INDEX('Work Orders'!$U$11:$U$1010,$B358)))</f>
        <v/>
      </c>
      <c r="I358" s="47">
        <f>IF($B358="","",IF(INDEX('Work Orders'!$X$11:$X$1010,$B358)="","",INDEX('Work Orders'!$X$11:$X$1010,$B358)))</f>
        <v/>
      </c>
      <c r="J358" s="44">
        <f>IF($B358="","",IF(INDEX('Work Orders'!$Z$11:$Z$1010,$B358)="","",INDEX('Work Orders'!$Z$11:$Z$1010,$B358)))</f>
        <v/>
      </c>
      <c r="K358" s="44">
        <f>IF($B358="","",IF(INDEX('Work Orders'!$AG$11:$AG$1010,$B358)="","",INDEX('Work Orders'!$AG$11:$AG$1010,$B358)))</f>
        <v/>
      </c>
      <c r="L358" s="44">
        <f>IF($B358="","",IF(INDEX('Work Orders'!$AH$11:$AH$1010,$B358)="","",INDEX('Work Orders'!$AH$11:$AH$1010,$B358)))</f>
        <v/>
      </c>
      <c r="M358" s="46">
        <f>IF($B358="","",IF(INDEX('Work Orders'!$AM$11:$AM$1010,$B358)="","",INDEX('Work Orders'!$AM$11:$AM$1010,$B358)))</f>
        <v/>
      </c>
      <c r="N358" s="43">
        <f>IF($B358="","",IF(INDEX('Work Orders'!$AL$11:$AL$1010,$B358)="","",INDEX('Work Orders'!$AL$11:$AL$1010,$B358)))</f>
        <v/>
      </c>
      <c r="O358" s="43">
        <f>IF($B358="","",IF(INDEX('Work Orders'!$N$11:$N$1010,$B358)="","",INDEX('Work Orders'!$N$11:$N$1010,$B358)))</f>
        <v/>
      </c>
    </row>
    <row r="359">
      <c r="A359" s="68" t="n">
        <v>353</v>
      </c>
      <c r="B359">
        <f>IFERROR(MATCH(A359,'Work Orders'!$AO$11:$AO$1010,0),"")</f>
        <v/>
      </c>
      <c r="C359" s="43">
        <f>IF($B359="","",IF(INDEX('Work Orders'!$A$11:$A$1010,$B359)="","",INDEX('Work Orders'!$A$11:$A$1010,$B359)))</f>
        <v/>
      </c>
      <c r="D359" s="43">
        <f>IF($B359="","",IF(INDEX('Work Orders'!$B$11:$B$1010,$B359)="","",INDEX('Work Orders'!$B$11:$B$1010,$B359)))</f>
        <v/>
      </c>
      <c r="E359" s="43">
        <f>IF($B359="","",IF(INDEX('Work Orders'!$D$11:$D$1010,$B359)="","",INDEX('Work Orders'!$D$11:$D$1010,$B359)))</f>
        <v/>
      </c>
      <c r="F359" s="43">
        <f>IF($B359="","",IF(INDEX('Work Orders'!$Q$11:$Q$1010,$B359)="","",INDEX('Work Orders'!$Q$11:$Q$1010,$B359)))</f>
        <v/>
      </c>
      <c r="G359" s="43">
        <f>IF($B359="","",IF(INDEX('Work Orders'!$V$11:$V$1010,$B359)="","",INDEX('Work Orders'!$V$11:$V$1010,$B359)))</f>
        <v/>
      </c>
      <c r="H359" s="47">
        <f>IF($B359="","",IF(INDEX('Work Orders'!$U$11:$U$1010,$B359)="","",INDEX('Work Orders'!$U$11:$U$1010,$B359)))</f>
        <v/>
      </c>
      <c r="I359" s="47">
        <f>IF($B359="","",IF(INDEX('Work Orders'!$X$11:$X$1010,$B359)="","",INDEX('Work Orders'!$X$11:$X$1010,$B359)))</f>
        <v/>
      </c>
      <c r="J359" s="44">
        <f>IF($B359="","",IF(INDEX('Work Orders'!$Z$11:$Z$1010,$B359)="","",INDEX('Work Orders'!$Z$11:$Z$1010,$B359)))</f>
        <v/>
      </c>
      <c r="K359" s="44">
        <f>IF($B359="","",IF(INDEX('Work Orders'!$AG$11:$AG$1010,$B359)="","",INDEX('Work Orders'!$AG$11:$AG$1010,$B359)))</f>
        <v/>
      </c>
      <c r="L359" s="44">
        <f>IF($B359="","",IF(INDEX('Work Orders'!$AH$11:$AH$1010,$B359)="","",INDEX('Work Orders'!$AH$11:$AH$1010,$B359)))</f>
        <v/>
      </c>
      <c r="M359" s="46">
        <f>IF($B359="","",IF(INDEX('Work Orders'!$AM$11:$AM$1010,$B359)="","",INDEX('Work Orders'!$AM$11:$AM$1010,$B359)))</f>
        <v/>
      </c>
      <c r="N359" s="43">
        <f>IF($B359="","",IF(INDEX('Work Orders'!$AL$11:$AL$1010,$B359)="","",INDEX('Work Orders'!$AL$11:$AL$1010,$B359)))</f>
        <v/>
      </c>
      <c r="O359" s="43">
        <f>IF($B359="","",IF(INDEX('Work Orders'!$N$11:$N$1010,$B359)="","",INDEX('Work Orders'!$N$11:$N$1010,$B359)))</f>
        <v/>
      </c>
    </row>
    <row r="360">
      <c r="A360" s="68" t="n">
        <v>354</v>
      </c>
      <c r="B360">
        <f>IFERROR(MATCH(A360,'Work Orders'!$AO$11:$AO$1010,0),"")</f>
        <v/>
      </c>
      <c r="C360" s="43">
        <f>IF($B360="","",IF(INDEX('Work Orders'!$A$11:$A$1010,$B360)="","",INDEX('Work Orders'!$A$11:$A$1010,$B360)))</f>
        <v/>
      </c>
      <c r="D360" s="43">
        <f>IF($B360="","",IF(INDEX('Work Orders'!$B$11:$B$1010,$B360)="","",INDEX('Work Orders'!$B$11:$B$1010,$B360)))</f>
        <v/>
      </c>
      <c r="E360" s="43">
        <f>IF($B360="","",IF(INDEX('Work Orders'!$D$11:$D$1010,$B360)="","",INDEX('Work Orders'!$D$11:$D$1010,$B360)))</f>
        <v/>
      </c>
      <c r="F360" s="43">
        <f>IF($B360="","",IF(INDEX('Work Orders'!$Q$11:$Q$1010,$B360)="","",INDEX('Work Orders'!$Q$11:$Q$1010,$B360)))</f>
        <v/>
      </c>
      <c r="G360" s="43">
        <f>IF($B360="","",IF(INDEX('Work Orders'!$V$11:$V$1010,$B360)="","",INDEX('Work Orders'!$V$11:$V$1010,$B360)))</f>
        <v/>
      </c>
      <c r="H360" s="47">
        <f>IF($B360="","",IF(INDEX('Work Orders'!$U$11:$U$1010,$B360)="","",INDEX('Work Orders'!$U$11:$U$1010,$B360)))</f>
        <v/>
      </c>
      <c r="I360" s="47">
        <f>IF($B360="","",IF(INDEX('Work Orders'!$X$11:$X$1010,$B360)="","",INDEX('Work Orders'!$X$11:$X$1010,$B360)))</f>
        <v/>
      </c>
      <c r="J360" s="44">
        <f>IF($B360="","",IF(INDEX('Work Orders'!$Z$11:$Z$1010,$B360)="","",INDEX('Work Orders'!$Z$11:$Z$1010,$B360)))</f>
        <v/>
      </c>
      <c r="K360" s="44">
        <f>IF($B360="","",IF(INDEX('Work Orders'!$AG$11:$AG$1010,$B360)="","",INDEX('Work Orders'!$AG$11:$AG$1010,$B360)))</f>
        <v/>
      </c>
      <c r="L360" s="44">
        <f>IF($B360="","",IF(INDEX('Work Orders'!$AH$11:$AH$1010,$B360)="","",INDEX('Work Orders'!$AH$11:$AH$1010,$B360)))</f>
        <v/>
      </c>
      <c r="M360" s="46">
        <f>IF($B360="","",IF(INDEX('Work Orders'!$AM$11:$AM$1010,$B360)="","",INDEX('Work Orders'!$AM$11:$AM$1010,$B360)))</f>
        <v/>
      </c>
      <c r="N360" s="43">
        <f>IF($B360="","",IF(INDEX('Work Orders'!$AL$11:$AL$1010,$B360)="","",INDEX('Work Orders'!$AL$11:$AL$1010,$B360)))</f>
        <v/>
      </c>
      <c r="O360" s="43">
        <f>IF($B360="","",IF(INDEX('Work Orders'!$N$11:$N$1010,$B360)="","",INDEX('Work Orders'!$N$11:$N$1010,$B360)))</f>
        <v/>
      </c>
    </row>
    <row r="361">
      <c r="A361" s="68" t="n">
        <v>355</v>
      </c>
      <c r="B361">
        <f>IFERROR(MATCH(A361,'Work Orders'!$AO$11:$AO$1010,0),"")</f>
        <v/>
      </c>
      <c r="C361" s="43">
        <f>IF($B361="","",IF(INDEX('Work Orders'!$A$11:$A$1010,$B361)="","",INDEX('Work Orders'!$A$11:$A$1010,$B361)))</f>
        <v/>
      </c>
      <c r="D361" s="43">
        <f>IF($B361="","",IF(INDEX('Work Orders'!$B$11:$B$1010,$B361)="","",INDEX('Work Orders'!$B$11:$B$1010,$B361)))</f>
        <v/>
      </c>
      <c r="E361" s="43">
        <f>IF($B361="","",IF(INDEX('Work Orders'!$D$11:$D$1010,$B361)="","",INDEX('Work Orders'!$D$11:$D$1010,$B361)))</f>
        <v/>
      </c>
      <c r="F361" s="43">
        <f>IF($B361="","",IF(INDEX('Work Orders'!$Q$11:$Q$1010,$B361)="","",INDEX('Work Orders'!$Q$11:$Q$1010,$B361)))</f>
        <v/>
      </c>
      <c r="G361" s="43">
        <f>IF($B361="","",IF(INDEX('Work Orders'!$V$11:$V$1010,$B361)="","",INDEX('Work Orders'!$V$11:$V$1010,$B361)))</f>
        <v/>
      </c>
      <c r="H361" s="47">
        <f>IF($B361="","",IF(INDEX('Work Orders'!$U$11:$U$1010,$B361)="","",INDEX('Work Orders'!$U$11:$U$1010,$B361)))</f>
        <v/>
      </c>
      <c r="I361" s="47">
        <f>IF($B361="","",IF(INDEX('Work Orders'!$X$11:$X$1010,$B361)="","",INDEX('Work Orders'!$X$11:$X$1010,$B361)))</f>
        <v/>
      </c>
      <c r="J361" s="44">
        <f>IF($B361="","",IF(INDEX('Work Orders'!$Z$11:$Z$1010,$B361)="","",INDEX('Work Orders'!$Z$11:$Z$1010,$B361)))</f>
        <v/>
      </c>
      <c r="K361" s="44">
        <f>IF($B361="","",IF(INDEX('Work Orders'!$AG$11:$AG$1010,$B361)="","",INDEX('Work Orders'!$AG$11:$AG$1010,$B361)))</f>
        <v/>
      </c>
      <c r="L361" s="44">
        <f>IF($B361="","",IF(INDEX('Work Orders'!$AH$11:$AH$1010,$B361)="","",INDEX('Work Orders'!$AH$11:$AH$1010,$B361)))</f>
        <v/>
      </c>
      <c r="M361" s="46">
        <f>IF($B361="","",IF(INDEX('Work Orders'!$AM$11:$AM$1010,$B361)="","",INDEX('Work Orders'!$AM$11:$AM$1010,$B361)))</f>
        <v/>
      </c>
      <c r="N361" s="43">
        <f>IF($B361="","",IF(INDEX('Work Orders'!$AL$11:$AL$1010,$B361)="","",INDEX('Work Orders'!$AL$11:$AL$1010,$B361)))</f>
        <v/>
      </c>
      <c r="O361" s="43">
        <f>IF($B361="","",IF(INDEX('Work Orders'!$N$11:$N$1010,$B361)="","",INDEX('Work Orders'!$N$11:$N$1010,$B361)))</f>
        <v/>
      </c>
    </row>
    <row r="362">
      <c r="A362" s="68" t="n">
        <v>356</v>
      </c>
      <c r="B362">
        <f>IFERROR(MATCH(A362,'Work Orders'!$AO$11:$AO$1010,0),"")</f>
        <v/>
      </c>
      <c r="C362" s="43">
        <f>IF($B362="","",IF(INDEX('Work Orders'!$A$11:$A$1010,$B362)="","",INDEX('Work Orders'!$A$11:$A$1010,$B362)))</f>
        <v/>
      </c>
      <c r="D362" s="43">
        <f>IF($B362="","",IF(INDEX('Work Orders'!$B$11:$B$1010,$B362)="","",INDEX('Work Orders'!$B$11:$B$1010,$B362)))</f>
        <v/>
      </c>
      <c r="E362" s="43">
        <f>IF($B362="","",IF(INDEX('Work Orders'!$D$11:$D$1010,$B362)="","",INDEX('Work Orders'!$D$11:$D$1010,$B362)))</f>
        <v/>
      </c>
      <c r="F362" s="43">
        <f>IF($B362="","",IF(INDEX('Work Orders'!$Q$11:$Q$1010,$B362)="","",INDEX('Work Orders'!$Q$11:$Q$1010,$B362)))</f>
        <v/>
      </c>
      <c r="G362" s="43">
        <f>IF($B362="","",IF(INDEX('Work Orders'!$V$11:$V$1010,$B362)="","",INDEX('Work Orders'!$V$11:$V$1010,$B362)))</f>
        <v/>
      </c>
      <c r="H362" s="47">
        <f>IF($B362="","",IF(INDEX('Work Orders'!$U$11:$U$1010,$B362)="","",INDEX('Work Orders'!$U$11:$U$1010,$B362)))</f>
        <v/>
      </c>
      <c r="I362" s="47">
        <f>IF($B362="","",IF(INDEX('Work Orders'!$X$11:$X$1010,$B362)="","",INDEX('Work Orders'!$X$11:$X$1010,$B362)))</f>
        <v/>
      </c>
      <c r="J362" s="44">
        <f>IF($B362="","",IF(INDEX('Work Orders'!$Z$11:$Z$1010,$B362)="","",INDEX('Work Orders'!$Z$11:$Z$1010,$B362)))</f>
        <v/>
      </c>
      <c r="K362" s="44">
        <f>IF($B362="","",IF(INDEX('Work Orders'!$AG$11:$AG$1010,$B362)="","",INDEX('Work Orders'!$AG$11:$AG$1010,$B362)))</f>
        <v/>
      </c>
      <c r="L362" s="44">
        <f>IF($B362="","",IF(INDEX('Work Orders'!$AH$11:$AH$1010,$B362)="","",INDEX('Work Orders'!$AH$11:$AH$1010,$B362)))</f>
        <v/>
      </c>
      <c r="M362" s="46">
        <f>IF($B362="","",IF(INDEX('Work Orders'!$AM$11:$AM$1010,$B362)="","",INDEX('Work Orders'!$AM$11:$AM$1010,$B362)))</f>
        <v/>
      </c>
      <c r="N362" s="43">
        <f>IF($B362="","",IF(INDEX('Work Orders'!$AL$11:$AL$1010,$B362)="","",INDEX('Work Orders'!$AL$11:$AL$1010,$B362)))</f>
        <v/>
      </c>
      <c r="O362" s="43">
        <f>IF($B362="","",IF(INDEX('Work Orders'!$N$11:$N$1010,$B362)="","",INDEX('Work Orders'!$N$11:$N$1010,$B362)))</f>
        <v/>
      </c>
    </row>
    <row r="363">
      <c r="A363" s="68" t="n">
        <v>357</v>
      </c>
      <c r="B363">
        <f>IFERROR(MATCH(A363,'Work Orders'!$AO$11:$AO$1010,0),"")</f>
        <v/>
      </c>
      <c r="C363" s="43">
        <f>IF($B363="","",IF(INDEX('Work Orders'!$A$11:$A$1010,$B363)="","",INDEX('Work Orders'!$A$11:$A$1010,$B363)))</f>
        <v/>
      </c>
      <c r="D363" s="43">
        <f>IF($B363="","",IF(INDEX('Work Orders'!$B$11:$B$1010,$B363)="","",INDEX('Work Orders'!$B$11:$B$1010,$B363)))</f>
        <v/>
      </c>
      <c r="E363" s="43">
        <f>IF($B363="","",IF(INDEX('Work Orders'!$D$11:$D$1010,$B363)="","",INDEX('Work Orders'!$D$11:$D$1010,$B363)))</f>
        <v/>
      </c>
      <c r="F363" s="43">
        <f>IF($B363="","",IF(INDEX('Work Orders'!$Q$11:$Q$1010,$B363)="","",INDEX('Work Orders'!$Q$11:$Q$1010,$B363)))</f>
        <v/>
      </c>
      <c r="G363" s="43">
        <f>IF($B363="","",IF(INDEX('Work Orders'!$V$11:$V$1010,$B363)="","",INDEX('Work Orders'!$V$11:$V$1010,$B363)))</f>
        <v/>
      </c>
      <c r="H363" s="47">
        <f>IF($B363="","",IF(INDEX('Work Orders'!$U$11:$U$1010,$B363)="","",INDEX('Work Orders'!$U$11:$U$1010,$B363)))</f>
        <v/>
      </c>
      <c r="I363" s="47">
        <f>IF($B363="","",IF(INDEX('Work Orders'!$X$11:$X$1010,$B363)="","",INDEX('Work Orders'!$X$11:$X$1010,$B363)))</f>
        <v/>
      </c>
      <c r="J363" s="44">
        <f>IF($B363="","",IF(INDEX('Work Orders'!$Z$11:$Z$1010,$B363)="","",INDEX('Work Orders'!$Z$11:$Z$1010,$B363)))</f>
        <v/>
      </c>
      <c r="K363" s="44">
        <f>IF($B363="","",IF(INDEX('Work Orders'!$AG$11:$AG$1010,$B363)="","",INDEX('Work Orders'!$AG$11:$AG$1010,$B363)))</f>
        <v/>
      </c>
      <c r="L363" s="44">
        <f>IF($B363="","",IF(INDEX('Work Orders'!$AH$11:$AH$1010,$B363)="","",INDEX('Work Orders'!$AH$11:$AH$1010,$B363)))</f>
        <v/>
      </c>
      <c r="M363" s="46">
        <f>IF($B363="","",IF(INDEX('Work Orders'!$AM$11:$AM$1010,$B363)="","",INDEX('Work Orders'!$AM$11:$AM$1010,$B363)))</f>
        <v/>
      </c>
      <c r="N363" s="43">
        <f>IF($B363="","",IF(INDEX('Work Orders'!$AL$11:$AL$1010,$B363)="","",INDEX('Work Orders'!$AL$11:$AL$1010,$B363)))</f>
        <v/>
      </c>
      <c r="O363" s="43">
        <f>IF($B363="","",IF(INDEX('Work Orders'!$N$11:$N$1010,$B363)="","",INDEX('Work Orders'!$N$11:$N$1010,$B363)))</f>
        <v/>
      </c>
    </row>
    <row r="364">
      <c r="A364" s="68" t="n">
        <v>358</v>
      </c>
      <c r="B364">
        <f>IFERROR(MATCH(A364,'Work Orders'!$AO$11:$AO$1010,0),"")</f>
        <v/>
      </c>
      <c r="C364" s="43">
        <f>IF($B364="","",IF(INDEX('Work Orders'!$A$11:$A$1010,$B364)="","",INDEX('Work Orders'!$A$11:$A$1010,$B364)))</f>
        <v/>
      </c>
      <c r="D364" s="43">
        <f>IF($B364="","",IF(INDEX('Work Orders'!$B$11:$B$1010,$B364)="","",INDEX('Work Orders'!$B$11:$B$1010,$B364)))</f>
        <v/>
      </c>
      <c r="E364" s="43">
        <f>IF($B364="","",IF(INDEX('Work Orders'!$D$11:$D$1010,$B364)="","",INDEX('Work Orders'!$D$11:$D$1010,$B364)))</f>
        <v/>
      </c>
      <c r="F364" s="43">
        <f>IF($B364="","",IF(INDEX('Work Orders'!$Q$11:$Q$1010,$B364)="","",INDEX('Work Orders'!$Q$11:$Q$1010,$B364)))</f>
        <v/>
      </c>
      <c r="G364" s="43">
        <f>IF($B364="","",IF(INDEX('Work Orders'!$V$11:$V$1010,$B364)="","",INDEX('Work Orders'!$V$11:$V$1010,$B364)))</f>
        <v/>
      </c>
      <c r="H364" s="47">
        <f>IF($B364="","",IF(INDEX('Work Orders'!$U$11:$U$1010,$B364)="","",INDEX('Work Orders'!$U$11:$U$1010,$B364)))</f>
        <v/>
      </c>
      <c r="I364" s="47">
        <f>IF($B364="","",IF(INDEX('Work Orders'!$X$11:$X$1010,$B364)="","",INDEX('Work Orders'!$X$11:$X$1010,$B364)))</f>
        <v/>
      </c>
      <c r="J364" s="44">
        <f>IF($B364="","",IF(INDEX('Work Orders'!$Z$11:$Z$1010,$B364)="","",INDEX('Work Orders'!$Z$11:$Z$1010,$B364)))</f>
        <v/>
      </c>
      <c r="K364" s="44">
        <f>IF($B364="","",IF(INDEX('Work Orders'!$AG$11:$AG$1010,$B364)="","",INDEX('Work Orders'!$AG$11:$AG$1010,$B364)))</f>
        <v/>
      </c>
      <c r="L364" s="44">
        <f>IF($B364="","",IF(INDEX('Work Orders'!$AH$11:$AH$1010,$B364)="","",INDEX('Work Orders'!$AH$11:$AH$1010,$B364)))</f>
        <v/>
      </c>
      <c r="M364" s="46">
        <f>IF($B364="","",IF(INDEX('Work Orders'!$AM$11:$AM$1010,$B364)="","",INDEX('Work Orders'!$AM$11:$AM$1010,$B364)))</f>
        <v/>
      </c>
      <c r="N364" s="43">
        <f>IF($B364="","",IF(INDEX('Work Orders'!$AL$11:$AL$1010,$B364)="","",INDEX('Work Orders'!$AL$11:$AL$1010,$B364)))</f>
        <v/>
      </c>
      <c r="O364" s="43">
        <f>IF($B364="","",IF(INDEX('Work Orders'!$N$11:$N$1010,$B364)="","",INDEX('Work Orders'!$N$11:$N$1010,$B364)))</f>
        <v/>
      </c>
    </row>
    <row r="365">
      <c r="A365" s="68" t="n">
        <v>359</v>
      </c>
      <c r="B365">
        <f>IFERROR(MATCH(A365,'Work Orders'!$AO$11:$AO$1010,0),"")</f>
        <v/>
      </c>
      <c r="C365" s="43">
        <f>IF($B365="","",IF(INDEX('Work Orders'!$A$11:$A$1010,$B365)="","",INDEX('Work Orders'!$A$11:$A$1010,$B365)))</f>
        <v/>
      </c>
      <c r="D365" s="43">
        <f>IF($B365="","",IF(INDEX('Work Orders'!$B$11:$B$1010,$B365)="","",INDEX('Work Orders'!$B$11:$B$1010,$B365)))</f>
        <v/>
      </c>
      <c r="E365" s="43">
        <f>IF($B365="","",IF(INDEX('Work Orders'!$D$11:$D$1010,$B365)="","",INDEX('Work Orders'!$D$11:$D$1010,$B365)))</f>
        <v/>
      </c>
      <c r="F365" s="43">
        <f>IF($B365="","",IF(INDEX('Work Orders'!$Q$11:$Q$1010,$B365)="","",INDEX('Work Orders'!$Q$11:$Q$1010,$B365)))</f>
        <v/>
      </c>
      <c r="G365" s="43">
        <f>IF($B365="","",IF(INDEX('Work Orders'!$V$11:$V$1010,$B365)="","",INDEX('Work Orders'!$V$11:$V$1010,$B365)))</f>
        <v/>
      </c>
      <c r="H365" s="47">
        <f>IF($B365="","",IF(INDEX('Work Orders'!$U$11:$U$1010,$B365)="","",INDEX('Work Orders'!$U$11:$U$1010,$B365)))</f>
        <v/>
      </c>
      <c r="I365" s="47">
        <f>IF($B365="","",IF(INDEX('Work Orders'!$X$11:$X$1010,$B365)="","",INDEX('Work Orders'!$X$11:$X$1010,$B365)))</f>
        <v/>
      </c>
      <c r="J365" s="44">
        <f>IF($B365="","",IF(INDEX('Work Orders'!$Z$11:$Z$1010,$B365)="","",INDEX('Work Orders'!$Z$11:$Z$1010,$B365)))</f>
        <v/>
      </c>
      <c r="K365" s="44">
        <f>IF($B365="","",IF(INDEX('Work Orders'!$AG$11:$AG$1010,$B365)="","",INDEX('Work Orders'!$AG$11:$AG$1010,$B365)))</f>
        <v/>
      </c>
      <c r="L365" s="44">
        <f>IF($B365="","",IF(INDEX('Work Orders'!$AH$11:$AH$1010,$B365)="","",INDEX('Work Orders'!$AH$11:$AH$1010,$B365)))</f>
        <v/>
      </c>
      <c r="M365" s="46">
        <f>IF($B365="","",IF(INDEX('Work Orders'!$AM$11:$AM$1010,$B365)="","",INDEX('Work Orders'!$AM$11:$AM$1010,$B365)))</f>
        <v/>
      </c>
      <c r="N365" s="43">
        <f>IF($B365="","",IF(INDEX('Work Orders'!$AL$11:$AL$1010,$B365)="","",INDEX('Work Orders'!$AL$11:$AL$1010,$B365)))</f>
        <v/>
      </c>
      <c r="O365" s="43">
        <f>IF($B365="","",IF(INDEX('Work Orders'!$N$11:$N$1010,$B365)="","",INDEX('Work Orders'!$N$11:$N$1010,$B365)))</f>
        <v/>
      </c>
    </row>
    <row r="366">
      <c r="A366" s="68" t="n">
        <v>360</v>
      </c>
      <c r="B366">
        <f>IFERROR(MATCH(A366,'Work Orders'!$AO$11:$AO$1010,0),"")</f>
        <v/>
      </c>
      <c r="C366" s="43">
        <f>IF($B366="","",IF(INDEX('Work Orders'!$A$11:$A$1010,$B366)="","",INDEX('Work Orders'!$A$11:$A$1010,$B366)))</f>
        <v/>
      </c>
      <c r="D366" s="43">
        <f>IF($B366="","",IF(INDEX('Work Orders'!$B$11:$B$1010,$B366)="","",INDEX('Work Orders'!$B$11:$B$1010,$B366)))</f>
        <v/>
      </c>
      <c r="E366" s="43">
        <f>IF($B366="","",IF(INDEX('Work Orders'!$D$11:$D$1010,$B366)="","",INDEX('Work Orders'!$D$11:$D$1010,$B366)))</f>
        <v/>
      </c>
      <c r="F366" s="43">
        <f>IF($B366="","",IF(INDEX('Work Orders'!$Q$11:$Q$1010,$B366)="","",INDEX('Work Orders'!$Q$11:$Q$1010,$B366)))</f>
        <v/>
      </c>
      <c r="G366" s="43">
        <f>IF($B366="","",IF(INDEX('Work Orders'!$V$11:$V$1010,$B366)="","",INDEX('Work Orders'!$V$11:$V$1010,$B366)))</f>
        <v/>
      </c>
      <c r="H366" s="47">
        <f>IF($B366="","",IF(INDEX('Work Orders'!$U$11:$U$1010,$B366)="","",INDEX('Work Orders'!$U$11:$U$1010,$B366)))</f>
        <v/>
      </c>
      <c r="I366" s="47">
        <f>IF($B366="","",IF(INDEX('Work Orders'!$X$11:$X$1010,$B366)="","",INDEX('Work Orders'!$X$11:$X$1010,$B366)))</f>
        <v/>
      </c>
      <c r="J366" s="44">
        <f>IF($B366="","",IF(INDEX('Work Orders'!$Z$11:$Z$1010,$B366)="","",INDEX('Work Orders'!$Z$11:$Z$1010,$B366)))</f>
        <v/>
      </c>
      <c r="K366" s="44">
        <f>IF($B366="","",IF(INDEX('Work Orders'!$AG$11:$AG$1010,$B366)="","",INDEX('Work Orders'!$AG$11:$AG$1010,$B366)))</f>
        <v/>
      </c>
      <c r="L366" s="44">
        <f>IF($B366="","",IF(INDEX('Work Orders'!$AH$11:$AH$1010,$B366)="","",INDEX('Work Orders'!$AH$11:$AH$1010,$B366)))</f>
        <v/>
      </c>
      <c r="M366" s="46">
        <f>IF($B366="","",IF(INDEX('Work Orders'!$AM$11:$AM$1010,$B366)="","",INDEX('Work Orders'!$AM$11:$AM$1010,$B366)))</f>
        <v/>
      </c>
      <c r="N366" s="43">
        <f>IF($B366="","",IF(INDEX('Work Orders'!$AL$11:$AL$1010,$B366)="","",INDEX('Work Orders'!$AL$11:$AL$1010,$B366)))</f>
        <v/>
      </c>
      <c r="O366" s="43">
        <f>IF($B366="","",IF(INDEX('Work Orders'!$N$11:$N$1010,$B366)="","",INDEX('Work Orders'!$N$11:$N$1010,$B366)))</f>
        <v/>
      </c>
    </row>
    <row r="367">
      <c r="A367" s="68" t="n">
        <v>361</v>
      </c>
      <c r="B367">
        <f>IFERROR(MATCH(A367,'Work Orders'!$AO$11:$AO$1010,0),"")</f>
        <v/>
      </c>
      <c r="C367" s="43">
        <f>IF($B367="","",IF(INDEX('Work Orders'!$A$11:$A$1010,$B367)="","",INDEX('Work Orders'!$A$11:$A$1010,$B367)))</f>
        <v/>
      </c>
      <c r="D367" s="43">
        <f>IF($B367="","",IF(INDEX('Work Orders'!$B$11:$B$1010,$B367)="","",INDEX('Work Orders'!$B$11:$B$1010,$B367)))</f>
        <v/>
      </c>
      <c r="E367" s="43">
        <f>IF($B367="","",IF(INDEX('Work Orders'!$D$11:$D$1010,$B367)="","",INDEX('Work Orders'!$D$11:$D$1010,$B367)))</f>
        <v/>
      </c>
      <c r="F367" s="43">
        <f>IF($B367="","",IF(INDEX('Work Orders'!$Q$11:$Q$1010,$B367)="","",INDEX('Work Orders'!$Q$11:$Q$1010,$B367)))</f>
        <v/>
      </c>
      <c r="G367" s="43">
        <f>IF($B367="","",IF(INDEX('Work Orders'!$V$11:$V$1010,$B367)="","",INDEX('Work Orders'!$V$11:$V$1010,$B367)))</f>
        <v/>
      </c>
      <c r="H367" s="47">
        <f>IF($B367="","",IF(INDEX('Work Orders'!$U$11:$U$1010,$B367)="","",INDEX('Work Orders'!$U$11:$U$1010,$B367)))</f>
        <v/>
      </c>
      <c r="I367" s="47">
        <f>IF($B367="","",IF(INDEX('Work Orders'!$X$11:$X$1010,$B367)="","",INDEX('Work Orders'!$X$11:$X$1010,$B367)))</f>
        <v/>
      </c>
      <c r="J367" s="44">
        <f>IF($B367="","",IF(INDEX('Work Orders'!$Z$11:$Z$1010,$B367)="","",INDEX('Work Orders'!$Z$11:$Z$1010,$B367)))</f>
        <v/>
      </c>
      <c r="K367" s="44">
        <f>IF($B367="","",IF(INDEX('Work Orders'!$AG$11:$AG$1010,$B367)="","",INDEX('Work Orders'!$AG$11:$AG$1010,$B367)))</f>
        <v/>
      </c>
      <c r="L367" s="44">
        <f>IF($B367="","",IF(INDEX('Work Orders'!$AH$11:$AH$1010,$B367)="","",INDEX('Work Orders'!$AH$11:$AH$1010,$B367)))</f>
        <v/>
      </c>
      <c r="M367" s="46">
        <f>IF($B367="","",IF(INDEX('Work Orders'!$AM$11:$AM$1010,$B367)="","",INDEX('Work Orders'!$AM$11:$AM$1010,$B367)))</f>
        <v/>
      </c>
      <c r="N367" s="43">
        <f>IF($B367="","",IF(INDEX('Work Orders'!$AL$11:$AL$1010,$B367)="","",INDEX('Work Orders'!$AL$11:$AL$1010,$B367)))</f>
        <v/>
      </c>
      <c r="O367" s="43">
        <f>IF($B367="","",IF(INDEX('Work Orders'!$N$11:$N$1010,$B367)="","",INDEX('Work Orders'!$N$11:$N$1010,$B367)))</f>
        <v/>
      </c>
    </row>
    <row r="368">
      <c r="A368" s="68" t="n">
        <v>362</v>
      </c>
      <c r="B368">
        <f>IFERROR(MATCH(A368,'Work Orders'!$AO$11:$AO$1010,0),"")</f>
        <v/>
      </c>
      <c r="C368" s="43">
        <f>IF($B368="","",IF(INDEX('Work Orders'!$A$11:$A$1010,$B368)="","",INDEX('Work Orders'!$A$11:$A$1010,$B368)))</f>
        <v/>
      </c>
      <c r="D368" s="43">
        <f>IF($B368="","",IF(INDEX('Work Orders'!$B$11:$B$1010,$B368)="","",INDEX('Work Orders'!$B$11:$B$1010,$B368)))</f>
        <v/>
      </c>
      <c r="E368" s="43">
        <f>IF($B368="","",IF(INDEX('Work Orders'!$D$11:$D$1010,$B368)="","",INDEX('Work Orders'!$D$11:$D$1010,$B368)))</f>
        <v/>
      </c>
      <c r="F368" s="43">
        <f>IF($B368="","",IF(INDEX('Work Orders'!$Q$11:$Q$1010,$B368)="","",INDEX('Work Orders'!$Q$11:$Q$1010,$B368)))</f>
        <v/>
      </c>
      <c r="G368" s="43">
        <f>IF($B368="","",IF(INDEX('Work Orders'!$V$11:$V$1010,$B368)="","",INDEX('Work Orders'!$V$11:$V$1010,$B368)))</f>
        <v/>
      </c>
      <c r="H368" s="47">
        <f>IF($B368="","",IF(INDEX('Work Orders'!$U$11:$U$1010,$B368)="","",INDEX('Work Orders'!$U$11:$U$1010,$B368)))</f>
        <v/>
      </c>
      <c r="I368" s="47">
        <f>IF($B368="","",IF(INDEX('Work Orders'!$X$11:$X$1010,$B368)="","",INDEX('Work Orders'!$X$11:$X$1010,$B368)))</f>
        <v/>
      </c>
      <c r="J368" s="44">
        <f>IF($B368="","",IF(INDEX('Work Orders'!$Z$11:$Z$1010,$B368)="","",INDEX('Work Orders'!$Z$11:$Z$1010,$B368)))</f>
        <v/>
      </c>
      <c r="K368" s="44">
        <f>IF($B368="","",IF(INDEX('Work Orders'!$AG$11:$AG$1010,$B368)="","",INDEX('Work Orders'!$AG$11:$AG$1010,$B368)))</f>
        <v/>
      </c>
      <c r="L368" s="44">
        <f>IF($B368="","",IF(INDEX('Work Orders'!$AH$11:$AH$1010,$B368)="","",INDEX('Work Orders'!$AH$11:$AH$1010,$B368)))</f>
        <v/>
      </c>
      <c r="M368" s="46">
        <f>IF($B368="","",IF(INDEX('Work Orders'!$AM$11:$AM$1010,$B368)="","",INDEX('Work Orders'!$AM$11:$AM$1010,$B368)))</f>
        <v/>
      </c>
      <c r="N368" s="43">
        <f>IF($B368="","",IF(INDEX('Work Orders'!$AL$11:$AL$1010,$B368)="","",INDEX('Work Orders'!$AL$11:$AL$1010,$B368)))</f>
        <v/>
      </c>
      <c r="O368" s="43">
        <f>IF($B368="","",IF(INDEX('Work Orders'!$N$11:$N$1010,$B368)="","",INDEX('Work Orders'!$N$11:$N$1010,$B368)))</f>
        <v/>
      </c>
    </row>
    <row r="369">
      <c r="A369" s="68" t="n">
        <v>363</v>
      </c>
      <c r="B369">
        <f>IFERROR(MATCH(A369,'Work Orders'!$AO$11:$AO$1010,0),"")</f>
        <v/>
      </c>
      <c r="C369" s="43">
        <f>IF($B369="","",IF(INDEX('Work Orders'!$A$11:$A$1010,$B369)="","",INDEX('Work Orders'!$A$11:$A$1010,$B369)))</f>
        <v/>
      </c>
      <c r="D369" s="43">
        <f>IF($B369="","",IF(INDEX('Work Orders'!$B$11:$B$1010,$B369)="","",INDEX('Work Orders'!$B$11:$B$1010,$B369)))</f>
        <v/>
      </c>
      <c r="E369" s="43">
        <f>IF($B369="","",IF(INDEX('Work Orders'!$D$11:$D$1010,$B369)="","",INDEX('Work Orders'!$D$11:$D$1010,$B369)))</f>
        <v/>
      </c>
      <c r="F369" s="43">
        <f>IF($B369="","",IF(INDEX('Work Orders'!$Q$11:$Q$1010,$B369)="","",INDEX('Work Orders'!$Q$11:$Q$1010,$B369)))</f>
        <v/>
      </c>
      <c r="G369" s="43">
        <f>IF($B369="","",IF(INDEX('Work Orders'!$V$11:$V$1010,$B369)="","",INDEX('Work Orders'!$V$11:$V$1010,$B369)))</f>
        <v/>
      </c>
      <c r="H369" s="47">
        <f>IF($B369="","",IF(INDEX('Work Orders'!$U$11:$U$1010,$B369)="","",INDEX('Work Orders'!$U$11:$U$1010,$B369)))</f>
        <v/>
      </c>
      <c r="I369" s="47">
        <f>IF($B369="","",IF(INDEX('Work Orders'!$X$11:$X$1010,$B369)="","",INDEX('Work Orders'!$X$11:$X$1010,$B369)))</f>
        <v/>
      </c>
      <c r="J369" s="44">
        <f>IF($B369="","",IF(INDEX('Work Orders'!$Z$11:$Z$1010,$B369)="","",INDEX('Work Orders'!$Z$11:$Z$1010,$B369)))</f>
        <v/>
      </c>
      <c r="K369" s="44">
        <f>IF($B369="","",IF(INDEX('Work Orders'!$AG$11:$AG$1010,$B369)="","",INDEX('Work Orders'!$AG$11:$AG$1010,$B369)))</f>
        <v/>
      </c>
      <c r="L369" s="44">
        <f>IF($B369="","",IF(INDEX('Work Orders'!$AH$11:$AH$1010,$B369)="","",INDEX('Work Orders'!$AH$11:$AH$1010,$B369)))</f>
        <v/>
      </c>
      <c r="M369" s="46">
        <f>IF($B369="","",IF(INDEX('Work Orders'!$AM$11:$AM$1010,$B369)="","",INDEX('Work Orders'!$AM$11:$AM$1010,$B369)))</f>
        <v/>
      </c>
      <c r="N369" s="43">
        <f>IF($B369="","",IF(INDEX('Work Orders'!$AL$11:$AL$1010,$B369)="","",INDEX('Work Orders'!$AL$11:$AL$1010,$B369)))</f>
        <v/>
      </c>
      <c r="O369" s="43">
        <f>IF($B369="","",IF(INDEX('Work Orders'!$N$11:$N$1010,$B369)="","",INDEX('Work Orders'!$N$11:$N$1010,$B369)))</f>
        <v/>
      </c>
    </row>
    <row r="370">
      <c r="A370" s="68" t="n">
        <v>364</v>
      </c>
      <c r="B370">
        <f>IFERROR(MATCH(A370,'Work Orders'!$AO$11:$AO$1010,0),"")</f>
        <v/>
      </c>
      <c r="C370" s="43">
        <f>IF($B370="","",IF(INDEX('Work Orders'!$A$11:$A$1010,$B370)="","",INDEX('Work Orders'!$A$11:$A$1010,$B370)))</f>
        <v/>
      </c>
      <c r="D370" s="43">
        <f>IF($B370="","",IF(INDEX('Work Orders'!$B$11:$B$1010,$B370)="","",INDEX('Work Orders'!$B$11:$B$1010,$B370)))</f>
        <v/>
      </c>
      <c r="E370" s="43">
        <f>IF($B370="","",IF(INDEX('Work Orders'!$D$11:$D$1010,$B370)="","",INDEX('Work Orders'!$D$11:$D$1010,$B370)))</f>
        <v/>
      </c>
      <c r="F370" s="43">
        <f>IF($B370="","",IF(INDEX('Work Orders'!$Q$11:$Q$1010,$B370)="","",INDEX('Work Orders'!$Q$11:$Q$1010,$B370)))</f>
        <v/>
      </c>
      <c r="G370" s="43">
        <f>IF($B370="","",IF(INDEX('Work Orders'!$V$11:$V$1010,$B370)="","",INDEX('Work Orders'!$V$11:$V$1010,$B370)))</f>
        <v/>
      </c>
      <c r="H370" s="47">
        <f>IF($B370="","",IF(INDEX('Work Orders'!$U$11:$U$1010,$B370)="","",INDEX('Work Orders'!$U$11:$U$1010,$B370)))</f>
        <v/>
      </c>
      <c r="I370" s="47">
        <f>IF($B370="","",IF(INDEX('Work Orders'!$X$11:$X$1010,$B370)="","",INDEX('Work Orders'!$X$11:$X$1010,$B370)))</f>
        <v/>
      </c>
      <c r="J370" s="44">
        <f>IF($B370="","",IF(INDEX('Work Orders'!$Z$11:$Z$1010,$B370)="","",INDEX('Work Orders'!$Z$11:$Z$1010,$B370)))</f>
        <v/>
      </c>
      <c r="K370" s="44">
        <f>IF($B370="","",IF(INDEX('Work Orders'!$AG$11:$AG$1010,$B370)="","",INDEX('Work Orders'!$AG$11:$AG$1010,$B370)))</f>
        <v/>
      </c>
      <c r="L370" s="44">
        <f>IF($B370="","",IF(INDEX('Work Orders'!$AH$11:$AH$1010,$B370)="","",INDEX('Work Orders'!$AH$11:$AH$1010,$B370)))</f>
        <v/>
      </c>
      <c r="M370" s="46">
        <f>IF($B370="","",IF(INDEX('Work Orders'!$AM$11:$AM$1010,$B370)="","",INDEX('Work Orders'!$AM$11:$AM$1010,$B370)))</f>
        <v/>
      </c>
      <c r="N370" s="43">
        <f>IF($B370="","",IF(INDEX('Work Orders'!$AL$11:$AL$1010,$B370)="","",INDEX('Work Orders'!$AL$11:$AL$1010,$B370)))</f>
        <v/>
      </c>
      <c r="O370" s="43">
        <f>IF($B370="","",IF(INDEX('Work Orders'!$N$11:$N$1010,$B370)="","",INDEX('Work Orders'!$N$11:$N$1010,$B370)))</f>
        <v/>
      </c>
    </row>
    <row r="371">
      <c r="A371" s="68" t="n">
        <v>365</v>
      </c>
      <c r="B371">
        <f>IFERROR(MATCH(A371,'Work Orders'!$AO$11:$AO$1010,0),"")</f>
        <v/>
      </c>
      <c r="C371" s="43">
        <f>IF($B371="","",IF(INDEX('Work Orders'!$A$11:$A$1010,$B371)="","",INDEX('Work Orders'!$A$11:$A$1010,$B371)))</f>
        <v/>
      </c>
      <c r="D371" s="43">
        <f>IF($B371="","",IF(INDEX('Work Orders'!$B$11:$B$1010,$B371)="","",INDEX('Work Orders'!$B$11:$B$1010,$B371)))</f>
        <v/>
      </c>
      <c r="E371" s="43">
        <f>IF($B371="","",IF(INDEX('Work Orders'!$D$11:$D$1010,$B371)="","",INDEX('Work Orders'!$D$11:$D$1010,$B371)))</f>
        <v/>
      </c>
      <c r="F371" s="43">
        <f>IF($B371="","",IF(INDEX('Work Orders'!$Q$11:$Q$1010,$B371)="","",INDEX('Work Orders'!$Q$11:$Q$1010,$B371)))</f>
        <v/>
      </c>
      <c r="G371" s="43">
        <f>IF($B371="","",IF(INDEX('Work Orders'!$V$11:$V$1010,$B371)="","",INDEX('Work Orders'!$V$11:$V$1010,$B371)))</f>
        <v/>
      </c>
      <c r="H371" s="47">
        <f>IF($B371="","",IF(INDEX('Work Orders'!$U$11:$U$1010,$B371)="","",INDEX('Work Orders'!$U$11:$U$1010,$B371)))</f>
        <v/>
      </c>
      <c r="I371" s="47">
        <f>IF($B371="","",IF(INDEX('Work Orders'!$X$11:$X$1010,$B371)="","",INDEX('Work Orders'!$X$11:$X$1010,$B371)))</f>
        <v/>
      </c>
      <c r="J371" s="44">
        <f>IF($B371="","",IF(INDEX('Work Orders'!$Z$11:$Z$1010,$B371)="","",INDEX('Work Orders'!$Z$11:$Z$1010,$B371)))</f>
        <v/>
      </c>
      <c r="K371" s="44">
        <f>IF($B371="","",IF(INDEX('Work Orders'!$AG$11:$AG$1010,$B371)="","",INDEX('Work Orders'!$AG$11:$AG$1010,$B371)))</f>
        <v/>
      </c>
      <c r="L371" s="44">
        <f>IF($B371="","",IF(INDEX('Work Orders'!$AH$11:$AH$1010,$B371)="","",INDEX('Work Orders'!$AH$11:$AH$1010,$B371)))</f>
        <v/>
      </c>
      <c r="M371" s="46">
        <f>IF($B371="","",IF(INDEX('Work Orders'!$AM$11:$AM$1010,$B371)="","",INDEX('Work Orders'!$AM$11:$AM$1010,$B371)))</f>
        <v/>
      </c>
      <c r="N371" s="43">
        <f>IF($B371="","",IF(INDEX('Work Orders'!$AL$11:$AL$1010,$B371)="","",INDEX('Work Orders'!$AL$11:$AL$1010,$B371)))</f>
        <v/>
      </c>
      <c r="O371" s="43">
        <f>IF($B371="","",IF(INDEX('Work Orders'!$N$11:$N$1010,$B371)="","",INDEX('Work Orders'!$N$11:$N$1010,$B371)))</f>
        <v/>
      </c>
    </row>
    <row r="372">
      <c r="A372" s="68" t="n">
        <v>366</v>
      </c>
      <c r="B372">
        <f>IFERROR(MATCH(A372,'Work Orders'!$AO$11:$AO$1010,0),"")</f>
        <v/>
      </c>
      <c r="C372" s="43">
        <f>IF($B372="","",IF(INDEX('Work Orders'!$A$11:$A$1010,$B372)="","",INDEX('Work Orders'!$A$11:$A$1010,$B372)))</f>
        <v/>
      </c>
      <c r="D372" s="43">
        <f>IF($B372="","",IF(INDEX('Work Orders'!$B$11:$B$1010,$B372)="","",INDEX('Work Orders'!$B$11:$B$1010,$B372)))</f>
        <v/>
      </c>
      <c r="E372" s="43">
        <f>IF($B372="","",IF(INDEX('Work Orders'!$D$11:$D$1010,$B372)="","",INDEX('Work Orders'!$D$11:$D$1010,$B372)))</f>
        <v/>
      </c>
      <c r="F372" s="43">
        <f>IF($B372="","",IF(INDEX('Work Orders'!$Q$11:$Q$1010,$B372)="","",INDEX('Work Orders'!$Q$11:$Q$1010,$B372)))</f>
        <v/>
      </c>
      <c r="G372" s="43">
        <f>IF($B372="","",IF(INDEX('Work Orders'!$V$11:$V$1010,$B372)="","",INDEX('Work Orders'!$V$11:$V$1010,$B372)))</f>
        <v/>
      </c>
      <c r="H372" s="47">
        <f>IF($B372="","",IF(INDEX('Work Orders'!$U$11:$U$1010,$B372)="","",INDEX('Work Orders'!$U$11:$U$1010,$B372)))</f>
        <v/>
      </c>
      <c r="I372" s="47">
        <f>IF($B372="","",IF(INDEX('Work Orders'!$X$11:$X$1010,$B372)="","",INDEX('Work Orders'!$X$11:$X$1010,$B372)))</f>
        <v/>
      </c>
      <c r="J372" s="44">
        <f>IF($B372="","",IF(INDEX('Work Orders'!$Z$11:$Z$1010,$B372)="","",INDEX('Work Orders'!$Z$11:$Z$1010,$B372)))</f>
        <v/>
      </c>
      <c r="K372" s="44">
        <f>IF($B372="","",IF(INDEX('Work Orders'!$AG$11:$AG$1010,$B372)="","",INDEX('Work Orders'!$AG$11:$AG$1010,$B372)))</f>
        <v/>
      </c>
      <c r="L372" s="44">
        <f>IF($B372="","",IF(INDEX('Work Orders'!$AH$11:$AH$1010,$B372)="","",INDEX('Work Orders'!$AH$11:$AH$1010,$B372)))</f>
        <v/>
      </c>
      <c r="M372" s="46">
        <f>IF($B372="","",IF(INDEX('Work Orders'!$AM$11:$AM$1010,$B372)="","",INDEX('Work Orders'!$AM$11:$AM$1010,$B372)))</f>
        <v/>
      </c>
      <c r="N372" s="43">
        <f>IF($B372="","",IF(INDEX('Work Orders'!$AL$11:$AL$1010,$B372)="","",INDEX('Work Orders'!$AL$11:$AL$1010,$B372)))</f>
        <v/>
      </c>
      <c r="O372" s="43">
        <f>IF($B372="","",IF(INDEX('Work Orders'!$N$11:$N$1010,$B372)="","",INDEX('Work Orders'!$N$11:$N$1010,$B372)))</f>
        <v/>
      </c>
    </row>
    <row r="373">
      <c r="A373" s="68" t="n">
        <v>367</v>
      </c>
      <c r="B373">
        <f>IFERROR(MATCH(A373,'Work Orders'!$AO$11:$AO$1010,0),"")</f>
        <v/>
      </c>
      <c r="C373" s="43">
        <f>IF($B373="","",IF(INDEX('Work Orders'!$A$11:$A$1010,$B373)="","",INDEX('Work Orders'!$A$11:$A$1010,$B373)))</f>
        <v/>
      </c>
      <c r="D373" s="43">
        <f>IF($B373="","",IF(INDEX('Work Orders'!$B$11:$B$1010,$B373)="","",INDEX('Work Orders'!$B$11:$B$1010,$B373)))</f>
        <v/>
      </c>
      <c r="E373" s="43">
        <f>IF($B373="","",IF(INDEX('Work Orders'!$D$11:$D$1010,$B373)="","",INDEX('Work Orders'!$D$11:$D$1010,$B373)))</f>
        <v/>
      </c>
      <c r="F373" s="43">
        <f>IF($B373="","",IF(INDEX('Work Orders'!$Q$11:$Q$1010,$B373)="","",INDEX('Work Orders'!$Q$11:$Q$1010,$B373)))</f>
        <v/>
      </c>
      <c r="G373" s="43">
        <f>IF($B373="","",IF(INDEX('Work Orders'!$V$11:$V$1010,$B373)="","",INDEX('Work Orders'!$V$11:$V$1010,$B373)))</f>
        <v/>
      </c>
      <c r="H373" s="47">
        <f>IF($B373="","",IF(INDEX('Work Orders'!$U$11:$U$1010,$B373)="","",INDEX('Work Orders'!$U$11:$U$1010,$B373)))</f>
        <v/>
      </c>
      <c r="I373" s="47">
        <f>IF($B373="","",IF(INDEX('Work Orders'!$X$11:$X$1010,$B373)="","",INDEX('Work Orders'!$X$11:$X$1010,$B373)))</f>
        <v/>
      </c>
      <c r="J373" s="44">
        <f>IF($B373="","",IF(INDEX('Work Orders'!$Z$11:$Z$1010,$B373)="","",INDEX('Work Orders'!$Z$11:$Z$1010,$B373)))</f>
        <v/>
      </c>
      <c r="K373" s="44">
        <f>IF($B373="","",IF(INDEX('Work Orders'!$AG$11:$AG$1010,$B373)="","",INDEX('Work Orders'!$AG$11:$AG$1010,$B373)))</f>
        <v/>
      </c>
      <c r="L373" s="44">
        <f>IF($B373="","",IF(INDEX('Work Orders'!$AH$11:$AH$1010,$B373)="","",INDEX('Work Orders'!$AH$11:$AH$1010,$B373)))</f>
        <v/>
      </c>
      <c r="M373" s="46">
        <f>IF($B373="","",IF(INDEX('Work Orders'!$AM$11:$AM$1010,$B373)="","",INDEX('Work Orders'!$AM$11:$AM$1010,$B373)))</f>
        <v/>
      </c>
      <c r="N373" s="43">
        <f>IF($B373="","",IF(INDEX('Work Orders'!$AL$11:$AL$1010,$B373)="","",INDEX('Work Orders'!$AL$11:$AL$1010,$B373)))</f>
        <v/>
      </c>
      <c r="O373" s="43">
        <f>IF($B373="","",IF(INDEX('Work Orders'!$N$11:$N$1010,$B373)="","",INDEX('Work Orders'!$N$11:$N$1010,$B373)))</f>
        <v/>
      </c>
    </row>
    <row r="374">
      <c r="A374" s="68" t="n">
        <v>368</v>
      </c>
      <c r="B374">
        <f>IFERROR(MATCH(A374,'Work Orders'!$AO$11:$AO$1010,0),"")</f>
        <v/>
      </c>
      <c r="C374" s="43">
        <f>IF($B374="","",IF(INDEX('Work Orders'!$A$11:$A$1010,$B374)="","",INDEX('Work Orders'!$A$11:$A$1010,$B374)))</f>
        <v/>
      </c>
      <c r="D374" s="43">
        <f>IF($B374="","",IF(INDEX('Work Orders'!$B$11:$B$1010,$B374)="","",INDEX('Work Orders'!$B$11:$B$1010,$B374)))</f>
        <v/>
      </c>
      <c r="E374" s="43">
        <f>IF($B374="","",IF(INDEX('Work Orders'!$D$11:$D$1010,$B374)="","",INDEX('Work Orders'!$D$11:$D$1010,$B374)))</f>
        <v/>
      </c>
      <c r="F374" s="43">
        <f>IF($B374="","",IF(INDEX('Work Orders'!$Q$11:$Q$1010,$B374)="","",INDEX('Work Orders'!$Q$11:$Q$1010,$B374)))</f>
        <v/>
      </c>
      <c r="G374" s="43">
        <f>IF($B374="","",IF(INDEX('Work Orders'!$V$11:$V$1010,$B374)="","",INDEX('Work Orders'!$V$11:$V$1010,$B374)))</f>
        <v/>
      </c>
      <c r="H374" s="47">
        <f>IF($B374="","",IF(INDEX('Work Orders'!$U$11:$U$1010,$B374)="","",INDEX('Work Orders'!$U$11:$U$1010,$B374)))</f>
        <v/>
      </c>
      <c r="I374" s="47">
        <f>IF($B374="","",IF(INDEX('Work Orders'!$X$11:$X$1010,$B374)="","",INDEX('Work Orders'!$X$11:$X$1010,$B374)))</f>
        <v/>
      </c>
      <c r="J374" s="44">
        <f>IF($B374="","",IF(INDEX('Work Orders'!$Z$11:$Z$1010,$B374)="","",INDEX('Work Orders'!$Z$11:$Z$1010,$B374)))</f>
        <v/>
      </c>
      <c r="K374" s="44">
        <f>IF($B374="","",IF(INDEX('Work Orders'!$AG$11:$AG$1010,$B374)="","",INDEX('Work Orders'!$AG$11:$AG$1010,$B374)))</f>
        <v/>
      </c>
      <c r="L374" s="44">
        <f>IF($B374="","",IF(INDEX('Work Orders'!$AH$11:$AH$1010,$B374)="","",INDEX('Work Orders'!$AH$11:$AH$1010,$B374)))</f>
        <v/>
      </c>
      <c r="M374" s="46">
        <f>IF($B374="","",IF(INDEX('Work Orders'!$AM$11:$AM$1010,$B374)="","",INDEX('Work Orders'!$AM$11:$AM$1010,$B374)))</f>
        <v/>
      </c>
      <c r="N374" s="43">
        <f>IF($B374="","",IF(INDEX('Work Orders'!$AL$11:$AL$1010,$B374)="","",INDEX('Work Orders'!$AL$11:$AL$1010,$B374)))</f>
        <v/>
      </c>
      <c r="O374" s="43">
        <f>IF($B374="","",IF(INDEX('Work Orders'!$N$11:$N$1010,$B374)="","",INDEX('Work Orders'!$N$11:$N$1010,$B374)))</f>
        <v/>
      </c>
    </row>
    <row r="375">
      <c r="A375" s="68" t="n">
        <v>369</v>
      </c>
      <c r="B375">
        <f>IFERROR(MATCH(A375,'Work Orders'!$AO$11:$AO$1010,0),"")</f>
        <v/>
      </c>
      <c r="C375" s="43">
        <f>IF($B375="","",IF(INDEX('Work Orders'!$A$11:$A$1010,$B375)="","",INDEX('Work Orders'!$A$11:$A$1010,$B375)))</f>
        <v/>
      </c>
      <c r="D375" s="43">
        <f>IF($B375="","",IF(INDEX('Work Orders'!$B$11:$B$1010,$B375)="","",INDEX('Work Orders'!$B$11:$B$1010,$B375)))</f>
        <v/>
      </c>
      <c r="E375" s="43">
        <f>IF($B375="","",IF(INDEX('Work Orders'!$D$11:$D$1010,$B375)="","",INDEX('Work Orders'!$D$11:$D$1010,$B375)))</f>
        <v/>
      </c>
      <c r="F375" s="43">
        <f>IF($B375="","",IF(INDEX('Work Orders'!$Q$11:$Q$1010,$B375)="","",INDEX('Work Orders'!$Q$11:$Q$1010,$B375)))</f>
        <v/>
      </c>
      <c r="G375" s="43">
        <f>IF($B375="","",IF(INDEX('Work Orders'!$V$11:$V$1010,$B375)="","",INDEX('Work Orders'!$V$11:$V$1010,$B375)))</f>
        <v/>
      </c>
      <c r="H375" s="47">
        <f>IF($B375="","",IF(INDEX('Work Orders'!$U$11:$U$1010,$B375)="","",INDEX('Work Orders'!$U$11:$U$1010,$B375)))</f>
        <v/>
      </c>
      <c r="I375" s="47">
        <f>IF($B375="","",IF(INDEX('Work Orders'!$X$11:$X$1010,$B375)="","",INDEX('Work Orders'!$X$11:$X$1010,$B375)))</f>
        <v/>
      </c>
      <c r="J375" s="44">
        <f>IF($B375="","",IF(INDEX('Work Orders'!$Z$11:$Z$1010,$B375)="","",INDEX('Work Orders'!$Z$11:$Z$1010,$B375)))</f>
        <v/>
      </c>
      <c r="K375" s="44">
        <f>IF($B375="","",IF(INDEX('Work Orders'!$AG$11:$AG$1010,$B375)="","",INDEX('Work Orders'!$AG$11:$AG$1010,$B375)))</f>
        <v/>
      </c>
      <c r="L375" s="44">
        <f>IF($B375="","",IF(INDEX('Work Orders'!$AH$11:$AH$1010,$B375)="","",INDEX('Work Orders'!$AH$11:$AH$1010,$B375)))</f>
        <v/>
      </c>
      <c r="M375" s="46">
        <f>IF($B375="","",IF(INDEX('Work Orders'!$AM$11:$AM$1010,$B375)="","",INDEX('Work Orders'!$AM$11:$AM$1010,$B375)))</f>
        <v/>
      </c>
      <c r="N375" s="43">
        <f>IF($B375="","",IF(INDEX('Work Orders'!$AL$11:$AL$1010,$B375)="","",INDEX('Work Orders'!$AL$11:$AL$1010,$B375)))</f>
        <v/>
      </c>
      <c r="O375" s="43">
        <f>IF($B375="","",IF(INDEX('Work Orders'!$N$11:$N$1010,$B375)="","",INDEX('Work Orders'!$N$11:$N$1010,$B375)))</f>
        <v/>
      </c>
    </row>
    <row r="376">
      <c r="A376" s="68" t="n">
        <v>370</v>
      </c>
      <c r="B376">
        <f>IFERROR(MATCH(A376,'Work Orders'!$AO$11:$AO$1010,0),"")</f>
        <v/>
      </c>
      <c r="C376" s="43">
        <f>IF($B376="","",IF(INDEX('Work Orders'!$A$11:$A$1010,$B376)="","",INDEX('Work Orders'!$A$11:$A$1010,$B376)))</f>
        <v/>
      </c>
      <c r="D376" s="43">
        <f>IF($B376="","",IF(INDEX('Work Orders'!$B$11:$B$1010,$B376)="","",INDEX('Work Orders'!$B$11:$B$1010,$B376)))</f>
        <v/>
      </c>
      <c r="E376" s="43">
        <f>IF($B376="","",IF(INDEX('Work Orders'!$D$11:$D$1010,$B376)="","",INDEX('Work Orders'!$D$11:$D$1010,$B376)))</f>
        <v/>
      </c>
      <c r="F376" s="43">
        <f>IF($B376="","",IF(INDEX('Work Orders'!$Q$11:$Q$1010,$B376)="","",INDEX('Work Orders'!$Q$11:$Q$1010,$B376)))</f>
        <v/>
      </c>
      <c r="G376" s="43">
        <f>IF($B376="","",IF(INDEX('Work Orders'!$V$11:$V$1010,$B376)="","",INDEX('Work Orders'!$V$11:$V$1010,$B376)))</f>
        <v/>
      </c>
      <c r="H376" s="47">
        <f>IF($B376="","",IF(INDEX('Work Orders'!$U$11:$U$1010,$B376)="","",INDEX('Work Orders'!$U$11:$U$1010,$B376)))</f>
        <v/>
      </c>
      <c r="I376" s="47">
        <f>IF($B376="","",IF(INDEX('Work Orders'!$X$11:$X$1010,$B376)="","",INDEX('Work Orders'!$X$11:$X$1010,$B376)))</f>
        <v/>
      </c>
      <c r="J376" s="44">
        <f>IF($B376="","",IF(INDEX('Work Orders'!$Z$11:$Z$1010,$B376)="","",INDEX('Work Orders'!$Z$11:$Z$1010,$B376)))</f>
        <v/>
      </c>
      <c r="K376" s="44">
        <f>IF($B376="","",IF(INDEX('Work Orders'!$AG$11:$AG$1010,$B376)="","",INDEX('Work Orders'!$AG$11:$AG$1010,$B376)))</f>
        <v/>
      </c>
      <c r="L376" s="44">
        <f>IF($B376="","",IF(INDEX('Work Orders'!$AH$11:$AH$1010,$B376)="","",INDEX('Work Orders'!$AH$11:$AH$1010,$B376)))</f>
        <v/>
      </c>
      <c r="M376" s="46">
        <f>IF($B376="","",IF(INDEX('Work Orders'!$AM$11:$AM$1010,$B376)="","",INDEX('Work Orders'!$AM$11:$AM$1010,$B376)))</f>
        <v/>
      </c>
      <c r="N376" s="43">
        <f>IF($B376="","",IF(INDEX('Work Orders'!$AL$11:$AL$1010,$B376)="","",INDEX('Work Orders'!$AL$11:$AL$1010,$B376)))</f>
        <v/>
      </c>
      <c r="O376" s="43">
        <f>IF($B376="","",IF(INDEX('Work Orders'!$N$11:$N$1010,$B376)="","",INDEX('Work Orders'!$N$11:$N$1010,$B376)))</f>
        <v/>
      </c>
    </row>
    <row r="377">
      <c r="A377" s="68" t="n">
        <v>371</v>
      </c>
      <c r="B377">
        <f>IFERROR(MATCH(A377,'Work Orders'!$AO$11:$AO$1010,0),"")</f>
        <v/>
      </c>
      <c r="C377" s="43">
        <f>IF($B377="","",IF(INDEX('Work Orders'!$A$11:$A$1010,$B377)="","",INDEX('Work Orders'!$A$11:$A$1010,$B377)))</f>
        <v/>
      </c>
      <c r="D377" s="43">
        <f>IF($B377="","",IF(INDEX('Work Orders'!$B$11:$B$1010,$B377)="","",INDEX('Work Orders'!$B$11:$B$1010,$B377)))</f>
        <v/>
      </c>
      <c r="E377" s="43">
        <f>IF($B377="","",IF(INDEX('Work Orders'!$D$11:$D$1010,$B377)="","",INDEX('Work Orders'!$D$11:$D$1010,$B377)))</f>
        <v/>
      </c>
      <c r="F377" s="43">
        <f>IF($B377="","",IF(INDEX('Work Orders'!$Q$11:$Q$1010,$B377)="","",INDEX('Work Orders'!$Q$11:$Q$1010,$B377)))</f>
        <v/>
      </c>
      <c r="G377" s="43">
        <f>IF($B377="","",IF(INDEX('Work Orders'!$V$11:$V$1010,$B377)="","",INDEX('Work Orders'!$V$11:$V$1010,$B377)))</f>
        <v/>
      </c>
      <c r="H377" s="47">
        <f>IF($B377="","",IF(INDEX('Work Orders'!$U$11:$U$1010,$B377)="","",INDEX('Work Orders'!$U$11:$U$1010,$B377)))</f>
        <v/>
      </c>
      <c r="I377" s="47">
        <f>IF($B377="","",IF(INDEX('Work Orders'!$X$11:$X$1010,$B377)="","",INDEX('Work Orders'!$X$11:$X$1010,$B377)))</f>
        <v/>
      </c>
      <c r="J377" s="44">
        <f>IF($B377="","",IF(INDEX('Work Orders'!$Z$11:$Z$1010,$B377)="","",INDEX('Work Orders'!$Z$11:$Z$1010,$B377)))</f>
        <v/>
      </c>
      <c r="K377" s="44">
        <f>IF($B377="","",IF(INDEX('Work Orders'!$AG$11:$AG$1010,$B377)="","",INDEX('Work Orders'!$AG$11:$AG$1010,$B377)))</f>
        <v/>
      </c>
      <c r="L377" s="44">
        <f>IF($B377="","",IF(INDEX('Work Orders'!$AH$11:$AH$1010,$B377)="","",INDEX('Work Orders'!$AH$11:$AH$1010,$B377)))</f>
        <v/>
      </c>
      <c r="M377" s="46">
        <f>IF($B377="","",IF(INDEX('Work Orders'!$AM$11:$AM$1010,$B377)="","",INDEX('Work Orders'!$AM$11:$AM$1010,$B377)))</f>
        <v/>
      </c>
      <c r="N377" s="43">
        <f>IF($B377="","",IF(INDEX('Work Orders'!$AL$11:$AL$1010,$B377)="","",INDEX('Work Orders'!$AL$11:$AL$1010,$B377)))</f>
        <v/>
      </c>
      <c r="O377" s="43">
        <f>IF($B377="","",IF(INDEX('Work Orders'!$N$11:$N$1010,$B377)="","",INDEX('Work Orders'!$N$11:$N$1010,$B377)))</f>
        <v/>
      </c>
    </row>
    <row r="378">
      <c r="A378" s="68" t="n">
        <v>372</v>
      </c>
      <c r="B378">
        <f>IFERROR(MATCH(A378,'Work Orders'!$AO$11:$AO$1010,0),"")</f>
        <v/>
      </c>
      <c r="C378" s="43">
        <f>IF($B378="","",IF(INDEX('Work Orders'!$A$11:$A$1010,$B378)="","",INDEX('Work Orders'!$A$11:$A$1010,$B378)))</f>
        <v/>
      </c>
      <c r="D378" s="43">
        <f>IF($B378="","",IF(INDEX('Work Orders'!$B$11:$B$1010,$B378)="","",INDEX('Work Orders'!$B$11:$B$1010,$B378)))</f>
        <v/>
      </c>
      <c r="E378" s="43">
        <f>IF($B378="","",IF(INDEX('Work Orders'!$D$11:$D$1010,$B378)="","",INDEX('Work Orders'!$D$11:$D$1010,$B378)))</f>
        <v/>
      </c>
      <c r="F378" s="43">
        <f>IF($B378="","",IF(INDEX('Work Orders'!$Q$11:$Q$1010,$B378)="","",INDEX('Work Orders'!$Q$11:$Q$1010,$B378)))</f>
        <v/>
      </c>
      <c r="G378" s="43">
        <f>IF($B378="","",IF(INDEX('Work Orders'!$V$11:$V$1010,$B378)="","",INDEX('Work Orders'!$V$11:$V$1010,$B378)))</f>
        <v/>
      </c>
      <c r="H378" s="47">
        <f>IF($B378="","",IF(INDEX('Work Orders'!$U$11:$U$1010,$B378)="","",INDEX('Work Orders'!$U$11:$U$1010,$B378)))</f>
        <v/>
      </c>
      <c r="I378" s="47">
        <f>IF($B378="","",IF(INDEX('Work Orders'!$X$11:$X$1010,$B378)="","",INDEX('Work Orders'!$X$11:$X$1010,$B378)))</f>
        <v/>
      </c>
      <c r="J378" s="44">
        <f>IF($B378="","",IF(INDEX('Work Orders'!$Z$11:$Z$1010,$B378)="","",INDEX('Work Orders'!$Z$11:$Z$1010,$B378)))</f>
        <v/>
      </c>
      <c r="K378" s="44">
        <f>IF($B378="","",IF(INDEX('Work Orders'!$AG$11:$AG$1010,$B378)="","",INDEX('Work Orders'!$AG$11:$AG$1010,$B378)))</f>
        <v/>
      </c>
      <c r="L378" s="44">
        <f>IF($B378="","",IF(INDEX('Work Orders'!$AH$11:$AH$1010,$B378)="","",INDEX('Work Orders'!$AH$11:$AH$1010,$B378)))</f>
        <v/>
      </c>
      <c r="M378" s="46">
        <f>IF($B378="","",IF(INDEX('Work Orders'!$AM$11:$AM$1010,$B378)="","",INDEX('Work Orders'!$AM$11:$AM$1010,$B378)))</f>
        <v/>
      </c>
      <c r="N378" s="43">
        <f>IF($B378="","",IF(INDEX('Work Orders'!$AL$11:$AL$1010,$B378)="","",INDEX('Work Orders'!$AL$11:$AL$1010,$B378)))</f>
        <v/>
      </c>
      <c r="O378" s="43">
        <f>IF($B378="","",IF(INDEX('Work Orders'!$N$11:$N$1010,$B378)="","",INDEX('Work Orders'!$N$11:$N$1010,$B378)))</f>
        <v/>
      </c>
    </row>
    <row r="379">
      <c r="A379" s="68" t="n">
        <v>373</v>
      </c>
      <c r="B379">
        <f>IFERROR(MATCH(A379,'Work Orders'!$AO$11:$AO$1010,0),"")</f>
        <v/>
      </c>
      <c r="C379" s="43">
        <f>IF($B379="","",IF(INDEX('Work Orders'!$A$11:$A$1010,$B379)="","",INDEX('Work Orders'!$A$11:$A$1010,$B379)))</f>
        <v/>
      </c>
      <c r="D379" s="43">
        <f>IF($B379="","",IF(INDEX('Work Orders'!$B$11:$B$1010,$B379)="","",INDEX('Work Orders'!$B$11:$B$1010,$B379)))</f>
        <v/>
      </c>
      <c r="E379" s="43">
        <f>IF($B379="","",IF(INDEX('Work Orders'!$D$11:$D$1010,$B379)="","",INDEX('Work Orders'!$D$11:$D$1010,$B379)))</f>
        <v/>
      </c>
      <c r="F379" s="43">
        <f>IF($B379="","",IF(INDEX('Work Orders'!$Q$11:$Q$1010,$B379)="","",INDEX('Work Orders'!$Q$11:$Q$1010,$B379)))</f>
        <v/>
      </c>
      <c r="G379" s="43">
        <f>IF($B379="","",IF(INDEX('Work Orders'!$V$11:$V$1010,$B379)="","",INDEX('Work Orders'!$V$11:$V$1010,$B379)))</f>
        <v/>
      </c>
      <c r="H379" s="47">
        <f>IF($B379="","",IF(INDEX('Work Orders'!$U$11:$U$1010,$B379)="","",INDEX('Work Orders'!$U$11:$U$1010,$B379)))</f>
        <v/>
      </c>
      <c r="I379" s="47">
        <f>IF($B379="","",IF(INDEX('Work Orders'!$X$11:$X$1010,$B379)="","",INDEX('Work Orders'!$X$11:$X$1010,$B379)))</f>
        <v/>
      </c>
      <c r="J379" s="44">
        <f>IF($B379="","",IF(INDEX('Work Orders'!$Z$11:$Z$1010,$B379)="","",INDEX('Work Orders'!$Z$11:$Z$1010,$B379)))</f>
        <v/>
      </c>
      <c r="K379" s="44">
        <f>IF($B379="","",IF(INDEX('Work Orders'!$AG$11:$AG$1010,$B379)="","",INDEX('Work Orders'!$AG$11:$AG$1010,$B379)))</f>
        <v/>
      </c>
      <c r="L379" s="44">
        <f>IF($B379="","",IF(INDEX('Work Orders'!$AH$11:$AH$1010,$B379)="","",INDEX('Work Orders'!$AH$11:$AH$1010,$B379)))</f>
        <v/>
      </c>
      <c r="M379" s="46">
        <f>IF($B379="","",IF(INDEX('Work Orders'!$AM$11:$AM$1010,$B379)="","",INDEX('Work Orders'!$AM$11:$AM$1010,$B379)))</f>
        <v/>
      </c>
      <c r="N379" s="43">
        <f>IF($B379="","",IF(INDEX('Work Orders'!$AL$11:$AL$1010,$B379)="","",INDEX('Work Orders'!$AL$11:$AL$1010,$B379)))</f>
        <v/>
      </c>
      <c r="O379" s="43">
        <f>IF($B379="","",IF(INDEX('Work Orders'!$N$11:$N$1010,$B379)="","",INDEX('Work Orders'!$N$11:$N$1010,$B379)))</f>
        <v/>
      </c>
    </row>
    <row r="380">
      <c r="A380" s="68" t="n">
        <v>374</v>
      </c>
      <c r="B380">
        <f>IFERROR(MATCH(A380,'Work Orders'!$AO$11:$AO$1010,0),"")</f>
        <v/>
      </c>
      <c r="C380" s="43">
        <f>IF($B380="","",IF(INDEX('Work Orders'!$A$11:$A$1010,$B380)="","",INDEX('Work Orders'!$A$11:$A$1010,$B380)))</f>
        <v/>
      </c>
      <c r="D380" s="43">
        <f>IF($B380="","",IF(INDEX('Work Orders'!$B$11:$B$1010,$B380)="","",INDEX('Work Orders'!$B$11:$B$1010,$B380)))</f>
        <v/>
      </c>
      <c r="E380" s="43">
        <f>IF($B380="","",IF(INDEX('Work Orders'!$D$11:$D$1010,$B380)="","",INDEX('Work Orders'!$D$11:$D$1010,$B380)))</f>
        <v/>
      </c>
      <c r="F380" s="43">
        <f>IF($B380="","",IF(INDEX('Work Orders'!$Q$11:$Q$1010,$B380)="","",INDEX('Work Orders'!$Q$11:$Q$1010,$B380)))</f>
        <v/>
      </c>
      <c r="G380" s="43">
        <f>IF($B380="","",IF(INDEX('Work Orders'!$V$11:$V$1010,$B380)="","",INDEX('Work Orders'!$V$11:$V$1010,$B380)))</f>
        <v/>
      </c>
      <c r="H380" s="47">
        <f>IF($B380="","",IF(INDEX('Work Orders'!$U$11:$U$1010,$B380)="","",INDEX('Work Orders'!$U$11:$U$1010,$B380)))</f>
        <v/>
      </c>
      <c r="I380" s="47">
        <f>IF($B380="","",IF(INDEX('Work Orders'!$X$11:$X$1010,$B380)="","",INDEX('Work Orders'!$X$11:$X$1010,$B380)))</f>
        <v/>
      </c>
      <c r="J380" s="44">
        <f>IF($B380="","",IF(INDEX('Work Orders'!$Z$11:$Z$1010,$B380)="","",INDEX('Work Orders'!$Z$11:$Z$1010,$B380)))</f>
        <v/>
      </c>
      <c r="K380" s="44">
        <f>IF($B380="","",IF(INDEX('Work Orders'!$AG$11:$AG$1010,$B380)="","",INDEX('Work Orders'!$AG$11:$AG$1010,$B380)))</f>
        <v/>
      </c>
      <c r="L380" s="44">
        <f>IF($B380="","",IF(INDEX('Work Orders'!$AH$11:$AH$1010,$B380)="","",INDEX('Work Orders'!$AH$11:$AH$1010,$B380)))</f>
        <v/>
      </c>
      <c r="M380" s="46">
        <f>IF($B380="","",IF(INDEX('Work Orders'!$AM$11:$AM$1010,$B380)="","",INDEX('Work Orders'!$AM$11:$AM$1010,$B380)))</f>
        <v/>
      </c>
      <c r="N380" s="43">
        <f>IF($B380="","",IF(INDEX('Work Orders'!$AL$11:$AL$1010,$B380)="","",INDEX('Work Orders'!$AL$11:$AL$1010,$B380)))</f>
        <v/>
      </c>
      <c r="O380" s="43">
        <f>IF($B380="","",IF(INDEX('Work Orders'!$N$11:$N$1010,$B380)="","",INDEX('Work Orders'!$N$11:$N$1010,$B380)))</f>
        <v/>
      </c>
    </row>
    <row r="381">
      <c r="A381" s="68" t="n">
        <v>375</v>
      </c>
      <c r="B381">
        <f>IFERROR(MATCH(A381,'Work Orders'!$AO$11:$AO$1010,0),"")</f>
        <v/>
      </c>
      <c r="C381" s="43">
        <f>IF($B381="","",IF(INDEX('Work Orders'!$A$11:$A$1010,$B381)="","",INDEX('Work Orders'!$A$11:$A$1010,$B381)))</f>
        <v/>
      </c>
      <c r="D381" s="43">
        <f>IF($B381="","",IF(INDEX('Work Orders'!$B$11:$B$1010,$B381)="","",INDEX('Work Orders'!$B$11:$B$1010,$B381)))</f>
        <v/>
      </c>
      <c r="E381" s="43">
        <f>IF($B381="","",IF(INDEX('Work Orders'!$D$11:$D$1010,$B381)="","",INDEX('Work Orders'!$D$11:$D$1010,$B381)))</f>
        <v/>
      </c>
      <c r="F381" s="43">
        <f>IF($B381="","",IF(INDEX('Work Orders'!$Q$11:$Q$1010,$B381)="","",INDEX('Work Orders'!$Q$11:$Q$1010,$B381)))</f>
        <v/>
      </c>
      <c r="G381" s="43">
        <f>IF($B381="","",IF(INDEX('Work Orders'!$V$11:$V$1010,$B381)="","",INDEX('Work Orders'!$V$11:$V$1010,$B381)))</f>
        <v/>
      </c>
      <c r="H381" s="47">
        <f>IF($B381="","",IF(INDEX('Work Orders'!$U$11:$U$1010,$B381)="","",INDEX('Work Orders'!$U$11:$U$1010,$B381)))</f>
        <v/>
      </c>
      <c r="I381" s="47">
        <f>IF($B381="","",IF(INDEX('Work Orders'!$X$11:$X$1010,$B381)="","",INDEX('Work Orders'!$X$11:$X$1010,$B381)))</f>
        <v/>
      </c>
      <c r="J381" s="44">
        <f>IF($B381="","",IF(INDEX('Work Orders'!$Z$11:$Z$1010,$B381)="","",INDEX('Work Orders'!$Z$11:$Z$1010,$B381)))</f>
        <v/>
      </c>
      <c r="K381" s="44">
        <f>IF($B381="","",IF(INDEX('Work Orders'!$AG$11:$AG$1010,$B381)="","",INDEX('Work Orders'!$AG$11:$AG$1010,$B381)))</f>
        <v/>
      </c>
      <c r="L381" s="44">
        <f>IF($B381="","",IF(INDEX('Work Orders'!$AH$11:$AH$1010,$B381)="","",INDEX('Work Orders'!$AH$11:$AH$1010,$B381)))</f>
        <v/>
      </c>
      <c r="M381" s="46">
        <f>IF($B381="","",IF(INDEX('Work Orders'!$AM$11:$AM$1010,$B381)="","",INDEX('Work Orders'!$AM$11:$AM$1010,$B381)))</f>
        <v/>
      </c>
      <c r="N381" s="43">
        <f>IF($B381="","",IF(INDEX('Work Orders'!$AL$11:$AL$1010,$B381)="","",INDEX('Work Orders'!$AL$11:$AL$1010,$B381)))</f>
        <v/>
      </c>
      <c r="O381" s="43">
        <f>IF($B381="","",IF(INDEX('Work Orders'!$N$11:$N$1010,$B381)="","",INDEX('Work Orders'!$N$11:$N$1010,$B381)))</f>
        <v/>
      </c>
    </row>
    <row r="382">
      <c r="A382" s="68" t="n">
        <v>376</v>
      </c>
      <c r="B382">
        <f>IFERROR(MATCH(A382,'Work Orders'!$AO$11:$AO$1010,0),"")</f>
        <v/>
      </c>
      <c r="C382" s="43">
        <f>IF($B382="","",IF(INDEX('Work Orders'!$A$11:$A$1010,$B382)="","",INDEX('Work Orders'!$A$11:$A$1010,$B382)))</f>
        <v/>
      </c>
      <c r="D382" s="43">
        <f>IF($B382="","",IF(INDEX('Work Orders'!$B$11:$B$1010,$B382)="","",INDEX('Work Orders'!$B$11:$B$1010,$B382)))</f>
        <v/>
      </c>
      <c r="E382" s="43">
        <f>IF($B382="","",IF(INDEX('Work Orders'!$D$11:$D$1010,$B382)="","",INDEX('Work Orders'!$D$11:$D$1010,$B382)))</f>
        <v/>
      </c>
      <c r="F382" s="43">
        <f>IF($B382="","",IF(INDEX('Work Orders'!$Q$11:$Q$1010,$B382)="","",INDEX('Work Orders'!$Q$11:$Q$1010,$B382)))</f>
        <v/>
      </c>
      <c r="G382" s="43">
        <f>IF($B382="","",IF(INDEX('Work Orders'!$V$11:$V$1010,$B382)="","",INDEX('Work Orders'!$V$11:$V$1010,$B382)))</f>
        <v/>
      </c>
      <c r="H382" s="47">
        <f>IF($B382="","",IF(INDEX('Work Orders'!$U$11:$U$1010,$B382)="","",INDEX('Work Orders'!$U$11:$U$1010,$B382)))</f>
        <v/>
      </c>
      <c r="I382" s="47">
        <f>IF($B382="","",IF(INDEX('Work Orders'!$X$11:$X$1010,$B382)="","",INDEX('Work Orders'!$X$11:$X$1010,$B382)))</f>
        <v/>
      </c>
      <c r="J382" s="44">
        <f>IF($B382="","",IF(INDEX('Work Orders'!$Z$11:$Z$1010,$B382)="","",INDEX('Work Orders'!$Z$11:$Z$1010,$B382)))</f>
        <v/>
      </c>
      <c r="K382" s="44">
        <f>IF($B382="","",IF(INDEX('Work Orders'!$AG$11:$AG$1010,$B382)="","",INDEX('Work Orders'!$AG$11:$AG$1010,$B382)))</f>
        <v/>
      </c>
      <c r="L382" s="44">
        <f>IF($B382="","",IF(INDEX('Work Orders'!$AH$11:$AH$1010,$B382)="","",INDEX('Work Orders'!$AH$11:$AH$1010,$B382)))</f>
        <v/>
      </c>
      <c r="M382" s="46">
        <f>IF($B382="","",IF(INDEX('Work Orders'!$AM$11:$AM$1010,$B382)="","",INDEX('Work Orders'!$AM$11:$AM$1010,$B382)))</f>
        <v/>
      </c>
      <c r="N382" s="43">
        <f>IF($B382="","",IF(INDEX('Work Orders'!$AL$11:$AL$1010,$B382)="","",INDEX('Work Orders'!$AL$11:$AL$1010,$B382)))</f>
        <v/>
      </c>
      <c r="O382" s="43">
        <f>IF($B382="","",IF(INDEX('Work Orders'!$N$11:$N$1010,$B382)="","",INDEX('Work Orders'!$N$11:$N$1010,$B382)))</f>
        <v/>
      </c>
    </row>
    <row r="383">
      <c r="A383" s="68" t="n">
        <v>377</v>
      </c>
      <c r="B383">
        <f>IFERROR(MATCH(A383,'Work Orders'!$AO$11:$AO$1010,0),"")</f>
        <v/>
      </c>
      <c r="C383" s="43">
        <f>IF($B383="","",IF(INDEX('Work Orders'!$A$11:$A$1010,$B383)="","",INDEX('Work Orders'!$A$11:$A$1010,$B383)))</f>
        <v/>
      </c>
      <c r="D383" s="43">
        <f>IF($B383="","",IF(INDEX('Work Orders'!$B$11:$B$1010,$B383)="","",INDEX('Work Orders'!$B$11:$B$1010,$B383)))</f>
        <v/>
      </c>
      <c r="E383" s="43">
        <f>IF($B383="","",IF(INDEX('Work Orders'!$D$11:$D$1010,$B383)="","",INDEX('Work Orders'!$D$11:$D$1010,$B383)))</f>
        <v/>
      </c>
      <c r="F383" s="43">
        <f>IF($B383="","",IF(INDEX('Work Orders'!$Q$11:$Q$1010,$B383)="","",INDEX('Work Orders'!$Q$11:$Q$1010,$B383)))</f>
        <v/>
      </c>
      <c r="G383" s="43">
        <f>IF($B383="","",IF(INDEX('Work Orders'!$V$11:$V$1010,$B383)="","",INDEX('Work Orders'!$V$11:$V$1010,$B383)))</f>
        <v/>
      </c>
      <c r="H383" s="47">
        <f>IF($B383="","",IF(INDEX('Work Orders'!$U$11:$U$1010,$B383)="","",INDEX('Work Orders'!$U$11:$U$1010,$B383)))</f>
        <v/>
      </c>
      <c r="I383" s="47">
        <f>IF($B383="","",IF(INDEX('Work Orders'!$X$11:$X$1010,$B383)="","",INDEX('Work Orders'!$X$11:$X$1010,$B383)))</f>
        <v/>
      </c>
      <c r="J383" s="44">
        <f>IF($B383="","",IF(INDEX('Work Orders'!$Z$11:$Z$1010,$B383)="","",INDEX('Work Orders'!$Z$11:$Z$1010,$B383)))</f>
        <v/>
      </c>
      <c r="K383" s="44">
        <f>IF($B383="","",IF(INDEX('Work Orders'!$AG$11:$AG$1010,$B383)="","",INDEX('Work Orders'!$AG$11:$AG$1010,$B383)))</f>
        <v/>
      </c>
      <c r="L383" s="44">
        <f>IF($B383="","",IF(INDEX('Work Orders'!$AH$11:$AH$1010,$B383)="","",INDEX('Work Orders'!$AH$11:$AH$1010,$B383)))</f>
        <v/>
      </c>
      <c r="M383" s="46">
        <f>IF($B383="","",IF(INDEX('Work Orders'!$AM$11:$AM$1010,$B383)="","",INDEX('Work Orders'!$AM$11:$AM$1010,$B383)))</f>
        <v/>
      </c>
      <c r="N383" s="43">
        <f>IF($B383="","",IF(INDEX('Work Orders'!$AL$11:$AL$1010,$B383)="","",INDEX('Work Orders'!$AL$11:$AL$1010,$B383)))</f>
        <v/>
      </c>
      <c r="O383" s="43">
        <f>IF($B383="","",IF(INDEX('Work Orders'!$N$11:$N$1010,$B383)="","",INDEX('Work Orders'!$N$11:$N$1010,$B383)))</f>
        <v/>
      </c>
    </row>
    <row r="384">
      <c r="A384" s="68" t="n">
        <v>378</v>
      </c>
      <c r="B384">
        <f>IFERROR(MATCH(A384,'Work Orders'!$AO$11:$AO$1010,0),"")</f>
        <v/>
      </c>
      <c r="C384" s="43">
        <f>IF($B384="","",IF(INDEX('Work Orders'!$A$11:$A$1010,$B384)="","",INDEX('Work Orders'!$A$11:$A$1010,$B384)))</f>
        <v/>
      </c>
      <c r="D384" s="43">
        <f>IF($B384="","",IF(INDEX('Work Orders'!$B$11:$B$1010,$B384)="","",INDEX('Work Orders'!$B$11:$B$1010,$B384)))</f>
        <v/>
      </c>
      <c r="E384" s="43">
        <f>IF($B384="","",IF(INDEX('Work Orders'!$D$11:$D$1010,$B384)="","",INDEX('Work Orders'!$D$11:$D$1010,$B384)))</f>
        <v/>
      </c>
      <c r="F384" s="43">
        <f>IF($B384="","",IF(INDEX('Work Orders'!$Q$11:$Q$1010,$B384)="","",INDEX('Work Orders'!$Q$11:$Q$1010,$B384)))</f>
        <v/>
      </c>
      <c r="G384" s="43">
        <f>IF($B384="","",IF(INDEX('Work Orders'!$V$11:$V$1010,$B384)="","",INDEX('Work Orders'!$V$11:$V$1010,$B384)))</f>
        <v/>
      </c>
      <c r="H384" s="47">
        <f>IF($B384="","",IF(INDEX('Work Orders'!$U$11:$U$1010,$B384)="","",INDEX('Work Orders'!$U$11:$U$1010,$B384)))</f>
        <v/>
      </c>
      <c r="I384" s="47">
        <f>IF($B384="","",IF(INDEX('Work Orders'!$X$11:$X$1010,$B384)="","",INDEX('Work Orders'!$X$11:$X$1010,$B384)))</f>
        <v/>
      </c>
      <c r="J384" s="44">
        <f>IF($B384="","",IF(INDEX('Work Orders'!$Z$11:$Z$1010,$B384)="","",INDEX('Work Orders'!$Z$11:$Z$1010,$B384)))</f>
        <v/>
      </c>
      <c r="K384" s="44">
        <f>IF($B384="","",IF(INDEX('Work Orders'!$AG$11:$AG$1010,$B384)="","",INDEX('Work Orders'!$AG$11:$AG$1010,$B384)))</f>
        <v/>
      </c>
      <c r="L384" s="44">
        <f>IF($B384="","",IF(INDEX('Work Orders'!$AH$11:$AH$1010,$B384)="","",INDEX('Work Orders'!$AH$11:$AH$1010,$B384)))</f>
        <v/>
      </c>
      <c r="M384" s="46">
        <f>IF($B384="","",IF(INDEX('Work Orders'!$AM$11:$AM$1010,$B384)="","",INDEX('Work Orders'!$AM$11:$AM$1010,$B384)))</f>
        <v/>
      </c>
      <c r="N384" s="43">
        <f>IF($B384="","",IF(INDEX('Work Orders'!$AL$11:$AL$1010,$B384)="","",INDEX('Work Orders'!$AL$11:$AL$1010,$B384)))</f>
        <v/>
      </c>
      <c r="O384" s="43">
        <f>IF($B384="","",IF(INDEX('Work Orders'!$N$11:$N$1010,$B384)="","",INDEX('Work Orders'!$N$11:$N$1010,$B384)))</f>
        <v/>
      </c>
    </row>
    <row r="385">
      <c r="A385" s="68" t="n">
        <v>379</v>
      </c>
      <c r="B385">
        <f>IFERROR(MATCH(A385,'Work Orders'!$AO$11:$AO$1010,0),"")</f>
        <v/>
      </c>
      <c r="C385" s="43">
        <f>IF($B385="","",IF(INDEX('Work Orders'!$A$11:$A$1010,$B385)="","",INDEX('Work Orders'!$A$11:$A$1010,$B385)))</f>
        <v/>
      </c>
      <c r="D385" s="43">
        <f>IF($B385="","",IF(INDEX('Work Orders'!$B$11:$B$1010,$B385)="","",INDEX('Work Orders'!$B$11:$B$1010,$B385)))</f>
        <v/>
      </c>
      <c r="E385" s="43">
        <f>IF($B385="","",IF(INDEX('Work Orders'!$D$11:$D$1010,$B385)="","",INDEX('Work Orders'!$D$11:$D$1010,$B385)))</f>
        <v/>
      </c>
      <c r="F385" s="43">
        <f>IF($B385="","",IF(INDEX('Work Orders'!$Q$11:$Q$1010,$B385)="","",INDEX('Work Orders'!$Q$11:$Q$1010,$B385)))</f>
        <v/>
      </c>
      <c r="G385" s="43">
        <f>IF($B385="","",IF(INDEX('Work Orders'!$V$11:$V$1010,$B385)="","",INDEX('Work Orders'!$V$11:$V$1010,$B385)))</f>
        <v/>
      </c>
      <c r="H385" s="47">
        <f>IF($B385="","",IF(INDEX('Work Orders'!$U$11:$U$1010,$B385)="","",INDEX('Work Orders'!$U$11:$U$1010,$B385)))</f>
        <v/>
      </c>
      <c r="I385" s="47">
        <f>IF($B385="","",IF(INDEX('Work Orders'!$X$11:$X$1010,$B385)="","",INDEX('Work Orders'!$X$11:$X$1010,$B385)))</f>
        <v/>
      </c>
      <c r="J385" s="44">
        <f>IF($B385="","",IF(INDEX('Work Orders'!$Z$11:$Z$1010,$B385)="","",INDEX('Work Orders'!$Z$11:$Z$1010,$B385)))</f>
        <v/>
      </c>
      <c r="K385" s="44">
        <f>IF($B385="","",IF(INDEX('Work Orders'!$AG$11:$AG$1010,$B385)="","",INDEX('Work Orders'!$AG$11:$AG$1010,$B385)))</f>
        <v/>
      </c>
      <c r="L385" s="44">
        <f>IF($B385="","",IF(INDEX('Work Orders'!$AH$11:$AH$1010,$B385)="","",INDEX('Work Orders'!$AH$11:$AH$1010,$B385)))</f>
        <v/>
      </c>
      <c r="M385" s="46">
        <f>IF($B385="","",IF(INDEX('Work Orders'!$AM$11:$AM$1010,$B385)="","",INDEX('Work Orders'!$AM$11:$AM$1010,$B385)))</f>
        <v/>
      </c>
      <c r="N385" s="43">
        <f>IF($B385="","",IF(INDEX('Work Orders'!$AL$11:$AL$1010,$B385)="","",INDEX('Work Orders'!$AL$11:$AL$1010,$B385)))</f>
        <v/>
      </c>
      <c r="O385" s="43">
        <f>IF($B385="","",IF(INDEX('Work Orders'!$N$11:$N$1010,$B385)="","",INDEX('Work Orders'!$N$11:$N$1010,$B385)))</f>
        <v/>
      </c>
    </row>
    <row r="386">
      <c r="A386" s="68" t="n">
        <v>380</v>
      </c>
      <c r="B386">
        <f>IFERROR(MATCH(A386,'Work Orders'!$AO$11:$AO$1010,0),"")</f>
        <v/>
      </c>
      <c r="C386" s="43">
        <f>IF($B386="","",IF(INDEX('Work Orders'!$A$11:$A$1010,$B386)="","",INDEX('Work Orders'!$A$11:$A$1010,$B386)))</f>
        <v/>
      </c>
      <c r="D386" s="43">
        <f>IF($B386="","",IF(INDEX('Work Orders'!$B$11:$B$1010,$B386)="","",INDEX('Work Orders'!$B$11:$B$1010,$B386)))</f>
        <v/>
      </c>
      <c r="E386" s="43">
        <f>IF($B386="","",IF(INDEX('Work Orders'!$D$11:$D$1010,$B386)="","",INDEX('Work Orders'!$D$11:$D$1010,$B386)))</f>
        <v/>
      </c>
      <c r="F386" s="43">
        <f>IF($B386="","",IF(INDEX('Work Orders'!$Q$11:$Q$1010,$B386)="","",INDEX('Work Orders'!$Q$11:$Q$1010,$B386)))</f>
        <v/>
      </c>
      <c r="G386" s="43">
        <f>IF($B386="","",IF(INDEX('Work Orders'!$V$11:$V$1010,$B386)="","",INDEX('Work Orders'!$V$11:$V$1010,$B386)))</f>
        <v/>
      </c>
      <c r="H386" s="47">
        <f>IF($B386="","",IF(INDEX('Work Orders'!$U$11:$U$1010,$B386)="","",INDEX('Work Orders'!$U$11:$U$1010,$B386)))</f>
        <v/>
      </c>
      <c r="I386" s="47">
        <f>IF($B386="","",IF(INDEX('Work Orders'!$X$11:$X$1010,$B386)="","",INDEX('Work Orders'!$X$11:$X$1010,$B386)))</f>
        <v/>
      </c>
      <c r="J386" s="44">
        <f>IF($B386="","",IF(INDEX('Work Orders'!$Z$11:$Z$1010,$B386)="","",INDEX('Work Orders'!$Z$11:$Z$1010,$B386)))</f>
        <v/>
      </c>
      <c r="K386" s="44">
        <f>IF($B386="","",IF(INDEX('Work Orders'!$AG$11:$AG$1010,$B386)="","",INDEX('Work Orders'!$AG$11:$AG$1010,$B386)))</f>
        <v/>
      </c>
      <c r="L386" s="44">
        <f>IF($B386="","",IF(INDEX('Work Orders'!$AH$11:$AH$1010,$B386)="","",INDEX('Work Orders'!$AH$11:$AH$1010,$B386)))</f>
        <v/>
      </c>
      <c r="M386" s="46">
        <f>IF($B386="","",IF(INDEX('Work Orders'!$AM$11:$AM$1010,$B386)="","",INDEX('Work Orders'!$AM$11:$AM$1010,$B386)))</f>
        <v/>
      </c>
      <c r="N386" s="43">
        <f>IF($B386="","",IF(INDEX('Work Orders'!$AL$11:$AL$1010,$B386)="","",INDEX('Work Orders'!$AL$11:$AL$1010,$B386)))</f>
        <v/>
      </c>
      <c r="O386" s="43">
        <f>IF($B386="","",IF(INDEX('Work Orders'!$N$11:$N$1010,$B386)="","",INDEX('Work Orders'!$N$11:$N$1010,$B386)))</f>
        <v/>
      </c>
    </row>
    <row r="387">
      <c r="A387" s="68" t="n">
        <v>381</v>
      </c>
      <c r="B387">
        <f>IFERROR(MATCH(A387,'Work Orders'!$AO$11:$AO$1010,0),"")</f>
        <v/>
      </c>
      <c r="C387" s="43">
        <f>IF($B387="","",IF(INDEX('Work Orders'!$A$11:$A$1010,$B387)="","",INDEX('Work Orders'!$A$11:$A$1010,$B387)))</f>
        <v/>
      </c>
      <c r="D387" s="43">
        <f>IF($B387="","",IF(INDEX('Work Orders'!$B$11:$B$1010,$B387)="","",INDEX('Work Orders'!$B$11:$B$1010,$B387)))</f>
        <v/>
      </c>
      <c r="E387" s="43">
        <f>IF($B387="","",IF(INDEX('Work Orders'!$D$11:$D$1010,$B387)="","",INDEX('Work Orders'!$D$11:$D$1010,$B387)))</f>
        <v/>
      </c>
      <c r="F387" s="43">
        <f>IF($B387="","",IF(INDEX('Work Orders'!$Q$11:$Q$1010,$B387)="","",INDEX('Work Orders'!$Q$11:$Q$1010,$B387)))</f>
        <v/>
      </c>
      <c r="G387" s="43">
        <f>IF($B387="","",IF(INDEX('Work Orders'!$V$11:$V$1010,$B387)="","",INDEX('Work Orders'!$V$11:$V$1010,$B387)))</f>
        <v/>
      </c>
      <c r="H387" s="47">
        <f>IF($B387="","",IF(INDEX('Work Orders'!$U$11:$U$1010,$B387)="","",INDEX('Work Orders'!$U$11:$U$1010,$B387)))</f>
        <v/>
      </c>
      <c r="I387" s="47">
        <f>IF($B387="","",IF(INDEX('Work Orders'!$X$11:$X$1010,$B387)="","",INDEX('Work Orders'!$X$11:$X$1010,$B387)))</f>
        <v/>
      </c>
      <c r="J387" s="44">
        <f>IF($B387="","",IF(INDEX('Work Orders'!$Z$11:$Z$1010,$B387)="","",INDEX('Work Orders'!$Z$11:$Z$1010,$B387)))</f>
        <v/>
      </c>
      <c r="K387" s="44">
        <f>IF($B387="","",IF(INDEX('Work Orders'!$AG$11:$AG$1010,$B387)="","",INDEX('Work Orders'!$AG$11:$AG$1010,$B387)))</f>
        <v/>
      </c>
      <c r="L387" s="44">
        <f>IF($B387="","",IF(INDEX('Work Orders'!$AH$11:$AH$1010,$B387)="","",INDEX('Work Orders'!$AH$11:$AH$1010,$B387)))</f>
        <v/>
      </c>
      <c r="M387" s="46">
        <f>IF($B387="","",IF(INDEX('Work Orders'!$AM$11:$AM$1010,$B387)="","",INDEX('Work Orders'!$AM$11:$AM$1010,$B387)))</f>
        <v/>
      </c>
      <c r="N387" s="43">
        <f>IF($B387="","",IF(INDEX('Work Orders'!$AL$11:$AL$1010,$B387)="","",INDEX('Work Orders'!$AL$11:$AL$1010,$B387)))</f>
        <v/>
      </c>
      <c r="O387" s="43">
        <f>IF($B387="","",IF(INDEX('Work Orders'!$N$11:$N$1010,$B387)="","",INDEX('Work Orders'!$N$11:$N$1010,$B387)))</f>
        <v/>
      </c>
    </row>
    <row r="388">
      <c r="A388" s="68" t="n">
        <v>382</v>
      </c>
      <c r="B388">
        <f>IFERROR(MATCH(A388,'Work Orders'!$AO$11:$AO$1010,0),"")</f>
        <v/>
      </c>
      <c r="C388" s="43">
        <f>IF($B388="","",IF(INDEX('Work Orders'!$A$11:$A$1010,$B388)="","",INDEX('Work Orders'!$A$11:$A$1010,$B388)))</f>
        <v/>
      </c>
      <c r="D388" s="43">
        <f>IF($B388="","",IF(INDEX('Work Orders'!$B$11:$B$1010,$B388)="","",INDEX('Work Orders'!$B$11:$B$1010,$B388)))</f>
        <v/>
      </c>
      <c r="E388" s="43">
        <f>IF($B388="","",IF(INDEX('Work Orders'!$D$11:$D$1010,$B388)="","",INDEX('Work Orders'!$D$11:$D$1010,$B388)))</f>
        <v/>
      </c>
      <c r="F388" s="43">
        <f>IF($B388="","",IF(INDEX('Work Orders'!$Q$11:$Q$1010,$B388)="","",INDEX('Work Orders'!$Q$11:$Q$1010,$B388)))</f>
        <v/>
      </c>
      <c r="G388" s="43">
        <f>IF($B388="","",IF(INDEX('Work Orders'!$V$11:$V$1010,$B388)="","",INDEX('Work Orders'!$V$11:$V$1010,$B388)))</f>
        <v/>
      </c>
      <c r="H388" s="47">
        <f>IF($B388="","",IF(INDEX('Work Orders'!$U$11:$U$1010,$B388)="","",INDEX('Work Orders'!$U$11:$U$1010,$B388)))</f>
        <v/>
      </c>
      <c r="I388" s="47">
        <f>IF($B388="","",IF(INDEX('Work Orders'!$X$11:$X$1010,$B388)="","",INDEX('Work Orders'!$X$11:$X$1010,$B388)))</f>
        <v/>
      </c>
      <c r="J388" s="44">
        <f>IF($B388="","",IF(INDEX('Work Orders'!$Z$11:$Z$1010,$B388)="","",INDEX('Work Orders'!$Z$11:$Z$1010,$B388)))</f>
        <v/>
      </c>
      <c r="K388" s="44">
        <f>IF($B388="","",IF(INDEX('Work Orders'!$AG$11:$AG$1010,$B388)="","",INDEX('Work Orders'!$AG$11:$AG$1010,$B388)))</f>
        <v/>
      </c>
      <c r="L388" s="44">
        <f>IF($B388="","",IF(INDEX('Work Orders'!$AH$11:$AH$1010,$B388)="","",INDEX('Work Orders'!$AH$11:$AH$1010,$B388)))</f>
        <v/>
      </c>
      <c r="M388" s="46">
        <f>IF($B388="","",IF(INDEX('Work Orders'!$AM$11:$AM$1010,$B388)="","",INDEX('Work Orders'!$AM$11:$AM$1010,$B388)))</f>
        <v/>
      </c>
      <c r="N388" s="43">
        <f>IF($B388="","",IF(INDEX('Work Orders'!$AL$11:$AL$1010,$B388)="","",INDEX('Work Orders'!$AL$11:$AL$1010,$B388)))</f>
        <v/>
      </c>
      <c r="O388" s="43">
        <f>IF($B388="","",IF(INDEX('Work Orders'!$N$11:$N$1010,$B388)="","",INDEX('Work Orders'!$N$11:$N$1010,$B388)))</f>
        <v/>
      </c>
    </row>
    <row r="389">
      <c r="A389" s="68" t="n">
        <v>383</v>
      </c>
      <c r="B389">
        <f>IFERROR(MATCH(A389,'Work Orders'!$AO$11:$AO$1010,0),"")</f>
        <v/>
      </c>
      <c r="C389" s="43">
        <f>IF($B389="","",IF(INDEX('Work Orders'!$A$11:$A$1010,$B389)="","",INDEX('Work Orders'!$A$11:$A$1010,$B389)))</f>
        <v/>
      </c>
      <c r="D389" s="43">
        <f>IF($B389="","",IF(INDEX('Work Orders'!$B$11:$B$1010,$B389)="","",INDEX('Work Orders'!$B$11:$B$1010,$B389)))</f>
        <v/>
      </c>
      <c r="E389" s="43">
        <f>IF($B389="","",IF(INDEX('Work Orders'!$D$11:$D$1010,$B389)="","",INDEX('Work Orders'!$D$11:$D$1010,$B389)))</f>
        <v/>
      </c>
      <c r="F389" s="43">
        <f>IF($B389="","",IF(INDEX('Work Orders'!$Q$11:$Q$1010,$B389)="","",INDEX('Work Orders'!$Q$11:$Q$1010,$B389)))</f>
        <v/>
      </c>
      <c r="G389" s="43">
        <f>IF($B389="","",IF(INDEX('Work Orders'!$V$11:$V$1010,$B389)="","",INDEX('Work Orders'!$V$11:$V$1010,$B389)))</f>
        <v/>
      </c>
      <c r="H389" s="47">
        <f>IF($B389="","",IF(INDEX('Work Orders'!$U$11:$U$1010,$B389)="","",INDEX('Work Orders'!$U$11:$U$1010,$B389)))</f>
        <v/>
      </c>
      <c r="I389" s="47">
        <f>IF($B389="","",IF(INDEX('Work Orders'!$X$11:$X$1010,$B389)="","",INDEX('Work Orders'!$X$11:$X$1010,$B389)))</f>
        <v/>
      </c>
      <c r="J389" s="44">
        <f>IF($B389="","",IF(INDEX('Work Orders'!$Z$11:$Z$1010,$B389)="","",INDEX('Work Orders'!$Z$11:$Z$1010,$B389)))</f>
        <v/>
      </c>
      <c r="K389" s="44">
        <f>IF($B389="","",IF(INDEX('Work Orders'!$AG$11:$AG$1010,$B389)="","",INDEX('Work Orders'!$AG$11:$AG$1010,$B389)))</f>
        <v/>
      </c>
      <c r="L389" s="44">
        <f>IF($B389="","",IF(INDEX('Work Orders'!$AH$11:$AH$1010,$B389)="","",INDEX('Work Orders'!$AH$11:$AH$1010,$B389)))</f>
        <v/>
      </c>
      <c r="M389" s="46">
        <f>IF($B389="","",IF(INDEX('Work Orders'!$AM$11:$AM$1010,$B389)="","",INDEX('Work Orders'!$AM$11:$AM$1010,$B389)))</f>
        <v/>
      </c>
      <c r="N389" s="43">
        <f>IF($B389="","",IF(INDEX('Work Orders'!$AL$11:$AL$1010,$B389)="","",INDEX('Work Orders'!$AL$11:$AL$1010,$B389)))</f>
        <v/>
      </c>
      <c r="O389" s="43">
        <f>IF($B389="","",IF(INDEX('Work Orders'!$N$11:$N$1010,$B389)="","",INDEX('Work Orders'!$N$11:$N$1010,$B389)))</f>
        <v/>
      </c>
    </row>
    <row r="390">
      <c r="A390" s="68" t="n">
        <v>384</v>
      </c>
      <c r="B390">
        <f>IFERROR(MATCH(A390,'Work Orders'!$AO$11:$AO$1010,0),"")</f>
        <v/>
      </c>
      <c r="C390" s="43">
        <f>IF($B390="","",IF(INDEX('Work Orders'!$A$11:$A$1010,$B390)="","",INDEX('Work Orders'!$A$11:$A$1010,$B390)))</f>
        <v/>
      </c>
      <c r="D390" s="43">
        <f>IF($B390="","",IF(INDEX('Work Orders'!$B$11:$B$1010,$B390)="","",INDEX('Work Orders'!$B$11:$B$1010,$B390)))</f>
        <v/>
      </c>
      <c r="E390" s="43">
        <f>IF($B390="","",IF(INDEX('Work Orders'!$D$11:$D$1010,$B390)="","",INDEX('Work Orders'!$D$11:$D$1010,$B390)))</f>
        <v/>
      </c>
      <c r="F390" s="43">
        <f>IF($B390="","",IF(INDEX('Work Orders'!$Q$11:$Q$1010,$B390)="","",INDEX('Work Orders'!$Q$11:$Q$1010,$B390)))</f>
        <v/>
      </c>
      <c r="G390" s="43">
        <f>IF($B390="","",IF(INDEX('Work Orders'!$V$11:$V$1010,$B390)="","",INDEX('Work Orders'!$V$11:$V$1010,$B390)))</f>
        <v/>
      </c>
      <c r="H390" s="47">
        <f>IF($B390="","",IF(INDEX('Work Orders'!$U$11:$U$1010,$B390)="","",INDEX('Work Orders'!$U$11:$U$1010,$B390)))</f>
        <v/>
      </c>
      <c r="I390" s="47">
        <f>IF($B390="","",IF(INDEX('Work Orders'!$X$11:$X$1010,$B390)="","",INDEX('Work Orders'!$X$11:$X$1010,$B390)))</f>
        <v/>
      </c>
      <c r="J390" s="44">
        <f>IF($B390="","",IF(INDEX('Work Orders'!$Z$11:$Z$1010,$B390)="","",INDEX('Work Orders'!$Z$11:$Z$1010,$B390)))</f>
        <v/>
      </c>
      <c r="K390" s="44">
        <f>IF($B390="","",IF(INDEX('Work Orders'!$AG$11:$AG$1010,$B390)="","",INDEX('Work Orders'!$AG$11:$AG$1010,$B390)))</f>
        <v/>
      </c>
      <c r="L390" s="44">
        <f>IF($B390="","",IF(INDEX('Work Orders'!$AH$11:$AH$1010,$B390)="","",INDEX('Work Orders'!$AH$11:$AH$1010,$B390)))</f>
        <v/>
      </c>
      <c r="M390" s="46">
        <f>IF($B390="","",IF(INDEX('Work Orders'!$AM$11:$AM$1010,$B390)="","",INDEX('Work Orders'!$AM$11:$AM$1010,$B390)))</f>
        <v/>
      </c>
      <c r="N390" s="43">
        <f>IF($B390="","",IF(INDEX('Work Orders'!$AL$11:$AL$1010,$B390)="","",INDEX('Work Orders'!$AL$11:$AL$1010,$B390)))</f>
        <v/>
      </c>
      <c r="O390" s="43">
        <f>IF($B390="","",IF(INDEX('Work Orders'!$N$11:$N$1010,$B390)="","",INDEX('Work Orders'!$N$11:$N$1010,$B390)))</f>
        <v/>
      </c>
    </row>
    <row r="391">
      <c r="A391" s="68" t="n">
        <v>385</v>
      </c>
      <c r="B391">
        <f>IFERROR(MATCH(A391,'Work Orders'!$AO$11:$AO$1010,0),"")</f>
        <v/>
      </c>
      <c r="C391" s="43">
        <f>IF($B391="","",IF(INDEX('Work Orders'!$A$11:$A$1010,$B391)="","",INDEX('Work Orders'!$A$11:$A$1010,$B391)))</f>
        <v/>
      </c>
      <c r="D391" s="43">
        <f>IF($B391="","",IF(INDEX('Work Orders'!$B$11:$B$1010,$B391)="","",INDEX('Work Orders'!$B$11:$B$1010,$B391)))</f>
        <v/>
      </c>
      <c r="E391" s="43">
        <f>IF($B391="","",IF(INDEX('Work Orders'!$D$11:$D$1010,$B391)="","",INDEX('Work Orders'!$D$11:$D$1010,$B391)))</f>
        <v/>
      </c>
      <c r="F391" s="43">
        <f>IF($B391="","",IF(INDEX('Work Orders'!$Q$11:$Q$1010,$B391)="","",INDEX('Work Orders'!$Q$11:$Q$1010,$B391)))</f>
        <v/>
      </c>
      <c r="G391" s="43">
        <f>IF($B391="","",IF(INDEX('Work Orders'!$V$11:$V$1010,$B391)="","",INDEX('Work Orders'!$V$11:$V$1010,$B391)))</f>
        <v/>
      </c>
      <c r="H391" s="47">
        <f>IF($B391="","",IF(INDEX('Work Orders'!$U$11:$U$1010,$B391)="","",INDEX('Work Orders'!$U$11:$U$1010,$B391)))</f>
        <v/>
      </c>
      <c r="I391" s="47">
        <f>IF($B391="","",IF(INDEX('Work Orders'!$X$11:$X$1010,$B391)="","",INDEX('Work Orders'!$X$11:$X$1010,$B391)))</f>
        <v/>
      </c>
      <c r="J391" s="44">
        <f>IF($B391="","",IF(INDEX('Work Orders'!$Z$11:$Z$1010,$B391)="","",INDEX('Work Orders'!$Z$11:$Z$1010,$B391)))</f>
        <v/>
      </c>
      <c r="K391" s="44">
        <f>IF($B391="","",IF(INDEX('Work Orders'!$AG$11:$AG$1010,$B391)="","",INDEX('Work Orders'!$AG$11:$AG$1010,$B391)))</f>
        <v/>
      </c>
      <c r="L391" s="44">
        <f>IF($B391="","",IF(INDEX('Work Orders'!$AH$11:$AH$1010,$B391)="","",INDEX('Work Orders'!$AH$11:$AH$1010,$B391)))</f>
        <v/>
      </c>
      <c r="M391" s="46">
        <f>IF($B391="","",IF(INDEX('Work Orders'!$AM$11:$AM$1010,$B391)="","",INDEX('Work Orders'!$AM$11:$AM$1010,$B391)))</f>
        <v/>
      </c>
      <c r="N391" s="43">
        <f>IF($B391="","",IF(INDEX('Work Orders'!$AL$11:$AL$1010,$B391)="","",INDEX('Work Orders'!$AL$11:$AL$1010,$B391)))</f>
        <v/>
      </c>
      <c r="O391" s="43">
        <f>IF($B391="","",IF(INDEX('Work Orders'!$N$11:$N$1010,$B391)="","",INDEX('Work Orders'!$N$11:$N$1010,$B391)))</f>
        <v/>
      </c>
    </row>
    <row r="392">
      <c r="A392" s="68" t="n">
        <v>386</v>
      </c>
      <c r="B392">
        <f>IFERROR(MATCH(A392,'Work Orders'!$AO$11:$AO$1010,0),"")</f>
        <v/>
      </c>
      <c r="C392" s="43">
        <f>IF($B392="","",IF(INDEX('Work Orders'!$A$11:$A$1010,$B392)="","",INDEX('Work Orders'!$A$11:$A$1010,$B392)))</f>
        <v/>
      </c>
      <c r="D392" s="43">
        <f>IF($B392="","",IF(INDEX('Work Orders'!$B$11:$B$1010,$B392)="","",INDEX('Work Orders'!$B$11:$B$1010,$B392)))</f>
        <v/>
      </c>
      <c r="E392" s="43">
        <f>IF($B392="","",IF(INDEX('Work Orders'!$D$11:$D$1010,$B392)="","",INDEX('Work Orders'!$D$11:$D$1010,$B392)))</f>
        <v/>
      </c>
      <c r="F392" s="43">
        <f>IF($B392="","",IF(INDEX('Work Orders'!$Q$11:$Q$1010,$B392)="","",INDEX('Work Orders'!$Q$11:$Q$1010,$B392)))</f>
        <v/>
      </c>
      <c r="G392" s="43">
        <f>IF($B392="","",IF(INDEX('Work Orders'!$V$11:$V$1010,$B392)="","",INDEX('Work Orders'!$V$11:$V$1010,$B392)))</f>
        <v/>
      </c>
      <c r="H392" s="47">
        <f>IF($B392="","",IF(INDEX('Work Orders'!$U$11:$U$1010,$B392)="","",INDEX('Work Orders'!$U$11:$U$1010,$B392)))</f>
        <v/>
      </c>
      <c r="I392" s="47">
        <f>IF($B392="","",IF(INDEX('Work Orders'!$X$11:$X$1010,$B392)="","",INDEX('Work Orders'!$X$11:$X$1010,$B392)))</f>
        <v/>
      </c>
      <c r="J392" s="44">
        <f>IF($B392="","",IF(INDEX('Work Orders'!$Z$11:$Z$1010,$B392)="","",INDEX('Work Orders'!$Z$11:$Z$1010,$B392)))</f>
        <v/>
      </c>
      <c r="K392" s="44">
        <f>IF($B392="","",IF(INDEX('Work Orders'!$AG$11:$AG$1010,$B392)="","",INDEX('Work Orders'!$AG$11:$AG$1010,$B392)))</f>
        <v/>
      </c>
      <c r="L392" s="44">
        <f>IF($B392="","",IF(INDEX('Work Orders'!$AH$11:$AH$1010,$B392)="","",INDEX('Work Orders'!$AH$11:$AH$1010,$B392)))</f>
        <v/>
      </c>
      <c r="M392" s="46">
        <f>IF($B392="","",IF(INDEX('Work Orders'!$AM$11:$AM$1010,$B392)="","",INDEX('Work Orders'!$AM$11:$AM$1010,$B392)))</f>
        <v/>
      </c>
      <c r="N392" s="43">
        <f>IF($B392="","",IF(INDEX('Work Orders'!$AL$11:$AL$1010,$B392)="","",INDEX('Work Orders'!$AL$11:$AL$1010,$B392)))</f>
        <v/>
      </c>
      <c r="O392" s="43">
        <f>IF($B392="","",IF(INDEX('Work Orders'!$N$11:$N$1010,$B392)="","",INDEX('Work Orders'!$N$11:$N$1010,$B392)))</f>
        <v/>
      </c>
    </row>
    <row r="393">
      <c r="A393" s="68" t="n">
        <v>387</v>
      </c>
      <c r="B393">
        <f>IFERROR(MATCH(A393,'Work Orders'!$AO$11:$AO$1010,0),"")</f>
        <v/>
      </c>
      <c r="C393" s="43">
        <f>IF($B393="","",IF(INDEX('Work Orders'!$A$11:$A$1010,$B393)="","",INDEX('Work Orders'!$A$11:$A$1010,$B393)))</f>
        <v/>
      </c>
      <c r="D393" s="43">
        <f>IF($B393="","",IF(INDEX('Work Orders'!$B$11:$B$1010,$B393)="","",INDEX('Work Orders'!$B$11:$B$1010,$B393)))</f>
        <v/>
      </c>
      <c r="E393" s="43">
        <f>IF($B393="","",IF(INDEX('Work Orders'!$D$11:$D$1010,$B393)="","",INDEX('Work Orders'!$D$11:$D$1010,$B393)))</f>
        <v/>
      </c>
      <c r="F393" s="43">
        <f>IF($B393="","",IF(INDEX('Work Orders'!$Q$11:$Q$1010,$B393)="","",INDEX('Work Orders'!$Q$11:$Q$1010,$B393)))</f>
        <v/>
      </c>
      <c r="G393" s="43">
        <f>IF($B393="","",IF(INDEX('Work Orders'!$V$11:$V$1010,$B393)="","",INDEX('Work Orders'!$V$11:$V$1010,$B393)))</f>
        <v/>
      </c>
      <c r="H393" s="47">
        <f>IF($B393="","",IF(INDEX('Work Orders'!$U$11:$U$1010,$B393)="","",INDEX('Work Orders'!$U$11:$U$1010,$B393)))</f>
        <v/>
      </c>
      <c r="I393" s="47">
        <f>IF($B393="","",IF(INDEX('Work Orders'!$X$11:$X$1010,$B393)="","",INDEX('Work Orders'!$X$11:$X$1010,$B393)))</f>
        <v/>
      </c>
      <c r="J393" s="44">
        <f>IF($B393="","",IF(INDEX('Work Orders'!$Z$11:$Z$1010,$B393)="","",INDEX('Work Orders'!$Z$11:$Z$1010,$B393)))</f>
        <v/>
      </c>
      <c r="K393" s="44">
        <f>IF($B393="","",IF(INDEX('Work Orders'!$AG$11:$AG$1010,$B393)="","",INDEX('Work Orders'!$AG$11:$AG$1010,$B393)))</f>
        <v/>
      </c>
      <c r="L393" s="44">
        <f>IF($B393="","",IF(INDEX('Work Orders'!$AH$11:$AH$1010,$B393)="","",INDEX('Work Orders'!$AH$11:$AH$1010,$B393)))</f>
        <v/>
      </c>
      <c r="M393" s="46">
        <f>IF($B393="","",IF(INDEX('Work Orders'!$AM$11:$AM$1010,$B393)="","",INDEX('Work Orders'!$AM$11:$AM$1010,$B393)))</f>
        <v/>
      </c>
      <c r="N393" s="43">
        <f>IF($B393="","",IF(INDEX('Work Orders'!$AL$11:$AL$1010,$B393)="","",INDEX('Work Orders'!$AL$11:$AL$1010,$B393)))</f>
        <v/>
      </c>
      <c r="O393" s="43">
        <f>IF($B393="","",IF(INDEX('Work Orders'!$N$11:$N$1010,$B393)="","",INDEX('Work Orders'!$N$11:$N$1010,$B393)))</f>
        <v/>
      </c>
    </row>
    <row r="394">
      <c r="A394" s="68" t="n">
        <v>388</v>
      </c>
      <c r="B394">
        <f>IFERROR(MATCH(A394,'Work Orders'!$AO$11:$AO$1010,0),"")</f>
        <v/>
      </c>
      <c r="C394" s="43">
        <f>IF($B394="","",IF(INDEX('Work Orders'!$A$11:$A$1010,$B394)="","",INDEX('Work Orders'!$A$11:$A$1010,$B394)))</f>
        <v/>
      </c>
      <c r="D394" s="43">
        <f>IF($B394="","",IF(INDEX('Work Orders'!$B$11:$B$1010,$B394)="","",INDEX('Work Orders'!$B$11:$B$1010,$B394)))</f>
        <v/>
      </c>
      <c r="E394" s="43">
        <f>IF($B394="","",IF(INDEX('Work Orders'!$D$11:$D$1010,$B394)="","",INDEX('Work Orders'!$D$11:$D$1010,$B394)))</f>
        <v/>
      </c>
      <c r="F394" s="43">
        <f>IF($B394="","",IF(INDEX('Work Orders'!$Q$11:$Q$1010,$B394)="","",INDEX('Work Orders'!$Q$11:$Q$1010,$B394)))</f>
        <v/>
      </c>
      <c r="G394" s="43">
        <f>IF($B394="","",IF(INDEX('Work Orders'!$V$11:$V$1010,$B394)="","",INDEX('Work Orders'!$V$11:$V$1010,$B394)))</f>
        <v/>
      </c>
      <c r="H394" s="47">
        <f>IF($B394="","",IF(INDEX('Work Orders'!$U$11:$U$1010,$B394)="","",INDEX('Work Orders'!$U$11:$U$1010,$B394)))</f>
        <v/>
      </c>
      <c r="I394" s="47">
        <f>IF($B394="","",IF(INDEX('Work Orders'!$X$11:$X$1010,$B394)="","",INDEX('Work Orders'!$X$11:$X$1010,$B394)))</f>
        <v/>
      </c>
      <c r="J394" s="44">
        <f>IF($B394="","",IF(INDEX('Work Orders'!$Z$11:$Z$1010,$B394)="","",INDEX('Work Orders'!$Z$11:$Z$1010,$B394)))</f>
        <v/>
      </c>
      <c r="K394" s="44">
        <f>IF($B394="","",IF(INDEX('Work Orders'!$AG$11:$AG$1010,$B394)="","",INDEX('Work Orders'!$AG$11:$AG$1010,$B394)))</f>
        <v/>
      </c>
      <c r="L394" s="44">
        <f>IF($B394="","",IF(INDEX('Work Orders'!$AH$11:$AH$1010,$B394)="","",INDEX('Work Orders'!$AH$11:$AH$1010,$B394)))</f>
        <v/>
      </c>
      <c r="M394" s="46">
        <f>IF($B394="","",IF(INDEX('Work Orders'!$AM$11:$AM$1010,$B394)="","",INDEX('Work Orders'!$AM$11:$AM$1010,$B394)))</f>
        <v/>
      </c>
      <c r="N394" s="43">
        <f>IF($B394="","",IF(INDEX('Work Orders'!$AL$11:$AL$1010,$B394)="","",INDEX('Work Orders'!$AL$11:$AL$1010,$B394)))</f>
        <v/>
      </c>
      <c r="O394" s="43">
        <f>IF($B394="","",IF(INDEX('Work Orders'!$N$11:$N$1010,$B394)="","",INDEX('Work Orders'!$N$11:$N$1010,$B394)))</f>
        <v/>
      </c>
    </row>
    <row r="395">
      <c r="A395" s="68" t="n">
        <v>389</v>
      </c>
      <c r="B395">
        <f>IFERROR(MATCH(A395,'Work Orders'!$AO$11:$AO$1010,0),"")</f>
        <v/>
      </c>
      <c r="C395" s="43">
        <f>IF($B395="","",IF(INDEX('Work Orders'!$A$11:$A$1010,$B395)="","",INDEX('Work Orders'!$A$11:$A$1010,$B395)))</f>
        <v/>
      </c>
      <c r="D395" s="43">
        <f>IF($B395="","",IF(INDEX('Work Orders'!$B$11:$B$1010,$B395)="","",INDEX('Work Orders'!$B$11:$B$1010,$B395)))</f>
        <v/>
      </c>
      <c r="E395" s="43">
        <f>IF($B395="","",IF(INDEX('Work Orders'!$D$11:$D$1010,$B395)="","",INDEX('Work Orders'!$D$11:$D$1010,$B395)))</f>
        <v/>
      </c>
      <c r="F395" s="43">
        <f>IF($B395="","",IF(INDEX('Work Orders'!$Q$11:$Q$1010,$B395)="","",INDEX('Work Orders'!$Q$11:$Q$1010,$B395)))</f>
        <v/>
      </c>
      <c r="G395" s="43">
        <f>IF($B395="","",IF(INDEX('Work Orders'!$V$11:$V$1010,$B395)="","",INDEX('Work Orders'!$V$11:$V$1010,$B395)))</f>
        <v/>
      </c>
      <c r="H395" s="47">
        <f>IF($B395="","",IF(INDEX('Work Orders'!$U$11:$U$1010,$B395)="","",INDEX('Work Orders'!$U$11:$U$1010,$B395)))</f>
        <v/>
      </c>
      <c r="I395" s="47">
        <f>IF($B395="","",IF(INDEX('Work Orders'!$X$11:$X$1010,$B395)="","",INDEX('Work Orders'!$X$11:$X$1010,$B395)))</f>
        <v/>
      </c>
      <c r="J395" s="44">
        <f>IF($B395="","",IF(INDEX('Work Orders'!$Z$11:$Z$1010,$B395)="","",INDEX('Work Orders'!$Z$11:$Z$1010,$B395)))</f>
        <v/>
      </c>
      <c r="K395" s="44">
        <f>IF($B395="","",IF(INDEX('Work Orders'!$AG$11:$AG$1010,$B395)="","",INDEX('Work Orders'!$AG$11:$AG$1010,$B395)))</f>
        <v/>
      </c>
      <c r="L395" s="44">
        <f>IF($B395="","",IF(INDEX('Work Orders'!$AH$11:$AH$1010,$B395)="","",INDEX('Work Orders'!$AH$11:$AH$1010,$B395)))</f>
        <v/>
      </c>
      <c r="M395" s="46">
        <f>IF($B395="","",IF(INDEX('Work Orders'!$AM$11:$AM$1010,$B395)="","",INDEX('Work Orders'!$AM$11:$AM$1010,$B395)))</f>
        <v/>
      </c>
      <c r="N395" s="43">
        <f>IF($B395="","",IF(INDEX('Work Orders'!$AL$11:$AL$1010,$B395)="","",INDEX('Work Orders'!$AL$11:$AL$1010,$B395)))</f>
        <v/>
      </c>
      <c r="O395" s="43">
        <f>IF($B395="","",IF(INDEX('Work Orders'!$N$11:$N$1010,$B395)="","",INDEX('Work Orders'!$N$11:$N$1010,$B395)))</f>
        <v/>
      </c>
    </row>
    <row r="396">
      <c r="A396" s="68" t="n">
        <v>390</v>
      </c>
      <c r="B396">
        <f>IFERROR(MATCH(A396,'Work Orders'!$AO$11:$AO$1010,0),"")</f>
        <v/>
      </c>
      <c r="C396" s="43">
        <f>IF($B396="","",IF(INDEX('Work Orders'!$A$11:$A$1010,$B396)="","",INDEX('Work Orders'!$A$11:$A$1010,$B396)))</f>
        <v/>
      </c>
      <c r="D396" s="43">
        <f>IF($B396="","",IF(INDEX('Work Orders'!$B$11:$B$1010,$B396)="","",INDEX('Work Orders'!$B$11:$B$1010,$B396)))</f>
        <v/>
      </c>
      <c r="E396" s="43">
        <f>IF($B396="","",IF(INDEX('Work Orders'!$D$11:$D$1010,$B396)="","",INDEX('Work Orders'!$D$11:$D$1010,$B396)))</f>
        <v/>
      </c>
      <c r="F396" s="43">
        <f>IF($B396="","",IF(INDEX('Work Orders'!$Q$11:$Q$1010,$B396)="","",INDEX('Work Orders'!$Q$11:$Q$1010,$B396)))</f>
        <v/>
      </c>
      <c r="G396" s="43">
        <f>IF($B396="","",IF(INDEX('Work Orders'!$V$11:$V$1010,$B396)="","",INDEX('Work Orders'!$V$11:$V$1010,$B396)))</f>
        <v/>
      </c>
      <c r="H396" s="47">
        <f>IF($B396="","",IF(INDEX('Work Orders'!$U$11:$U$1010,$B396)="","",INDEX('Work Orders'!$U$11:$U$1010,$B396)))</f>
        <v/>
      </c>
      <c r="I396" s="47">
        <f>IF($B396="","",IF(INDEX('Work Orders'!$X$11:$X$1010,$B396)="","",INDEX('Work Orders'!$X$11:$X$1010,$B396)))</f>
        <v/>
      </c>
      <c r="J396" s="44">
        <f>IF($B396="","",IF(INDEX('Work Orders'!$Z$11:$Z$1010,$B396)="","",INDEX('Work Orders'!$Z$11:$Z$1010,$B396)))</f>
        <v/>
      </c>
      <c r="K396" s="44">
        <f>IF($B396="","",IF(INDEX('Work Orders'!$AG$11:$AG$1010,$B396)="","",INDEX('Work Orders'!$AG$11:$AG$1010,$B396)))</f>
        <v/>
      </c>
      <c r="L396" s="44">
        <f>IF($B396="","",IF(INDEX('Work Orders'!$AH$11:$AH$1010,$B396)="","",INDEX('Work Orders'!$AH$11:$AH$1010,$B396)))</f>
        <v/>
      </c>
      <c r="M396" s="46">
        <f>IF($B396="","",IF(INDEX('Work Orders'!$AM$11:$AM$1010,$B396)="","",INDEX('Work Orders'!$AM$11:$AM$1010,$B396)))</f>
        <v/>
      </c>
      <c r="N396" s="43">
        <f>IF($B396="","",IF(INDEX('Work Orders'!$AL$11:$AL$1010,$B396)="","",INDEX('Work Orders'!$AL$11:$AL$1010,$B396)))</f>
        <v/>
      </c>
      <c r="O396" s="43">
        <f>IF($B396="","",IF(INDEX('Work Orders'!$N$11:$N$1010,$B396)="","",INDEX('Work Orders'!$N$11:$N$1010,$B396)))</f>
        <v/>
      </c>
    </row>
    <row r="397">
      <c r="A397" s="68" t="n">
        <v>391</v>
      </c>
      <c r="B397">
        <f>IFERROR(MATCH(A397,'Work Orders'!$AO$11:$AO$1010,0),"")</f>
        <v/>
      </c>
      <c r="C397" s="43">
        <f>IF($B397="","",IF(INDEX('Work Orders'!$A$11:$A$1010,$B397)="","",INDEX('Work Orders'!$A$11:$A$1010,$B397)))</f>
        <v/>
      </c>
      <c r="D397" s="43">
        <f>IF($B397="","",IF(INDEX('Work Orders'!$B$11:$B$1010,$B397)="","",INDEX('Work Orders'!$B$11:$B$1010,$B397)))</f>
        <v/>
      </c>
      <c r="E397" s="43">
        <f>IF($B397="","",IF(INDEX('Work Orders'!$D$11:$D$1010,$B397)="","",INDEX('Work Orders'!$D$11:$D$1010,$B397)))</f>
        <v/>
      </c>
      <c r="F397" s="43">
        <f>IF($B397="","",IF(INDEX('Work Orders'!$Q$11:$Q$1010,$B397)="","",INDEX('Work Orders'!$Q$11:$Q$1010,$B397)))</f>
        <v/>
      </c>
      <c r="G397" s="43">
        <f>IF($B397="","",IF(INDEX('Work Orders'!$V$11:$V$1010,$B397)="","",INDEX('Work Orders'!$V$11:$V$1010,$B397)))</f>
        <v/>
      </c>
      <c r="H397" s="47">
        <f>IF($B397="","",IF(INDEX('Work Orders'!$U$11:$U$1010,$B397)="","",INDEX('Work Orders'!$U$11:$U$1010,$B397)))</f>
        <v/>
      </c>
      <c r="I397" s="47">
        <f>IF($B397="","",IF(INDEX('Work Orders'!$X$11:$X$1010,$B397)="","",INDEX('Work Orders'!$X$11:$X$1010,$B397)))</f>
        <v/>
      </c>
      <c r="J397" s="44">
        <f>IF($B397="","",IF(INDEX('Work Orders'!$Z$11:$Z$1010,$B397)="","",INDEX('Work Orders'!$Z$11:$Z$1010,$B397)))</f>
        <v/>
      </c>
      <c r="K397" s="44">
        <f>IF($B397="","",IF(INDEX('Work Orders'!$AG$11:$AG$1010,$B397)="","",INDEX('Work Orders'!$AG$11:$AG$1010,$B397)))</f>
        <v/>
      </c>
      <c r="L397" s="44">
        <f>IF($B397="","",IF(INDEX('Work Orders'!$AH$11:$AH$1010,$B397)="","",INDEX('Work Orders'!$AH$11:$AH$1010,$B397)))</f>
        <v/>
      </c>
      <c r="M397" s="46">
        <f>IF($B397="","",IF(INDEX('Work Orders'!$AM$11:$AM$1010,$B397)="","",INDEX('Work Orders'!$AM$11:$AM$1010,$B397)))</f>
        <v/>
      </c>
      <c r="N397" s="43">
        <f>IF($B397="","",IF(INDEX('Work Orders'!$AL$11:$AL$1010,$B397)="","",INDEX('Work Orders'!$AL$11:$AL$1010,$B397)))</f>
        <v/>
      </c>
      <c r="O397" s="43">
        <f>IF($B397="","",IF(INDEX('Work Orders'!$N$11:$N$1010,$B397)="","",INDEX('Work Orders'!$N$11:$N$1010,$B397)))</f>
        <v/>
      </c>
    </row>
    <row r="398">
      <c r="A398" s="68" t="n">
        <v>392</v>
      </c>
      <c r="B398">
        <f>IFERROR(MATCH(A398,'Work Orders'!$AO$11:$AO$1010,0),"")</f>
        <v/>
      </c>
      <c r="C398" s="43">
        <f>IF($B398="","",IF(INDEX('Work Orders'!$A$11:$A$1010,$B398)="","",INDEX('Work Orders'!$A$11:$A$1010,$B398)))</f>
        <v/>
      </c>
      <c r="D398" s="43">
        <f>IF($B398="","",IF(INDEX('Work Orders'!$B$11:$B$1010,$B398)="","",INDEX('Work Orders'!$B$11:$B$1010,$B398)))</f>
        <v/>
      </c>
      <c r="E398" s="43">
        <f>IF($B398="","",IF(INDEX('Work Orders'!$D$11:$D$1010,$B398)="","",INDEX('Work Orders'!$D$11:$D$1010,$B398)))</f>
        <v/>
      </c>
      <c r="F398" s="43">
        <f>IF($B398="","",IF(INDEX('Work Orders'!$Q$11:$Q$1010,$B398)="","",INDEX('Work Orders'!$Q$11:$Q$1010,$B398)))</f>
        <v/>
      </c>
      <c r="G398" s="43">
        <f>IF($B398="","",IF(INDEX('Work Orders'!$V$11:$V$1010,$B398)="","",INDEX('Work Orders'!$V$11:$V$1010,$B398)))</f>
        <v/>
      </c>
      <c r="H398" s="47">
        <f>IF($B398="","",IF(INDEX('Work Orders'!$U$11:$U$1010,$B398)="","",INDEX('Work Orders'!$U$11:$U$1010,$B398)))</f>
        <v/>
      </c>
      <c r="I398" s="47">
        <f>IF($B398="","",IF(INDEX('Work Orders'!$X$11:$X$1010,$B398)="","",INDEX('Work Orders'!$X$11:$X$1010,$B398)))</f>
        <v/>
      </c>
      <c r="J398" s="44">
        <f>IF($B398="","",IF(INDEX('Work Orders'!$Z$11:$Z$1010,$B398)="","",INDEX('Work Orders'!$Z$11:$Z$1010,$B398)))</f>
        <v/>
      </c>
      <c r="K398" s="44">
        <f>IF($B398="","",IF(INDEX('Work Orders'!$AG$11:$AG$1010,$B398)="","",INDEX('Work Orders'!$AG$11:$AG$1010,$B398)))</f>
        <v/>
      </c>
      <c r="L398" s="44">
        <f>IF($B398="","",IF(INDEX('Work Orders'!$AH$11:$AH$1010,$B398)="","",INDEX('Work Orders'!$AH$11:$AH$1010,$B398)))</f>
        <v/>
      </c>
      <c r="M398" s="46">
        <f>IF($B398="","",IF(INDEX('Work Orders'!$AM$11:$AM$1010,$B398)="","",INDEX('Work Orders'!$AM$11:$AM$1010,$B398)))</f>
        <v/>
      </c>
      <c r="N398" s="43">
        <f>IF($B398="","",IF(INDEX('Work Orders'!$AL$11:$AL$1010,$B398)="","",INDEX('Work Orders'!$AL$11:$AL$1010,$B398)))</f>
        <v/>
      </c>
      <c r="O398" s="43">
        <f>IF($B398="","",IF(INDEX('Work Orders'!$N$11:$N$1010,$B398)="","",INDEX('Work Orders'!$N$11:$N$1010,$B398)))</f>
        <v/>
      </c>
    </row>
    <row r="399">
      <c r="A399" s="68" t="n">
        <v>393</v>
      </c>
      <c r="B399">
        <f>IFERROR(MATCH(A399,'Work Orders'!$AO$11:$AO$1010,0),"")</f>
        <v/>
      </c>
      <c r="C399" s="43">
        <f>IF($B399="","",IF(INDEX('Work Orders'!$A$11:$A$1010,$B399)="","",INDEX('Work Orders'!$A$11:$A$1010,$B399)))</f>
        <v/>
      </c>
      <c r="D399" s="43">
        <f>IF($B399="","",IF(INDEX('Work Orders'!$B$11:$B$1010,$B399)="","",INDEX('Work Orders'!$B$11:$B$1010,$B399)))</f>
        <v/>
      </c>
      <c r="E399" s="43">
        <f>IF($B399="","",IF(INDEX('Work Orders'!$D$11:$D$1010,$B399)="","",INDEX('Work Orders'!$D$11:$D$1010,$B399)))</f>
        <v/>
      </c>
      <c r="F399" s="43">
        <f>IF($B399="","",IF(INDEX('Work Orders'!$Q$11:$Q$1010,$B399)="","",INDEX('Work Orders'!$Q$11:$Q$1010,$B399)))</f>
        <v/>
      </c>
      <c r="G399" s="43">
        <f>IF($B399="","",IF(INDEX('Work Orders'!$V$11:$V$1010,$B399)="","",INDEX('Work Orders'!$V$11:$V$1010,$B399)))</f>
        <v/>
      </c>
      <c r="H399" s="47">
        <f>IF($B399="","",IF(INDEX('Work Orders'!$U$11:$U$1010,$B399)="","",INDEX('Work Orders'!$U$11:$U$1010,$B399)))</f>
        <v/>
      </c>
      <c r="I399" s="47">
        <f>IF($B399="","",IF(INDEX('Work Orders'!$X$11:$X$1010,$B399)="","",INDEX('Work Orders'!$X$11:$X$1010,$B399)))</f>
        <v/>
      </c>
      <c r="J399" s="44">
        <f>IF($B399="","",IF(INDEX('Work Orders'!$Z$11:$Z$1010,$B399)="","",INDEX('Work Orders'!$Z$11:$Z$1010,$B399)))</f>
        <v/>
      </c>
      <c r="K399" s="44">
        <f>IF($B399="","",IF(INDEX('Work Orders'!$AG$11:$AG$1010,$B399)="","",INDEX('Work Orders'!$AG$11:$AG$1010,$B399)))</f>
        <v/>
      </c>
      <c r="L399" s="44">
        <f>IF($B399="","",IF(INDEX('Work Orders'!$AH$11:$AH$1010,$B399)="","",INDEX('Work Orders'!$AH$11:$AH$1010,$B399)))</f>
        <v/>
      </c>
      <c r="M399" s="46">
        <f>IF($B399="","",IF(INDEX('Work Orders'!$AM$11:$AM$1010,$B399)="","",INDEX('Work Orders'!$AM$11:$AM$1010,$B399)))</f>
        <v/>
      </c>
      <c r="N399" s="43">
        <f>IF($B399="","",IF(INDEX('Work Orders'!$AL$11:$AL$1010,$B399)="","",INDEX('Work Orders'!$AL$11:$AL$1010,$B399)))</f>
        <v/>
      </c>
      <c r="O399" s="43">
        <f>IF($B399="","",IF(INDEX('Work Orders'!$N$11:$N$1010,$B399)="","",INDEX('Work Orders'!$N$11:$N$1010,$B399)))</f>
        <v/>
      </c>
    </row>
    <row r="400">
      <c r="A400" s="68" t="n">
        <v>394</v>
      </c>
      <c r="B400">
        <f>IFERROR(MATCH(A400,'Work Orders'!$AO$11:$AO$1010,0),"")</f>
        <v/>
      </c>
      <c r="C400" s="43">
        <f>IF($B400="","",IF(INDEX('Work Orders'!$A$11:$A$1010,$B400)="","",INDEX('Work Orders'!$A$11:$A$1010,$B400)))</f>
        <v/>
      </c>
      <c r="D400" s="43">
        <f>IF($B400="","",IF(INDEX('Work Orders'!$B$11:$B$1010,$B400)="","",INDEX('Work Orders'!$B$11:$B$1010,$B400)))</f>
        <v/>
      </c>
      <c r="E400" s="43">
        <f>IF($B400="","",IF(INDEX('Work Orders'!$D$11:$D$1010,$B400)="","",INDEX('Work Orders'!$D$11:$D$1010,$B400)))</f>
        <v/>
      </c>
      <c r="F400" s="43">
        <f>IF($B400="","",IF(INDEX('Work Orders'!$Q$11:$Q$1010,$B400)="","",INDEX('Work Orders'!$Q$11:$Q$1010,$B400)))</f>
        <v/>
      </c>
      <c r="G400" s="43">
        <f>IF($B400="","",IF(INDEX('Work Orders'!$V$11:$V$1010,$B400)="","",INDEX('Work Orders'!$V$11:$V$1010,$B400)))</f>
        <v/>
      </c>
      <c r="H400" s="47">
        <f>IF($B400="","",IF(INDEX('Work Orders'!$U$11:$U$1010,$B400)="","",INDEX('Work Orders'!$U$11:$U$1010,$B400)))</f>
        <v/>
      </c>
      <c r="I400" s="47">
        <f>IF($B400="","",IF(INDEX('Work Orders'!$X$11:$X$1010,$B400)="","",INDEX('Work Orders'!$X$11:$X$1010,$B400)))</f>
        <v/>
      </c>
      <c r="J400" s="44">
        <f>IF($B400="","",IF(INDEX('Work Orders'!$Z$11:$Z$1010,$B400)="","",INDEX('Work Orders'!$Z$11:$Z$1010,$B400)))</f>
        <v/>
      </c>
      <c r="K400" s="44">
        <f>IF($B400="","",IF(INDEX('Work Orders'!$AG$11:$AG$1010,$B400)="","",INDEX('Work Orders'!$AG$11:$AG$1010,$B400)))</f>
        <v/>
      </c>
      <c r="L400" s="44">
        <f>IF($B400="","",IF(INDEX('Work Orders'!$AH$11:$AH$1010,$B400)="","",INDEX('Work Orders'!$AH$11:$AH$1010,$B400)))</f>
        <v/>
      </c>
      <c r="M400" s="46">
        <f>IF($B400="","",IF(INDEX('Work Orders'!$AM$11:$AM$1010,$B400)="","",INDEX('Work Orders'!$AM$11:$AM$1010,$B400)))</f>
        <v/>
      </c>
      <c r="N400" s="43">
        <f>IF($B400="","",IF(INDEX('Work Orders'!$AL$11:$AL$1010,$B400)="","",INDEX('Work Orders'!$AL$11:$AL$1010,$B400)))</f>
        <v/>
      </c>
      <c r="O400" s="43">
        <f>IF($B400="","",IF(INDEX('Work Orders'!$N$11:$N$1010,$B400)="","",INDEX('Work Orders'!$N$11:$N$1010,$B400)))</f>
        <v/>
      </c>
    </row>
    <row r="401">
      <c r="A401" s="68" t="n">
        <v>395</v>
      </c>
      <c r="B401">
        <f>IFERROR(MATCH(A401,'Work Orders'!$AO$11:$AO$1010,0),"")</f>
        <v/>
      </c>
      <c r="C401" s="43">
        <f>IF($B401="","",IF(INDEX('Work Orders'!$A$11:$A$1010,$B401)="","",INDEX('Work Orders'!$A$11:$A$1010,$B401)))</f>
        <v/>
      </c>
      <c r="D401" s="43">
        <f>IF($B401="","",IF(INDEX('Work Orders'!$B$11:$B$1010,$B401)="","",INDEX('Work Orders'!$B$11:$B$1010,$B401)))</f>
        <v/>
      </c>
      <c r="E401" s="43">
        <f>IF($B401="","",IF(INDEX('Work Orders'!$D$11:$D$1010,$B401)="","",INDEX('Work Orders'!$D$11:$D$1010,$B401)))</f>
        <v/>
      </c>
      <c r="F401" s="43">
        <f>IF($B401="","",IF(INDEX('Work Orders'!$Q$11:$Q$1010,$B401)="","",INDEX('Work Orders'!$Q$11:$Q$1010,$B401)))</f>
        <v/>
      </c>
      <c r="G401" s="43">
        <f>IF($B401="","",IF(INDEX('Work Orders'!$V$11:$V$1010,$B401)="","",INDEX('Work Orders'!$V$11:$V$1010,$B401)))</f>
        <v/>
      </c>
      <c r="H401" s="47">
        <f>IF($B401="","",IF(INDEX('Work Orders'!$U$11:$U$1010,$B401)="","",INDEX('Work Orders'!$U$11:$U$1010,$B401)))</f>
        <v/>
      </c>
      <c r="I401" s="47">
        <f>IF($B401="","",IF(INDEX('Work Orders'!$X$11:$X$1010,$B401)="","",INDEX('Work Orders'!$X$11:$X$1010,$B401)))</f>
        <v/>
      </c>
      <c r="J401" s="44">
        <f>IF($B401="","",IF(INDEX('Work Orders'!$Z$11:$Z$1010,$B401)="","",INDEX('Work Orders'!$Z$11:$Z$1010,$B401)))</f>
        <v/>
      </c>
      <c r="K401" s="44">
        <f>IF($B401="","",IF(INDEX('Work Orders'!$AG$11:$AG$1010,$B401)="","",INDEX('Work Orders'!$AG$11:$AG$1010,$B401)))</f>
        <v/>
      </c>
      <c r="L401" s="44">
        <f>IF($B401="","",IF(INDEX('Work Orders'!$AH$11:$AH$1010,$B401)="","",INDEX('Work Orders'!$AH$11:$AH$1010,$B401)))</f>
        <v/>
      </c>
      <c r="M401" s="46">
        <f>IF($B401="","",IF(INDEX('Work Orders'!$AM$11:$AM$1010,$B401)="","",INDEX('Work Orders'!$AM$11:$AM$1010,$B401)))</f>
        <v/>
      </c>
      <c r="N401" s="43">
        <f>IF($B401="","",IF(INDEX('Work Orders'!$AL$11:$AL$1010,$B401)="","",INDEX('Work Orders'!$AL$11:$AL$1010,$B401)))</f>
        <v/>
      </c>
      <c r="O401" s="43">
        <f>IF($B401="","",IF(INDEX('Work Orders'!$N$11:$N$1010,$B401)="","",INDEX('Work Orders'!$N$11:$N$1010,$B401)))</f>
        <v/>
      </c>
    </row>
    <row r="402">
      <c r="A402" s="68" t="n">
        <v>396</v>
      </c>
      <c r="B402">
        <f>IFERROR(MATCH(A402,'Work Orders'!$AO$11:$AO$1010,0),"")</f>
        <v/>
      </c>
      <c r="C402" s="43">
        <f>IF($B402="","",IF(INDEX('Work Orders'!$A$11:$A$1010,$B402)="","",INDEX('Work Orders'!$A$11:$A$1010,$B402)))</f>
        <v/>
      </c>
      <c r="D402" s="43">
        <f>IF($B402="","",IF(INDEX('Work Orders'!$B$11:$B$1010,$B402)="","",INDEX('Work Orders'!$B$11:$B$1010,$B402)))</f>
        <v/>
      </c>
      <c r="E402" s="43">
        <f>IF($B402="","",IF(INDEX('Work Orders'!$D$11:$D$1010,$B402)="","",INDEX('Work Orders'!$D$11:$D$1010,$B402)))</f>
        <v/>
      </c>
      <c r="F402" s="43">
        <f>IF($B402="","",IF(INDEX('Work Orders'!$Q$11:$Q$1010,$B402)="","",INDEX('Work Orders'!$Q$11:$Q$1010,$B402)))</f>
        <v/>
      </c>
      <c r="G402" s="43">
        <f>IF($B402="","",IF(INDEX('Work Orders'!$V$11:$V$1010,$B402)="","",INDEX('Work Orders'!$V$11:$V$1010,$B402)))</f>
        <v/>
      </c>
      <c r="H402" s="47">
        <f>IF($B402="","",IF(INDEX('Work Orders'!$U$11:$U$1010,$B402)="","",INDEX('Work Orders'!$U$11:$U$1010,$B402)))</f>
        <v/>
      </c>
      <c r="I402" s="47">
        <f>IF($B402="","",IF(INDEX('Work Orders'!$X$11:$X$1010,$B402)="","",INDEX('Work Orders'!$X$11:$X$1010,$B402)))</f>
        <v/>
      </c>
      <c r="J402" s="44">
        <f>IF($B402="","",IF(INDEX('Work Orders'!$Z$11:$Z$1010,$B402)="","",INDEX('Work Orders'!$Z$11:$Z$1010,$B402)))</f>
        <v/>
      </c>
      <c r="K402" s="44">
        <f>IF($B402="","",IF(INDEX('Work Orders'!$AG$11:$AG$1010,$B402)="","",INDEX('Work Orders'!$AG$11:$AG$1010,$B402)))</f>
        <v/>
      </c>
      <c r="L402" s="44">
        <f>IF($B402="","",IF(INDEX('Work Orders'!$AH$11:$AH$1010,$B402)="","",INDEX('Work Orders'!$AH$11:$AH$1010,$B402)))</f>
        <v/>
      </c>
      <c r="M402" s="46">
        <f>IF($B402="","",IF(INDEX('Work Orders'!$AM$11:$AM$1010,$B402)="","",INDEX('Work Orders'!$AM$11:$AM$1010,$B402)))</f>
        <v/>
      </c>
      <c r="N402" s="43">
        <f>IF($B402="","",IF(INDEX('Work Orders'!$AL$11:$AL$1010,$B402)="","",INDEX('Work Orders'!$AL$11:$AL$1010,$B402)))</f>
        <v/>
      </c>
      <c r="O402" s="43">
        <f>IF($B402="","",IF(INDEX('Work Orders'!$N$11:$N$1010,$B402)="","",INDEX('Work Orders'!$N$11:$N$1010,$B402)))</f>
        <v/>
      </c>
    </row>
    <row r="403">
      <c r="A403" s="68" t="n">
        <v>397</v>
      </c>
      <c r="B403">
        <f>IFERROR(MATCH(A403,'Work Orders'!$AO$11:$AO$1010,0),"")</f>
        <v/>
      </c>
      <c r="C403" s="43">
        <f>IF($B403="","",IF(INDEX('Work Orders'!$A$11:$A$1010,$B403)="","",INDEX('Work Orders'!$A$11:$A$1010,$B403)))</f>
        <v/>
      </c>
      <c r="D403" s="43">
        <f>IF($B403="","",IF(INDEX('Work Orders'!$B$11:$B$1010,$B403)="","",INDEX('Work Orders'!$B$11:$B$1010,$B403)))</f>
        <v/>
      </c>
      <c r="E403" s="43">
        <f>IF($B403="","",IF(INDEX('Work Orders'!$D$11:$D$1010,$B403)="","",INDEX('Work Orders'!$D$11:$D$1010,$B403)))</f>
        <v/>
      </c>
      <c r="F403" s="43">
        <f>IF($B403="","",IF(INDEX('Work Orders'!$Q$11:$Q$1010,$B403)="","",INDEX('Work Orders'!$Q$11:$Q$1010,$B403)))</f>
        <v/>
      </c>
      <c r="G403" s="43">
        <f>IF($B403="","",IF(INDEX('Work Orders'!$V$11:$V$1010,$B403)="","",INDEX('Work Orders'!$V$11:$V$1010,$B403)))</f>
        <v/>
      </c>
      <c r="H403" s="47">
        <f>IF($B403="","",IF(INDEX('Work Orders'!$U$11:$U$1010,$B403)="","",INDEX('Work Orders'!$U$11:$U$1010,$B403)))</f>
        <v/>
      </c>
      <c r="I403" s="47">
        <f>IF($B403="","",IF(INDEX('Work Orders'!$X$11:$X$1010,$B403)="","",INDEX('Work Orders'!$X$11:$X$1010,$B403)))</f>
        <v/>
      </c>
      <c r="J403" s="44">
        <f>IF($B403="","",IF(INDEX('Work Orders'!$Z$11:$Z$1010,$B403)="","",INDEX('Work Orders'!$Z$11:$Z$1010,$B403)))</f>
        <v/>
      </c>
      <c r="K403" s="44">
        <f>IF($B403="","",IF(INDEX('Work Orders'!$AG$11:$AG$1010,$B403)="","",INDEX('Work Orders'!$AG$11:$AG$1010,$B403)))</f>
        <v/>
      </c>
      <c r="L403" s="44">
        <f>IF($B403="","",IF(INDEX('Work Orders'!$AH$11:$AH$1010,$B403)="","",INDEX('Work Orders'!$AH$11:$AH$1010,$B403)))</f>
        <v/>
      </c>
      <c r="M403" s="46">
        <f>IF($B403="","",IF(INDEX('Work Orders'!$AM$11:$AM$1010,$B403)="","",INDEX('Work Orders'!$AM$11:$AM$1010,$B403)))</f>
        <v/>
      </c>
      <c r="N403" s="43">
        <f>IF($B403="","",IF(INDEX('Work Orders'!$AL$11:$AL$1010,$B403)="","",INDEX('Work Orders'!$AL$11:$AL$1010,$B403)))</f>
        <v/>
      </c>
      <c r="O403" s="43">
        <f>IF($B403="","",IF(INDEX('Work Orders'!$N$11:$N$1010,$B403)="","",INDEX('Work Orders'!$N$11:$N$1010,$B403)))</f>
        <v/>
      </c>
    </row>
    <row r="404">
      <c r="A404" s="68" t="n">
        <v>398</v>
      </c>
      <c r="B404">
        <f>IFERROR(MATCH(A404,'Work Orders'!$AO$11:$AO$1010,0),"")</f>
        <v/>
      </c>
      <c r="C404" s="43">
        <f>IF($B404="","",IF(INDEX('Work Orders'!$A$11:$A$1010,$B404)="","",INDEX('Work Orders'!$A$11:$A$1010,$B404)))</f>
        <v/>
      </c>
      <c r="D404" s="43">
        <f>IF($B404="","",IF(INDEX('Work Orders'!$B$11:$B$1010,$B404)="","",INDEX('Work Orders'!$B$11:$B$1010,$B404)))</f>
        <v/>
      </c>
      <c r="E404" s="43">
        <f>IF($B404="","",IF(INDEX('Work Orders'!$D$11:$D$1010,$B404)="","",INDEX('Work Orders'!$D$11:$D$1010,$B404)))</f>
        <v/>
      </c>
      <c r="F404" s="43">
        <f>IF($B404="","",IF(INDEX('Work Orders'!$Q$11:$Q$1010,$B404)="","",INDEX('Work Orders'!$Q$11:$Q$1010,$B404)))</f>
        <v/>
      </c>
      <c r="G404" s="43">
        <f>IF($B404="","",IF(INDEX('Work Orders'!$V$11:$V$1010,$B404)="","",INDEX('Work Orders'!$V$11:$V$1010,$B404)))</f>
        <v/>
      </c>
      <c r="H404" s="47">
        <f>IF($B404="","",IF(INDEX('Work Orders'!$U$11:$U$1010,$B404)="","",INDEX('Work Orders'!$U$11:$U$1010,$B404)))</f>
        <v/>
      </c>
      <c r="I404" s="47">
        <f>IF($B404="","",IF(INDEX('Work Orders'!$X$11:$X$1010,$B404)="","",INDEX('Work Orders'!$X$11:$X$1010,$B404)))</f>
        <v/>
      </c>
      <c r="J404" s="44">
        <f>IF($B404="","",IF(INDEX('Work Orders'!$Z$11:$Z$1010,$B404)="","",INDEX('Work Orders'!$Z$11:$Z$1010,$B404)))</f>
        <v/>
      </c>
      <c r="K404" s="44">
        <f>IF($B404="","",IF(INDEX('Work Orders'!$AG$11:$AG$1010,$B404)="","",INDEX('Work Orders'!$AG$11:$AG$1010,$B404)))</f>
        <v/>
      </c>
      <c r="L404" s="44">
        <f>IF($B404="","",IF(INDEX('Work Orders'!$AH$11:$AH$1010,$B404)="","",INDEX('Work Orders'!$AH$11:$AH$1010,$B404)))</f>
        <v/>
      </c>
      <c r="M404" s="46">
        <f>IF($B404="","",IF(INDEX('Work Orders'!$AM$11:$AM$1010,$B404)="","",INDEX('Work Orders'!$AM$11:$AM$1010,$B404)))</f>
        <v/>
      </c>
      <c r="N404" s="43">
        <f>IF($B404="","",IF(INDEX('Work Orders'!$AL$11:$AL$1010,$B404)="","",INDEX('Work Orders'!$AL$11:$AL$1010,$B404)))</f>
        <v/>
      </c>
      <c r="O404" s="43">
        <f>IF($B404="","",IF(INDEX('Work Orders'!$N$11:$N$1010,$B404)="","",INDEX('Work Orders'!$N$11:$N$1010,$B404)))</f>
        <v/>
      </c>
    </row>
    <row r="405">
      <c r="A405" s="68" t="n">
        <v>399</v>
      </c>
      <c r="B405">
        <f>IFERROR(MATCH(A405,'Work Orders'!$AO$11:$AO$1010,0),"")</f>
        <v/>
      </c>
      <c r="C405" s="43">
        <f>IF($B405="","",IF(INDEX('Work Orders'!$A$11:$A$1010,$B405)="","",INDEX('Work Orders'!$A$11:$A$1010,$B405)))</f>
        <v/>
      </c>
      <c r="D405" s="43">
        <f>IF($B405="","",IF(INDEX('Work Orders'!$B$11:$B$1010,$B405)="","",INDEX('Work Orders'!$B$11:$B$1010,$B405)))</f>
        <v/>
      </c>
      <c r="E405" s="43">
        <f>IF($B405="","",IF(INDEX('Work Orders'!$D$11:$D$1010,$B405)="","",INDEX('Work Orders'!$D$11:$D$1010,$B405)))</f>
        <v/>
      </c>
      <c r="F405" s="43">
        <f>IF($B405="","",IF(INDEX('Work Orders'!$Q$11:$Q$1010,$B405)="","",INDEX('Work Orders'!$Q$11:$Q$1010,$B405)))</f>
        <v/>
      </c>
      <c r="G405" s="43">
        <f>IF($B405="","",IF(INDEX('Work Orders'!$V$11:$V$1010,$B405)="","",INDEX('Work Orders'!$V$11:$V$1010,$B405)))</f>
        <v/>
      </c>
      <c r="H405" s="47">
        <f>IF($B405="","",IF(INDEX('Work Orders'!$U$11:$U$1010,$B405)="","",INDEX('Work Orders'!$U$11:$U$1010,$B405)))</f>
        <v/>
      </c>
      <c r="I405" s="47">
        <f>IF($B405="","",IF(INDEX('Work Orders'!$X$11:$X$1010,$B405)="","",INDEX('Work Orders'!$X$11:$X$1010,$B405)))</f>
        <v/>
      </c>
      <c r="J405" s="44">
        <f>IF($B405="","",IF(INDEX('Work Orders'!$Z$11:$Z$1010,$B405)="","",INDEX('Work Orders'!$Z$11:$Z$1010,$B405)))</f>
        <v/>
      </c>
      <c r="K405" s="44">
        <f>IF($B405="","",IF(INDEX('Work Orders'!$AG$11:$AG$1010,$B405)="","",INDEX('Work Orders'!$AG$11:$AG$1010,$B405)))</f>
        <v/>
      </c>
      <c r="L405" s="44">
        <f>IF($B405="","",IF(INDEX('Work Orders'!$AH$11:$AH$1010,$B405)="","",INDEX('Work Orders'!$AH$11:$AH$1010,$B405)))</f>
        <v/>
      </c>
      <c r="M405" s="46">
        <f>IF($B405="","",IF(INDEX('Work Orders'!$AM$11:$AM$1010,$B405)="","",INDEX('Work Orders'!$AM$11:$AM$1010,$B405)))</f>
        <v/>
      </c>
      <c r="N405" s="43">
        <f>IF($B405="","",IF(INDEX('Work Orders'!$AL$11:$AL$1010,$B405)="","",INDEX('Work Orders'!$AL$11:$AL$1010,$B405)))</f>
        <v/>
      </c>
      <c r="O405" s="43">
        <f>IF($B405="","",IF(INDEX('Work Orders'!$N$11:$N$1010,$B405)="","",INDEX('Work Orders'!$N$11:$N$1010,$B405)))</f>
        <v/>
      </c>
    </row>
    <row r="406">
      <c r="A406" s="68" t="n">
        <v>400</v>
      </c>
      <c r="B406">
        <f>IFERROR(MATCH(A406,'Work Orders'!$AO$11:$AO$1010,0),"")</f>
        <v/>
      </c>
      <c r="C406" s="43">
        <f>IF($B406="","",IF(INDEX('Work Orders'!$A$11:$A$1010,$B406)="","",INDEX('Work Orders'!$A$11:$A$1010,$B406)))</f>
        <v/>
      </c>
      <c r="D406" s="43">
        <f>IF($B406="","",IF(INDEX('Work Orders'!$B$11:$B$1010,$B406)="","",INDEX('Work Orders'!$B$11:$B$1010,$B406)))</f>
        <v/>
      </c>
      <c r="E406" s="43">
        <f>IF($B406="","",IF(INDEX('Work Orders'!$D$11:$D$1010,$B406)="","",INDEX('Work Orders'!$D$11:$D$1010,$B406)))</f>
        <v/>
      </c>
      <c r="F406" s="43">
        <f>IF($B406="","",IF(INDEX('Work Orders'!$Q$11:$Q$1010,$B406)="","",INDEX('Work Orders'!$Q$11:$Q$1010,$B406)))</f>
        <v/>
      </c>
      <c r="G406" s="43">
        <f>IF($B406="","",IF(INDEX('Work Orders'!$V$11:$V$1010,$B406)="","",INDEX('Work Orders'!$V$11:$V$1010,$B406)))</f>
        <v/>
      </c>
      <c r="H406" s="47">
        <f>IF($B406="","",IF(INDEX('Work Orders'!$U$11:$U$1010,$B406)="","",INDEX('Work Orders'!$U$11:$U$1010,$B406)))</f>
        <v/>
      </c>
      <c r="I406" s="47">
        <f>IF($B406="","",IF(INDEX('Work Orders'!$X$11:$X$1010,$B406)="","",INDEX('Work Orders'!$X$11:$X$1010,$B406)))</f>
        <v/>
      </c>
      <c r="J406" s="44">
        <f>IF($B406="","",IF(INDEX('Work Orders'!$Z$11:$Z$1010,$B406)="","",INDEX('Work Orders'!$Z$11:$Z$1010,$B406)))</f>
        <v/>
      </c>
      <c r="K406" s="44">
        <f>IF($B406="","",IF(INDEX('Work Orders'!$AG$11:$AG$1010,$B406)="","",INDEX('Work Orders'!$AG$11:$AG$1010,$B406)))</f>
        <v/>
      </c>
      <c r="L406" s="44">
        <f>IF($B406="","",IF(INDEX('Work Orders'!$AH$11:$AH$1010,$B406)="","",INDEX('Work Orders'!$AH$11:$AH$1010,$B406)))</f>
        <v/>
      </c>
      <c r="M406" s="46">
        <f>IF($B406="","",IF(INDEX('Work Orders'!$AM$11:$AM$1010,$B406)="","",INDEX('Work Orders'!$AM$11:$AM$1010,$B406)))</f>
        <v/>
      </c>
      <c r="N406" s="43">
        <f>IF($B406="","",IF(INDEX('Work Orders'!$AL$11:$AL$1010,$B406)="","",INDEX('Work Orders'!$AL$11:$AL$1010,$B406)))</f>
        <v/>
      </c>
      <c r="O406" s="43">
        <f>IF($B406="","",IF(INDEX('Work Orders'!$N$11:$N$1010,$B406)="","",INDEX('Work Orders'!$N$11:$N$1010,$B406)))</f>
        <v/>
      </c>
    </row>
    <row r="407">
      <c r="A407" s="68" t="n">
        <v>401</v>
      </c>
      <c r="B407">
        <f>IFERROR(MATCH(A407,'Work Orders'!$AO$11:$AO$1010,0),"")</f>
        <v/>
      </c>
      <c r="C407" s="43">
        <f>IF($B407="","",IF(INDEX('Work Orders'!$A$11:$A$1010,$B407)="","",INDEX('Work Orders'!$A$11:$A$1010,$B407)))</f>
        <v/>
      </c>
      <c r="D407" s="43">
        <f>IF($B407="","",IF(INDEX('Work Orders'!$B$11:$B$1010,$B407)="","",INDEX('Work Orders'!$B$11:$B$1010,$B407)))</f>
        <v/>
      </c>
      <c r="E407" s="43">
        <f>IF($B407="","",IF(INDEX('Work Orders'!$D$11:$D$1010,$B407)="","",INDEX('Work Orders'!$D$11:$D$1010,$B407)))</f>
        <v/>
      </c>
      <c r="F407" s="43">
        <f>IF($B407="","",IF(INDEX('Work Orders'!$Q$11:$Q$1010,$B407)="","",INDEX('Work Orders'!$Q$11:$Q$1010,$B407)))</f>
        <v/>
      </c>
      <c r="G407" s="43">
        <f>IF($B407="","",IF(INDEX('Work Orders'!$V$11:$V$1010,$B407)="","",INDEX('Work Orders'!$V$11:$V$1010,$B407)))</f>
        <v/>
      </c>
      <c r="H407" s="47">
        <f>IF($B407="","",IF(INDEX('Work Orders'!$U$11:$U$1010,$B407)="","",INDEX('Work Orders'!$U$11:$U$1010,$B407)))</f>
        <v/>
      </c>
      <c r="I407" s="47">
        <f>IF($B407="","",IF(INDEX('Work Orders'!$X$11:$X$1010,$B407)="","",INDEX('Work Orders'!$X$11:$X$1010,$B407)))</f>
        <v/>
      </c>
      <c r="J407" s="44">
        <f>IF($B407="","",IF(INDEX('Work Orders'!$Z$11:$Z$1010,$B407)="","",INDEX('Work Orders'!$Z$11:$Z$1010,$B407)))</f>
        <v/>
      </c>
      <c r="K407" s="44">
        <f>IF($B407="","",IF(INDEX('Work Orders'!$AG$11:$AG$1010,$B407)="","",INDEX('Work Orders'!$AG$11:$AG$1010,$B407)))</f>
        <v/>
      </c>
      <c r="L407" s="44">
        <f>IF($B407="","",IF(INDEX('Work Orders'!$AH$11:$AH$1010,$B407)="","",INDEX('Work Orders'!$AH$11:$AH$1010,$B407)))</f>
        <v/>
      </c>
      <c r="M407" s="46">
        <f>IF($B407="","",IF(INDEX('Work Orders'!$AM$11:$AM$1010,$B407)="","",INDEX('Work Orders'!$AM$11:$AM$1010,$B407)))</f>
        <v/>
      </c>
      <c r="N407" s="43">
        <f>IF($B407="","",IF(INDEX('Work Orders'!$AL$11:$AL$1010,$B407)="","",INDEX('Work Orders'!$AL$11:$AL$1010,$B407)))</f>
        <v/>
      </c>
      <c r="O407" s="43">
        <f>IF($B407="","",IF(INDEX('Work Orders'!$N$11:$N$1010,$B407)="","",INDEX('Work Orders'!$N$11:$N$1010,$B407)))</f>
        <v/>
      </c>
    </row>
    <row r="408">
      <c r="A408" s="68" t="n">
        <v>402</v>
      </c>
      <c r="B408">
        <f>IFERROR(MATCH(A408,'Work Orders'!$AO$11:$AO$1010,0),"")</f>
        <v/>
      </c>
      <c r="C408" s="43">
        <f>IF($B408="","",IF(INDEX('Work Orders'!$A$11:$A$1010,$B408)="","",INDEX('Work Orders'!$A$11:$A$1010,$B408)))</f>
        <v/>
      </c>
      <c r="D408" s="43">
        <f>IF($B408="","",IF(INDEX('Work Orders'!$B$11:$B$1010,$B408)="","",INDEX('Work Orders'!$B$11:$B$1010,$B408)))</f>
        <v/>
      </c>
      <c r="E408" s="43">
        <f>IF($B408="","",IF(INDEX('Work Orders'!$D$11:$D$1010,$B408)="","",INDEX('Work Orders'!$D$11:$D$1010,$B408)))</f>
        <v/>
      </c>
      <c r="F408" s="43">
        <f>IF($B408="","",IF(INDEX('Work Orders'!$Q$11:$Q$1010,$B408)="","",INDEX('Work Orders'!$Q$11:$Q$1010,$B408)))</f>
        <v/>
      </c>
      <c r="G408" s="43">
        <f>IF($B408="","",IF(INDEX('Work Orders'!$V$11:$V$1010,$B408)="","",INDEX('Work Orders'!$V$11:$V$1010,$B408)))</f>
        <v/>
      </c>
      <c r="H408" s="47">
        <f>IF($B408="","",IF(INDEX('Work Orders'!$U$11:$U$1010,$B408)="","",INDEX('Work Orders'!$U$11:$U$1010,$B408)))</f>
        <v/>
      </c>
      <c r="I408" s="47">
        <f>IF($B408="","",IF(INDEX('Work Orders'!$X$11:$X$1010,$B408)="","",INDEX('Work Orders'!$X$11:$X$1010,$B408)))</f>
        <v/>
      </c>
      <c r="J408" s="44">
        <f>IF($B408="","",IF(INDEX('Work Orders'!$Z$11:$Z$1010,$B408)="","",INDEX('Work Orders'!$Z$11:$Z$1010,$B408)))</f>
        <v/>
      </c>
      <c r="K408" s="44">
        <f>IF($B408="","",IF(INDEX('Work Orders'!$AG$11:$AG$1010,$B408)="","",INDEX('Work Orders'!$AG$11:$AG$1010,$B408)))</f>
        <v/>
      </c>
      <c r="L408" s="44">
        <f>IF($B408="","",IF(INDEX('Work Orders'!$AH$11:$AH$1010,$B408)="","",INDEX('Work Orders'!$AH$11:$AH$1010,$B408)))</f>
        <v/>
      </c>
      <c r="M408" s="46">
        <f>IF($B408="","",IF(INDEX('Work Orders'!$AM$11:$AM$1010,$B408)="","",INDEX('Work Orders'!$AM$11:$AM$1010,$B408)))</f>
        <v/>
      </c>
      <c r="N408" s="43">
        <f>IF($B408="","",IF(INDEX('Work Orders'!$AL$11:$AL$1010,$B408)="","",INDEX('Work Orders'!$AL$11:$AL$1010,$B408)))</f>
        <v/>
      </c>
      <c r="O408" s="43">
        <f>IF($B408="","",IF(INDEX('Work Orders'!$N$11:$N$1010,$B408)="","",INDEX('Work Orders'!$N$11:$N$1010,$B408)))</f>
        <v/>
      </c>
    </row>
    <row r="409">
      <c r="A409" s="68" t="n">
        <v>403</v>
      </c>
      <c r="B409">
        <f>IFERROR(MATCH(A409,'Work Orders'!$AO$11:$AO$1010,0),"")</f>
        <v/>
      </c>
      <c r="C409" s="43">
        <f>IF($B409="","",IF(INDEX('Work Orders'!$A$11:$A$1010,$B409)="","",INDEX('Work Orders'!$A$11:$A$1010,$B409)))</f>
        <v/>
      </c>
      <c r="D409" s="43">
        <f>IF($B409="","",IF(INDEX('Work Orders'!$B$11:$B$1010,$B409)="","",INDEX('Work Orders'!$B$11:$B$1010,$B409)))</f>
        <v/>
      </c>
      <c r="E409" s="43">
        <f>IF($B409="","",IF(INDEX('Work Orders'!$D$11:$D$1010,$B409)="","",INDEX('Work Orders'!$D$11:$D$1010,$B409)))</f>
        <v/>
      </c>
      <c r="F409" s="43">
        <f>IF($B409="","",IF(INDEX('Work Orders'!$Q$11:$Q$1010,$B409)="","",INDEX('Work Orders'!$Q$11:$Q$1010,$B409)))</f>
        <v/>
      </c>
      <c r="G409" s="43">
        <f>IF($B409="","",IF(INDEX('Work Orders'!$V$11:$V$1010,$B409)="","",INDEX('Work Orders'!$V$11:$V$1010,$B409)))</f>
        <v/>
      </c>
      <c r="H409" s="47">
        <f>IF($B409="","",IF(INDEX('Work Orders'!$U$11:$U$1010,$B409)="","",INDEX('Work Orders'!$U$11:$U$1010,$B409)))</f>
        <v/>
      </c>
      <c r="I409" s="47">
        <f>IF($B409="","",IF(INDEX('Work Orders'!$X$11:$X$1010,$B409)="","",INDEX('Work Orders'!$X$11:$X$1010,$B409)))</f>
        <v/>
      </c>
      <c r="J409" s="44">
        <f>IF($B409="","",IF(INDEX('Work Orders'!$Z$11:$Z$1010,$B409)="","",INDEX('Work Orders'!$Z$11:$Z$1010,$B409)))</f>
        <v/>
      </c>
      <c r="K409" s="44">
        <f>IF($B409="","",IF(INDEX('Work Orders'!$AG$11:$AG$1010,$B409)="","",INDEX('Work Orders'!$AG$11:$AG$1010,$B409)))</f>
        <v/>
      </c>
      <c r="L409" s="44">
        <f>IF($B409="","",IF(INDEX('Work Orders'!$AH$11:$AH$1010,$B409)="","",INDEX('Work Orders'!$AH$11:$AH$1010,$B409)))</f>
        <v/>
      </c>
      <c r="M409" s="46">
        <f>IF($B409="","",IF(INDEX('Work Orders'!$AM$11:$AM$1010,$B409)="","",INDEX('Work Orders'!$AM$11:$AM$1010,$B409)))</f>
        <v/>
      </c>
      <c r="N409" s="43">
        <f>IF($B409="","",IF(INDEX('Work Orders'!$AL$11:$AL$1010,$B409)="","",INDEX('Work Orders'!$AL$11:$AL$1010,$B409)))</f>
        <v/>
      </c>
      <c r="O409" s="43">
        <f>IF($B409="","",IF(INDEX('Work Orders'!$N$11:$N$1010,$B409)="","",INDEX('Work Orders'!$N$11:$N$1010,$B409)))</f>
        <v/>
      </c>
    </row>
    <row r="410">
      <c r="A410" s="68" t="n">
        <v>404</v>
      </c>
      <c r="B410">
        <f>IFERROR(MATCH(A410,'Work Orders'!$AO$11:$AO$1010,0),"")</f>
        <v/>
      </c>
      <c r="C410" s="43">
        <f>IF($B410="","",IF(INDEX('Work Orders'!$A$11:$A$1010,$B410)="","",INDEX('Work Orders'!$A$11:$A$1010,$B410)))</f>
        <v/>
      </c>
      <c r="D410" s="43">
        <f>IF($B410="","",IF(INDEX('Work Orders'!$B$11:$B$1010,$B410)="","",INDEX('Work Orders'!$B$11:$B$1010,$B410)))</f>
        <v/>
      </c>
      <c r="E410" s="43">
        <f>IF($B410="","",IF(INDEX('Work Orders'!$D$11:$D$1010,$B410)="","",INDEX('Work Orders'!$D$11:$D$1010,$B410)))</f>
        <v/>
      </c>
      <c r="F410" s="43">
        <f>IF($B410="","",IF(INDEX('Work Orders'!$Q$11:$Q$1010,$B410)="","",INDEX('Work Orders'!$Q$11:$Q$1010,$B410)))</f>
        <v/>
      </c>
      <c r="G410" s="43">
        <f>IF($B410="","",IF(INDEX('Work Orders'!$V$11:$V$1010,$B410)="","",INDEX('Work Orders'!$V$11:$V$1010,$B410)))</f>
        <v/>
      </c>
      <c r="H410" s="47">
        <f>IF($B410="","",IF(INDEX('Work Orders'!$U$11:$U$1010,$B410)="","",INDEX('Work Orders'!$U$11:$U$1010,$B410)))</f>
        <v/>
      </c>
      <c r="I410" s="47">
        <f>IF($B410="","",IF(INDEX('Work Orders'!$X$11:$X$1010,$B410)="","",INDEX('Work Orders'!$X$11:$X$1010,$B410)))</f>
        <v/>
      </c>
      <c r="J410" s="44">
        <f>IF($B410="","",IF(INDEX('Work Orders'!$Z$11:$Z$1010,$B410)="","",INDEX('Work Orders'!$Z$11:$Z$1010,$B410)))</f>
        <v/>
      </c>
      <c r="K410" s="44">
        <f>IF($B410="","",IF(INDEX('Work Orders'!$AG$11:$AG$1010,$B410)="","",INDEX('Work Orders'!$AG$11:$AG$1010,$B410)))</f>
        <v/>
      </c>
      <c r="L410" s="44">
        <f>IF($B410="","",IF(INDEX('Work Orders'!$AH$11:$AH$1010,$B410)="","",INDEX('Work Orders'!$AH$11:$AH$1010,$B410)))</f>
        <v/>
      </c>
      <c r="M410" s="46">
        <f>IF($B410="","",IF(INDEX('Work Orders'!$AM$11:$AM$1010,$B410)="","",INDEX('Work Orders'!$AM$11:$AM$1010,$B410)))</f>
        <v/>
      </c>
      <c r="N410" s="43">
        <f>IF($B410="","",IF(INDEX('Work Orders'!$AL$11:$AL$1010,$B410)="","",INDEX('Work Orders'!$AL$11:$AL$1010,$B410)))</f>
        <v/>
      </c>
      <c r="O410" s="43">
        <f>IF($B410="","",IF(INDEX('Work Orders'!$N$11:$N$1010,$B410)="","",INDEX('Work Orders'!$N$11:$N$1010,$B410)))</f>
        <v/>
      </c>
    </row>
    <row r="411">
      <c r="A411" s="68" t="n">
        <v>405</v>
      </c>
      <c r="B411">
        <f>IFERROR(MATCH(A411,'Work Orders'!$AO$11:$AO$1010,0),"")</f>
        <v/>
      </c>
      <c r="C411" s="43">
        <f>IF($B411="","",IF(INDEX('Work Orders'!$A$11:$A$1010,$B411)="","",INDEX('Work Orders'!$A$11:$A$1010,$B411)))</f>
        <v/>
      </c>
      <c r="D411" s="43">
        <f>IF($B411="","",IF(INDEX('Work Orders'!$B$11:$B$1010,$B411)="","",INDEX('Work Orders'!$B$11:$B$1010,$B411)))</f>
        <v/>
      </c>
      <c r="E411" s="43">
        <f>IF($B411="","",IF(INDEX('Work Orders'!$D$11:$D$1010,$B411)="","",INDEX('Work Orders'!$D$11:$D$1010,$B411)))</f>
        <v/>
      </c>
      <c r="F411" s="43">
        <f>IF($B411="","",IF(INDEX('Work Orders'!$Q$11:$Q$1010,$B411)="","",INDEX('Work Orders'!$Q$11:$Q$1010,$B411)))</f>
        <v/>
      </c>
      <c r="G411" s="43">
        <f>IF($B411="","",IF(INDEX('Work Orders'!$V$11:$V$1010,$B411)="","",INDEX('Work Orders'!$V$11:$V$1010,$B411)))</f>
        <v/>
      </c>
      <c r="H411" s="47">
        <f>IF($B411="","",IF(INDEX('Work Orders'!$U$11:$U$1010,$B411)="","",INDEX('Work Orders'!$U$11:$U$1010,$B411)))</f>
        <v/>
      </c>
      <c r="I411" s="47">
        <f>IF($B411="","",IF(INDEX('Work Orders'!$X$11:$X$1010,$B411)="","",INDEX('Work Orders'!$X$11:$X$1010,$B411)))</f>
        <v/>
      </c>
      <c r="J411" s="44">
        <f>IF($B411="","",IF(INDEX('Work Orders'!$Z$11:$Z$1010,$B411)="","",INDEX('Work Orders'!$Z$11:$Z$1010,$B411)))</f>
        <v/>
      </c>
      <c r="K411" s="44">
        <f>IF($B411="","",IF(INDEX('Work Orders'!$AG$11:$AG$1010,$B411)="","",INDEX('Work Orders'!$AG$11:$AG$1010,$B411)))</f>
        <v/>
      </c>
      <c r="L411" s="44">
        <f>IF($B411="","",IF(INDEX('Work Orders'!$AH$11:$AH$1010,$B411)="","",INDEX('Work Orders'!$AH$11:$AH$1010,$B411)))</f>
        <v/>
      </c>
      <c r="M411" s="46">
        <f>IF($B411="","",IF(INDEX('Work Orders'!$AM$11:$AM$1010,$B411)="","",INDEX('Work Orders'!$AM$11:$AM$1010,$B411)))</f>
        <v/>
      </c>
      <c r="N411" s="43">
        <f>IF($B411="","",IF(INDEX('Work Orders'!$AL$11:$AL$1010,$B411)="","",INDEX('Work Orders'!$AL$11:$AL$1010,$B411)))</f>
        <v/>
      </c>
      <c r="O411" s="43">
        <f>IF($B411="","",IF(INDEX('Work Orders'!$N$11:$N$1010,$B411)="","",INDEX('Work Orders'!$N$11:$N$1010,$B411)))</f>
        <v/>
      </c>
    </row>
    <row r="412">
      <c r="A412" s="68" t="n">
        <v>406</v>
      </c>
      <c r="B412">
        <f>IFERROR(MATCH(A412,'Work Orders'!$AO$11:$AO$1010,0),"")</f>
        <v/>
      </c>
      <c r="C412" s="43">
        <f>IF($B412="","",IF(INDEX('Work Orders'!$A$11:$A$1010,$B412)="","",INDEX('Work Orders'!$A$11:$A$1010,$B412)))</f>
        <v/>
      </c>
      <c r="D412" s="43">
        <f>IF($B412="","",IF(INDEX('Work Orders'!$B$11:$B$1010,$B412)="","",INDEX('Work Orders'!$B$11:$B$1010,$B412)))</f>
        <v/>
      </c>
      <c r="E412" s="43">
        <f>IF($B412="","",IF(INDEX('Work Orders'!$D$11:$D$1010,$B412)="","",INDEX('Work Orders'!$D$11:$D$1010,$B412)))</f>
        <v/>
      </c>
      <c r="F412" s="43">
        <f>IF($B412="","",IF(INDEX('Work Orders'!$Q$11:$Q$1010,$B412)="","",INDEX('Work Orders'!$Q$11:$Q$1010,$B412)))</f>
        <v/>
      </c>
      <c r="G412" s="43">
        <f>IF($B412="","",IF(INDEX('Work Orders'!$V$11:$V$1010,$B412)="","",INDEX('Work Orders'!$V$11:$V$1010,$B412)))</f>
        <v/>
      </c>
      <c r="H412" s="47">
        <f>IF($B412="","",IF(INDEX('Work Orders'!$U$11:$U$1010,$B412)="","",INDEX('Work Orders'!$U$11:$U$1010,$B412)))</f>
        <v/>
      </c>
      <c r="I412" s="47">
        <f>IF($B412="","",IF(INDEX('Work Orders'!$X$11:$X$1010,$B412)="","",INDEX('Work Orders'!$X$11:$X$1010,$B412)))</f>
        <v/>
      </c>
      <c r="J412" s="44">
        <f>IF($B412="","",IF(INDEX('Work Orders'!$Z$11:$Z$1010,$B412)="","",INDEX('Work Orders'!$Z$11:$Z$1010,$B412)))</f>
        <v/>
      </c>
      <c r="K412" s="44">
        <f>IF($B412="","",IF(INDEX('Work Orders'!$AG$11:$AG$1010,$B412)="","",INDEX('Work Orders'!$AG$11:$AG$1010,$B412)))</f>
        <v/>
      </c>
      <c r="L412" s="44">
        <f>IF($B412="","",IF(INDEX('Work Orders'!$AH$11:$AH$1010,$B412)="","",INDEX('Work Orders'!$AH$11:$AH$1010,$B412)))</f>
        <v/>
      </c>
      <c r="M412" s="46">
        <f>IF($B412="","",IF(INDEX('Work Orders'!$AM$11:$AM$1010,$B412)="","",INDEX('Work Orders'!$AM$11:$AM$1010,$B412)))</f>
        <v/>
      </c>
      <c r="N412" s="43">
        <f>IF($B412="","",IF(INDEX('Work Orders'!$AL$11:$AL$1010,$B412)="","",INDEX('Work Orders'!$AL$11:$AL$1010,$B412)))</f>
        <v/>
      </c>
      <c r="O412" s="43">
        <f>IF($B412="","",IF(INDEX('Work Orders'!$N$11:$N$1010,$B412)="","",INDEX('Work Orders'!$N$11:$N$1010,$B412)))</f>
        <v/>
      </c>
    </row>
    <row r="413">
      <c r="A413" s="68" t="n">
        <v>407</v>
      </c>
      <c r="B413">
        <f>IFERROR(MATCH(A413,'Work Orders'!$AO$11:$AO$1010,0),"")</f>
        <v/>
      </c>
      <c r="C413" s="43">
        <f>IF($B413="","",IF(INDEX('Work Orders'!$A$11:$A$1010,$B413)="","",INDEX('Work Orders'!$A$11:$A$1010,$B413)))</f>
        <v/>
      </c>
      <c r="D413" s="43">
        <f>IF($B413="","",IF(INDEX('Work Orders'!$B$11:$B$1010,$B413)="","",INDEX('Work Orders'!$B$11:$B$1010,$B413)))</f>
        <v/>
      </c>
      <c r="E413" s="43">
        <f>IF($B413="","",IF(INDEX('Work Orders'!$D$11:$D$1010,$B413)="","",INDEX('Work Orders'!$D$11:$D$1010,$B413)))</f>
        <v/>
      </c>
      <c r="F413" s="43">
        <f>IF($B413="","",IF(INDEX('Work Orders'!$Q$11:$Q$1010,$B413)="","",INDEX('Work Orders'!$Q$11:$Q$1010,$B413)))</f>
        <v/>
      </c>
      <c r="G413" s="43">
        <f>IF($B413="","",IF(INDEX('Work Orders'!$V$11:$V$1010,$B413)="","",INDEX('Work Orders'!$V$11:$V$1010,$B413)))</f>
        <v/>
      </c>
      <c r="H413" s="47">
        <f>IF($B413="","",IF(INDEX('Work Orders'!$U$11:$U$1010,$B413)="","",INDEX('Work Orders'!$U$11:$U$1010,$B413)))</f>
        <v/>
      </c>
      <c r="I413" s="47">
        <f>IF($B413="","",IF(INDEX('Work Orders'!$X$11:$X$1010,$B413)="","",INDEX('Work Orders'!$X$11:$X$1010,$B413)))</f>
        <v/>
      </c>
      <c r="J413" s="44">
        <f>IF($B413="","",IF(INDEX('Work Orders'!$Z$11:$Z$1010,$B413)="","",INDEX('Work Orders'!$Z$11:$Z$1010,$B413)))</f>
        <v/>
      </c>
      <c r="K413" s="44">
        <f>IF($B413="","",IF(INDEX('Work Orders'!$AG$11:$AG$1010,$B413)="","",INDEX('Work Orders'!$AG$11:$AG$1010,$B413)))</f>
        <v/>
      </c>
      <c r="L413" s="44">
        <f>IF($B413="","",IF(INDEX('Work Orders'!$AH$11:$AH$1010,$B413)="","",INDEX('Work Orders'!$AH$11:$AH$1010,$B413)))</f>
        <v/>
      </c>
      <c r="M413" s="46">
        <f>IF($B413="","",IF(INDEX('Work Orders'!$AM$11:$AM$1010,$B413)="","",INDEX('Work Orders'!$AM$11:$AM$1010,$B413)))</f>
        <v/>
      </c>
      <c r="N413" s="43">
        <f>IF($B413="","",IF(INDEX('Work Orders'!$AL$11:$AL$1010,$B413)="","",INDEX('Work Orders'!$AL$11:$AL$1010,$B413)))</f>
        <v/>
      </c>
      <c r="O413" s="43">
        <f>IF($B413="","",IF(INDEX('Work Orders'!$N$11:$N$1010,$B413)="","",INDEX('Work Orders'!$N$11:$N$1010,$B413)))</f>
        <v/>
      </c>
    </row>
    <row r="414">
      <c r="A414" s="68" t="n">
        <v>408</v>
      </c>
      <c r="B414">
        <f>IFERROR(MATCH(A414,'Work Orders'!$AO$11:$AO$1010,0),"")</f>
        <v/>
      </c>
      <c r="C414" s="43">
        <f>IF($B414="","",IF(INDEX('Work Orders'!$A$11:$A$1010,$B414)="","",INDEX('Work Orders'!$A$11:$A$1010,$B414)))</f>
        <v/>
      </c>
      <c r="D414" s="43">
        <f>IF($B414="","",IF(INDEX('Work Orders'!$B$11:$B$1010,$B414)="","",INDEX('Work Orders'!$B$11:$B$1010,$B414)))</f>
        <v/>
      </c>
      <c r="E414" s="43">
        <f>IF($B414="","",IF(INDEX('Work Orders'!$D$11:$D$1010,$B414)="","",INDEX('Work Orders'!$D$11:$D$1010,$B414)))</f>
        <v/>
      </c>
      <c r="F414" s="43">
        <f>IF($B414="","",IF(INDEX('Work Orders'!$Q$11:$Q$1010,$B414)="","",INDEX('Work Orders'!$Q$11:$Q$1010,$B414)))</f>
        <v/>
      </c>
      <c r="G414" s="43">
        <f>IF($B414="","",IF(INDEX('Work Orders'!$V$11:$V$1010,$B414)="","",INDEX('Work Orders'!$V$11:$V$1010,$B414)))</f>
        <v/>
      </c>
      <c r="H414" s="47">
        <f>IF($B414="","",IF(INDEX('Work Orders'!$U$11:$U$1010,$B414)="","",INDEX('Work Orders'!$U$11:$U$1010,$B414)))</f>
        <v/>
      </c>
      <c r="I414" s="47">
        <f>IF($B414="","",IF(INDEX('Work Orders'!$X$11:$X$1010,$B414)="","",INDEX('Work Orders'!$X$11:$X$1010,$B414)))</f>
        <v/>
      </c>
      <c r="J414" s="44">
        <f>IF($B414="","",IF(INDEX('Work Orders'!$Z$11:$Z$1010,$B414)="","",INDEX('Work Orders'!$Z$11:$Z$1010,$B414)))</f>
        <v/>
      </c>
      <c r="K414" s="44">
        <f>IF($B414="","",IF(INDEX('Work Orders'!$AG$11:$AG$1010,$B414)="","",INDEX('Work Orders'!$AG$11:$AG$1010,$B414)))</f>
        <v/>
      </c>
      <c r="L414" s="44">
        <f>IF($B414="","",IF(INDEX('Work Orders'!$AH$11:$AH$1010,$B414)="","",INDEX('Work Orders'!$AH$11:$AH$1010,$B414)))</f>
        <v/>
      </c>
      <c r="M414" s="46">
        <f>IF($B414="","",IF(INDEX('Work Orders'!$AM$11:$AM$1010,$B414)="","",INDEX('Work Orders'!$AM$11:$AM$1010,$B414)))</f>
        <v/>
      </c>
      <c r="N414" s="43">
        <f>IF($B414="","",IF(INDEX('Work Orders'!$AL$11:$AL$1010,$B414)="","",INDEX('Work Orders'!$AL$11:$AL$1010,$B414)))</f>
        <v/>
      </c>
      <c r="O414" s="43">
        <f>IF($B414="","",IF(INDEX('Work Orders'!$N$11:$N$1010,$B414)="","",INDEX('Work Orders'!$N$11:$N$1010,$B414)))</f>
        <v/>
      </c>
    </row>
    <row r="415">
      <c r="A415" s="68" t="n">
        <v>409</v>
      </c>
      <c r="B415">
        <f>IFERROR(MATCH(A415,'Work Orders'!$AO$11:$AO$1010,0),"")</f>
        <v/>
      </c>
      <c r="C415" s="43">
        <f>IF($B415="","",IF(INDEX('Work Orders'!$A$11:$A$1010,$B415)="","",INDEX('Work Orders'!$A$11:$A$1010,$B415)))</f>
        <v/>
      </c>
      <c r="D415" s="43">
        <f>IF($B415="","",IF(INDEX('Work Orders'!$B$11:$B$1010,$B415)="","",INDEX('Work Orders'!$B$11:$B$1010,$B415)))</f>
        <v/>
      </c>
      <c r="E415" s="43">
        <f>IF($B415="","",IF(INDEX('Work Orders'!$D$11:$D$1010,$B415)="","",INDEX('Work Orders'!$D$11:$D$1010,$B415)))</f>
        <v/>
      </c>
      <c r="F415" s="43">
        <f>IF($B415="","",IF(INDEX('Work Orders'!$Q$11:$Q$1010,$B415)="","",INDEX('Work Orders'!$Q$11:$Q$1010,$B415)))</f>
        <v/>
      </c>
      <c r="G415" s="43">
        <f>IF($B415="","",IF(INDEX('Work Orders'!$V$11:$V$1010,$B415)="","",INDEX('Work Orders'!$V$11:$V$1010,$B415)))</f>
        <v/>
      </c>
      <c r="H415" s="47">
        <f>IF($B415="","",IF(INDEX('Work Orders'!$U$11:$U$1010,$B415)="","",INDEX('Work Orders'!$U$11:$U$1010,$B415)))</f>
        <v/>
      </c>
      <c r="I415" s="47">
        <f>IF($B415="","",IF(INDEX('Work Orders'!$X$11:$X$1010,$B415)="","",INDEX('Work Orders'!$X$11:$X$1010,$B415)))</f>
        <v/>
      </c>
      <c r="J415" s="44">
        <f>IF($B415="","",IF(INDEX('Work Orders'!$Z$11:$Z$1010,$B415)="","",INDEX('Work Orders'!$Z$11:$Z$1010,$B415)))</f>
        <v/>
      </c>
      <c r="K415" s="44">
        <f>IF($B415="","",IF(INDEX('Work Orders'!$AG$11:$AG$1010,$B415)="","",INDEX('Work Orders'!$AG$11:$AG$1010,$B415)))</f>
        <v/>
      </c>
      <c r="L415" s="44">
        <f>IF($B415="","",IF(INDEX('Work Orders'!$AH$11:$AH$1010,$B415)="","",INDEX('Work Orders'!$AH$11:$AH$1010,$B415)))</f>
        <v/>
      </c>
      <c r="M415" s="46">
        <f>IF($B415="","",IF(INDEX('Work Orders'!$AM$11:$AM$1010,$B415)="","",INDEX('Work Orders'!$AM$11:$AM$1010,$B415)))</f>
        <v/>
      </c>
      <c r="N415" s="43">
        <f>IF($B415="","",IF(INDEX('Work Orders'!$AL$11:$AL$1010,$B415)="","",INDEX('Work Orders'!$AL$11:$AL$1010,$B415)))</f>
        <v/>
      </c>
      <c r="O415" s="43">
        <f>IF($B415="","",IF(INDEX('Work Orders'!$N$11:$N$1010,$B415)="","",INDEX('Work Orders'!$N$11:$N$1010,$B415)))</f>
        <v/>
      </c>
    </row>
    <row r="416">
      <c r="A416" s="68" t="n">
        <v>410</v>
      </c>
      <c r="B416">
        <f>IFERROR(MATCH(A416,'Work Orders'!$AO$11:$AO$1010,0),"")</f>
        <v/>
      </c>
      <c r="C416" s="43">
        <f>IF($B416="","",IF(INDEX('Work Orders'!$A$11:$A$1010,$B416)="","",INDEX('Work Orders'!$A$11:$A$1010,$B416)))</f>
        <v/>
      </c>
      <c r="D416" s="43">
        <f>IF($B416="","",IF(INDEX('Work Orders'!$B$11:$B$1010,$B416)="","",INDEX('Work Orders'!$B$11:$B$1010,$B416)))</f>
        <v/>
      </c>
      <c r="E416" s="43">
        <f>IF($B416="","",IF(INDEX('Work Orders'!$D$11:$D$1010,$B416)="","",INDEX('Work Orders'!$D$11:$D$1010,$B416)))</f>
        <v/>
      </c>
      <c r="F416" s="43">
        <f>IF($B416="","",IF(INDEX('Work Orders'!$Q$11:$Q$1010,$B416)="","",INDEX('Work Orders'!$Q$11:$Q$1010,$B416)))</f>
        <v/>
      </c>
      <c r="G416" s="43">
        <f>IF($B416="","",IF(INDEX('Work Orders'!$V$11:$V$1010,$B416)="","",INDEX('Work Orders'!$V$11:$V$1010,$B416)))</f>
        <v/>
      </c>
      <c r="H416" s="47">
        <f>IF($B416="","",IF(INDEX('Work Orders'!$U$11:$U$1010,$B416)="","",INDEX('Work Orders'!$U$11:$U$1010,$B416)))</f>
        <v/>
      </c>
      <c r="I416" s="47">
        <f>IF($B416="","",IF(INDEX('Work Orders'!$X$11:$X$1010,$B416)="","",INDEX('Work Orders'!$X$11:$X$1010,$B416)))</f>
        <v/>
      </c>
      <c r="J416" s="44">
        <f>IF($B416="","",IF(INDEX('Work Orders'!$Z$11:$Z$1010,$B416)="","",INDEX('Work Orders'!$Z$11:$Z$1010,$B416)))</f>
        <v/>
      </c>
      <c r="K416" s="44">
        <f>IF($B416="","",IF(INDEX('Work Orders'!$AG$11:$AG$1010,$B416)="","",INDEX('Work Orders'!$AG$11:$AG$1010,$B416)))</f>
        <v/>
      </c>
      <c r="L416" s="44">
        <f>IF($B416="","",IF(INDEX('Work Orders'!$AH$11:$AH$1010,$B416)="","",INDEX('Work Orders'!$AH$11:$AH$1010,$B416)))</f>
        <v/>
      </c>
      <c r="M416" s="46">
        <f>IF($B416="","",IF(INDEX('Work Orders'!$AM$11:$AM$1010,$B416)="","",INDEX('Work Orders'!$AM$11:$AM$1010,$B416)))</f>
        <v/>
      </c>
      <c r="N416" s="43">
        <f>IF($B416="","",IF(INDEX('Work Orders'!$AL$11:$AL$1010,$B416)="","",INDEX('Work Orders'!$AL$11:$AL$1010,$B416)))</f>
        <v/>
      </c>
      <c r="O416" s="43">
        <f>IF($B416="","",IF(INDEX('Work Orders'!$N$11:$N$1010,$B416)="","",INDEX('Work Orders'!$N$11:$N$1010,$B416)))</f>
        <v/>
      </c>
    </row>
    <row r="417">
      <c r="A417" s="68" t="n">
        <v>411</v>
      </c>
      <c r="B417">
        <f>IFERROR(MATCH(A417,'Work Orders'!$AO$11:$AO$1010,0),"")</f>
        <v/>
      </c>
      <c r="C417" s="43">
        <f>IF($B417="","",IF(INDEX('Work Orders'!$A$11:$A$1010,$B417)="","",INDEX('Work Orders'!$A$11:$A$1010,$B417)))</f>
        <v/>
      </c>
      <c r="D417" s="43">
        <f>IF($B417="","",IF(INDEX('Work Orders'!$B$11:$B$1010,$B417)="","",INDEX('Work Orders'!$B$11:$B$1010,$B417)))</f>
        <v/>
      </c>
      <c r="E417" s="43">
        <f>IF($B417="","",IF(INDEX('Work Orders'!$D$11:$D$1010,$B417)="","",INDEX('Work Orders'!$D$11:$D$1010,$B417)))</f>
        <v/>
      </c>
      <c r="F417" s="43">
        <f>IF($B417="","",IF(INDEX('Work Orders'!$Q$11:$Q$1010,$B417)="","",INDEX('Work Orders'!$Q$11:$Q$1010,$B417)))</f>
        <v/>
      </c>
      <c r="G417" s="43">
        <f>IF($B417="","",IF(INDEX('Work Orders'!$V$11:$V$1010,$B417)="","",INDEX('Work Orders'!$V$11:$V$1010,$B417)))</f>
        <v/>
      </c>
      <c r="H417" s="47">
        <f>IF($B417="","",IF(INDEX('Work Orders'!$U$11:$U$1010,$B417)="","",INDEX('Work Orders'!$U$11:$U$1010,$B417)))</f>
        <v/>
      </c>
      <c r="I417" s="47">
        <f>IF($B417="","",IF(INDEX('Work Orders'!$X$11:$X$1010,$B417)="","",INDEX('Work Orders'!$X$11:$X$1010,$B417)))</f>
        <v/>
      </c>
      <c r="J417" s="44">
        <f>IF($B417="","",IF(INDEX('Work Orders'!$Z$11:$Z$1010,$B417)="","",INDEX('Work Orders'!$Z$11:$Z$1010,$B417)))</f>
        <v/>
      </c>
      <c r="K417" s="44">
        <f>IF($B417="","",IF(INDEX('Work Orders'!$AG$11:$AG$1010,$B417)="","",INDEX('Work Orders'!$AG$11:$AG$1010,$B417)))</f>
        <v/>
      </c>
      <c r="L417" s="44">
        <f>IF($B417="","",IF(INDEX('Work Orders'!$AH$11:$AH$1010,$B417)="","",INDEX('Work Orders'!$AH$11:$AH$1010,$B417)))</f>
        <v/>
      </c>
      <c r="M417" s="46">
        <f>IF($B417="","",IF(INDEX('Work Orders'!$AM$11:$AM$1010,$B417)="","",INDEX('Work Orders'!$AM$11:$AM$1010,$B417)))</f>
        <v/>
      </c>
      <c r="N417" s="43">
        <f>IF($B417="","",IF(INDEX('Work Orders'!$AL$11:$AL$1010,$B417)="","",INDEX('Work Orders'!$AL$11:$AL$1010,$B417)))</f>
        <v/>
      </c>
      <c r="O417" s="43">
        <f>IF($B417="","",IF(INDEX('Work Orders'!$N$11:$N$1010,$B417)="","",INDEX('Work Orders'!$N$11:$N$1010,$B417)))</f>
        <v/>
      </c>
    </row>
    <row r="418">
      <c r="A418" s="68" t="n">
        <v>412</v>
      </c>
      <c r="B418">
        <f>IFERROR(MATCH(A418,'Work Orders'!$AO$11:$AO$1010,0),"")</f>
        <v/>
      </c>
      <c r="C418" s="43">
        <f>IF($B418="","",IF(INDEX('Work Orders'!$A$11:$A$1010,$B418)="","",INDEX('Work Orders'!$A$11:$A$1010,$B418)))</f>
        <v/>
      </c>
      <c r="D418" s="43">
        <f>IF($B418="","",IF(INDEX('Work Orders'!$B$11:$B$1010,$B418)="","",INDEX('Work Orders'!$B$11:$B$1010,$B418)))</f>
        <v/>
      </c>
      <c r="E418" s="43">
        <f>IF($B418="","",IF(INDEX('Work Orders'!$D$11:$D$1010,$B418)="","",INDEX('Work Orders'!$D$11:$D$1010,$B418)))</f>
        <v/>
      </c>
      <c r="F418" s="43">
        <f>IF($B418="","",IF(INDEX('Work Orders'!$Q$11:$Q$1010,$B418)="","",INDEX('Work Orders'!$Q$11:$Q$1010,$B418)))</f>
        <v/>
      </c>
      <c r="G418" s="43">
        <f>IF($B418="","",IF(INDEX('Work Orders'!$V$11:$V$1010,$B418)="","",INDEX('Work Orders'!$V$11:$V$1010,$B418)))</f>
        <v/>
      </c>
      <c r="H418" s="47">
        <f>IF($B418="","",IF(INDEX('Work Orders'!$U$11:$U$1010,$B418)="","",INDEX('Work Orders'!$U$11:$U$1010,$B418)))</f>
        <v/>
      </c>
      <c r="I418" s="47">
        <f>IF($B418="","",IF(INDEX('Work Orders'!$X$11:$X$1010,$B418)="","",INDEX('Work Orders'!$X$11:$X$1010,$B418)))</f>
        <v/>
      </c>
      <c r="J418" s="44">
        <f>IF($B418="","",IF(INDEX('Work Orders'!$Z$11:$Z$1010,$B418)="","",INDEX('Work Orders'!$Z$11:$Z$1010,$B418)))</f>
        <v/>
      </c>
      <c r="K418" s="44">
        <f>IF($B418="","",IF(INDEX('Work Orders'!$AG$11:$AG$1010,$B418)="","",INDEX('Work Orders'!$AG$11:$AG$1010,$B418)))</f>
        <v/>
      </c>
      <c r="L418" s="44">
        <f>IF($B418="","",IF(INDEX('Work Orders'!$AH$11:$AH$1010,$B418)="","",INDEX('Work Orders'!$AH$11:$AH$1010,$B418)))</f>
        <v/>
      </c>
      <c r="M418" s="46">
        <f>IF($B418="","",IF(INDEX('Work Orders'!$AM$11:$AM$1010,$B418)="","",INDEX('Work Orders'!$AM$11:$AM$1010,$B418)))</f>
        <v/>
      </c>
      <c r="N418" s="43">
        <f>IF($B418="","",IF(INDEX('Work Orders'!$AL$11:$AL$1010,$B418)="","",INDEX('Work Orders'!$AL$11:$AL$1010,$B418)))</f>
        <v/>
      </c>
      <c r="O418" s="43">
        <f>IF($B418="","",IF(INDEX('Work Orders'!$N$11:$N$1010,$B418)="","",INDEX('Work Orders'!$N$11:$N$1010,$B418)))</f>
        <v/>
      </c>
    </row>
    <row r="419">
      <c r="A419" s="68" t="n">
        <v>413</v>
      </c>
      <c r="B419">
        <f>IFERROR(MATCH(A419,'Work Orders'!$AO$11:$AO$1010,0),"")</f>
        <v/>
      </c>
      <c r="C419" s="43">
        <f>IF($B419="","",IF(INDEX('Work Orders'!$A$11:$A$1010,$B419)="","",INDEX('Work Orders'!$A$11:$A$1010,$B419)))</f>
        <v/>
      </c>
      <c r="D419" s="43">
        <f>IF($B419="","",IF(INDEX('Work Orders'!$B$11:$B$1010,$B419)="","",INDEX('Work Orders'!$B$11:$B$1010,$B419)))</f>
        <v/>
      </c>
      <c r="E419" s="43">
        <f>IF($B419="","",IF(INDEX('Work Orders'!$D$11:$D$1010,$B419)="","",INDEX('Work Orders'!$D$11:$D$1010,$B419)))</f>
        <v/>
      </c>
      <c r="F419" s="43">
        <f>IF($B419="","",IF(INDEX('Work Orders'!$Q$11:$Q$1010,$B419)="","",INDEX('Work Orders'!$Q$11:$Q$1010,$B419)))</f>
        <v/>
      </c>
      <c r="G419" s="43">
        <f>IF($B419="","",IF(INDEX('Work Orders'!$V$11:$V$1010,$B419)="","",INDEX('Work Orders'!$V$11:$V$1010,$B419)))</f>
        <v/>
      </c>
      <c r="H419" s="47">
        <f>IF($B419="","",IF(INDEX('Work Orders'!$U$11:$U$1010,$B419)="","",INDEX('Work Orders'!$U$11:$U$1010,$B419)))</f>
        <v/>
      </c>
      <c r="I419" s="47">
        <f>IF($B419="","",IF(INDEX('Work Orders'!$X$11:$X$1010,$B419)="","",INDEX('Work Orders'!$X$11:$X$1010,$B419)))</f>
        <v/>
      </c>
      <c r="J419" s="44">
        <f>IF($B419="","",IF(INDEX('Work Orders'!$Z$11:$Z$1010,$B419)="","",INDEX('Work Orders'!$Z$11:$Z$1010,$B419)))</f>
        <v/>
      </c>
      <c r="K419" s="44">
        <f>IF($B419="","",IF(INDEX('Work Orders'!$AG$11:$AG$1010,$B419)="","",INDEX('Work Orders'!$AG$11:$AG$1010,$B419)))</f>
        <v/>
      </c>
      <c r="L419" s="44">
        <f>IF($B419="","",IF(INDEX('Work Orders'!$AH$11:$AH$1010,$B419)="","",INDEX('Work Orders'!$AH$11:$AH$1010,$B419)))</f>
        <v/>
      </c>
      <c r="M419" s="46">
        <f>IF($B419="","",IF(INDEX('Work Orders'!$AM$11:$AM$1010,$B419)="","",INDEX('Work Orders'!$AM$11:$AM$1010,$B419)))</f>
        <v/>
      </c>
      <c r="N419" s="43">
        <f>IF($B419="","",IF(INDEX('Work Orders'!$AL$11:$AL$1010,$B419)="","",INDEX('Work Orders'!$AL$11:$AL$1010,$B419)))</f>
        <v/>
      </c>
      <c r="O419" s="43">
        <f>IF($B419="","",IF(INDEX('Work Orders'!$N$11:$N$1010,$B419)="","",INDEX('Work Orders'!$N$11:$N$1010,$B419)))</f>
        <v/>
      </c>
    </row>
    <row r="420">
      <c r="A420" s="68" t="n">
        <v>414</v>
      </c>
      <c r="B420">
        <f>IFERROR(MATCH(A420,'Work Orders'!$AO$11:$AO$1010,0),"")</f>
        <v/>
      </c>
      <c r="C420" s="43">
        <f>IF($B420="","",IF(INDEX('Work Orders'!$A$11:$A$1010,$B420)="","",INDEX('Work Orders'!$A$11:$A$1010,$B420)))</f>
        <v/>
      </c>
      <c r="D420" s="43">
        <f>IF($B420="","",IF(INDEX('Work Orders'!$B$11:$B$1010,$B420)="","",INDEX('Work Orders'!$B$11:$B$1010,$B420)))</f>
        <v/>
      </c>
      <c r="E420" s="43">
        <f>IF($B420="","",IF(INDEX('Work Orders'!$D$11:$D$1010,$B420)="","",INDEX('Work Orders'!$D$11:$D$1010,$B420)))</f>
        <v/>
      </c>
      <c r="F420" s="43">
        <f>IF($B420="","",IF(INDEX('Work Orders'!$Q$11:$Q$1010,$B420)="","",INDEX('Work Orders'!$Q$11:$Q$1010,$B420)))</f>
        <v/>
      </c>
      <c r="G420" s="43">
        <f>IF($B420="","",IF(INDEX('Work Orders'!$V$11:$V$1010,$B420)="","",INDEX('Work Orders'!$V$11:$V$1010,$B420)))</f>
        <v/>
      </c>
      <c r="H420" s="47">
        <f>IF($B420="","",IF(INDEX('Work Orders'!$U$11:$U$1010,$B420)="","",INDEX('Work Orders'!$U$11:$U$1010,$B420)))</f>
        <v/>
      </c>
      <c r="I420" s="47">
        <f>IF($B420="","",IF(INDEX('Work Orders'!$X$11:$X$1010,$B420)="","",INDEX('Work Orders'!$X$11:$X$1010,$B420)))</f>
        <v/>
      </c>
      <c r="J420" s="44">
        <f>IF($B420="","",IF(INDEX('Work Orders'!$Z$11:$Z$1010,$B420)="","",INDEX('Work Orders'!$Z$11:$Z$1010,$B420)))</f>
        <v/>
      </c>
      <c r="K420" s="44">
        <f>IF($B420="","",IF(INDEX('Work Orders'!$AG$11:$AG$1010,$B420)="","",INDEX('Work Orders'!$AG$11:$AG$1010,$B420)))</f>
        <v/>
      </c>
      <c r="L420" s="44">
        <f>IF($B420="","",IF(INDEX('Work Orders'!$AH$11:$AH$1010,$B420)="","",INDEX('Work Orders'!$AH$11:$AH$1010,$B420)))</f>
        <v/>
      </c>
      <c r="M420" s="46">
        <f>IF($B420="","",IF(INDEX('Work Orders'!$AM$11:$AM$1010,$B420)="","",INDEX('Work Orders'!$AM$11:$AM$1010,$B420)))</f>
        <v/>
      </c>
      <c r="N420" s="43">
        <f>IF($B420="","",IF(INDEX('Work Orders'!$AL$11:$AL$1010,$B420)="","",INDEX('Work Orders'!$AL$11:$AL$1010,$B420)))</f>
        <v/>
      </c>
      <c r="O420" s="43">
        <f>IF($B420="","",IF(INDEX('Work Orders'!$N$11:$N$1010,$B420)="","",INDEX('Work Orders'!$N$11:$N$1010,$B420)))</f>
        <v/>
      </c>
    </row>
    <row r="421">
      <c r="A421" s="68" t="n">
        <v>415</v>
      </c>
      <c r="B421">
        <f>IFERROR(MATCH(A421,'Work Orders'!$AO$11:$AO$1010,0),"")</f>
        <v/>
      </c>
      <c r="C421" s="43">
        <f>IF($B421="","",IF(INDEX('Work Orders'!$A$11:$A$1010,$B421)="","",INDEX('Work Orders'!$A$11:$A$1010,$B421)))</f>
        <v/>
      </c>
      <c r="D421" s="43">
        <f>IF($B421="","",IF(INDEX('Work Orders'!$B$11:$B$1010,$B421)="","",INDEX('Work Orders'!$B$11:$B$1010,$B421)))</f>
        <v/>
      </c>
      <c r="E421" s="43">
        <f>IF($B421="","",IF(INDEX('Work Orders'!$D$11:$D$1010,$B421)="","",INDEX('Work Orders'!$D$11:$D$1010,$B421)))</f>
        <v/>
      </c>
      <c r="F421" s="43">
        <f>IF($B421="","",IF(INDEX('Work Orders'!$Q$11:$Q$1010,$B421)="","",INDEX('Work Orders'!$Q$11:$Q$1010,$B421)))</f>
        <v/>
      </c>
      <c r="G421" s="43">
        <f>IF($B421="","",IF(INDEX('Work Orders'!$V$11:$V$1010,$B421)="","",INDEX('Work Orders'!$V$11:$V$1010,$B421)))</f>
        <v/>
      </c>
      <c r="H421" s="47">
        <f>IF($B421="","",IF(INDEX('Work Orders'!$U$11:$U$1010,$B421)="","",INDEX('Work Orders'!$U$11:$U$1010,$B421)))</f>
        <v/>
      </c>
      <c r="I421" s="47">
        <f>IF($B421="","",IF(INDEX('Work Orders'!$X$11:$X$1010,$B421)="","",INDEX('Work Orders'!$X$11:$X$1010,$B421)))</f>
        <v/>
      </c>
      <c r="J421" s="44">
        <f>IF($B421="","",IF(INDEX('Work Orders'!$Z$11:$Z$1010,$B421)="","",INDEX('Work Orders'!$Z$11:$Z$1010,$B421)))</f>
        <v/>
      </c>
      <c r="K421" s="44">
        <f>IF($B421="","",IF(INDEX('Work Orders'!$AG$11:$AG$1010,$B421)="","",INDEX('Work Orders'!$AG$11:$AG$1010,$B421)))</f>
        <v/>
      </c>
      <c r="L421" s="44">
        <f>IF($B421="","",IF(INDEX('Work Orders'!$AH$11:$AH$1010,$B421)="","",INDEX('Work Orders'!$AH$11:$AH$1010,$B421)))</f>
        <v/>
      </c>
      <c r="M421" s="46">
        <f>IF($B421="","",IF(INDEX('Work Orders'!$AM$11:$AM$1010,$B421)="","",INDEX('Work Orders'!$AM$11:$AM$1010,$B421)))</f>
        <v/>
      </c>
      <c r="N421" s="43">
        <f>IF($B421="","",IF(INDEX('Work Orders'!$AL$11:$AL$1010,$B421)="","",INDEX('Work Orders'!$AL$11:$AL$1010,$B421)))</f>
        <v/>
      </c>
      <c r="O421" s="43">
        <f>IF($B421="","",IF(INDEX('Work Orders'!$N$11:$N$1010,$B421)="","",INDEX('Work Orders'!$N$11:$N$1010,$B421)))</f>
        <v/>
      </c>
    </row>
    <row r="422">
      <c r="A422" s="68" t="n">
        <v>416</v>
      </c>
      <c r="B422">
        <f>IFERROR(MATCH(A422,'Work Orders'!$AO$11:$AO$1010,0),"")</f>
        <v/>
      </c>
      <c r="C422" s="43">
        <f>IF($B422="","",IF(INDEX('Work Orders'!$A$11:$A$1010,$B422)="","",INDEX('Work Orders'!$A$11:$A$1010,$B422)))</f>
        <v/>
      </c>
      <c r="D422" s="43">
        <f>IF($B422="","",IF(INDEX('Work Orders'!$B$11:$B$1010,$B422)="","",INDEX('Work Orders'!$B$11:$B$1010,$B422)))</f>
        <v/>
      </c>
      <c r="E422" s="43">
        <f>IF($B422="","",IF(INDEX('Work Orders'!$D$11:$D$1010,$B422)="","",INDEX('Work Orders'!$D$11:$D$1010,$B422)))</f>
        <v/>
      </c>
      <c r="F422" s="43">
        <f>IF($B422="","",IF(INDEX('Work Orders'!$Q$11:$Q$1010,$B422)="","",INDEX('Work Orders'!$Q$11:$Q$1010,$B422)))</f>
        <v/>
      </c>
      <c r="G422" s="43">
        <f>IF($B422="","",IF(INDEX('Work Orders'!$V$11:$V$1010,$B422)="","",INDEX('Work Orders'!$V$11:$V$1010,$B422)))</f>
        <v/>
      </c>
      <c r="H422" s="47">
        <f>IF($B422="","",IF(INDEX('Work Orders'!$U$11:$U$1010,$B422)="","",INDEX('Work Orders'!$U$11:$U$1010,$B422)))</f>
        <v/>
      </c>
      <c r="I422" s="47">
        <f>IF($B422="","",IF(INDEX('Work Orders'!$X$11:$X$1010,$B422)="","",INDEX('Work Orders'!$X$11:$X$1010,$B422)))</f>
        <v/>
      </c>
      <c r="J422" s="44">
        <f>IF($B422="","",IF(INDEX('Work Orders'!$Z$11:$Z$1010,$B422)="","",INDEX('Work Orders'!$Z$11:$Z$1010,$B422)))</f>
        <v/>
      </c>
      <c r="K422" s="44">
        <f>IF($B422="","",IF(INDEX('Work Orders'!$AG$11:$AG$1010,$B422)="","",INDEX('Work Orders'!$AG$11:$AG$1010,$B422)))</f>
        <v/>
      </c>
      <c r="L422" s="44">
        <f>IF($B422="","",IF(INDEX('Work Orders'!$AH$11:$AH$1010,$B422)="","",INDEX('Work Orders'!$AH$11:$AH$1010,$B422)))</f>
        <v/>
      </c>
      <c r="M422" s="46">
        <f>IF($B422="","",IF(INDEX('Work Orders'!$AM$11:$AM$1010,$B422)="","",INDEX('Work Orders'!$AM$11:$AM$1010,$B422)))</f>
        <v/>
      </c>
      <c r="N422" s="43">
        <f>IF($B422="","",IF(INDEX('Work Orders'!$AL$11:$AL$1010,$B422)="","",INDEX('Work Orders'!$AL$11:$AL$1010,$B422)))</f>
        <v/>
      </c>
      <c r="O422" s="43">
        <f>IF($B422="","",IF(INDEX('Work Orders'!$N$11:$N$1010,$B422)="","",INDEX('Work Orders'!$N$11:$N$1010,$B422)))</f>
        <v/>
      </c>
    </row>
    <row r="423">
      <c r="A423" s="68" t="n">
        <v>417</v>
      </c>
      <c r="B423">
        <f>IFERROR(MATCH(A423,'Work Orders'!$AO$11:$AO$1010,0),"")</f>
        <v/>
      </c>
      <c r="C423" s="43">
        <f>IF($B423="","",IF(INDEX('Work Orders'!$A$11:$A$1010,$B423)="","",INDEX('Work Orders'!$A$11:$A$1010,$B423)))</f>
        <v/>
      </c>
      <c r="D423" s="43">
        <f>IF($B423="","",IF(INDEX('Work Orders'!$B$11:$B$1010,$B423)="","",INDEX('Work Orders'!$B$11:$B$1010,$B423)))</f>
        <v/>
      </c>
      <c r="E423" s="43">
        <f>IF($B423="","",IF(INDEX('Work Orders'!$D$11:$D$1010,$B423)="","",INDEX('Work Orders'!$D$11:$D$1010,$B423)))</f>
        <v/>
      </c>
      <c r="F423" s="43">
        <f>IF($B423="","",IF(INDEX('Work Orders'!$Q$11:$Q$1010,$B423)="","",INDEX('Work Orders'!$Q$11:$Q$1010,$B423)))</f>
        <v/>
      </c>
      <c r="G423" s="43">
        <f>IF($B423="","",IF(INDEX('Work Orders'!$V$11:$V$1010,$B423)="","",INDEX('Work Orders'!$V$11:$V$1010,$B423)))</f>
        <v/>
      </c>
      <c r="H423" s="47">
        <f>IF($B423="","",IF(INDEX('Work Orders'!$U$11:$U$1010,$B423)="","",INDEX('Work Orders'!$U$11:$U$1010,$B423)))</f>
        <v/>
      </c>
      <c r="I423" s="47">
        <f>IF($B423="","",IF(INDEX('Work Orders'!$X$11:$X$1010,$B423)="","",INDEX('Work Orders'!$X$11:$X$1010,$B423)))</f>
        <v/>
      </c>
      <c r="J423" s="44">
        <f>IF($B423="","",IF(INDEX('Work Orders'!$Z$11:$Z$1010,$B423)="","",INDEX('Work Orders'!$Z$11:$Z$1010,$B423)))</f>
        <v/>
      </c>
      <c r="K423" s="44">
        <f>IF($B423="","",IF(INDEX('Work Orders'!$AG$11:$AG$1010,$B423)="","",INDEX('Work Orders'!$AG$11:$AG$1010,$B423)))</f>
        <v/>
      </c>
      <c r="L423" s="44">
        <f>IF($B423="","",IF(INDEX('Work Orders'!$AH$11:$AH$1010,$B423)="","",INDEX('Work Orders'!$AH$11:$AH$1010,$B423)))</f>
        <v/>
      </c>
      <c r="M423" s="46">
        <f>IF($B423="","",IF(INDEX('Work Orders'!$AM$11:$AM$1010,$B423)="","",INDEX('Work Orders'!$AM$11:$AM$1010,$B423)))</f>
        <v/>
      </c>
      <c r="N423" s="43">
        <f>IF($B423="","",IF(INDEX('Work Orders'!$AL$11:$AL$1010,$B423)="","",INDEX('Work Orders'!$AL$11:$AL$1010,$B423)))</f>
        <v/>
      </c>
      <c r="O423" s="43">
        <f>IF($B423="","",IF(INDEX('Work Orders'!$N$11:$N$1010,$B423)="","",INDEX('Work Orders'!$N$11:$N$1010,$B423)))</f>
        <v/>
      </c>
    </row>
    <row r="424">
      <c r="A424" s="68" t="n">
        <v>418</v>
      </c>
      <c r="B424">
        <f>IFERROR(MATCH(A424,'Work Orders'!$AO$11:$AO$1010,0),"")</f>
        <v/>
      </c>
      <c r="C424" s="43">
        <f>IF($B424="","",IF(INDEX('Work Orders'!$A$11:$A$1010,$B424)="","",INDEX('Work Orders'!$A$11:$A$1010,$B424)))</f>
        <v/>
      </c>
      <c r="D424" s="43">
        <f>IF($B424="","",IF(INDEX('Work Orders'!$B$11:$B$1010,$B424)="","",INDEX('Work Orders'!$B$11:$B$1010,$B424)))</f>
        <v/>
      </c>
      <c r="E424" s="43">
        <f>IF($B424="","",IF(INDEX('Work Orders'!$D$11:$D$1010,$B424)="","",INDEX('Work Orders'!$D$11:$D$1010,$B424)))</f>
        <v/>
      </c>
      <c r="F424" s="43">
        <f>IF($B424="","",IF(INDEX('Work Orders'!$Q$11:$Q$1010,$B424)="","",INDEX('Work Orders'!$Q$11:$Q$1010,$B424)))</f>
        <v/>
      </c>
      <c r="G424" s="43">
        <f>IF($B424="","",IF(INDEX('Work Orders'!$V$11:$V$1010,$B424)="","",INDEX('Work Orders'!$V$11:$V$1010,$B424)))</f>
        <v/>
      </c>
      <c r="H424" s="47">
        <f>IF($B424="","",IF(INDEX('Work Orders'!$U$11:$U$1010,$B424)="","",INDEX('Work Orders'!$U$11:$U$1010,$B424)))</f>
        <v/>
      </c>
      <c r="I424" s="47">
        <f>IF($B424="","",IF(INDEX('Work Orders'!$X$11:$X$1010,$B424)="","",INDEX('Work Orders'!$X$11:$X$1010,$B424)))</f>
        <v/>
      </c>
      <c r="J424" s="44">
        <f>IF($B424="","",IF(INDEX('Work Orders'!$Z$11:$Z$1010,$B424)="","",INDEX('Work Orders'!$Z$11:$Z$1010,$B424)))</f>
        <v/>
      </c>
      <c r="K424" s="44">
        <f>IF($B424="","",IF(INDEX('Work Orders'!$AG$11:$AG$1010,$B424)="","",INDEX('Work Orders'!$AG$11:$AG$1010,$B424)))</f>
        <v/>
      </c>
      <c r="L424" s="44">
        <f>IF($B424="","",IF(INDEX('Work Orders'!$AH$11:$AH$1010,$B424)="","",INDEX('Work Orders'!$AH$11:$AH$1010,$B424)))</f>
        <v/>
      </c>
      <c r="M424" s="46">
        <f>IF($B424="","",IF(INDEX('Work Orders'!$AM$11:$AM$1010,$B424)="","",INDEX('Work Orders'!$AM$11:$AM$1010,$B424)))</f>
        <v/>
      </c>
      <c r="N424" s="43">
        <f>IF($B424="","",IF(INDEX('Work Orders'!$AL$11:$AL$1010,$B424)="","",INDEX('Work Orders'!$AL$11:$AL$1010,$B424)))</f>
        <v/>
      </c>
      <c r="O424" s="43">
        <f>IF($B424="","",IF(INDEX('Work Orders'!$N$11:$N$1010,$B424)="","",INDEX('Work Orders'!$N$11:$N$1010,$B424)))</f>
        <v/>
      </c>
    </row>
    <row r="425">
      <c r="A425" s="68" t="n">
        <v>419</v>
      </c>
      <c r="B425">
        <f>IFERROR(MATCH(A425,'Work Orders'!$AO$11:$AO$1010,0),"")</f>
        <v/>
      </c>
      <c r="C425" s="43">
        <f>IF($B425="","",IF(INDEX('Work Orders'!$A$11:$A$1010,$B425)="","",INDEX('Work Orders'!$A$11:$A$1010,$B425)))</f>
        <v/>
      </c>
      <c r="D425" s="43">
        <f>IF($B425="","",IF(INDEX('Work Orders'!$B$11:$B$1010,$B425)="","",INDEX('Work Orders'!$B$11:$B$1010,$B425)))</f>
        <v/>
      </c>
      <c r="E425" s="43">
        <f>IF($B425="","",IF(INDEX('Work Orders'!$D$11:$D$1010,$B425)="","",INDEX('Work Orders'!$D$11:$D$1010,$B425)))</f>
        <v/>
      </c>
      <c r="F425" s="43">
        <f>IF($B425="","",IF(INDEX('Work Orders'!$Q$11:$Q$1010,$B425)="","",INDEX('Work Orders'!$Q$11:$Q$1010,$B425)))</f>
        <v/>
      </c>
      <c r="G425" s="43">
        <f>IF($B425="","",IF(INDEX('Work Orders'!$V$11:$V$1010,$B425)="","",INDEX('Work Orders'!$V$11:$V$1010,$B425)))</f>
        <v/>
      </c>
      <c r="H425" s="47">
        <f>IF($B425="","",IF(INDEX('Work Orders'!$U$11:$U$1010,$B425)="","",INDEX('Work Orders'!$U$11:$U$1010,$B425)))</f>
        <v/>
      </c>
      <c r="I425" s="47">
        <f>IF($B425="","",IF(INDEX('Work Orders'!$X$11:$X$1010,$B425)="","",INDEX('Work Orders'!$X$11:$X$1010,$B425)))</f>
        <v/>
      </c>
      <c r="J425" s="44">
        <f>IF($B425="","",IF(INDEX('Work Orders'!$Z$11:$Z$1010,$B425)="","",INDEX('Work Orders'!$Z$11:$Z$1010,$B425)))</f>
        <v/>
      </c>
      <c r="K425" s="44">
        <f>IF($B425="","",IF(INDEX('Work Orders'!$AG$11:$AG$1010,$B425)="","",INDEX('Work Orders'!$AG$11:$AG$1010,$B425)))</f>
        <v/>
      </c>
      <c r="L425" s="44">
        <f>IF($B425="","",IF(INDEX('Work Orders'!$AH$11:$AH$1010,$B425)="","",INDEX('Work Orders'!$AH$11:$AH$1010,$B425)))</f>
        <v/>
      </c>
      <c r="M425" s="46">
        <f>IF($B425="","",IF(INDEX('Work Orders'!$AM$11:$AM$1010,$B425)="","",INDEX('Work Orders'!$AM$11:$AM$1010,$B425)))</f>
        <v/>
      </c>
      <c r="N425" s="43">
        <f>IF($B425="","",IF(INDEX('Work Orders'!$AL$11:$AL$1010,$B425)="","",INDEX('Work Orders'!$AL$11:$AL$1010,$B425)))</f>
        <v/>
      </c>
      <c r="O425" s="43">
        <f>IF($B425="","",IF(INDEX('Work Orders'!$N$11:$N$1010,$B425)="","",INDEX('Work Orders'!$N$11:$N$1010,$B425)))</f>
        <v/>
      </c>
    </row>
    <row r="426">
      <c r="A426" s="68" t="n">
        <v>420</v>
      </c>
      <c r="B426">
        <f>IFERROR(MATCH(A426,'Work Orders'!$AO$11:$AO$1010,0),"")</f>
        <v/>
      </c>
      <c r="C426" s="43">
        <f>IF($B426="","",IF(INDEX('Work Orders'!$A$11:$A$1010,$B426)="","",INDEX('Work Orders'!$A$11:$A$1010,$B426)))</f>
        <v/>
      </c>
      <c r="D426" s="43">
        <f>IF($B426="","",IF(INDEX('Work Orders'!$B$11:$B$1010,$B426)="","",INDEX('Work Orders'!$B$11:$B$1010,$B426)))</f>
        <v/>
      </c>
      <c r="E426" s="43">
        <f>IF($B426="","",IF(INDEX('Work Orders'!$D$11:$D$1010,$B426)="","",INDEX('Work Orders'!$D$11:$D$1010,$B426)))</f>
        <v/>
      </c>
      <c r="F426" s="43">
        <f>IF($B426="","",IF(INDEX('Work Orders'!$Q$11:$Q$1010,$B426)="","",INDEX('Work Orders'!$Q$11:$Q$1010,$B426)))</f>
        <v/>
      </c>
      <c r="G426" s="43">
        <f>IF($B426="","",IF(INDEX('Work Orders'!$V$11:$V$1010,$B426)="","",INDEX('Work Orders'!$V$11:$V$1010,$B426)))</f>
        <v/>
      </c>
      <c r="H426" s="47">
        <f>IF($B426="","",IF(INDEX('Work Orders'!$U$11:$U$1010,$B426)="","",INDEX('Work Orders'!$U$11:$U$1010,$B426)))</f>
        <v/>
      </c>
      <c r="I426" s="47">
        <f>IF($B426="","",IF(INDEX('Work Orders'!$X$11:$X$1010,$B426)="","",INDEX('Work Orders'!$X$11:$X$1010,$B426)))</f>
        <v/>
      </c>
      <c r="J426" s="44">
        <f>IF($B426="","",IF(INDEX('Work Orders'!$Z$11:$Z$1010,$B426)="","",INDEX('Work Orders'!$Z$11:$Z$1010,$B426)))</f>
        <v/>
      </c>
      <c r="K426" s="44">
        <f>IF($B426="","",IF(INDEX('Work Orders'!$AG$11:$AG$1010,$B426)="","",INDEX('Work Orders'!$AG$11:$AG$1010,$B426)))</f>
        <v/>
      </c>
      <c r="L426" s="44">
        <f>IF($B426="","",IF(INDEX('Work Orders'!$AH$11:$AH$1010,$B426)="","",INDEX('Work Orders'!$AH$11:$AH$1010,$B426)))</f>
        <v/>
      </c>
      <c r="M426" s="46">
        <f>IF($B426="","",IF(INDEX('Work Orders'!$AM$11:$AM$1010,$B426)="","",INDEX('Work Orders'!$AM$11:$AM$1010,$B426)))</f>
        <v/>
      </c>
      <c r="N426" s="43">
        <f>IF($B426="","",IF(INDEX('Work Orders'!$AL$11:$AL$1010,$B426)="","",INDEX('Work Orders'!$AL$11:$AL$1010,$B426)))</f>
        <v/>
      </c>
      <c r="O426" s="43">
        <f>IF($B426="","",IF(INDEX('Work Orders'!$N$11:$N$1010,$B426)="","",INDEX('Work Orders'!$N$11:$N$1010,$B426)))</f>
        <v/>
      </c>
    </row>
    <row r="427">
      <c r="A427" s="68" t="n">
        <v>421</v>
      </c>
      <c r="B427">
        <f>IFERROR(MATCH(A427,'Work Orders'!$AO$11:$AO$1010,0),"")</f>
        <v/>
      </c>
      <c r="C427" s="43">
        <f>IF($B427="","",IF(INDEX('Work Orders'!$A$11:$A$1010,$B427)="","",INDEX('Work Orders'!$A$11:$A$1010,$B427)))</f>
        <v/>
      </c>
      <c r="D427" s="43">
        <f>IF($B427="","",IF(INDEX('Work Orders'!$B$11:$B$1010,$B427)="","",INDEX('Work Orders'!$B$11:$B$1010,$B427)))</f>
        <v/>
      </c>
      <c r="E427" s="43">
        <f>IF($B427="","",IF(INDEX('Work Orders'!$D$11:$D$1010,$B427)="","",INDEX('Work Orders'!$D$11:$D$1010,$B427)))</f>
        <v/>
      </c>
      <c r="F427" s="43">
        <f>IF($B427="","",IF(INDEX('Work Orders'!$Q$11:$Q$1010,$B427)="","",INDEX('Work Orders'!$Q$11:$Q$1010,$B427)))</f>
        <v/>
      </c>
      <c r="G427" s="43">
        <f>IF($B427="","",IF(INDEX('Work Orders'!$V$11:$V$1010,$B427)="","",INDEX('Work Orders'!$V$11:$V$1010,$B427)))</f>
        <v/>
      </c>
      <c r="H427" s="47">
        <f>IF($B427="","",IF(INDEX('Work Orders'!$U$11:$U$1010,$B427)="","",INDEX('Work Orders'!$U$11:$U$1010,$B427)))</f>
        <v/>
      </c>
      <c r="I427" s="47">
        <f>IF($B427="","",IF(INDEX('Work Orders'!$X$11:$X$1010,$B427)="","",INDEX('Work Orders'!$X$11:$X$1010,$B427)))</f>
        <v/>
      </c>
      <c r="J427" s="44">
        <f>IF($B427="","",IF(INDEX('Work Orders'!$Z$11:$Z$1010,$B427)="","",INDEX('Work Orders'!$Z$11:$Z$1010,$B427)))</f>
        <v/>
      </c>
      <c r="K427" s="44">
        <f>IF($B427="","",IF(INDEX('Work Orders'!$AG$11:$AG$1010,$B427)="","",INDEX('Work Orders'!$AG$11:$AG$1010,$B427)))</f>
        <v/>
      </c>
      <c r="L427" s="44">
        <f>IF($B427="","",IF(INDEX('Work Orders'!$AH$11:$AH$1010,$B427)="","",INDEX('Work Orders'!$AH$11:$AH$1010,$B427)))</f>
        <v/>
      </c>
      <c r="M427" s="46">
        <f>IF($B427="","",IF(INDEX('Work Orders'!$AM$11:$AM$1010,$B427)="","",INDEX('Work Orders'!$AM$11:$AM$1010,$B427)))</f>
        <v/>
      </c>
      <c r="N427" s="43">
        <f>IF($B427="","",IF(INDEX('Work Orders'!$AL$11:$AL$1010,$B427)="","",INDEX('Work Orders'!$AL$11:$AL$1010,$B427)))</f>
        <v/>
      </c>
      <c r="O427" s="43">
        <f>IF($B427="","",IF(INDEX('Work Orders'!$N$11:$N$1010,$B427)="","",INDEX('Work Orders'!$N$11:$N$1010,$B427)))</f>
        <v/>
      </c>
    </row>
    <row r="428">
      <c r="A428" s="68" t="n">
        <v>422</v>
      </c>
      <c r="B428">
        <f>IFERROR(MATCH(A428,'Work Orders'!$AO$11:$AO$1010,0),"")</f>
        <v/>
      </c>
      <c r="C428" s="43">
        <f>IF($B428="","",IF(INDEX('Work Orders'!$A$11:$A$1010,$B428)="","",INDEX('Work Orders'!$A$11:$A$1010,$B428)))</f>
        <v/>
      </c>
      <c r="D428" s="43">
        <f>IF($B428="","",IF(INDEX('Work Orders'!$B$11:$B$1010,$B428)="","",INDEX('Work Orders'!$B$11:$B$1010,$B428)))</f>
        <v/>
      </c>
      <c r="E428" s="43">
        <f>IF($B428="","",IF(INDEX('Work Orders'!$D$11:$D$1010,$B428)="","",INDEX('Work Orders'!$D$11:$D$1010,$B428)))</f>
        <v/>
      </c>
      <c r="F428" s="43">
        <f>IF($B428="","",IF(INDEX('Work Orders'!$Q$11:$Q$1010,$B428)="","",INDEX('Work Orders'!$Q$11:$Q$1010,$B428)))</f>
        <v/>
      </c>
      <c r="G428" s="43">
        <f>IF($B428="","",IF(INDEX('Work Orders'!$V$11:$V$1010,$B428)="","",INDEX('Work Orders'!$V$11:$V$1010,$B428)))</f>
        <v/>
      </c>
      <c r="H428" s="47">
        <f>IF($B428="","",IF(INDEX('Work Orders'!$U$11:$U$1010,$B428)="","",INDEX('Work Orders'!$U$11:$U$1010,$B428)))</f>
        <v/>
      </c>
      <c r="I428" s="47">
        <f>IF($B428="","",IF(INDEX('Work Orders'!$X$11:$X$1010,$B428)="","",INDEX('Work Orders'!$X$11:$X$1010,$B428)))</f>
        <v/>
      </c>
      <c r="J428" s="44">
        <f>IF($B428="","",IF(INDEX('Work Orders'!$Z$11:$Z$1010,$B428)="","",INDEX('Work Orders'!$Z$11:$Z$1010,$B428)))</f>
        <v/>
      </c>
      <c r="K428" s="44">
        <f>IF($B428="","",IF(INDEX('Work Orders'!$AG$11:$AG$1010,$B428)="","",INDEX('Work Orders'!$AG$11:$AG$1010,$B428)))</f>
        <v/>
      </c>
      <c r="L428" s="44">
        <f>IF($B428="","",IF(INDEX('Work Orders'!$AH$11:$AH$1010,$B428)="","",INDEX('Work Orders'!$AH$11:$AH$1010,$B428)))</f>
        <v/>
      </c>
      <c r="M428" s="46">
        <f>IF($B428="","",IF(INDEX('Work Orders'!$AM$11:$AM$1010,$B428)="","",INDEX('Work Orders'!$AM$11:$AM$1010,$B428)))</f>
        <v/>
      </c>
      <c r="N428" s="43">
        <f>IF($B428="","",IF(INDEX('Work Orders'!$AL$11:$AL$1010,$B428)="","",INDEX('Work Orders'!$AL$11:$AL$1010,$B428)))</f>
        <v/>
      </c>
      <c r="O428" s="43">
        <f>IF($B428="","",IF(INDEX('Work Orders'!$N$11:$N$1010,$B428)="","",INDEX('Work Orders'!$N$11:$N$1010,$B428)))</f>
        <v/>
      </c>
    </row>
    <row r="429">
      <c r="A429" s="68" t="n">
        <v>423</v>
      </c>
      <c r="B429">
        <f>IFERROR(MATCH(A429,'Work Orders'!$AO$11:$AO$1010,0),"")</f>
        <v/>
      </c>
      <c r="C429" s="43">
        <f>IF($B429="","",IF(INDEX('Work Orders'!$A$11:$A$1010,$B429)="","",INDEX('Work Orders'!$A$11:$A$1010,$B429)))</f>
        <v/>
      </c>
      <c r="D429" s="43">
        <f>IF($B429="","",IF(INDEX('Work Orders'!$B$11:$B$1010,$B429)="","",INDEX('Work Orders'!$B$11:$B$1010,$B429)))</f>
        <v/>
      </c>
      <c r="E429" s="43">
        <f>IF($B429="","",IF(INDEX('Work Orders'!$D$11:$D$1010,$B429)="","",INDEX('Work Orders'!$D$11:$D$1010,$B429)))</f>
        <v/>
      </c>
      <c r="F429" s="43">
        <f>IF($B429="","",IF(INDEX('Work Orders'!$Q$11:$Q$1010,$B429)="","",INDEX('Work Orders'!$Q$11:$Q$1010,$B429)))</f>
        <v/>
      </c>
      <c r="G429" s="43">
        <f>IF($B429="","",IF(INDEX('Work Orders'!$V$11:$V$1010,$B429)="","",INDEX('Work Orders'!$V$11:$V$1010,$B429)))</f>
        <v/>
      </c>
      <c r="H429" s="47">
        <f>IF($B429="","",IF(INDEX('Work Orders'!$U$11:$U$1010,$B429)="","",INDEX('Work Orders'!$U$11:$U$1010,$B429)))</f>
        <v/>
      </c>
      <c r="I429" s="47">
        <f>IF($B429="","",IF(INDEX('Work Orders'!$X$11:$X$1010,$B429)="","",INDEX('Work Orders'!$X$11:$X$1010,$B429)))</f>
        <v/>
      </c>
      <c r="J429" s="44">
        <f>IF($B429="","",IF(INDEX('Work Orders'!$Z$11:$Z$1010,$B429)="","",INDEX('Work Orders'!$Z$11:$Z$1010,$B429)))</f>
        <v/>
      </c>
      <c r="K429" s="44">
        <f>IF($B429="","",IF(INDEX('Work Orders'!$AG$11:$AG$1010,$B429)="","",INDEX('Work Orders'!$AG$11:$AG$1010,$B429)))</f>
        <v/>
      </c>
      <c r="L429" s="44">
        <f>IF($B429="","",IF(INDEX('Work Orders'!$AH$11:$AH$1010,$B429)="","",INDEX('Work Orders'!$AH$11:$AH$1010,$B429)))</f>
        <v/>
      </c>
      <c r="M429" s="46">
        <f>IF($B429="","",IF(INDEX('Work Orders'!$AM$11:$AM$1010,$B429)="","",INDEX('Work Orders'!$AM$11:$AM$1010,$B429)))</f>
        <v/>
      </c>
      <c r="N429" s="43">
        <f>IF($B429="","",IF(INDEX('Work Orders'!$AL$11:$AL$1010,$B429)="","",INDEX('Work Orders'!$AL$11:$AL$1010,$B429)))</f>
        <v/>
      </c>
      <c r="O429" s="43">
        <f>IF($B429="","",IF(INDEX('Work Orders'!$N$11:$N$1010,$B429)="","",INDEX('Work Orders'!$N$11:$N$1010,$B429)))</f>
        <v/>
      </c>
    </row>
    <row r="430">
      <c r="A430" s="68" t="n">
        <v>424</v>
      </c>
      <c r="B430">
        <f>IFERROR(MATCH(A430,'Work Orders'!$AO$11:$AO$1010,0),"")</f>
        <v/>
      </c>
      <c r="C430" s="43">
        <f>IF($B430="","",IF(INDEX('Work Orders'!$A$11:$A$1010,$B430)="","",INDEX('Work Orders'!$A$11:$A$1010,$B430)))</f>
        <v/>
      </c>
      <c r="D430" s="43">
        <f>IF($B430="","",IF(INDEX('Work Orders'!$B$11:$B$1010,$B430)="","",INDEX('Work Orders'!$B$11:$B$1010,$B430)))</f>
        <v/>
      </c>
      <c r="E430" s="43">
        <f>IF($B430="","",IF(INDEX('Work Orders'!$D$11:$D$1010,$B430)="","",INDEX('Work Orders'!$D$11:$D$1010,$B430)))</f>
        <v/>
      </c>
      <c r="F430" s="43">
        <f>IF($B430="","",IF(INDEX('Work Orders'!$Q$11:$Q$1010,$B430)="","",INDEX('Work Orders'!$Q$11:$Q$1010,$B430)))</f>
        <v/>
      </c>
      <c r="G430" s="43">
        <f>IF($B430="","",IF(INDEX('Work Orders'!$V$11:$V$1010,$B430)="","",INDEX('Work Orders'!$V$11:$V$1010,$B430)))</f>
        <v/>
      </c>
      <c r="H430" s="47">
        <f>IF($B430="","",IF(INDEX('Work Orders'!$U$11:$U$1010,$B430)="","",INDEX('Work Orders'!$U$11:$U$1010,$B430)))</f>
        <v/>
      </c>
      <c r="I430" s="47">
        <f>IF($B430="","",IF(INDEX('Work Orders'!$X$11:$X$1010,$B430)="","",INDEX('Work Orders'!$X$11:$X$1010,$B430)))</f>
        <v/>
      </c>
      <c r="J430" s="44">
        <f>IF($B430="","",IF(INDEX('Work Orders'!$Z$11:$Z$1010,$B430)="","",INDEX('Work Orders'!$Z$11:$Z$1010,$B430)))</f>
        <v/>
      </c>
      <c r="K430" s="44">
        <f>IF($B430="","",IF(INDEX('Work Orders'!$AG$11:$AG$1010,$B430)="","",INDEX('Work Orders'!$AG$11:$AG$1010,$B430)))</f>
        <v/>
      </c>
      <c r="L430" s="44">
        <f>IF($B430="","",IF(INDEX('Work Orders'!$AH$11:$AH$1010,$B430)="","",INDEX('Work Orders'!$AH$11:$AH$1010,$B430)))</f>
        <v/>
      </c>
      <c r="M430" s="46">
        <f>IF($B430="","",IF(INDEX('Work Orders'!$AM$11:$AM$1010,$B430)="","",INDEX('Work Orders'!$AM$11:$AM$1010,$B430)))</f>
        <v/>
      </c>
      <c r="N430" s="43">
        <f>IF($B430="","",IF(INDEX('Work Orders'!$AL$11:$AL$1010,$B430)="","",INDEX('Work Orders'!$AL$11:$AL$1010,$B430)))</f>
        <v/>
      </c>
      <c r="O430" s="43">
        <f>IF($B430="","",IF(INDEX('Work Orders'!$N$11:$N$1010,$B430)="","",INDEX('Work Orders'!$N$11:$N$1010,$B430)))</f>
        <v/>
      </c>
    </row>
    <row r="431">
      <c r="A431" s="68" t="n">
        <v>425</v>
      </c>
      <c r="B431">
        <f>IFERROR(MATCH(A431,'Work Orders'!$AO$11:$AO$1010,0),"")</f>
        <v/>
      </c>
      <c r="C431" s="43">
        <f>IF($B431="","",IF(INDEX('Work Orders'!$A$11:$A$1010,$B431)="","",INDEX('Work Orders'!$A$11:$A$1010,$B431)))</f>
        <v/>
      </c>
      <c r="D431" s="43">
        <f>IF($B431="","",IF(INDEX('Work Orders'!$B$11:$B$1010,$B431)="","",INDEX('Work Orders'!$B$11:$B$1010,$B431)))</f>
        <v/>
      </c>
      <c r="E431" s="43">
        <f>IF($B431="","",IF(INDEX('Work Orders'!$D$11:$D$1010,$B431)="","",INDEX('Work Orders'!$D$11:$D$1010,$B431)))</f>
        <v/>
      </c>
      <c r="F431" s="43">
        <f>IF($B431="","",IF(INDEX('Work Orders'!$Q$11:$Q$1010,$B431)="","",INDEX('Work Orders'!$Q$11:$Q$1010,$B431)))</f>
        <v/>
      </c>
      <c r="G431" s="43">
        <f>IF($B431="","",IF(INDEX('Work Orders'!$V$11:$V$1010,$B431)="","",INDEX('Work Orders'!$V$11:$V$1010,$B431)))</f>
        <v/>
      </c>
      <c r="H431" s="47">
        <f>IF($B431="","",IF(INDEX('Work Orders'!$U$11:$U$1010,$B431)="","",INDEX('Work Orders'!$U$11:$U$1010,$B431)))</f>
        <v/>
      </c>
      <c r="I431" s="47">
        <f>IF($B431="","",IF(INDEX('Work Orders'!$X$11:$X$1010,$B431)="","",INDEX('Work Orders'!$X$11:$X$1010,$B431)))</f>
        <v/>
      </c>
      <c r="J431" s="44">
        <f>IF($B431="","",IF(INDEX('Work Orders'!$Z$11:$Z$1010,$B431)="","",INDEX('Work Orders'!$Z$11:$Z$1010,$B431)))</f>
        <v/>
      </c>
      <c r="K431" s="44">
        <f>IF($B431="","",IF(INDEX('Work Orders'!$AG$11:$AG$1010,$B431)="","",INDEX('Work Orders'!$AG$11:$AG$1010,$B431)))</f>
        <v/>
      </c>
      <c r="L431" s="44">
        <f>IF($B431="","",IF(INDEX('Work Orders'!$AH$11:$AH$1010,$B431)="","",INDEX('Work Orders'!$AH$11:$AH$1010,$B431)))</f>
        <v/>
      </c>
      <c r="M431" s="46">
        <f>IF($B431="","",IF(INDEX('Work Orders'!$AM$11:$AM$1010,$B431)="","",INDEX('Work Orders'!$AM$11:$AM$1010,$B431)))</f>
        <v/>
      </c>
      <c r="N431" s="43">
        <f>IF($B431="","",IF(INDEX('Work Orders'!$AL$11:$AL$1010,$B431)="","",INDEX('Work Orders'!$AL$11:$AL$1010,$B431)))</f>
        <v/>
      </c>
      <c r="O431" s="43">
        <f>IF($B431="","",IF(INDEX('Work Orders'!$N$11:$N$1010,$B431)="","",INDEX('Work Orders'!$N$11:$N$1010,$B431)))</f>
        <v/>
      </c>
    </row>
    <row r="432">
      <c r="A432" s="68" t="n">
        <v>426</v>
      </c>
      <c r="B432">
        <f>IFERROR(MATCH(A432,'Work Orders'!$AO$11:$AO$1010,0),"")</f>
        <v/>
      </c>
      <c r="C432" s="43">
        <f>IF($B432="","",IF(INDEX('Work Orders'!$A$11:$A$1010,$B432)="","",INDEX('Work Orders'!$A$11:$A$1010,$B432)))</f>
        <v/>
      </c>
      <c r="D432" s="43">
        <f>IF($B432="","",IF(INDEX('Work Orders'!$B$11:$B$1010,$B432)="","",INDEX('Work Orders'!$B$11:$B$1010,$B432)))</f>
        <v/>
      </c>
      <c r="E432" s="43">
        <f>IF($B432="","",IF(INDEX('Work Orders'!$D$11:$D$1010,$B432)="","",INDEX('Work Orders'!$D$11:$D$1010,$B432)))</f>
        <v/>
      </c>
      <c r="F432" s="43">
        <f>IF($B432="","",IF(INDEX('Work Orders'!$Q$11:$Q$1010,$B432)="","",INDEX('Work Orders'!$Q$11:$Q$1010,$B432)))</f>
        <v/>
      </c>
      <c r="G432" s="43">
        <f>IF($B432="","",IF(INDEX('Work Orders'!$V$11:$V$1010,$B432)="","",INDEX('Work Orders'!$V$11:$V$1010,$B432)))</f>
        <v/>
      </c>
      <c r="H432" s="47">
        <f>IF($B432="","",IF(INDEX('Work Orders'!$U$11:$U$1010,$B432)="","",INDEX('Work Orders'!$U$11:$U$1010,$B432)))</f>
        <v/>
      </c>
      <c r="I432" s="47">
        <f>IF($B432="","",IF(INDEX('Work Orders'!$X$11:$X$1010,$B432)="","",INDEX('Work Orders'!$X$11:$X$1010,$B432)))</f>
        <v/>
      </c>
      <c r="J432" s="44">
        <f>IF($B432="","",IF(INDEX('Work Orders'!$Z$11:$Z$1010,$B432)="","",INDEX('Work Orders'!$Z$11:$Z$1010,$B432)))</f>
        <v/>
      </c>
      <c r="K432" s="44">
        <f>IF($B432="","",IF(INDEX('Work Orders'!$AG$11:$AG$1010,$B432)="","",INDEX('Work Orders'!$AG$11:$AG$1010,$B432)))</f>
        <v/>
      </c>
      <c r="L432" s="44">
        <f>IF($B432="","",IF(INDEX('Work Orders'!$AH$11:$AH$1010,$B432)="","",INDEX('Work Orders'!$AH$11:$AH$1010,$B432)))</f>
        <v/>
      </c>
      <c r="M432" s="46">
        <f>IF($B432="","",IF(INDEX('Work Orders'!$AM$11:$AM$1010,$B432)="","",INDEX('Work Orders'!$AM$11:$AM$1010,$B432)))</f>
        <v/>
      </c>
      <c r="N432" s="43">
        <f>IF($B432="","",IF(INDEX('Work Orders'!$AL$11:$AL$1010,$B432)="","",INDEX('Work Orders'!$AL$11:$AL$1010,$B432)))</f>
        <v/>
      </c>
      <c r="O432" s="43">
        <f>IF($B432="","",IF(INDEX('Work Orders'!$N$11:$N$1010,$B432)="","",INDEX('Work Orders'!$N$11:$N$1010,$B432)))</f>
        <v/>
      </c>
    </row>
    <row r="433">
      <c r="A433" s="68" t="n">
        <v>427</v>
      </c>
      <c r="B433">
        <f>IFERROR(MATCH(A433,'Work Orders'!$AO$11:$AO$1010,0),"")</f>
        <v/>
      </c>
      <c r="C433" s="43">
        <f>IF($B433="","",IF(INDEX('Work Orders'!$A$11:$A$1010,$B433)="","",INDEX('Work Orders'!$A$11:$A$1010,$B433)))</f>
        <v/>
      </c>
      <c r="D433" s="43">
        <f>IF($B433="","",IF(INDEX('Work Orders'!$B$11:$B$1010,$B433)="","",INDEX('Work Orders'!$B$11:$B$1010,$B433)))</f>
        <v/>
      </c>
      <c r="E433" s="43">
        <f>IF($B433="","",IF(INDEX('Work Orders'!$D$11:$D$1010,$B433)="","",INDEX('Work Orders'!$D$11:$D$1010,$B433)))</f>
        <v/>
      </c>
      <c r="F433" s="43">
        <f>IF($B433="","",IF(INDEX('Work Orders'!$Q$11:$Q$1010,$B433)="","",INDEX('Work Orders'!$Q$11:$Q$1010,$B433)))</f>
        <v/>
      </c>
      <c r="G433" s="43">
        <f>IF($B433="","",IF(INDEX('Work Orders'!$V$11:$V$1010,$B433)="","",INDEX('Work Orders'!$V$11:$V$1010,$B433)))</f>
        <v/>
      </c>
      <c r="H433" s="47">
        <f>IF($B433="","",IF(INDEX('Work Orders'!$U$11:$U$1010,$B433)="","",INDEX('Work Orders'!$U$11:$U$1010,$B433)))</f>
        <v/>
      </c>
      <c r="I433" s="47">
        <f>IF($B433="","",IF(INDEX('Work Orders'!$X$11:$X$1010,$B433)="","",INDEX('Work Orders'!$X$11:$X$1010,$B433)))</f>
        <v/>
      </c>
      <c r="J433" s="44">
        <f>IF($B433="","",IF(INDEX('Work Orders'!$Z$11:$Z$1010,$B433)="","",INDEX('Work Orders'!$Z$11:$Z$1010,$B433)))</f>
        <v/>
      </c>
      <c r="K433" s="44">
        <f>IF($B433="","",IF(INDEX('Work Orders'!$AG$11:$AG$1010,$B433)="","",INDEX('Work Orders'!$AG$11:$AG$1010,$B433)))</f>
        <v/>
      </c>
      <c r="L433" s="44">
        <f>IF($B433="","",IF(INDEX('Work Orders'!$AH$11:$AH$1010,$B433)="","",INDEX('Work Orders'!$AH$11:$AH$1010,$B433)))</f>
        <v/>
      </c>
      <c r="M433" s="46">
        <f>IF($B433="","",IF(INDEX('Work Orders'!$AM$11:$AM$1010,$B433)="","",INDEX('Work Orders'!$AM$11:$AM$1010,$B433)))</f>
        <v/>
      </c>
      <c r="N433" s="43">
        <f>IF($B433="","",IF(INDEX('Work Orders'!$AL$11:$AL$1010,$B433)="","",INDEX('Work Orders'!$AL$11:$AL$1010,$B433)))</f>
        <v/>
      </c>
      <c r="O433" s="43">
        <f>IF($B433="","",IF(INDEX('Work Orders'!$N$11:$N$1010,$B433)="","",INDEX('Work Orders'!$N$11:$N$1010,$B433)))</f>
        <v/>
      </c>
    </row>
    <row r="434">
      <c r="A434" s="68" t="n">
        <v>428</v>
      </c>
      <c r="B434">
        <f>IFERROR(MATCH(A434,'Work Orders'!$AO$11:$AO$1010,0),"")</f>
        <v/>
      </c>
      <c r="C434" s="43">
        <f>IF($B434="","",IF(INDEX('Work Orders'!$A$11:$A$1010,$B434)="","",INDEX('Work Orders'!$A$11:$A$1010,$B434)))</f>
        <v/>
      </c>
      <c r="D434" s="43">
        <f>IF($B434="","",IF(INDEX('Work Orders'!$B$11:$B$1010,$B434)="","",INDEX('Work Orders'!$B$11:$B$1010,$B434)))</f>
        <v/>
      </c>
      <c r="E434" s="43">
        <f>IF($B434="","",IF(INDEX('Work Orders'!$D$11:$D$1010,$B434)="","",INDEX('Work Orders'!$D$11:$D$1010,$B434)))</f>
        <v/>
      </c>
      <c r="F434" s="43">
        <f>IF($B434="","",IF(INDEX('Work Orders'!$Q$11:$Q$1010,$B434)="","",INDEX('Work Orders'!$Q$11:$Q$1010,$B434)))</f>
        <v/>
      </c>
      <c r="G434" s="43">
        <f>IF($B434="","",IF(INDEX('Work Orders'!$V$11:$V$1010,$B434)="","",INDEX('Work Orders'!$V$11:$V$1010,$B434)))</f>
        <v/>
      </c>
      <c r="H434" s="47">
        <f>IF($B434="","",IF(INDEX('Work Orders'!$U$11:$U$1010,$B434)="","",INDEX('Work Orders'!$U$11:$U$1010,$B434)))</f>
        <v/>
      </c>
      <c r="I434" s="47">
        <f>IF($B434="","",IF(INDEX('Work Orders'!$X$11:$X$1010,$B434)="","",INDEX('Work Orders'!$X$11:$X$1010,$B434)))</f>
        <v/>
      </c>
      <c r="J434" s="44">
        <f>IF($B434="","",IF(INDEX('Work Orders'!$Z$11:$Z$1010,$B434)="","",INDEX('Work Orders'!$Z$11:$Z$1010,$B434)))</f>
        <v/>
      </c>
      <c r="K434" s="44">
        <f>IF($B434="","",IF(INDEX('Work Orders'!$AG$11:$AG$1010,$B434)="","",INDEX('Work Orders'!$AG$11:$AG$1010,$B434)))</f>
        <v/>
      </c>
      <c r="L434" s="44">
        <f>IF($B434="","",IF(INDEX('Work Orders'!$AH$11:$AH$1010,$B434)="","",INDEX('Work Orders'!$AH$11:$AH$1010,$B434)))</f>
        <v/>
      </c>
      <c r="M434" s="46">
        <f>IF($B434="","",IF(INDEX('Work Orders'!$AM$11:$AM$1010,$B434)="","",INDEX('Work Orders'!$AM$11:$AM$1010,$B434)))</f>
        <v/>
      </c>
      <c r="N434" s="43">
        <f>IF($B434="","",IF(INDEX('Work Orders'!$AL$11:$AL$1010,$B434)="","",INDEX('Work Orders'!$AL$11:$AL$1010,$B434)))</f>
        <v/>
      </c>
      <c r="O434" s="43">
        <f>IF($B434="","",IF(INDEX('Work Orders'!$N$11:$N$1010,$B434)="","",INDEX('Work Orders'!$N$11:$N$1010,$B434)))</f>
        <v/>
      </c>
    </row>
    <row r="435">
      <c r="A435" s="68" t="n">
        <v>429</v>
      </c>
      <c r="B435">
        <f>IFERROR(MATCH(A435,'Work Orders'!$AO$11:$AO$1010,0),"")</f>
        <v/>
      </c>
      <c r="C435" s="43">
        <f>IF($B435="","",IF(INDEX('Work Orders'!$A$11:$A$1010,$B435)="","",INDEX('Work Orders'!$A$11:$A$1010,$B435)))</f>
        <v/>
      </c>
      <c r="D435" s="43">
        <f>IF($B435="","",IF(INDEX('Work Orders'!$B$11:$B$1010,$B435)="","",INDEX('Work Orders'!$B$11:$B$1010,$B435)))</f>
        <v/>
      </c>
      <c r="E435" s="43">
        <f>IF($B435="","",IF(INDEX('Work Orders'!$D$11:$D$1010,$B435)="","",INDEX('Work Orders'!$D$11:$D$1010,$B435)))</f>
        <v/>
      </c>
      <c r="F435" s="43">
        <f>IF($B435="","",IF(INDEX('Work Orders'!$Q$11:$Q$1010,$B435)="","",INDEX('Work Orders'!$Q$11:$Q$1010,$B435)))</f>
        <v/>
      </c>
      <c r="G435" s="43">
        <f>IF($B435="","",IF(INDEX('Work Orders'!$V$11:$V$1010,$B435)="","",INDEX('Work Orders'!$V$11:$V$1010,$B435)))</f>
        <v/>
      </c>
      <c r="H435" s="47">
        <f>IF($B435="","",IF(INDEX('Work Orders'!$U$11:$U$1010,$B435)="","",INDEX('Work Orders'!$U$11:$U$1010,$B435)))</f>
        <v/>
      </c>
      <c r="I435" s="47">
        <f>IF($B435="","",IF(INDEX('Work Orders'!$X$11:$X$1010,$B435)="","",INDEX('Work Orders'!$X$11:$X$1010,$B435)))</f>
        <v/>
      </c>
      <c r="J435" s="44">
        <f>IF($B435="","",IF(INDEX('Work Orders'!$Z$11:$Z$1010,$B435)="","",INDEX('Work Orders'!$Z$11:$Z$1010,$B435)))</f>
        <v/>
      </c>
      <c r="K435" s="44">
        <f>IF($B435="","",IF(INDEX('Work Orders'!$AG$11:$AG$1010,$B435)="","",INDEX('Work Orders'!$AG$11:$AG$1010,$B435)))</f>
        <v/>
      </c>
      <c r="L435" s="44">
        <f>IF($B435="","",IF(INDEX('Work Orders'!$AH$11:$AH$1010,$B435)="","",INDEX('Work Orders'!$AH$11:$AH$1010,$B435)))</f>
        <v/>
      </c>
      <c r="M435" s="46">
        <f>IF($B435="","",IF(INDEX('Work Orders'!$AM$11:$AM$1010,$B435)="","",INDEX('Work Orders'!$AM$11:$AM$1010,$B435)))</f>
        <v/>
      </c>
      <c r="N435" s="43">
        <f>IF($B435="","",IF(INDEX('Work Orders'!$AL$11:$AL$1010,$B435)="","",INDEX('Work Orders'!$AL$11:$AL$1010,$B435)))</f>
        <v/>
      </c>
      <c r="O435" s="43">
        <f>IF($B435="","",IF(INDEX('Work Orders'!$N$11:$N$1010,$B435)="","",INDEX('Work Orders'!$N$11:$N$1010,$B435)))</f>
        <v/>
      </c>
    </row>
    <row r="436">
      <c r="A436" s="68" t="n">
        <v>430</v>
      </c>
      <c r="B436">
        <f>IFERROR(MATCH(A436,'Work Orders'!$AO$11:$AO$1010,0),"")</f>
        <v/>
      </c>
      <c r="C436" s="43">
        <f>IF($B436="","",IF(INDEX('Work Orders'!$A$11:$A$1010,$B436)="","",INDEX('Work Orders'!$A$11:$A$1010,$B436)))</f>
        <v/>
      </c>
      <c r="D436" s="43">
        <f>IF($B436="","",IF(INDEX('Work Orders'!$B$11:$B$1010,$B436)="","",INDEX('Work Orders'!$B$11:$B$1010,$B436)))</f>
        <v/>
      </c>
      <c r="E436" s="43">
        <f>IF($B436="","",IF(INDEX('Work Orders'!$D$11:$D$1010,$B436)="","",INDEX('Work Orders'!$D$11:$D$1010,$B436)))</f>
        <v/>
      </c>
      <c r="F436" s="43">
        <f>IF($B436="","",IF(INDEX('Work Orders'!$Q$11:$Q$1010,$B436)="","",INDEX('Work Orders'!$Q$11:$Q$1010,$B436)))</f>
        <v/>
      </c>
      <c r="G436" s="43">
        <f>IF($B436="","",IF(INDEX('Work Orders'!$V$11:$V$1010,$B436)="","",INDEX('Work Orders'!$V$11:$V$1010,$B436)))</f>
        <v/>
      </c>
      <c r="H436" s="47">
        <f>IF($B436="","",IF(INDEX('Work Orders'!$U$11:$U$1010,$B436)="","",INDEX('Work Orders'!$U$11:$U$1010,$B436)))</f>
        <v/>
      </c>
      <c r="I436" s="47">
        <f>IF($B436="","",IF(INDEX('Work Orders'!$X$11:$X$1010,$B436)="","",INDEX('Work Orders'!$X$11:$X$1010,$B436)))</f>
        <v/>
      </c>
      <c r="J436" s="44">
        <f>IF($B436="","",IF(INDEX('Work Orders'!$Z$11:$Z$1010,$B436)="","",INDEX('Work Orders'!$Z$11:$Z$1010,$B436)))</f>
        <v/>
      </c>
      <c r="K436" s="44">
        <f>IF($B436="","",IF(INDEX('Work Orders'!$AG$11:$AG$1010,$B436)="","",INDEX('Work Orders'!$AG$11:$AG$1010,$B436)))</f>
        <v/>
      </c>
      <c r="L436" s="44">
        <f>IF($B436="","",IF(INDEX('Work Orders'!$AH$11:$AH$1010,$B436)="","",INDEX('Work Orders'!$AH$11:$AH$1010,$B436)))</f>
        <v/>
      </c>
      <c r="M436" s="46">
        <f>IF($B436="","",IF(INDEX('Work Orders'!$AM$11:$AM$1010,$B436)="","",INDEX('Work Orders'!$AM$11:$AM$1010,$B436)))</f>
        <v/>
      </c>
      <c r="N436" s="43">
        <f>IF($B436="","",IF(INDEX('Work Orders'!$AL$11:$AL$1010,$B436)="","",INDEX('Work Orders'!$AL$11:$AL$1010,$B436)))</f>
        <v/>
      </c>
      <c r="O436" s="43">
        <f>IF($B436="","",IF(INDEX('Work Orders'!$N$11:$N$1010,$B436)="","",INDEX('Work Orders'!$N$11:$N$1010,$B436)))</f>
        <v/>
      </c>
    </row>
    <row r="437">
      <c r="A437" s="68" t="n">
        <v>431</v>
      </c>
      <c r="B437">
        <f>IFERROR(MATCH(A437,'Work Orders'!$AO$11:$AO$1010,0),"")</f>
        <v/>
      </c>
      <c r="C437" s="43">
        <f>IF($B437="","",IF(INDEX('Work Orders'!$A$11:$A$1010,$B437)="","",INDEX('Work Orders'!$A$11:$A$1010,$B437)))</f>
        <v/>
      </c>
      <c r="D437" s="43">
        <f>IF($B437="","",IF(INDEX('Work Orders'!$B$11:$B$1010,$B437)="","",INDEX('Work Orders'!$B$11:$B$1010,$B437)))</f>
        <v/>
      </c>
      <c r="E437" s="43">
        <f>IF($B437="","",IF(INDEX('Work Orders'!$D$11:$D$1010,$B437)="","",INDEX('Work Orders'!$D$11:$D$1010,$B437)))</f>
        <v/>
      </c>
      <c r="F437" s="43">
        <f>IF($B437="","",IF(INDEX('Work Orders'!$Q$11:$Q$1010,$B437)="","",INDEX('Work Orders'!$Q$11:$Q$1010,$B437)))</f>
        <v/>
      </c>
      <c r="G437" s="43">
        <f>IF($B437="","",IF(INDEX('Work Orders'!$V$11:$V$1010,$B437)="","",INDEX('Work Orders'!$V$11:$V$1010,$B437)))</f>
        <v/>
      </c>
      <c r="H437" s="47">
        <f>IF($B437="","",IF(INDEX('Work Orders'!$U$11:$U$1010,$B437)="","",INDEX('Work Orders'!$U$11:$U$1010,$B437)))</f>
        <v/>
      </c>
      <c r="I437" s="47">
        <f>IF($B437="","",IF(INDEX('Work Orders'!$X$11:$X$1010,$B437)="","",INDEX('Work Orders'!$X$11:$X$1010,$B437)))</f>
        <v/>
      </c>
      <c r="J437" s="44">
        <f>IF($B437="","",IF(INDEX('Work Orders'!$Z$11:$Z$1010,$B437)="","",INDEX('Work Orders'!$Z$11:$Z$1010,$B437)))</f>
        <v/>
      </c>
      <c r="K437" s="44">
        <f>IF($B437="","",IF(INDEX('Work Orders'!$AG$11:$AG$1010,$B437)="","",INDEX('Work Orders'!$AG$11:$AG$1010,$B437)))</f>
        <v/>
      </c>
      <c r="L437" s="44">
        <f>IF($B437="","",IF(INDEX('Work Orders'!$AH$11:$AH$1010,$B437)="","",INDEX('Work Orders'!$AH$11:$AH$1010,$B437)))</f>
        <v/>
      </c>
      <c r="M437" s="46">
        <f>IF($B437="","",IF(INDEX('Work Orders'!$AM$11:$AM$1010,$B437)="","",INDEX('Work Orders'!$AM$11:$AM$1010,$B437)))</f>
        <v/>
      </c>
      <c r="N437" s="43">
        <f>IF($B437="","",IF(INDEX('Work Orders'!$AL$11:$AL$1010,$B437)="","",INDEX('Work Orders'!$AL$11:$AL$1010,$B437)))</f>
        <v/>
      </c>
      <c r="O437" s="43">
        <f>IF($B437="","",IF(INDEX('Work Orders'!$N$11:$N$1010,$B437)="","",INDEX('Work Orders'!$N$11:$N$1010,$B437)))</f>
        <v/>
      </c>
    </row>
    <row r="438">
      <c r="A438" s="68" t="n">
        <v>432</v>
      </c>
      <c r="B438">
        <f>IFERROR(MATCH(A438,'Work Orders'!$AO$11:$AO$1010,0),"")</f>
        <v/>
      </c>
      <c r="C438" s="43">
        <f>IF($B438="","",IF(INDEX('Work Orders'!$A$11:$A$1010,$B438)="","",INDEX('Work Orders'!$A$11:$A$1010,$B438)))</f>
        <v/>
      </c>
      <c r="D438" s="43">
        <f>IF($B438="","",IF(INDEX('Work Orders'!$B$11:$B$1010,$B438)="","",INDEX('Work Orders'!$B$11:$B$1010,$B438)))</f>
        <v/>
      </c>
      <c r="E438" s="43">
        <f>IF($B438="","",IF(INDEX('Work Orders'!$D$11:$D$1010,$B438)="","",INDEX('Work Orders'!$D$11:$D$1010,$B438)))</f>
        <v/>
      </c>
      <c r="F438" s="43">
        <f>IF($B438="","",IF(INDEX('Work Orders'!$Q$11:$Q$1010,$B438)="","",INDEX('Work Orders'!$Q$11:$Q$1010,$B438)))</f>
        <v/>
      </c>
      <c r="G438" s="43">
        <f>IF($B438="","",IF(INDEX('Work Orders'!$V$11:$V$1010,$B438)="","",INDEX('Work Orders'!$V$11:$V$1010,$B438)))</f>
        <v/>
      </c>
      <c r="H438" s="47">
        <f>IF($B438="","",IF(INDEX('Work Orders'!$U$11:$U$1010,$B438)="","",INDEX('Work Orders'!$U$11:$U$1010,$B438)))</f>
        <v/>
      </c>
      <c r="I438" s="47">
        <f>IF($B438="","",IF(INDEX('Work Orders'!$X$11:$X$1010,$B438)="","",INDEX('Work Orders'!$X$11:$X$1010,$B438)))</f>
        <v/>
      </c>
      <c r="J438" s="44">
        <f>IF($B438="","",IF(INDEX('Work Orders'!$Z$11:$Z$1010,$B438)="","",INDEX('Work Orders'!$Z$11:$Z$1010,$B438)))</f>
        <v/>
      </c>
      <c r="K438" s="44">
        <f>IF($B438="","",IF(INDEX('Work Orders'!$AG$11:$AG$1010,$B438)="","",INDEX('Work Orders'!$AG$11:$AG$1010,$B438)))</f>
        <v/>
      </c>
      <c r="L438" s="44">
        <f>IF($B438="","",IF(INDEX('Work Orders'!$AH$11:$AH$1010,$B438)="","",INDEX('Work Orders'!$AH$11:$AH$1010,$B438)))</f>
        <v/>
      </c>
      <c r="M438" s="46">
        <f>IF($B438="","",IF(INDEX('Work Orders'!$AM$11:$AM$1010,$B438)="","",INDEX('Work Orders'!$AM$11:$AM$1010,$B438)))</f>
        <v/>
      </c>
      <c r="N438" s="43">
        <f>IF($B438="","",IF(INDEX('Work Orders'!$AL$11:$AL$1010,$B438)="","",INDEX('Work Orders'!$AL$11:$AL$1010,$B438)))</f>
        <v/>
      </c>
      <c r="O438" s="43">
        <f>IF($B438="","",IF(INDEX('Work Orders'!$N$11:$N$1010,$B438)="","",INDEX('Work Orders'!$N$11:$N$1010,$B438)))</f>
        <v/>
      </c>
    </row>
    <row r="439">
      <c r="A439" s="68" t="n">
        <v>433</v>
      </c>
      <c r="B439">
        <f>IFERROR(MATCH(A439,'Work Orders'!$AO$11:$AO$1010,0),"")</f>
        <v/>
      </c>
      <c r="C439" s="43">
        <f>IF($B439="","",IF(INDEX('Work Orders'!$A$11:$A$1010,$B439)="","",INDEX('Work Orders'!$A$11:$A$1010,$B439)))</f>
        <v/>
      </c>
      <c r="D439" s="43">
        <f>IF($B439="","",IF(INDEX('Work Orders'!$B$11:$B$1010,$B439)="","",INDEX('Work Orders'!$B$11:$B$1010,$B439)))</f>
        <v/>
      </c>
      <c r="E439" s="43">
        <f>IF($B439="","",IF(INDEX('Work Orders'!$D$11:$D$1010,$B439)="","",INDEX('Work Orders'!$D$11:$D$1010,$B439)))</f>
        <v/>
      </c>
      <c r="F439" s="43">
        <f>IF($B439="","",IF(INDEX('Work Orders'!$Q$11:$Q$1010,$B439)="","",INDEX('Work Orders'!$Q$11:$Q$1010,$B439)))</f>
        <v/>
      </c>
      <c r="G439" s="43">
        <f>IF($B439="","",IF(INDEX('Work Orders'!$V$11:$V$1010,$B439)="","",INDEX('Work Orders'!$V$11:$V$1010,$B439)))</f>
        <v/>
      </c>
      <c r="H439" s="47">
        <f>IF($B439="","",IF(INDEX('Work Orders'!$U$11:$U$1010,$B439)="","",INDEX('Work Orders'!$U$11:$U$1010,$B439)))</f>
        <v/>
      </c>
      <c r="I439" s="47">
        <f>IF($B439="","",IF(INDEX('Work Orders'!$X$11:$X$1010,$B439)="","",INDEX('Work Orders'!$X$11:$X$1010,$B439)))</f>
        <v/>
      </c>
      <c r="J439" s="44">
        <f>IF($B439="","",IF(INDEX('Work Orders'!$Z$11:$Z$1010,$B439)="","",INDEX('Work Orders'!$Z$11:$Z$1010,$B439)))</f>
        <v/>
      </c>
      <c r="K439" s="44">
        <f>IF($B439="","",IF(INDEX('Work Orders'!$AG$11:$AG$1010,$B439)="","",INDEX('Work Orders'!$AG$11:$AG$1010,$B439)))</f>
        <v/>
      </c>
      <c r="L439" s="44">
        <f>IF($B439="","",IF(INDEX('Work Orders'!$AH$11:$AH$1010,$B439)="","",INDEX('Work Orders'!$AH$11:$AH$1010,$B439)))</f>
        <v/>
      </c>
      <c r="M439" s="46">
        <f>IF($B439="","",IF(INDEX('Work Orders'!$AM$11:$AM$1010,$B439)="","",INDEX('Work Orders'!$AM$11:$AM$1010,$B439)))</f>
        <v/>
      </c>
      <c r="N439" s="43">
        <f>IF($B439="","",IF(INDEX('Work Orders'!$AL$11:$AL$1010,$B439)="","",INDEX('Work Orders'!$AL$11:$AL$1010,$B439)))</f>
        <v/>
      </c>
      <c r="O439" s="43">
        <f>IF($B439="","",IF(INDEX('Work Orders'!$N$11:$N$1010,$B439)="","",INDEX('Work Orders'!$N$11:$N$1010,$B439)))</f>
        <v/>
      </c>
    </row>
    <row r="440">
      <c r="A440" s="68" t="n">
        <v>434</v>
      </c>
      <c r="B440">
        <f>IFERROR(MATCH(A440,'Work Orders'!$AO$11:$AO$1010,0),"")</f>
        <v/>
      </c>
      <c r="C440" s="43">
        <f>IF($B440="","",IF(INDEX('Work Orders'!$A$11:$A$1010,$B440)="","",INDEX('Work Orders'!$A$11:$A$1010,$B440)))</f>
        <v/>
      </c>
      <c r="D440" s="43">
        <f>IF($B440="","",IF(INDEX('Work Orders'!$B$11:$B$1010,$B440)="","",INDEX('Work Orders'!$B$11:$B$1010,$B440)))</f>
        <v/>
      </c>
      <c r="E440" s="43">
        <f>IF($B440="","",IF(INDEX('Work Orders'!$D$11:$D$1010,$B440)="","",INDEX('Work Orders'!$D$11:$D$1010,$B440)))</f>
        <v/>
      </c>
      <c r="F440" s="43">
        <f>IF($B440="","",IF(INDEX('Work Orders'!$Q$11:$Q$1010,$B440)="","",INDEX('Work Orders'!$Q$11:$Q$1010,$B440)))</f>
        <v/>
      </c>
      <c r="G440" s="43">
        <f>IF($B440="","",IF(INDEX('Work Orders'!$V$11:$V$1010,$B440)="","",INDEX('Work Orders'!$V$11:$V$1010,$B440)))</f>
        <v/>
      </c>
      <c r="H440" s="47">
        <f>IF($B440="","",IF(INDEX('Work Orders'!$U$11:$U$1010,$B440)="","",INDEX('Work Orders'!$U$11:$U$1010,$B440)))</f>
        <v/>
      </c>
      <c r="I440" s="47">
        <f>IF($B440="","",IF(INDEX('Work Orders'!$X$11:$X$1010,$B440)="","",INDEX('Work Orders'!$X$11:$X$1010,$B440)))</f>
        <v/>
      </c>
      <c r="J440" s="44">
        <f>IF($B440="","",IF(INDEX('Work Orders'!$Z$11:$Z$1010,$B440)="","",INDEX('Work Orders'!$Z$11:$Z$1010,$B440)))</f>
        <v/>
      </c>
      <c r="K440" s="44">
        <f>IF($B440="","",IF(INDEX('Work Orders'!$AG$11:$AG$1010,$B440)="","",INDEX('Work Orders'!$AG$11:$AG$1010,$B440)))</f>
        <v/>
      </c>
      <c r="L440" s="44">
        <f>IF($B440="","",IF(INDEX('Work Orders'!$AH$11:$AH$1010,$B440)="","",INDEX('Work Orders'!$AH$11:$AH$1010,$B440)))</f>
        <v/>
      </c>
      <c r="M440" s="46">
        <f>IF($B440="","",IF(INDEX('Work Orders'!$AM$11:$AM$1010,$B440)="","",INDEX('Work Orders'!$AM$11:$AM$1010,$B440)))</f>
        <v/>
      </c>
      <c r="N440" s="43">
        <f>IF($B440="","",IF(INDEX('Work Orders'!$AL$11:$AL$1010,$B440)="","",INDEX('Work Orders'!$AL$11:$AL$1010,$B440)))</f>
        <v/>
      </c>
      <c r="O440" s="43">
        <f>IF($B440="","",IF(INDEX('Work Orders'!$N$11:$N$1010,$B440)="","",INDEX('Work Orders'!$N$11:$N$1010,$B440)))</f>
        <v/>
      </c>
    </row>
    <row r="441">
      <c r="A441" s="68" t="n">
        <v>435</v>
      </c>
      <c r="B441">
        <f>IFERROR(MATCH(A441,'Work Orders'!$AO$11:$AO$1010,0),"")</f>
        <v/>
      </c>
      <c r="C441" s="43">
        <f>IF($B441="","",IF(INDEX('Work Orders'!$A$11:$A$1010,$B441)="","",INDEX('Work Orders'!$A$11:$A$1010,$B441)))</f>
        <v/>
      </c>
      <c r="D441" s="43">
        <f>IF($B441="","",IF(INDEX('Work Orders'!$B$11:$B$1010,$B441)="","",INDEX('Work Orders'!$B$11:$B$1010,$B441)))</f>
        <v/>
      </c>
      <c r="E441" s="43">
        <f>IF($B441="","",IF(INDEX('Work Orders'!$D$11:$D$1010,$B441)="","",INDEX('Work Orders'!$D$11:$D$1010,$B441)))</f>
        <v/>
      </c>
      <c r="F441" s="43">
        <f>IF($B441="","",IF(INDEX('Work Orders'!$Q$11:$Q$1010,$B441)="","",INDEX('Work Orders'!$Q$11:$Q$1010,$B441)))</f>
        <v/>
      </c>
      <c r="G441" s="43">
        <f>IF($B441="","",IF(INDEX('Work Orders'!$V$11:$V$1010,$B441)="","",INDEX('Work Orders'!$V$11:$V$1010,$B441)))</f>
        <v/>
      </c>
      <c r="H441" s="47">
        <f>IF($B441="","",IF(INDEX('Work Orders'!$U$11:$U$1010,$B441)="","",INDEX('Work Orders'!$U$11:$U$1010,$B441)))</f>
        <v/>
      </c>
      <c r="I441" s="47">
        <f>IF($B441="","",IF(INDEX('Work Orders'!$X$11:$X$1010,$B441)="","",INDEX('Work Orders'!$X$11:$X$1010,$B441)))</f>
        <v/>
      </c>
      <c r="J441" s="44">
        <f>IF($B441="","",IF(INDEX('Work Orders'!$Z$11:$Z$1010,$B441)="","",INDEX('Work Orders'!$Z$11:$Z$1010,$B441)))</f>
        <v/>
      </c>
      <c r="K441" s="44">
        <f>IF($B441="","",IF(INDEX('Work Orders'!$AG$11:$AG$1010,$B441)="","",INDEX('Work Orders'!$AG$11:$AG$1010,$B441)))</f>
        <v/>
      </c>
      <c r="L441" s="44">
        <f>IF($B441="","",IF(INDEX('Work Orders'!$AH$11:$AH$1010,$B441)="","",INDEX('Work Orders'!$AH$11:$AH$1010,$B441)))</f>
        <v/>
      </c>
      <c r="M441" s="46">
        <f>IF($B441="","",IF(INDEX('Work Orders'!$AM$11:$AM$1010,$B441)="","",INDEX('Work Orders'!$AM$11:$AM$1010,$B441)))</f>
        <v/>
      </c>
      <c r="N441" s="43">
        <f>IF($B441="","",IF(INDEX('Work Orders'!$AL$11:$AL$1010,$B441)="","",INDEX('Work Orders'!$AL$11:$AL$1010,$B441)))</f>
        <v/>
      </c>
      <c r="O441" s="43">
        <f>IF($B441="","",IF(INDEX('Work Orders'!$N$11:$N$1010,$B441)="","",INDEX('Work Orders'!$N$11:$N$1010,$B441)))</f>
        <v/>
      </c>
    </row>
    <row r="442">
      <c r="A442" s="68" t="n">
        <v>436</v>
      </c>
      <c r="B442">
        <f>IFERROR(MATCH(A442,'Work Orders'!$AO$11:$AO$1010,0),"")</f>
        <v/>
      </c>
      <c r="C442" s="43">
        <f>IF($B442="","",IF(INDEX('Work Orders'!$A$11:$A$1010,$B442)="","",INDEX('Work Orders'!$A$11:$A$1010,$B442)))</f>
        <v/>
      </c>
      <c r="D442" s="43">
        <f>IF($B442="","",IF(INDEX('Work Orders'!$B$11:$B$1010,$B442)="","",INDEX('Work Orders'!$B$11:$B$1010,$B442)))</f>
        <v/>
      </c>
      <c r="E442" s="43">
        <f>IF($B442="","",IF(INDEX('Work Orders'!$D$11:$D$1010,$B442)="","",INDEX('Work Orders'!$D$11:$D$1010,$B442)))</f>
        <v/>
      </c>
      <c r="F442" s="43">
        <f>IF($B442="","",IF(INDEX('Work Orders'!$Q$11:$Q$1010,$B442)="","",INDEX('Work Orders'!$Q$11:$Q$1010,$B442)))</f>
        <v/>
      </c>
      <c r="G442" s="43">
        <f>IF($B442="","",IF(INDEX('Work Orders'!$V$11:$V$1010,$B442)="","",INDEX('Work Orders'!$V$11:$V$1010,$B442)))</f>
        <v/>
      </c>
      <c r="H442" s="47">
        <f>IF($B442="","",IF(INDEX('Work Orders'!$U$11:$U$1010,$B442)="","",INDEX('Work Orders'!$U$11:$U$1010,$B442)))</f>
        <v/>
      </c>
      <c r="I442" s="47">
        <f>IF($B442="","",IF(INDEX('Work Orders'!$X$11:$X$1010,$B442)="","",INDEX('Work Orders'!$X$11:$X$1010,$B442)))</f>
        <v/>
      </c>
      <c r="J442" s="44">
        <f>IF($B442="","",IF(INDEX('Work Orders'!$Z$11:$Z$1010,$B442)="","",INDEX('Work Orders'!$Z$11:$Z$1010,$B442)))</f>
        <v/>
      </c>
      <c r="K442" s="44">
        <f>IF($B442="","",IF(INDEX('Work Orders'!$AG$11:$AG$1010,$B442)="","",INDEX('Work Orders'!$AG$11:$AG$1010,$B442)))</f>
        <v/>
      </c>
      <c r="L442" s="44">
        <f>IF($B442="","",IF(INDEX('Work Orders'!$AH$11:$AH$1010,$B442)="","",INDEX('Work Orders'!$AH$11:$AH$1010,$B442)))</f>
        <v/>
      </c>
      <c r="M442" s="46">
        <f>IF($B442="","",IF(INDEX('Work Orders'!$AM$11:$AM$1010,$B442)="","",INDEX('Work Orders'!$AM$11:$AM$1010,$B442)))</f>
        <v/>
      </c>
      <c r="N442" s="43">
        <f>IF($B442="","",IF(INDEX('Work Orders'!$AL$11:$AL$1010,$B442)="","",INDEX('Work Orders'!$AL$11:$AL$1010,$B442)))</f>
        <v/>
      </c>
      <c r="O442" s="43">
        <f>IF($B442="","",IF(INDEX('Work Orders'!$N$11:$N$1010,$B442)="","",INDEX('Work Orders'!$N$11:$N$1010,$B442)))</f>
        <v/>
      </c>
    </row>
    <row r="443">
      <c r="A443" s="68" t="n">
        <v>437</v>
      </c>
      <c r="B443">
        <f>IFERROR(MATCH(A443,'Work Orders'!$AO$11:$AO$1010,0),"")</f>
        <v/>
      </c>
      <c r="C443" s="43">
        <f>IF($B443="","",IF(INDEX('Work Orders'!$A$11:$A$1010,$B443)="","",INDEX('Work Orders'!$A$11:$A$1010,$B443)))</f>
        <v/>
      </c>
      <c r="D443" s="43">
        <f>IF($B443="","",IF(INDEX('Work Orders'!$B$11:$B$1010,$B443)="","",INDEX('Work Orders'!$B$11:$B$1010,$B443)))</f>
        <v/>
      </c>
      <c r="E443" s="43">
        <f>IF($B443="","",IF(INDEX('Work Orders'!$D$11:$D$1010,$B443)="","",INDEX('Work Orders'!$D$11:$D$1010,$B443)))</f>
        <v/>
      </c>
      <c r="F443" s="43">
        <f>IF($B443="","",IF(INDEX('Work Orders'!$Q$11:$Q$1010,$B443)="","",INDEX('Work Orders'!$Q$11:$Q$1010,$B443)))</f>
        <v/>
      </c>
      <c r="G443" s="43">
        <f>IF($B443="","",IF(INDEX('Work Orders'!$V$11:$V$1010,$B443)="","",INDEX('Work Orders'!$V$11:$V$1010,$B443)))</f>
        <v/>
      </c>
      <c r="H443" s="47">
        <f>IF($B443="","",IF(INDEX('Work Orders'!$U$11:$U$1010,$B443)="","",INDEX('Work Orders'!$U$11:$U$1010,$B443)))</f>
        <v/>
      </c>
      <c r="I443" s="47">
        <f>IF($B443="","",IF(INDEX('Work Orders'!$X$11:$X$1010,$B443)="","",INDEX('Work Orders'!$X$11:$X$1010,$B443)))</f>
        <v/>
      </c>
      <c r="J443" s="44">
        <f>IF($B443="","",IF(INDEX('Work Orders'!$Z$11:$Z$1010,$B443)="","",INDEX('Work Orders'!$Z$11:$Z$1010,$B443)))</f>
        <v/>
      </c>
      <c r="K443" s="44">
        <f>IF($B443="","",IF(INDEX('Work Orders'!$AG$11:$AG$1010,$B443)="","",INDEX('Work Orders'!$AG$11:$AG$1010,$B443)))</f>
        <v/>
      </c>
      <c r="L443" s="44">
        <f>IF($B443="","",IF(INDEX('Work Orders'!$AH$11:$AH$1010,$B443)="","",INDEX('Work Orders'!$AH$11:$AH$1010,$B443)))</f>
        <v/>
      </c>
      <c r="M443" s="46">
        <f>IF($B443="","",IF(INDEX('Work Orders'!$AM$11:$AM$1010,$B443)="","",INDEX('Work Orders'!$AM$11:$AM$1010,$B443)))</f>
        <v/>
      </c>
      <c r="N443" s="43">
        <f>IF($B443="","",IF(INDEX('Work Orders'!$AL$11:$AL$1010,$B443)="","",INDEX('Work Orders'!$AL$11:$AL$1010,$B443)))</f>
        <v/>
      </c>
      <c r="O443" s="43">
        <f>IF($B443="","",IF(INDEX('Work Orders'!$N$11:$N$1010,$B443)="","",INDEX('Work Orders'!$N$11:$N$1010,$B443)))</f>
        <v/>
      </c>
    </row>
    <row r="444">
      <c r="A444" s="68" t="n">
        <v>438</v>
      </c>
      <c r="B444">
        <f>IFERROR(MATCH(A444,'Work Orders'!$AO$11:$AO$1010,0),"")</f>
        <v/>
      </c>
      <c r="C444" s="43">
        <f>IF($B444="","",IF(INDEX('Work Orders'!$A$11:$A$1010,$B444)="","",INDEX('Work Orders'!$A$11:$A$1010,$B444)))</f>
        <v/>
      </c>
      <c r="D444" s="43">
        <f>IF($B444="","",IF(INDEX('Work Orders'!$B$11:$B$1010,$B444)="","",INDEX('Work Orders'!$B$11:$B$1010,$B444)))</f>
        <v/>
      </c>
      <c r="E444" s="43">
        <f>IF($B444="","",IF(INDEX('Work Orders'!$D$11:$D$1010,$B444)="","",INDEX('Work Orders'!$D$11:$D$1010,$B444)))</f>
        <v/>
      </c>
      <c r="F444" s="43">
        <f>IF($B444="","",IF(INDEX('Work Orders'!$Q$11:$Q$1010,$B444)="","",INDEX('Work Orders'!$Q$11:$Q$1010,$B444)))</f>
        <v/>
      </c>
      <c r="G444" s="43">
        <f>IF($B444="","",IF(INDEX('Work Orders'!$V$11:$V$1010,$B444)="","",INDEX('Work Orders'!$V$11:$V$1010,$B444)))</f>
        <v/>
      </c>
      <c r="H444" s="47">
        <f>IF($B444="","",IF(INDEX('Work Orders'!$U$11:$U$1010,$B444)="","",INDEX('Work Orders'!$U$11:$U$1010,$B444)))</f>
        <v/>
      </c>
      <c r="I444" s="47">
        <f>IF($B444="","",IF(INDEX('Work Orders'!$X$11:$X$1010,$B444)="","",INDEX('Work Orders'!$X$11:$X$1010,$B444)))</f>
        <v/>
      </c>
      <c r="J444" s="44">
        <f>IF($B444="","",IF(INDEX('Work Orders'!$Z$11:$Z$1010,$B444)="","",INDEX('Work Orders'!$Z$11:$Z$1010,$B444)))</f>
        <v/>
      </c>
      <c r="K444" s="44">
        <f>IF($B444="","",IF(INDEX('Work Orders'!$AG$11:$AG$1010,$B444)="","",INDEX('Work Orders'!$AG$11:$AG$1010,$B444)))</f>
        <v/>
      </c>
      <c r="L444" s="44">
        <f>IF($B444="","",IF(INDEX('Work Orders'!$AH$11:$AH$1010,$B444)="","",INDEX('Work Orders'!$AH$11:$AH$1010,$B444)))</f>
        <v/>
      </c>
      <c r="M444" s="46">
        <f>IF($B444="","",IF(INDEX('Work Orders'!$AM$11:$AM$1010,$B444)="","",INDEX('Work Orders'!$AM$11:$AM$1010,$B444)))</f>
        <v/>
      </c>
      <c r="N444" s="43">
        <f>IF($B444="","",IF(INDEX('Work Orders'!$AL$11:$AL$1010,$B444)="","",INDEX('Work Orders'!$AL$11:$AL$1010,$B444)))</f>
        <v/>
      </c>
      <c r="O444" s="43">
        <f>IF($B444="","",IF(INDEX('Work Orders'!$N$11:$N$1010,$B444)="","",INDEX('Work Orders'!$N$11:$N$1010,$B444)))</f>
        <v/>
      </c>
    </row>
    <row r="445">
      <c r="A445" s="68" t="n">
        <v>439</v>
      </c>
      <c r="B445">
        <f>IFERROR(MATCH(A445,'Work Orders'!$AO$11:$AO$1010,0),"")</f>
        <v/>
      </c>
      <c r="C445" s="43">
        <f>IF($B445="","",IF(INDEX('Work Orders'!$A$11:$A$1010,$B445)="","",INDEX('Work Orders'!$A$11:$A$1010,$B445)))</f>
        <v/>
      </c>
      <c r="D445" s="43">
        <f>IF($B445="","",IF(INDEX('Work Orders'!$B$11:$B$1010,$B445)="","",INDEX('Work Orders'!$B$11:$B$1010,$B445)))</f>
        <v/>
      </c>
      <c r="E445" s="43">
        <f>IF($B445="","",IF(INDEX('Work Orders'!$D$11:$D$1010,$B445)="","",INDEX('Work Orders'!$D$11:$D$1010,$B445)))</f>
        <v/>
      </c>
      <c r="F445" s="43">
        <f>IF($B445="","",IF(INDEX('Work Orders'!$Q$11:$Q$1010,$B445)="","",INDEX('Work Orders'!$Q$11:$Q$1010,$B445)))</f>
        <v/>
      </c>
      <c r="G445" s="43">
        <f>IF($B445="","",IF(INDEX('Work Orders'!$V$11:$V$1010,$B445)="","",INDEX('Work Orders'!$V$11:$V$1010,$B445)))</f>
        <v/>
      </c>
      <c r="H445" s="47">
        <f>IF($B445="","",IF(INDEX('Work Orders'!$U$11:$U$1010,$B445)="","",INDEX('Work Orders'!$U$11:$U$1010,$B445)))</f>
        <v/>
      </c>
      <c r="I445" s="47">
        <f>IF($B445="","",IF(INDEX('Work Orders'!$X$11:$X$1010,$B445)="","",INDEX('Work Orders'!$X$11:$X$1010,$B445)))</f>
        <v/>
      </c>
      <c r="J445" s="44">
        <f>IF($B445="","",IF(INDEX('Work Orders'!$Z$11:$Z$1010,$B445)="","",INDEX('Work Orders'!$Z$11:$Z$1010,$B445)))</f>
        <v/>
      </c>
      <c r="K445" s="44">
        <f>IF($B445="","",IF(INDEX('Work Orders'!$AG$11:$AG$1010,$B445)="","",INDEX('Work Orders'!$AG$11:$AG$1010,$B445)))</f>
        <v/>
      </c>
      <c r="L445" s="44">
        <f>IF($B445="","",IF(INDEX('Work Orders'!$AH$11:$AH$1010,$B445)="","",INDEX('Work Orders'!$AH$11:$AH$1010,$B445)))</f>
        <v/>
      </c>
      <c r="M445" s="46">
        <f>IF($B445="","",IF(INDEX('Work Orders'!$AM$11:$AM$1010,$B445)="","",INDEX('Work Orders'!$AM$11:$AM$1010,$B445)))</f>
        <v/>
      </c>
      <c r="N445" s="43">
        <f>IF($B445="","",IF(INDEX('Work Orders'!$AL$11:$AL$1010,$B445)="","",INDEX('Work Orders'!$AL$11:$AL$1010,$B445)))</f>
        <v/>
      </c>
      <c r="O445" s="43">
        <f>IF($B445="","",IF(INDEX('Work Orders'!$N$11:$N$1010,$B445)="","",INDEX('Work Orders'!$N$11:$N$1010,$B445)))</f>
        <v/>
      </c>
    </row>
    <row r="446">
      <c r="A446" s="68" t="n">
        <v>440</v>
      </c>
      <c r="B446">
        <f>IFERROR(MATCH(A446,'Work Orders'!$AO$11:$AO$1010,0),"")</f>
        <v/>
      </c>
      <c r="C446" s="43">
        <f>IF($B446="","",IF(INDEX('Work Orders'!$A$11:$A$1010,$B446)="","",INDEX('Work Orders'!$A$11:$A$1010,$B446)))</f>
        <v/>
      </c>
      <c r="D446" s="43">
        <f>IF($B446="","",IF(INDEX('Work Orders'!$B$11:$B$1010,$B446)="","",INDEX('Work Orders'!$B$11:$B$1010,$B446)))</f>
        <v/>
      </c>
      <c r="E446" s="43">
        <f>IF($B446="","",IF(INDEX('Work Orders'!$D$11:$D$1010,$B446)="","",INDEX('Work Orders'!$D$11:$D$1010,$B446)))</f>
        <v/>
      </c>
      <c r="F446" s="43">
        <f>IF($B446="","",IF(INDEX('Work Orders'!$Q$11:$Q$1010,$B446)="","",INDEX('Work Orders'!$Q$11:$Q$1010,$B446)))</f>
        <v/>
      </c>
      <c r="G446" s="43">
        <f>IF($B446="","",IF(INDEX('Work Orders'!$V$11:$V$1010,$B446)="","",INDEX('Work Orders'!$V$11:$V$1010,$B446)))</f>
        <v/>
      </c>
      <c r="H446" s="47">
        <f>IF($B446="","",IF(INDEX('Work Orders'!$U$11:$U$1010,$B446)="","",INDEX('Work Orders'!$U$11:$U$1010,$B446)))</f>
        <v/>
      </c>
      <c r="I446" s="47">
        <f>IF($B446="","",IF(INDEX('Work Orders'!$X$11:$X$1010,$B446)="","",INDEX('Work Orders'!$X$11:$X$1010,$B446)))</f>
        <v/>
      </c>
      <c r="J446" s="44">
        <f>IF($B446="","",IF(INDEX('Work Orders'!$Z$11:$Z$1010,$B446)="","",INDEX('Work Orders'!$Z$11:$Z$1010,$B446)))</f>
        <v/>
      </c>
      <c r="K446" s="44">
        <f>IF($B446="","",IF(INDEX('Work Orders'!$AG$11:$AG$1010,$B446)="","",INDEX('Work Orders'!$AG$11:$AG$1010,$B446)))</f>
        <v/>
      </c>
      <c r="L446" s="44">
        <f>IF($B446="","",IF(INDEX('Work Orders'!$AH$11:$AH$1010,$B446)="","",INDEX('Work Orders'!$AH$11:$AH$1010,$B446)))</f>
        <v/>
      </c>
      <c r="M446" s="46">
        <f>IF($B446="","",IF(INDEX('Work Orders'!$AM$11:$AM$1010,$B446)="","",INDEX('Work Orders'!$AM$11:$AM$1010,$B446)))</f>
        <v/>
      </c>
      <c r="N446" s="43">
        <f>IF($B446="","",IF(INDEX('Work Orders'!$AL$11:$AL$1010,$B446)="","",INDEX('Work Orders'!$AL$11:$AL$1010,$B446)))</f>
        <v/>
      </c>
      <c r="O446" s="43">
        <f>IF($B446="","",IF(INDEX('Work Orders'!$N$11:$N$1010,$B446)="","",INDEX('Work Orders'!$N$11:$N$1010,$B446)))</f>
        <v/>
      </c>
    </row>
    <row r="447">
      <c r="A447" s="68" t="n">
        <v>441</v>
      </c>
      <c r="B447">
        <f>IFERROR(MATCH(A447,'Work Orders'!$AO$11:$AO$1010,0),"")</f>
        <v/>
      </c>
      <c r="C447" s="43">
        <f>IF($B447="","",IF(INDEX('Work Orders'!$A$11:$A$1010,$B447)="","",INDEX('Work Orders'!$A$11:$A$1010,$B447)))</f>
        <v/>
      </c>
      <c r="D447" s="43">
        <f>IF($B447="","",IF(INDEX('Work Orders'!$B$11:$B$1010,$B447)="","",INDEX('Work Orders'!$B$11:$B$1010,$B447)))</f>
        <v/>
      </c>
      <c r="E447" s="43">
        <f>IF($B447="","",IF(INDEX('Work Orders'!$D$11:$D$1010,$B447)="","",INDEX('Work Orders'!$D$11:$D$1010,$B447)))</f>
        <v/>
      </c>
      <c r="F447" s="43">
        <f>IF($B447="","",IF(INDEX('Work Orders'!$Q$11:$Q$1010,$B447)="","",INDEX('Work Orders'!$Q$11:$Q$1010,$B447)))</f>
        <v/>
      </c>
      <c r="G447" s="43">
        <f>IF($B447="","",IF(INDEX('Work Orders'!$V$11:$V$1010,$B447)="","",INDEX('Work Orders'!$V$11:$V$1010,$B447)))</f>
        <v/>
      </c>
      <c r="H447" s="47">
        <f>IF($B447="","",IF(INDEX('Work Orders'!$U$11:$U$1010,$B447)="","",INDEX('Work Orders'!$U$11:$U$1010,$B447)))</f>
        <v/>
      </c>
      <c r="I447" s="47">
        <f>IF($B447="","",IF(INDEX('Work Orders'!$X$11:$X$1010,$B447)="","",INDEX('Work Orders'!$X$11:$X$1010,$B447)))</f>
        <v/>
      </c>
      <c r="J447" s="44">
        <f>IF($B447="","",IF(INDEX('Work Orders'!$Z$11:$Z$1010,$B447)="","",INDEX('Work Orders'!$Z$11:$Z$1010,$B447)))</f>
        <v/>
      </c>
      <c r="K447" s="44">
        <f>IF($B447="","",IF(INDEX('Work Orders'!$AG$11:$AG$1010,$B447)="","",INDEX('Work Orders'!$AG$11:$AG$1010,$B447)))</f>
        <v/>
      </c>
      <c r="L447" s="44">
        <f>IF($B447="","",IF(INDEX('Work Orders'!$AH$11:$AH$1010,$B447)="","",INDEX('Work Orders'!$AH$11:$AH$1010,$B447)))</f>
        <v/>
      </c>
      <c r="M447" s="46">
        <f>IF($B447="","",IF(INDEX('Work Orders'!$AM$11:$AM$1010,$B447)="","",INDEX('Work Orders'!$AM$11:$AM$1010,$B447)))</f>
        <v/>
      </c>
      <c r="N447" s="43">
        <f>IF($B447="","",IF(INDEX('Work Orders'!$AL$11:$AL$1010,$B447)="","",INDEX('Work Orders'!$AL$11:$AL$1010,$B447)))</f>
        <v/>
      </c>
      <c r="O447" s="43">
        <f>IF($B447="","",IF(INDEX('Work Orders'!$N$11:$N$1010,$B447)="","",INDEX('Work Orders'!$N$11:$N$1010,$B447)))</f>
        <v/>
      </c>
    </row>
    <row r="448">
      <c r="A448" s="68" t="n">
        <v>442</v>
      </c>
      <c r="B448">
        <f>IFERROR(MATCH(A448,'Work Orders'!$AO$11:$AO$1010,0),"")</f>
        <v/>
      </c>
      <c r="C448" s="43">
        <f>IF($B448="","",IF(INDEX('Work Orders'!$A$11:$A$1010,$B448)="","",INDEX('Work Orders'!$A$11:$A$1010,$B448)))</f>
        <v/>
      </c>
      <c r="D448" s="43">
        <f>IF($B448="","",IF(INDEX('Work Orders'!$B$11:$B$1010,$B448)="","",INDEX('Work Orders'!$B$11:$B$1010,$B448)))</f>
        <v/>
      </c>
      <c r="E448" s="43">
        <f>IF($B448="","",IF(INDEX('Work Orders'!$D$11:$D$1010,$B448)="","",INDEX('Work Orders'!$D$11:$D$1010,$B448)))</f>
        <v/>
      </c>
      <c r="F448" s="43">
        <f>IF($B448="","",IF(INDEX('Work Orders'!$Q$11:$Q$1010,$B448)="","",INDEX('Work Orders'!$Q$11:$Q$1010,$B448)))</f>
        <v/>
      </c>
      <c r="G448" s="43">
        <f>IF($B448="","",IF(INDEX('Work Orders'!$V$11:$V$1010,$B448)="","",INDEX('Work Orders'!$V$11:$V$1010,$B448)))</f>
        <v/>
      </c>
      <c r="H448" s="47">
        <f>IF($B448="","",IF(INDEX('Work Orders'!$U$11:$U$1010,$B448)="","",INDEX('Work Orders'!$U$11:$U$1010,$B448)))</f>
        <v/>
      </c>
      <c r="I448" s="47">
        <f>IF($B448="","",IF(INDEX('Work Orders'!$X$11:$X$1010,$B448)="","",INDEX('Work Orders'!$X$11:$X$1010,$B448)))</f>
        <v/>
      </c>
      <c r="J448" s="44">
        <f>IF($B448="","",IF(INDEX('Work Orders'!$Z$11:$Z$1010,$B448)="","",INDEX('Work Orders'!$Z$11:$Z$1010,$B448)))</f>
        <v/>
      </c>
      <c r="K448" s="44">
        <f>IF($B448="","",IF(INDEX('Work Orders'!$AG$11:$AG$1010,$B448)="","",INDEX('Work Orders'!$AG$11:$AG$1010,$B448)))</f>
        <v/>
      </c>
      <c r="L448" s="44">
        <f>IF($B448="","",IF(INDEX('Work Orders'!$AH$11:$AH$1010,$B448)="","",INDEX('Work Orders'!$AH$11:$AH$1010,$B448)))</f>
        <v/>
      </c>
      <c r="M448" s="46">
        <f>IF($B448="","",IF(INDEX('Work Orders'!$AM$11:$AM$1010,$B448)="","",INDEX('Work Orders'!$AM$11:$AM$1010,$B448)))</f>
        <v/>
      </c>
      <c r="N448" s="43">
        <f>IF($B448="","",IF(INDEX('Work Orders'!$AL$11:$AL$1010,$B448)="","",INDEX('Work Orders'!$AL$11:$AL$1010,$B448)))</f>
        <v/>
      </c>
      <c r="O448" s="43">
        <f>IF($B448="","",IF(INDEX('Work Orders'!$N$11:$N$1010,$B448)="","",INDEX('Work Orders'!$N$11:$N$1010,$B448)))</f>
        <v/>
      </c>
    </row>
    <row r="449">
      <c r="A449" s="68" t="n">
        <v>443</v>
      </c>
      <c r="B449">
        <f>IFERROR(MATCH(A449,'Work Orders'!$AO$11:$AO$1010,0),"")</f>
        <v/>
      </c>
      <c r="C449" s="43">
        <f>IF($B449="","",IF(INDEX('Work Orders'!$A$11:$A$1010,$B449)="","",INDEX('Work Orders'!$A$11:$A$1010,$B449)))</f>
        <v/>
      </c>
      <c r="D449" s="43">
        <f>IF($B449="","",IF(INDEX('Work Orders'!$B$11:$B$1010,$B449)="","",INDEX('Work Orders'!$B$11:$B$1010,$B449)))</f>
        <v/>
      </c>
      <c r="E449" s="43">
        <f>IF($B449="","",IF(INDEX('Work Orders'!$D$11:$D$1010,$B449)="","",INDEX('Work Orders'!$D$11:$D$1010,$B449)))</f>
        <v/>
      </c>
      <c r="F449" s="43">
        <f>IF($B449="","",IF(INDEX('Work Orders'!$Q$11:$Q$1010,$B449)="","",INDEX('Work Orders'!$Q$11:$Q$1010,$B449)))</f>
        <v/>
      </c>
      <c r="G449" s="43">
        <f>IF($B449="","",IF(INDEX('Work Orders'!$V$11:$V$1010,$B449)="","",INDEX('Work Orders'!$V$11:$V$1010,$B449)))</f>
        <v/>
      </c>
      <c r="H449" s="47">
        <f>IF($B449="","",IF(INDEX('Work Orders'!$U$11:$U$1010,$B449)="","",INDEX('Work Orders'!$U$11:$U$1010,$B449)))</f>
        <v/>
      </c>
      <c r="I449" s="47">
        <f>IF($B449="","",IF(INDEX('Work Orders'!$X$11:$X$1010,$B449)="","",INDEX('Work Orders'!$X$11:$X$1010,$B449)))</f>
        <v/>
      </c>
      <c r="J449" s="44">
        <f>IF($B449="","",IF(INDEX('Work Orders'!$Z$11:$Z$1010,$B449)="","",INDEX('Work Orders'!$Z$11:$Z$1010,$B449)))</f>
        <v/>
      </c>
      <c r="K449" s="44">
        <f>IF($B449="","",IF(INDEX('Work Orders'!$AG$11:$AG$1010,$B449)="","",INDEX('Work Orders'!$AG$11:$AG$1010,$B449)))</f>
        <v/>
      </c>
      <c r="L449" s="44">
        <f>IF($B449="","",IF(INDEX('Work Orders'!$AH$11:$AH$1010,$B449)="","",INDEX('Work Orders'!$AH$11:$AH$1010,$B449)))</f>
        <v/>
      </c>
      <c r="M449" s="46">
        <f>IF($B449="","",IF(INDEX('Work Orders'!$AM$11:$AM$1010,$B449)="","",INDEX('Work Orders'!$AM$11:$AM$1010,$B449)))</f>
        <v/>
      </c>
      <c r="N449" s="43">
        <f>IF($B449="","",IF(INDEX('Work Orders'!$AL$11:$AL$1010,$B449)="","",INDEX('Work Orders'!$AL$11:$AL$1010,$B449)))</f>
        <v/>
      </c>
      <c r="O449" s="43">
        <f>IF($B449="","",IF(INDEX('Work Orders'!$N$11:$N$1010,$B449)="","",INDEX('Work Orders'!$N$11:$N$1010,$B449)))</f>
        <v/>
      </c>
    </row>
    <row r="450">
      <c r="A450" s="68" t="n">
        <v>444</v>
      </c>
      <c r="B450">
        <f>IFERROR(MATCH(A450,'Work Orders'!$AO$11:$AO$1010,0),"")</f>
        <v/>
      </c>
      <c r="C450" s="43">
        <f>IF($B450="","",IF(INDEX('Work Orders'!$A$11:$A$1010,$B450)="","",INDEX('Work Orders'!$A$11:$A$1010,$B450)))</f>
        <v/>
      </c>
      <c r="D450" s="43">
        <f>IF($B450="","",IF(INDEX('Work Orders'!$B$11:$B$1010,$B450)="","",INDEX('Work Orders'!$B$11:$B$1010,$B450)))</f>
        <v/>
      </c>
      <c r="E450" s="43">
        <f>IF($B450="","",IF(INDEX('Work Orders'!$D$11:$D$1010,$B450)="","",INDEX('Work Orders'!$D$11:$D$1010,$B450)))</f>
        <v/>
      </c>
      <c r="F450" s="43">
        <f>IF($B450="","",IF(INDEX('Work Orders'!$Q$11:$Q$1010,$B450)="","",INDEX('Work Orders'!$Q$11:$Q$1010,$B450)))</f>
        <v/>
      </c>
      <c r="G450" s="43">
        <f>IF($B450="","",IF(INDEX('Work Orders'!$V$11:$V$1010,$B450)="","",INDEX('Work Orders'!$V$11:$V$1010,$B450)))</f>
        <v/>
      </c>
      <c r="H450" s="47">
        <f>IF($B450="","",IF(INDEX('Work Orders'!$U$11:$U$1010,$B450)="","",INDEX('Work Orders'!$U$11:$U$1010,$B450)))</f>
        <v/>
      </c>
      <c r="I450" s="47">
        <f>IF($B450="","",IF(INDEX('Work Orders'!$X$11:$X$1010,$B450)="","",INDEX('Work Orders'!$X$11:$X$1010,$B450)))</f>
        <v/>
      </c>
      <c r="J450" s="44">
        <f>IF($B450="","",IF(INDEX('Work Orders'!$Z$11:$Z$1010,$B450)="","",INDEX('Work Orders'!$Z$11:$Z$1010,$B450)))</f>
        <v/>
      </c>
      <c r="K450" s="44">
        <f>IF($B450="","",IF(INDEX('Work Orders'!$AG$11:$AG$1010,$B450)="","",INDEX('Work Orders'!$AG$11:$AG$1010,$B450)))</f>
        <v/>
      </c>
      <c r="L450" s="44">
        <f>IF($B450="","",IF(INDEX('Work Orders'!$AH$11:$AH$1010,$B450)="","",INDEX('Work Orders'!$AH$11:$AH$1010,$B450)))</f>
        <v/>
      </c>
      <c r="M450" s="46">
        <f>IF($B450="","",IF(INDEX('Work Orders'!$AM$11:$AM$1010,$B450)="","",INDEX('Work Orders'!$AM$11:$AM$1010,$B450)))</f>
        <v/>
      </c>
      <c r="N450" s="43">
        <f>IF($B450="","",IF(INDEX('Work Orders'!$AL$11:$AL$1010,$B450)="","",INDEX('Work Orders'!$AL$11:$AL$1010,$B450)))</f>
        <v/>
      </c>
      <c r="O450" s="43">
        <f>IF($B450="","",IF(INDEX('Work Orders'!$N$11:$N$1010,$B450)="","",INDEX('Work Orders'!$N$11:$N$1010,$B450)))</f>
        <v/>
      </c>
    </row>
    <row r="451">
      <c r="A451" s="68" t="n">
        <v>445</v>
      </c>
      <c r="B451">
        <f>IFERROR(MATCH(A451,'Work Orders'!$AO$11:$AO$1010,0),"")</f>
        <v/>
      </c>
      <c r="C451" s="43">
        <f>IF($B451="","",IF(INDEX('Work Orders'!$A$11:$A$1010,$B451)="","",INDEX('Work Orders'!$A$11:$A$1010,$B451)))</f>
        <v/>
      </c>
      <c r="D451" s="43">
        <f>IF($B451="","",IF(INDEX('Work Orders'!$B$11:$B$1010,$B451)="","",INDEX('Work Orders'!$B$11:$B$1010,$B451)))</f>
        <v/>
      </c>
      <c r="E451" s="43">
        <f>IF($B451="","",IF(INDEX('Work Orders'!$D$11:$D$1010,$B451)="","",INDEX('Work Orders'!$D$11:$D$1010,$B451)))</f>
        <v/>
      </c>
      <c r="F451" s="43">
        <f>IF($B451="","",IF(INDEX('Work Orders'!$Q$11:$Q$1010,$B451)="","",INDEX('Work Orders'!$Q$11:$Q$1010,$B451)))</f>
        <v/>
      </c>
      <c r="G451" s="43">
        <f>IF($B451="","",IF(INDEX('Work Orders'!$V$11:$V$1010,$B451)="","",INDEX('Work Orders'!$V$11:$V$1010,$B451)))</f>
        <v/>
      </c>
      <c r="H451" s="47">
        <f>IF($B451="","",IF(INDEX('Work Orders'!$U$11:$U$1010,$B451)="","",INDEX('Work Orders'!$U$11:$U$1010,$B451)))</f>
        <v/>
      </c>
      <c r="I451" s="47">
        <f>IF($B451="","",IF(INDEX('Work Orders'!$X$11:$X$1010,$B451)="","",INDEX('Work Orders'!$X$11:$X$1010,$B451)))</f>
        <v/>
      </c>
      <c r="J451" s="44">
        <f>IF($B451="","",IF(INDEX('Work Orders'!$Z$11:$Z$1010,$B451)="","",INDEX('Work Orders'!$Z$11:$Z$1010,$B451)))</f>
        <v/>
      </c>
      <c r="K451" s="44">
        <f>IF($B451="","",IF(INDEX('Work Orders'!$AG$11:$AG$1010,$B451)="","",INDEX('Work Orders'!$AG$11:$AG$1010,$B451)))</f>
        <v/>
      </c>
      <c r="L451" s="44">
        <f>IF($B451="","",IF(INDEX('Work Orders'!$AH$11:$AH$1010,$B451)="","",INDEX('Work Orders'!$AH$11:$AH$1010,$B451)))</f>
        <v/>
      </c>
      <c r="M451" s="46">
        <f>IF($B451="","",IF(INDEX('Work Orders'!$AM$11:$AM$1010,$B451)="","",INDEX('Work Orders'!$AM$11:$AM$1010,$B451)))</f>
        <v/>
      </c>
      <c r="N451" s="43">
        <f>IF($B451="","",IF(INDEX('Work Orders'!$AL$11:$AL$1010,$B451)="","",INDEX('Work Orders'!$AL$11:$AL$1010,$B451)))</f>
        <v/>
      </c>
      <c r="O451" s="43">
        <f>IF($B451="","",IF(INDEX('Work Orders'!$N$11:$N$1010,$B451)="","",INDEX('Work Orders'!$N$11:$N$1010,$B451)))</f>
        <v/>
      </c>
    </row>
    <row r="452">
      <c r="A452" s="68" t="n">
        <v>446</v>
      </c>
      <c r="B452">
        <f>IFERROR(MATCH(A452,'Work Orders'!$AO$11:$AO$1010,0),"")</f>
        <v/>
      </c>
      <c r="C452" s="43">
        <f>IF($B452="","",IF(INDEX('Work Orders'!$A$11:$A$1010,$B452)="","",INDEX('Work Orders'!$A$11:$A$1010,$B452)))</f>
        <v/>
      </c>
      <c r="D452" s="43">
        <f>IF($B452="","",IF(INDEX('Work Orders'!$B$11:$B$1010,$B452)="","",INDEX('Work Orders'!$B$11:$B$1010,$B452)))</f>
        <v/>
      </c>
      <c r="E452" s="43">
        <f>IF($B452="","",IF(INDEX('Work Orders'!$D$11:$D$1010,$B452)="","",INDEX('Work Orders'!$D$11:$D$1010,$B452)))</f>
        <v/>
      </c>
      <c r="F452" s="43">
        <f>IF($B452="","",IF(INDEX('Work Orders'!$Q$11:$Q$1010,$B452)="","",INDEX('Work Orders'!$Q$11:$Q$1010,$B452)))</f>
        <v/>
      </c>
      <c r="G452" s="43">
        <f>IF($B452="","",IF(INDEX('Work Orders'!$V$11:$V$1010,$B452)="","",INDEX('Work Orders'!$V$11:$V$1010,$B452)))</f>
        <v/>
      </c>
      <c r="H452" s="47">
        <f>IF($B452="","",IF(INDEX('Work Orders'!$U$11:$U$1010,$B452)="","",INDEX('Work Orders'!$U$11:$U$1010,$B452)))</f>
        <v/>
      </c>
      <c r="I452" s="47">
        <f>IF($B452="","",IF(INDEX('Work Orders'!$X$11:$X$1010,$B452)="","",INDEX('Work Orders'!$X$11:$X$1010,$B452)))</f>
        <v/>
      </c>
      <c r="J452" s="44">
        <f>IF($B452="","",IF(INDEX('Work Orders'!$Z$11:$Z$1010,$B452)="","",INDEX('Work Orders'!$Z$11:$Z$1010,$B452)))</f>
        <v/>
      </c>
      <c r="K452" s="44">
        <f>IF($B452="","",IF(INDEX('Work Orders'!$AG$11:$AG$1010,$B452)="","",INDEX('Work Orders'!$AG$11:$AG$1010,$B452)))</f>
        <v/>
      </c>
      <c r="L452" s="44">
        <f>IF($B452="","",IF(INDEX('Work Orders'!$AH$11:$AH$1010,$B452)="","",INDEX('Work Orders'!$AH$11:$AH$1010,$B452)))</f>
        <v/>
      </c>
      <c r="M452" s="46">
        <f>IF($B452="","",IF(INDEX('Work Orders'!$AM$11:$AM$1010,$B452)="","",INDEX('Work Orders'!$AM$11:$AM$1010,$B452)))</f>
        <v/>
      </c>
      <c r="N452" s="43">
        <f>IF($B452="","",IF(INDEX('Work Orders'!$AL$11:$AL$1010,$B452)="","",INDEX('Work Orders'!$AL$11:$AL$1010,$B452)))</f>
        <v/>
      </c>
      <c r="O452" s="43">
        <f>IF($B452="","",IF(INDEX('Work Orders'!$N$11:$N$1010,$B452)="","",INDEX('Work Orders'!$N$11:$N$1010,$B452)))</f>
        <v/>
      </c>
    </row>
    <row r="453">
      <c r="A453" s="68" t="n">
        <v>447</v>
      </c>
      <c r="B453">
        <f>IFERROR(MATCH(A453,'Work Orders'!$AO$11:$AO$1010,0),"")</f>
        <v/>
      </c>
      <c r="C453" s="43">
        <f>IF($B453="","",IF(INDEX('Work Orders'!$A$11:$A$1010,$B453)="","",INDEX('Work Orders'!$A$11:$A$1010,$B453)))</f>
        <v/>
      </c>
      <c r="D453" s="43">
        <f>IF($B453="","",IF(INDEX('Work Orders'!$B$11:$B$1010,$B453)="","",INDEX('Work Orders'!$B$11:$B$1010,$B453)))</f>
        <v/>
      </c>
      <c r="E453" s="43">
        <f>IF($B453="","",IF(INDEX('Work Orders'!$D$11:$D$1010,$B453)="","",INDEX('Work Orders'!$D$11:$D$1010,$B453)))</f>
        <v/>
      </c>
      <c r="F453" s="43">
        <f>IF($B453="","",IF(INDEX('Work Orders'!$Q$11:$Q$1010,$B453)="","",INDEX('Work Orders'!$Q$11:$Q$1010,$B453)))</f>
        <v/>
      </c>
      <c r="G453" s="43">
        <f>IF($B453="","",IF(INDEX('Work Orders'!$V$11:$V$1010,$B453)="","",INDEX('Work Orders'!$V$11:$V$1010,$B453)))</f>
        <v/>
      </c>
      <c r="H453" s="47">
        <f>IF($B453="","",IF(INDEX('Work Orders'!$U$11:$U$1010,$B453)="","",INDEX('Work Orders'!$U$11:$U$1010,$B453)))</f>
        <v/>
      </c>
      <c r="I453" s="47">
        <f>IF($B453="","",IF(INDEX('Work Orders'!$X$11:$X$1010,$B453)="","",INDEX('Work Orders'!$X$11:$X$1010,$B453)))</f>
        <v/>
      </c>
      <c r="J453" s="44">
        <f>IF($B453="","",IF(INDEX('Work Orders'!$Z$11:$Z$1010,$B453)="","",INDEX('Work Orders'!$Z$11:$Z$1010,$B453)))</f>
        <v/>
      </c>
      <c r="K453" s="44">
        <f>IF($B453="","",IF(INDEX('Work Orders'!$AG$11:$AG$1010,$B453)="","",INDEX('Work Orders'!$AG$11:$AG$1010,$B453)))</f>
        <v/>
      </c>
      <c r="L453" s="44">
        <f>IF($B453="","",IF(INDEX('Work Orders'!$AH$11:$AH$1010,$B453)="","",INDEX('Work Orders'!$AH$11:$AH$1010,$B453)))</f>
        <v/>
      </c>
      <c r="M453" s="46">
        <f>IF($B453="","",IF(INDEX('Work Orders'!$AM$11:$AM$1010,$B453)="","",INDEX('Work Orders'!$AM$11:$AM$1010,$B453)))</f>
        <v/>
      </c>
      <c r="N453" s="43">
        <f>IF($B453="","",IF(INDEX('Work Orders'!$AL$11:$AL$1010,$B453)="","",INDEX('Work Orders'!$AL$11:$AL$1010,$B453)))</f>
        <v/>
      </c>
      <c r="O453" s="43">
        <f>IF($B453="","",IF(INDEX('Work Orders'!$N$11:$N$1010,$B453)="","",INDEX('Work Orders'!$N$11:$N$1010,$B453)))</f>
        <v/>
      </c>
    </row>
    <row r="454">
      <c r="A454" s="68" t="n">
        <v>448</v>
      </c>
      <c r="B454">
        <f>IFERROR(MATCH(A454,'Work Orders'!$AO$11:$AO$1010,0),"")</f>
        <v/>
      </c>
      <c r="C454" s="43">
        <f>IF($B454="","",IF(INDEX('Work Orders'!$A$11:$A$1010,$B454)="","",INDEX('Work Orders'!$A$11:$A$1010,$B454)))</f>
        <v/>
      </c>
      <c r="D454" s="43">
        <f>IF($B454="","",IF(INDEX('Work Orders'!$B$11:$B$1010,$B454)="","",INDEX('Work Orders'!$B$11:$B$1010,$B454)))</f>
        <v/>
      </c>
      <c r="E454" s="43">
        <f>IF($B454="","",IF(INDEX('Work Orders'!$D$11:$D$1010,$B454)="","",INDEX('Work Orders'!$D$11:$D$1010,$B454)))</f>
        <v/>
      </c>
      <c r="F454" s="43">
        <f>IF($B454="","",IF(INDEX('Work Orders'!$Q$11:$Q$1010,$B454)="","",INDEX('Work Orders'!$Q$11:$Q$1010,$B454)))</f>
        <v/>
      </c>
      <c r="G454" s="43">
        <f>IF($B454="","",IF(INDEX('Work Orders'!$V$11:$V$1010,$B454)="","",INDEX('Work Orders'!$V$11:$V$1010,$B454)))</f>
        <v/>
      </c>
      <c r="H454" s="47">
        <f>IF($B454="","",IF(INDEX('Work Orders'!$U$11:$U$1010,$B454)="","",INDEX('Work Orders'!$U$11:$U$1010,$B454)))</f>
        <v/>
      </c>
      <c r="I454" s="47">
        <f>IF($B454="","",IF(INDEX('Work Orders'!$X$11:$X$1010,$B454)="","",INDEX('Work Orders'!$X$11:$X$1010,$B454)))</f>
        <v/>
      </c>
      <c r="J454" s="44">
        <f>IF($B454="","",IF(INDEX('Work Orders'!$Z$11:$Z$1010,$B454)="","",INDEX('Work Orders'!$Z$11:$Z$1010,$B454)))</f>
        <v/>
      </c>
      <c r="K454" s="44">
        <f>IF($B454="","",IF(INDEX('Work Orders'!$AG$11:$AG$1010,$B454)="","",INDEX('Work Orders'!$AG$11:$AG$1010,$B454)))</f>
        <v/>
      </c>
      <c r="L454" s="44">
        <f>IF($B454="","",IF(INDEX('Work Orders'!$AH$11:$AH$1010,$B454)="","",INDEX('Work Orders'!$AH$11:$AH$1010,$B454)))</f>
        <v/>
      </c>
      <c r="M454" s="46">
        <f>IF($B454="","",IF(INDEX('Work Orders'!$AM$11:$AM$1010,$B454)="","",INDEX('Work Orders'!$AM$11:$AM$1010,$B454)))</f>
        <v/>
      </c>
      <c r="N454" s="43">
        <f>IF($B454="","",IF(INDEX('Work Orders'!$AL$11:$AL$1010,$B454)="","",INDEX('Work Orders'!$AL$11:$AL$1010,$B454)))</f>
        <v/>
      </c>
      <c r="O454" s="43">
        <f>IF($B454="","",IF(INDEX('Work Orders'!$N$11:$N$1010,$B454)="","",INDEX('Work Orders'!$N$11:$N$1010,$B454)))</f>
        <v/>
      </c>
    </row>
    <row r="455">
      <c r="A455" s="68" t="n">
        <v>449</v>
      </c>
      <c r="B455">
        <f>IFERROR(MATCH(A455,'Work Orders'!$AO$11:$AO$1010,0),"")</f>
        <v/>
      </c>
      <c r="C455" s="43">
        <f>IF($B455="","",IF(INDEX('Work Orders'!$A$11:$A$1010,$B455)="","",INDEX('Work Orders'!$A$11:$A$1010,$B455)))</f>
        <v/>
      </c>
      <c r="D455" s="43">
        <f>IF($B455="","",IF(INDEX('Work Orders'!$B$11:$B$1010,$B455)="","",INDEX('Work Orders'!$B$11:$B$1010,$B455)))</f>
        <v/>
      </c>
      <c r="E455" s="43">
        <f>IF($B455="","",IF(INDEX('Work Orders'!$D$11:$D$1010,$B455)="","",INDEX('Work Orders'!$D$11:$D$1010,$B455)))</f>
        <v/>
      </c>
      <c r="F455" s="43">
        <f>IF($B455="","",IF(INDEX('Work Orders'!$Q$11:$Q$1010,$B455)="","",INDEX('Work Orders'!$Q$11:$Q$1010,$B455)))</f>
        <v/>
      </c>
      <c r="G455" s="43">
        <f>IF($B455="","",IF(INDEX('Work Orders'!$V$11:$V$1010,$B455)="","",INDEX('Work Orders'!$V$11:$V$1010,$B455)))</f>
        <v/>
      </c>
      <c r="H455" s="47">
        <f>IF($B455="","",IF(INDEX('Work Orders'!$U$11:$U$1010,$B455)="","",INDEX('Work Orders'!$U$11:$U$1010,$B455)))</f>
        <v/>
      </c>
      <c r="I455" s="47">
        <f>IF($B455="","",IF(INDEX('Work Orders'!$X$11:$X$1010,$B455)="","",INDEX('Work Orders'!$X$11:$X$1010,$B455)))</f>
        <v/>
      </c>
      <c r="J455" s="44">
        <f>IF($B455="","",IF(INDEX('Work Orders'!$Z$11:$Z$1010,$B455)="","",INDEX('Work Orders'!$Z$11:$Z$1010,$B455)))</f>
        <v/>
      </c>
      <c r="K455" s="44">
        <f>IF($B455="","",IF(INDEX('Work Orders'!$AG$11:$AG$1010,$B455)="","",INDEX('Work Orders'!$AG$11:$AG$1010,$B455)))</f>
        <v/>
      </c>
      <c r="L455" s="44">
        <f>IF($B455="","",IF(INDEX('Work Orders'!$AH$11:$AH$1010,$B455)="","",INDEX('Work Orders'!$AH$11:$AH$1010,$B455)))</f>
        <v/>
      </c>
      <c r="M455" s="46">
        <f>IF($B455="","",IF(INDEX('Work Orders'!$AM$11:$AM$1010,$B455)="","",INDEX('Work Orders'!$AM$11:$AM$1010,$B455)))</f>
        <v/>
      </c>
      <c r="N455" s="43">
        <f>IF($B455="","",IF(INDEX('Work Orders'!$AL$11:$AL$1010,$B455)="","",INDEX('Work Orders'!$AL$11:$AL$1010,$B455)))</f>
        <v/>
      </c>
      <c r="O455" s="43">
        <f>IF($B455="","",IF(INDEX('Work Orders'!$N$11:$N$1010,$B455)="","",INDEX('Work Orders'!$N$11:$N$1010,$B455)))</f>
        <v/>
      </c>
    </row>
    <row r="456">
      <c r="A456" s="68" t="n">
        <v>450</v>
      </c>
      <c r="B456">
        <f>IFERROR(MATCH(A456,'Work Orders'!$AO$11:$AO$1010,0),"")</f>
        <v/>
      </c>
      <c r="C456" s="43">
        <f>IF($B456="","",IF(INDEX('Work Orders'!$A$11:$A$1010,$B456)="","",INDEX('Work Orders'!$A$11:$A$1010,$B456)))</f>
        <v/>
      </c>
      <c r="D456" s="43">
        <f>IF($B456="","",IF(INDEX('Work Orders'!$B$11:$B$1010,$B456)="","",INDEX('Work Orders'!$B$11:$B$1010,$B456)))</f>
        <v/>
      </c>
      <c r="E456" s="43">
        <f>IF($B456="","",IF(INDEX('Work Orders'!$D$11:$D$1010,$B456)="","",INDEX('Work Orders'!$D$11:$D$1010,$B456)))</f>
        <v/>
      </c>
      <c r="F456" s="43">
        <f>IF($B456="","",IF(INDEX('Work Orders'!$Q$11:$Q$1010,$B456)="","",INDEX('Work Orders'!$Q$11:$Q$1010,$B456)))</f>
        <v/>
      </c>
      <c r="G456" s="43">
        <f>IF($B456="","",IF(INDEX('Work Orders'!$V$11:$V$1010,$B456)="","",INDEX('Work Orders'!$V$11:$V$1010,$B456)))</f>
        <v/>
      </c>
      <c r="H456" s="47">
        <f>IF($B456="","",IF(INDEX('Work Orders'!$U$11:$U$1010,$B456)="","",INDEX('Work Orders'!$U$11:$U$1010,$B456)))</f>
        <v/>
      </c>
      <c r="I456" s="47">
        <f>IF($B456="","",IF(INDEX('Work Orders'!$X$11:$X$1010,$B456)="","",INDEX('Work Orders'!$X$11:$X$1010,$B456)))</f>
        <v/>
      </c>
      <c r="J456" s="44">
        <f>IF($B456="","",IF(INDEX('Work Orders'!$Z$11:$Z$1010,$B456)="","",INDEX('Work Orders'!$Z$11:$Z$1010,$B456)))</f>
        <v/>
      </c>
      <c r="K456" s="44">
        <f>IF($B456="","",IF(INDEX('Work Orders'!$AG$11:$AG$1010,$B456)="","",INDEX('Work Orders'!$AG$11:$AG$1010,$B456)))</f>
        <v/>
      </c>
      <c r="L456" s="44">
        <f>IF($B456="","",IF(INDEX('Work Orders'!$AH$11:$AH$1010,$B456)="","",INDEX('Work Orders'!$AH$11:$AH$1010,$B456)))</f>
        <v/>
      </c>
      <c r="M456" s="46">
        <f>IF($B456="","",IF(INDEX('Work Orders'!$AM$11:$AM$1010,$B456)="","",INDEX('Work Orders'!$AM$11:$AM$1010,$B456)))</f>
        <v/>
      </c>
      <c r="N456" s="43">
        <f>IF($B456="","",IF(INDEX('Work Orders'!$AL$11:$AL$1010,$B456)="","",INDEX('Work Orders'!$AL$11:$AL$1010,$B456)))</f>
        <v/>
      </c>
      <c r="O456" s="43">
        <f>IF($B456="","",IF(INDEX('Work Orders'!$N$11:$N$1010,$B456)="","",INDEX('Work Orders'!$N$11:$N$1010,$B456)))</f>
        <v/>
      </c>
    </row>
    <row r="457">
      <c r="A457" s="68" t="n">
        <v>451</v>
      </c>
      <c r="B457">
        <f>IFERROR(MATCH(A457,'Work Orders'!$AO$11:$AO$1010,0),"")</f>
        <v/>
      </c>
      <c r="C457" s="43">
        <f>IF($B457="","",IF(INDEX('Work Orders'!$A$11:$A$1010,$B457)="","",INDEX('Work Orders'!$A$11:$A$1010,$B457)))</f>
        <v/>
      </c>
      <c r="D457" s="43">
        <f>IF($B457="","",IF(INDEX('Work Orders'!$B$11:$B$1010,$B457)="","",INDEX('Work Orders'!$B$11:$B$1010,$B457)))</f>
        <v/>
      </c>
      <c r="E457" s="43">
        <f>IF($B457="","",IF(INDEX('Work Orders'!$D$11:$D$1010,$B457)="","",INDEX('Work Orders'!$D$11:$D$1010,$B457)))</f>
        <v/>
      </c>
      <c r="F457" s="43">
        <f>IF($B457="","",IF(INDEX('Work Orders'!$Q$11:$Q$1010,$B457)="","",INDEX('Work Orders'!$Q$11:$Q$1010,$B457)))</f>
        <v/>
      </c>
      <c r="G457" s="43">
        <f>IF($B457="","",IF(INDEX('Work Orders'!$V$11:$V$1010,$B457)="","",INDEX('Work Orders'!$V$11:$V$1010,$B457)))</f>
        <v/>
      </c>
      <c r="H457" s="47">
        <f>IF($B457="","",IF(INDEX('Work Orders'!$U$11:$U$1010,$B457)="","",INDEX('Work Orders'!$U$11:$U$1010,$B457)))</f>
        <v/>
      </c>
      <c r="I457" s="47">
        <f>IF($B457="","",IF(INDEX('Work Orders'!$X$11:$X$1010,$B457)="","",INDEX('Work Orders'!$X$11:$X$1010,$B457)))</f>
        <v/>
      </c>
      <c r="J457" s="44">
        <f>IF($B457="","",IF(INDEX('Work Orders'!$Z$11:$Z$1010,$B457)="","",INDEX('Work Orders'!$Z$11:$Z$1010,$B457)))</f>
        <v/>
      </c>
      <c r="K457" s="44">
        <f>IF($B457="","",IF(INDEX('Work Orders'!$AG$11:$AG$1010,$B457)="","",INDEX('Work Orders'!$AG$11:$AG$1010,$B457)))</f>
        <v/>
      </c>
      <c r="L457" s="44">
        <f>IF($B457="","",IF(INDEX('Work Orders'!$AH$11:$AH$1010,$B457)="","",INDEX('Work Orders'!$AH$11:$AH$1010,$B457)))</f>
        <v/>
      </c>
      <c r="M457" s="46">
        <f>IF($B457="","",IF(INDEX('Work Orders'!$AM$11:$AM$1010,$B457)="","",INDEX('Work Orders'!$AM$11:$AM$1010,$B457)))</f>
        <v/>
      </c>
      <c r="N457" s="43">
        <f>IF($B457="","",IF(INDEX('Work Orders'!$AL$11:$AL$1010,$B457)="","",INDEX('Work Orders'!$AL$11:$AL$1010,$B457)))</f>
        <v/>
      </c>
      <c r="O457" s="43">
        <f>IF($B457="","",IF(INDEX('Work Orders'!$N$11:$N$1010,$B457)="","",INDEX('Work Orders'!$N$11:$N$1010,$B457)))</f>
        <v/>
      </c>
    </row>
    <row r="458">
      <c r="A458" s="68" t="n">
        <v>452</v>
      </c>
      <c r="B458">
        <f>IFERROR(MATCH(A458,'Work Orders'!$AO$11:$AO$1010,0),"")</f>
        <v/>
      </c>
      <c r="C458" s="43">
        <f>IF($B458="","",IF(INDEX('Work Orders'!$A$11:$A$1010,$B458)="","",INDEX('Work Orders'!$A$11:$A$1010,$B458)))</f>
        <v/>
      </c>
      <c r="D458" s="43">
        <f>IF($B458="","",IF(INDEX('Work Orders'!$B$11:$B$1010,$B458)="","",INDEX('Work Orders'!$B$11:$B$1010,$B458)))</f>
        <v/>
      </c>
      <c r="E458" s="43">
        <f>IF($B458="","",IF(INDEX('Work Orders'!$D$11:$D$1010,$B458)="","",INDEX('Work Orders'!$D$11:$D$1010,$B458)))</f>
        <v/>
      </c>
      <c r="F458" s="43">
        <f>IF($B458="","",IF(INDEX('Work Orders'!$Q$11:$Q$1010,$B458)="","",INDEX('Work Orders'!$Q$11:$Q$1010,$B458)))</f>
        <v/>
      </c>
      <c r="G458" s="43">
        <f>IF($B458="","",IF(INDEX('Work Orders'!$V$11:$V$1010,$B458)="","",INDEX('Work Orders'!$V$11:$V$1010,$B458)))</f>
        <v/>
      </c>
      <c r="H458" s="47">
        <f>IF($B458="","",IF(INDEX('Work Orders'!$U$11:$U$1010,$B458)="","",INDEX('Work Orders'!$U$11:$U$1010,$B458)))</f>
        <v/>
      </c>
      <c r="I458" s="47">
        <f>IF($B458="","",IF(INDEX('Work Orders'!$X$11:$X$1010,$B458)="","",INDEX('Work Orders'!$X$11:$X$1010,$B458)))</f>
        <v/>
      </c>
      <c r="J458" s="44">
        <f>IF($B458="","",IF(INDEX('Work Orders'!$Z$11:$Z$1010,$B458)="","",INDEX('Work Orders'!$Z$11:$Z$1010,$B458)))</f>
        <v/>
      </c>
      <c r="K458" s="44">
        <f>IF($B458="","",IF(INDEX('Work Orders'!$AG$11:$AG$1010,$B458)="","",INDEX('Work Orders'!$AG$11:$AG$1010,$B458)))</f>
        <v/>
      </c>
      <c r="L458" s="44">
        <f>IF($B458="","",IF(INDEX('Work Orders'!$AH$11:$AH$1010,$B458)="","",INDEX('Work Orders'!$AH$11:$AH$1010,$B458)))</f>
        <v/>
      </c>
      <c r="M458" s="46">
        <f>IF($B458="","",IF(INDEX('Work Orders'!$AM$11:$AM$1010,$B458)="","",INDEX('Work Orders'!$AM$11:$AM$1010,$B458)))</f>
        <v/>
      </c>
      <c r="N458" s="43">
        <f>IF($B458="","",IF(INDEX('Work Orders'!$AL$11:$AL$1010,$B458)="","",INDEX('Work Orders'!$AL$11:$AL$1010,$B458)))</f>
        <v/>
      </c>
      <c r="O458" s="43">
        <f>IF($B458="","",IF(INDEX('Work Orders'!$N$11:$N$1010,$B458)="","",INDEX('Work Orders'!$N$11:$N$1010,$B458)))</f>
        <v/>
      </c>
    </row>
    <row r="459">
      <c r="A459" s="68" t="n">
        <v>453</v>
      </c>
      <c r="B459">
        <f>IFERROR(MATCH(A459,'Work Orders'!$AO$11:$AO$1010,0),"")</f>
        <v/>
      </c>
      <c r="C459" s="43">
        <f>IF($B459="","",IF(INDEX('Work Orders'!$A$11:$A$1010,$B459)="","",INDEX('Work Orders'!$A$11:$A$1010,$B459)))</f>
        <v/>
      </c>
      <c r="D459" s="43">
        <f>IF($B459="","",IF(INDEX('Work Orders'!$B$11:$B$1010,$B459)="","",INDEX('Work Orders'!$B$11:$B$1010,$B459)))</f>
        <v/>
      </c>
      <c r="E459" s="43">
        <f>IF($B459="","",IF(INDEX('Work Orders'!$D$11:$D$1010,$B459)="","",INDEX('Work Orders'!$D$11:$D$1010,$B459)))</f>
        <v/>
      </c>
      <c r="F459" s="43">
        <f>IF($B459="","",IF(INDEX('Work Orders'!$Q$11:$Q$1010,$B459)="","",INDEX('Work Orders'!$Q$11:$Q$1010,$B459)))</f>
        <v/>
      </c>
      <c r="G459" s="43">
        <f>IF($B459="","",IF(INDEX('Work Orders'!$V$11:$V$1010,$B459)="","",INDEX('Work Orders'!$V$11:$V$1010,$B459)))</f>
        <v/>
      </c>
      <c r="H459" s="47">
        <f>IF($B459="","",IF(INDEX('Work Orders'!$U$11:$U$1010,$B459)="","",INDEX('Work Orders'!$U$11:$U$1010,$B459)))</f>
        <v/>
      </c>
      <c r="I459" s="47">
        <f>IF($B459="","",IF(INDEX('Work Orders'!$X$11:$X$1010,$B459)="","",INDEX('Work Orders'!$X$11:$X$1010,$B459)))</f>
        <v/>
      </c>
      <c r="J459" s="44">
        <f>IF($B459="","",IF(INDEX('Work Orders'!$Z$11:$Z$1010,$B459)="","",INDEX('Work Orders'!$Z$11:$Z$1010,$B459)))</f>
        <v/>
      </c>
      <c r="K459" s="44">
        <f>IF($B459="","",IF(INDEX('Work Orders'!$AG$11:$AG$1010,$B459)="","",INDEX('Work Orders'!$AG$11:$AG$1010,$B459)))</f>
        <v/>
      </c>
      <c r="L459" s="44">
        <f>IF($B459="","",IF(INDEX('Work Orders'!$AH$11:$AH$1010,$B459)="","",INDEX('Work Orders'!$AH$11:$AH$1010,$B459)))</f>
        <v/>
      </c>
      <c r="M459" s="46">
        <f>IF($B459="","",IF(INDEX('Work Orders'!$AM$11:$AM$1010,$B459)="","",INDEX('Work Orders'!$AM$11:$AM$1010,$B459)))</f>
        <v/>
      </c>
      <c r="N459" s="43">
        <f>IF($B459="","",IF(INDEX('Work Orders'!$AL$11:$AL$1010,$B459)="","",INDEX('Work Orders'!$AL$11:$AL$1010,$B459)))</f>
        <v/>
      </c>
      <c r="O459" s="43">
        <f>IF($B459="","",IF(INDEX('Work Orders'!$N$11:$N$1010,$B459)="","",INDEX('Work Orders'!$N$11:$N$1010,$B459)))</f>
        <v/>
      </c>
    </row>
    <row r="460">
      <c r="A460" s="68" t="n">
        <v>454</v>
      </c>
      <c r="B460">
        <f>IFERROR(MATCH(A460,'Work Orders'!$AO$11:$AO$1010,0),"")</f>
        <v/>
      </c>
      <c r="C460" s="43">
        <f>IF($B460="","",IF(INDEX('Work Orders'!$A$11:$A$1010,$B460)="","",INDEX('Work Orders'!$A$11:$A$1010,$B460)))</f>
        <v/>
      </c>
      <c r="D460" s="43">
        <f>IF($B460="","",IF(INDEX('Work Orders'!$B$11:$B$1010,$B460)="","",INDEX('Work Orders'!$B$11:$B$1010,$B460)))</f>
        <v/>
      </c>
      <c r="E460" s="43">
        <f>IF($B460="","",IF(INDEX('Work Orders'!$D$11:$D$1010,$B460)="","",INDEX('Work Orders'!$D$11:$D$1010,$B460)))</f>
        <v/>
      </c>
      <c r="F460" s="43">
        <f>IF($B460="","",IF(INDEX('Work Orders'!$Q$11:$Q$1010,$B460)="","",INDEX('Work Orders'!$Q$11:$Q$1010,$B460)))</f>
        <v/>
      </c>
      <c r="G460" s="43">
        <f>IF($B460="","",IF(INDEX('Work Orders'!$V$11:$V$1010,$B460)="","",INDEX('Work Orders'!$V$11:$V$1010,$B460)))</f>
        <v/>
      </c>
      <c r="H460" s="47">
        <f>IF($B460="","",IF(INDEX('Work Orders'!$U$11:$U$1010,$B460)="","",INDEX('Work Orders'!$U$11:$U$1010,$B460)))</f>
        <v/>
      </c>
      <c r="I460" s="47">
        <f>IF($B460="","",IF(INDEX('Work Orders'!$X$11:$X$1010,$B460)="","",INDEX('Work Orders'!$X$11:$X$1010,$B460)))</f>
        <v/>
      </c>
      <c r="J460" s="44">
        <f>IF($B460="","",IF(INDEX('Work Orders'!$Z$11:$Z$1010,$B460)="","",INDEX('Work Orders'!$Z$11:$Z$1010,$B460)))</f>
        <v/>
      </c>
      <c r="K460" s="44">
        <f>IF($B460="","",IF(INDEX('Work Orders'!$AG$11:$AG$1010,$B460)="","",INDEX('Work Orders'!$AG$11:$AG$1010,$B460)))</f>
        <v/>
      </c>
      <c r="L460" s="44">
        <f>IF($B460="","",IF(INDEX('Work Orders'!$AH$11:$AH$1010,$B460)="","",INDEX('Work Orders'!$AH$11:$AH$1010,$B460)))</f>
        <v/>
      </c>
      <c r="M460" s="46">
        <f>IF($B460="","",IF(INDEX('Work Orders'!$AM$11:$AM$1010,$B460)="","",INDEX('Work Orders'!$AM$11:$AM$1010,$B460)))</f>
        <v/>
      </c>
      <c r="N460" s="43">
        <f>IF($B460="","",IF(INDEX('Work Orders'!$AL$11:$AL$1010,$B460)="","",INDEX('Work Orders'!$AL$11:$AL$1010,$B460)))</f>
        <v/>
      </c>
      <c r="O460" s="43">
        <f>IF($B460="","",IF(INDEX('Work Orders'!$N$11:$N$1010,$B460)="","",INDEX('Work Orders'!$N$11:$N$1010,$B460)))</f>
        <v/>
      </c>
    </row>
    <row r="461">
      <c r="A461" s="68" t="n">
        <v>455</v>
      </c>
      <c r="B461">
        <f>IFERROR(MATCH(A461,'Work Orders'!$AO$11:$AO$1010,0),"")</f>
        <v/>
      </c>
      <c r="C461" s="43">
        <f>IF($B461="","",IF(INDEX('Work Orders'!$A$11:$A$1010,$B461)="","",INDEX('Work Orders'!$A$11:$A$1010,$B461)))</f>
        <v/>
      </c>
      <c r="D461" s="43">
        <f>IF($B461="","",IF(INDEX('Work Orders'!$B$11:$B$1010,$B461)="","",INDEX('Work Orders'!$B$11:$B$1010,$B461)))</f>
        <v/>
      </c>
      <c r="E461" s="43">
        <f>IF($B461="","",IF(INDEX('Work Orders'!$D$11:$D$1010,$B461)="","",INDEX('Work Orders'!$D$11:$D$1010,$B461)))</f>
        <v/>
      </c>
      <c r="F461" s="43">
        <f>IF($B461="","",IF(INDEX('Work Orders'!$Q$11:$Q$1010,$B461)="","",INDEX('Work Orders'!$Q$11:$Q$1010,$B461)))</f>
        <v/>
      </c>
      <c r="G461" s="43">
        <f>IF($B461="","",IF(INDEX('Work Orders'!$V$11:$V$1010,$B461)="","",INDEX('Work Orders'!$V$11:$V$1010,$B461)))</f>
        <v/>
      </c>
      <c r="H461" s="47">
        <f>IF($B461="","",IF(INDEX('Work Orders'!$U$11:$U$1010,$B461)="","",INDEX('Work Orders'!$U$11:$U$1010,$B461)))</f>
        <v/>
      </c>
      <c r="I461" s="47">
        <f>IF($B461="","",IF(INDEX('Work Orders'!$X$11:$X$1010,$B461)="","",INDEX('Work Orders'!$X$11:$X$1010,$B461)))</f>
        <v/>
      </c>
      <c r="J461" s="44">
        <f>IF($B461="","",IF(INDEX('Work Orders'!$Z$11:$Z$1010,$B461)="","",INDEX('Work Orders'!$Z$11:$Z$1010,$B461)))</f>
        <v/>
      </c>
      <c r="K461" s="44">
        <f>IF($B461="","",IF(INDEX('Work Orders'!$AG$11:$AG$1010,$B461)="","",INDEX('Work Orders'!$AG$11:$AG$1010,$B461)))</f>
        <v/>
      </c>
      <c r="L461" s="44">
        <f>IF($B461="","",IF(INDEX('Work Orders'!$AH$11:$AH$1010,$B461)="","",INDEX('Work Orders'!$AH$11:$AH$1010,$B461)))</f>
        <v/>
      </c>
      <c r="M461" s="46">
        <f>IF($B461="","",IF(INDEX('Work Orders'!$AM$11:$AM$1010,$B461)="","",INDEX('Work Orders'!$AM$11:$AM$1010,$B461)))</f>
        <v/>
      </c>
      <c r="N461" s="43">
        <f>IF($B461="","",IF(INDEX('Work Orders'!$AL$11:$AL$1010,$B461)="","",INDEX('Work Orders'!$AL$11:$AL$1010,$B461)))</f>
        <v/>
      </c>
      <c r="O461" s="43">
        <f>IF($B461="","",IF(INDEX('Work Orders'!$N$11:$N$1010,$B461)="","",INDEX('Work Orders'!$N$11:$N$1010,$B461)))</f>
        <v/>
      </c>
    </row>
    <row r="462">
      <c r="A462" s="68" t="n">
        <v>456</v>
      </c>
      <c r="B462">
        <f>IFERROR(MATCH(A462,'Work Orders'!$AO$11:$AO$1010,0),"")</f>
        <v/>
      </c>
      <c r="C462" s="43">
        <f>IF($B462="","",IF(INDEX('Work Orders'!$A$11:$A$1010,$B462)="","",INDEX('Work Orders'!$A$11:$A$1010,$B462)))</f>
        <v/>
      </c>
      <c r="D462" s="43">
        <f>IF($B462="","",IF(INDEX('Work Orders'!$B$11:$B$1010,$B462)="","",INDEX('Work Orders'!$B$11:$B$1010,$B462)))</f>
        <v/>
      </c>
      <c r="E462" s="43">
        <f>IF($B462="","",IF(INDEX('Work Orders'!$D$11:$D$1010,$B462)="","",INDEX('Work Orders'!$D$11:$D$1010,$B462)))</f>
        <v/>
      </c>
      <c r="F462" s="43">
        <f>IF($B462="","",IF(INDEX('Work Orders'!$Q$11:$Q$1010,$B462)="","",INDEX('Work Orders'!$Q$11:$Q$1010,$B462)))</f>
        <v/>
      </c>
      <c r="G462" s="43">
        <f>IF($B462="","",IF(INDEX('Work Orders'!$V$11:$V$1010,$B462)="","",INDEX('Work Orders'!$V$11:$V$1010,$B462)))</f>
        <v/>
      </c>
      <c r="H462" s="47">
        <f>IF($B462="","",IF(INDEX('Work Orders'!$U$11:$U$1010,$B462)="","",INDEX('Work Orders'!$U$11:$U$1010,$B462)))</f>
        <v/>
      </c>
      <c r="I462" s="47">
        <f>IF($B462="","",IF(INDEX('Work Orders'!$X$11:$X$1010,$B462)="","",INDEX('Work Orders'!$X$11:$X$1010,$B462)))</f>
        <v/>
      </c>
      <c r="J462" s="44">
        <f>IF($B462="","",IF(INDEX('Work Orders'!$Z$11:$Z$1010,$B462)="","",INDEX('Work Orders'!$Z$11:$Z$1010,$B462)))</f>
        <v/>
      </c>
      <c r="K462" s="44">
        <f>IF($B462="","",IF(INDEX('Work Orders'!$AG$11:$AG$1010,$B462)="","",INDEX('Work Orders'!$AG$11:$AG$1010,$B462)))</f>
        <v/>
      </c>
      <c r="L462" s="44">
        <f>IF($B462="","",IF(INDEX('Work Orders'!$AH$11:$AH$1010,$B462)="","",INDEX('Work Orders'!$AH$11:$AH$1010,$B462)))</f>
        <v/>
      </c>
      <c r="M462" s="46">
        <f>IF($B462="","",IF(INDEX('Work Orders'!$AM$11:$AM$1010,$B462)="","",INDEX('Work Orders'!$AM$11:$AM$1010,$B462)))</f>
        <v/>
      </c>
      <c r="N462" s="43">
        <f>IF($B462="","",IF(INDEX('Work Orders'!$AL$11:$AL$1010,$B462)="","",INDEX('Work Orders'!$AL$11:$AL$1010,$B462)))</f>
        <v/>
      </c>
      <c r="O462" s="43">
        <f>IF($B462="","",IF(INDEX('Work Orders'!$N$11:$N$1010,$B462)="","",INDEX('Work Orders'!$N$11:$N$1010,$B462)))</f>
        <v/>
      </c>
    </row>
    <row r="463">
      <c r="A463" s="68" t="n">
        <v>457</v>
      </c>
      <c r="B463">
        <f>IFERROR(MATCH(A463,'Work Orders'!$AO$11:$AO$1010,0),"")</f>
        <v/>
      </c>
      <c r="C463" s="43">
        <f>IF($B463="","",IF(INDEX('Work Orders'!$A$11:$A$1010,$B463)="","",INDEX('Work Orders'!$A$11:$A$1010,$B463)))</f>
        <v/>
      </c>
      <c r="D463" s="43">
        <f>IF($B463="","",IF(INDEX('Work Orders'!$B$11:$B$1010,$B463)="","",INDEX('Work Orders'!$B$11:$B$1010,$B463)))</f>
        <v/>
      </c>
      <c r="E463" s="43">
        <f>IF($B463="","",IF(INDEX('Work Orders'!$D$11:$D$1010,$B463)="","",INDEX('Work Orders'!$D$11:$D$1010,$B463)))</f>
        <v/>
      </c>
      <c r="F463" s="43">
        <f>IF($B463="","",IF(INDEX('Work Orders'!$Q$11:$Q$1010,$B463)="","",INDEX('Work Orders'!$Q$11:$Q$1010,$B463)))</f>
        <v/>
      </c>
      <c r="G463" s="43">
        <f>IF($B463="","",IF(INDEX('Work Orders'!$V$11:$V$1010,$B463)="","",INDEX('Work Orders'!$V$11:$V$1010,$B463)))</f>
        <v/>
      </c>
      <c r="H463" s="47">
        <f>IF($B463="","",IF(INDEX('Work Orders'!$U$11:$U$1010,$B463)="","",INDEX('Work Orders'!$U$11:$U$1010,$B463)))</f>
        <v/>
      </c>
      <c r="I463" s="47">
        <f>IF($B463="","",IF(INDEX('Work Orders'!$X$11:$X$1010,$B463)="","",INDEX('Work Orders'!$X$11:$X$1010,$B463)))</f>
        <v/>
      </c>
      <c r="J463" s="44">
        <f>IF($B463="","",IF(INDEX('Work Orders'!$Z$11:$Z$1010,$B463)="","",INDEX('Work Orders'!$Z$11:$Z$1010,$B463)))</f>
        <v/>
      </c>
      <c r="K463" s="44">
        <f>IF($B463="","",IF(INDEX('Work Orders'!$AG$11:$AG$1010,$B463)="","",INDEX('Work Orders'!$AG$11:$AG$1010,$B463)))</f>
        <v/>
      </c>
      <c r="L463" s="44">
        <f>IF($B463="","",IF(INDEX('Work Orders'!$AH$11:$AH$1010,$B463)="","",INDEX('Work Orders'!$AH$11:$AH$1010,$B463)))</f>
        <v/>
      </c>
      <c r="M463" s="46">
        <f>IF($B463="","",IF(INDEX('Work Orders'!$AM$11:$AM$1010,$B463)="","",INDEX('Work Orders'!$AM$11:$AM$1010,$B463)))</f>
        <v/>
      </c>
      <c r="N463" s="43">
        <f>IF($B463="","",IF(INDEX('Work Orders'!$AL$11:$AL$1010,$B463)="","",INDEX('Work Orders'!$AL$11:$AL$1010,$B463)))</f>
        <v/>
      </c>
      <c r="O463" s="43">
        <f>IF($B463="","",IF(INDEX('Work Orders'!$N$11:$N$1010,$B463)="","",INDEX('Work Orders'!$N$11:$N$1010,$B463)))</f>
        <v/>
      </c>
    </row>
    <row r="464">
      <c r="A464" s="68" t="n">
        <v>458</v>
      </c>
      <c r="B464">
        <f>IFERROR(MATCH(A464,'Work Orders'!$AO$11:$AO$1010,0),"")</f>
        <v/>
      </c>
      <c r="C464" s="43">
        <f>IF($B464="","",IF(INDEX('Work Orders'!$A$11:$A$1010,$B464)="","",INDEX('Work Orders'!$A$11:$A$1010,$B464)))</f>
        <v/>
      </c>
      <c r="D464" s="43">
        <f>IF($B464="","",IF(INDEX('Work Orders'!$B$11:$B$1010,$B464)="","",INDEX('Work Orders'!$B$11:$B$1010,$B464)))</f>
        <v/>
      </c>
      <c r="E464" s="43">
        <f>IF($B464="","",IF(INDEX('Work Orders'!$D$11:$D$1010,$B464)="","",INDEX('Work Orders'!$D$11:$D$1010,$B464)))</f>
        <v/>
      </c>
      <c r="F464" s="43">
        <f>IF($B464="","",IF(INDEX('Work Orders'!$Q$11:$Q$1010,$B464)="","",INDEX('Work Orders'!$Q$11:$Q$1010,$B464)))</f>
        <v/>
      </c>
      <c r="G464" s="43">
        <f>IF($B464="","",IF(INDEX('Work Orders'!$V$11:$V$1010,$B464)="","",INDEX('Work Orders'!$V$11:$V$1010,$B464)))</f>
        <v/>
      </c>
      <c r="H464" s="47">
        <f>IF($B464="","",IF(INDEX('Work Orders'!$U$11:$U$1010,$B464)="","",INDEX('Work Orders'!$U$11:$U$1010,$B464)))</f>
        <v/>
      </c>
      <c r="I464" s="47">
        <f>IF($B464="","",IF(INDEX('Work Orders'!$X$11:$X$1010,$B464)="","",INDEX('Work Orders'!$X$11:$X$1010,$B464)))</f>
        <v/>
      </c>
      <c r="J464" s="44">
        <f>IF($B464="","",IF(INDEX('Work Orders'!$Z$11:$Z$1010,$B464)="","",INDEX('Work Orders'!$Z$11:$Z$1010,$B464)))</f>
        <v/>
      </c>
      <c r="K464" s="44">
        <f>IF($B464="","",IF(INDEX('Work Orders'!$AG$11:$AG$1010,$B464)="","",INDEX('Work Orders'!$AG$11:$AG$1010,$B464)))</f>
        <v/>
      </c>
      <c r="L464" s="44">
        <f>IF($B464="","",IF(INDEX('Work Orders'!$AH$11:$AH$1010,$B464)="","",INDEX('Work Orders'!$AH$11:$AH$1010,$B464)))</f>
        <v/>
      </c>
      <c r="M464" s="46">
        <f>IF($B464="","",IF(INDEX('Work Orders'!$AM$11:$AM$1010,$B464)="","",INDEX('Work Orders'!$AM$11:$AM$1010,$B464)))</f>
        <v/>
      </c>
      <c r="N464" s="43">
        <f>IF($B464="","",IF(INDEX('Work Orders'!$AL$11:$AL$1010,$B464)="","",INDEX('Work Orders'!$AL$11:$AL$1010,$B464)))</f>
        <v/>
      </c>
      <c r="O464" s="43">
        <f>IF($B464="","",IF(INDEX('Work Orders'!$N$11:$N$1010,$B464)="","",INDEX('Work Orders'!$N$11:$N$1010,$B464)))</f>
        <v/>
      </c>
    </row>
    <row r="465">
      <c r="A465" s="68" t="n">
        <v>459</v>
      </c>
      <c r="B465">
        <f>IFERROR(MATCH(A465,'Work Orders'!$AO$11:$AO$1010,0),"")</f>
        <v/>
      </c>
      <c r="C465" s="43">
        <f>IF($B465="","",IF(INDEX('Work Orders'!$A$11:$A$1010,$B465)="","",INDEX('Work Orders'!$A$11:$A$1010,$B465)))</f>
        <v/>
      </c>
      <c r="D465" s="43">
        <f>IF($B465="","",IF(INDEX('Work Orders'!$B$11:$B$1010,$B465)="","",INDEX('Work Orders'!$B$11:$B$1010,$B465)))</f>
        <v/>
      </c>
      <c r="E465" s="43">
        <f>IF($B465="","",IF(INDEX('Work Orders'!$D$11:$D$1010,$B465)="","",INDEX('Work Orders'!$D$11:$D$1010,$B465)))</f>
        <v/>
      </c>
      <c r="F465" s="43">
        <f>IF($B465="","",IF(INDEX('Work Orders'!$Q$11:$Q$1010,$B465)="","",INDEX('Work Orders'!$Q$11:$Q$1010,$B465)))</f>
        <v/>
      </c>
      <c r="G465" s="43">
        <f>IF($B465="","",IF(INDEX('Work Orders'!$V$11:$V$1010,$B465)="","",INDEX('Work Orders'!$V$11:$V$1010,$B465)))</f>
        <v/>
      </c>
      <c r="H465" s="47">
        <f>IF($B465="","",IF(INDEX('Work Orders'!$U$11:$U$1010,$B465)="","",INDEX('Work Orders'!$U$11:$U$1010,$B465)))</f>
        <v/>
      </c>
      <c r="I465" s="47">
        <f>IF($B465="","",IF(INDEX('Work Orders'!$X$11:$X$1010,$B465)="","",INDEX('Work Orders'!$X$11:$X$1010,$B465)))</f>
        <v/>
      </c>
      <c r="J465" s="44">
        <f>IF($B465="","",IF(INDEX('Work Orders'!$Z$11:$Z$1010,$B465)="","",INDEX('Work Orders'!$Z$11:$Z$1010,$B465)))</f>
        <v/>
      </c>
      <c r="K465" s="44">
        <f>IF($B465="","",IF(INDEX('Work Orders'!$AG$11:$AG$1010,$B465)="","",INDEX('Work Orders'!$AG$11:$AG$1010,$B465)))</f>
        <v/>
      </c>
      <c r="L465" s="44">
        <f>IF($B465="","",IF(INDEX('Work Orders'!$AH$11:$AH$1010,$B465)="","",INDEX('Work Orders'!$AH$11:$AH$1010,$B465)))</f>
        <v/>
      </c>
      <c r="M465" s="46">
        <f>IF($B465="","",IF(INDEX('Work Orders'!$AM$11:$AM$1010,$B465)="","",INDEX('Work Orders'!$AM$11:$AM$1010,$B465)))</f>
        <v/>
      </c>
      <c r="N465" s="43">
        <f>IF($B465="","",IF(INDEX('Work Orders'!$AL$11:$AL$1010,$B465)="","",INDEX('Work Orders'!$AL$11:$AL$1010,$B465)))</f>
        <v/>
      </c>
      <c r="O465" s="43">
        <f>IF($B465="","",IF(INDEX('Work Orders'!$N$11:$N$1010,$B465)="","",INDEX('Work Orders'!$N$11:$N$1010,$B465)))</f>
        <v/>
      </c>
    </row>
    <row r="466">
      <c r="A466" s="68" t="n">
        <v>460</v>
      </c>
      <c r="B466">
        <f>IFERROR(MATCH(A466,'Work Orders'!$AO$11:$AO$1010,0),"")</f>
        <v/>
      </c>
      <c r="C466" s="43">
        <f>IF($B466="","",IF(INDEX('Work Orders'!$A$11:$A$1010,$B466)="","",INDEX('Work Orders'!$A$11:$A$1010,$B466)))</f>
        <v/>
      </c>
      <c r="D466" s="43">
        <f>IF($B466="","",IF(INDEX('Work Orders'!$B$11:$B$1010,$B466)="","",INDEX('Work Orders'!$B$11:$B$1010,$B466)))</f>
        <v/>
      </c>
      <c r="E466" s="43">
        <f>IF($B466="","",IF(INDEX('Work Orders'!$D$11:$D$1010,$B466)="","",INDEX('Work Orders'!$D$11:$D$1010,$B466)))</f>
        <v/>
      </c>
      <c r="F466" s="43">
        <f>IF($B466="","",IF(INDEX('Work Orders'!$Q$11:$Q$1010,$B466)="","",INDEX('Work Orders'!$Q$11:$Q$1010,$B466)))</f>
        <v/>
      </c>
      <c r="G466" s="43">
        <f>IF($B466="","",IF(INDEX('Work Orders'!$V$11:$V$1010,$B466)="","",INDEX('Work Orders'!$V$11:$V$1010,$B466)))</f>
        <v/>
      </c>
      <c r="H466" s="47">
        <f>IF($B466="","",IF(INDEX('Work Orders'!$U$11:$U$1010,$B466)="","",INDEX('Work Orders'!$U$11:$U$1010,$B466)))</f>
        <v/>
      </c>
      <c r="I466" s="47">
        <f>IF($B466="","",IF(INDEX('Work Orders'!$X$11:$X$1010,$B466)="","",INDEX('Work Orders'!$X$11:$X$1010,$B466)))</f>
        <v/>
      </c>
      <c r="J466" s="44">
        <f>IF($B466="","",IF(INDEX('Work Orders'!$Z$11:$Z$1010,$B466)="","",INDEX('Work Orders'!$Z$11:$Z$1010,$B466)))</f>
        <v/>
      </c>
      <c r="K466" s="44">
        <f>IF($B466="","",IF(INDEX('Work Orders'!$AG$11:$AG$1010,$B466)="","",INDEX('Work Orders'!$AG$11:$AG$1010,$B466)))</f>
        <v/>
      </c>
      <c r="L466" s="44">
        <f>IF($B466="","",IF(INDEX('Work Orders'!$AH$11:$AH$1010,$B466)="","",INDEX('Work Orders'!$AH$11:$AH$1010,$B466)))</f>
        <v/>
      </c>
      <c r="M466" s="46">
        <f>IF($B466="","",IF(INDEX('Work Orders'!$AM$11:$AM$1010,$B466)="","",INDEX('Work Orders'!$AM$11:$AM$1010,$B466)))</f>
        <v/>
      </c>
      <c r="N466" s="43">
        <f>IF($B466="","",IF(INDEX('Work Orders'!$AL$11:$AL$1010,$B466)="","",INDEX('Work Orders'!$AL$11:$AL$1010,$B466)))</f>
        <v/>
      </c>
      <c r="O466" s="43">
        <f>IF($B466="","",IF(INDEX('Work Orders'!$N$11:$N$1010,$B466)="","",INDEX('Work Orders'!$N$11:$N$1010,$B466)))</f>
        <v/>
      </c>
    </row>
    <row r="467">
      <c r="A467" s="68" t="n">
        <v>461</v>
      </c>
      <c r="B467">
        <f>IFERROR(MATCH(A467,'Work Orders'!$AO$11:$AO$1010,0),"")</f>
        <v/>
      </c>
      <c r="C467" s="43">
        <f>IF($B467="","",IF(INDEX('Work Orders'!$A$11:$A$1010,$B467)="","",INDEX('Work Orders'!$A$11:$A$1010,$B467)))</f>
        <v/>
      </c>
      <c r="D467" s="43">
        <f>IF($B467="","",IF(INDEX('Work Orders'!$B$11:$B$1010,$B467)="","",INDEX('Work Orders'!$B$11:$B$1010,$B467)))</f>
        <v/>
      </c>
      <c r="E467" s="43">
        <f>IF($B467="","",IF(INDEX('Work Orders'!$D$11:$D$1010,$B467)="","",INDEX('Work Orders'!$D$11:$D$1010,$B467)))</f>
        <v/>
      </c>
      <c r="F467" s="43">
        <f>IF($B467="","",IF(INDEX('Work Orders'!$Q$11:$Q$1010,$B467)="","",INDEX('Work Orders'!$Q$11:$Q$1010,$B467)))</f>
        <v/>
      </c>
      <c r="G467" s="43">
        <f>IF($B467="","",IF(INDEX('Work Orders'!$V$11:$V$1010,$B467)="","",INDEX('Work Orders'!$V$11:$V$1010,$B467)))</f>
        <v/>
      </c>
      <c r="H467" s="47">
        <f>IF($B467="","",IF(INDEX('Work Orders'!$U$11:$U$1010,$B467)="","",INDEX('Work Orders'!$U$11:$U$1010,$B467)))</f>
        <v/>
      </c>
      <c r="I467" s="47">
        <f>IF($B467="","",IF(INDEX('Work Orders'!$X$11:$X$1010,$B467)="","",INDEX('Work Orders'!$X$11:$X$1010,$B467)))</f>
        <v/>
      </c>
      <c r="J467" s="44">
        <f>IF($B467="","",IF(INDEX('Work Orders'!$Z$11:$Z$1010,$B467)="","",INDEX('Work Orders'!$Z$11:$Z$1010,$B467)))</f>
        <v/>
      </c>
      <c r="K467" s="44">
        <f>IF($B467="","",IF(INDEX('Work Orders'!$AG$11:$AG$1010,$B467)="","",INDEX('Work Orders'!$AG$11:$AG$1010,$B467)))</f>
        <v/>
      </c>
      <c r="L467" s="44">
        <f>IF($B467="","",IF(INDEX('Work Orders'!$AH$11:$AH$1010,$B467)="","",INDEX('Work Orders'!$AH$11:$AH$1010,$B467)))</f>
        <v/>
      </c>
      <c r="M467" s="46">
        <f>IF($B467="","",IF(INDEX('Work Orders'!$AM$11:$AM$1010,$B467)="","",INDEX('Work Orders'!$AM$11:$AM$1010,$B467)))</f>
        <v/>
      </c>
      <c r="N467" s="43">
        <f>IF($B467="","",IF(INDEX('Work Orders'!$AL$11:$AL$1010,$B467)="","",INDEX('Work Orders'!$AL$11:$AL$1010,$B467)))</f>
        <v/>
      </c>
      <c r="O467" s="43">
        <f>IF($B467="","",IF(INDEX('Work Orders'!$N$11:$N$1010,$B467)="","",INDEX('Work Orders'!$N$11:$N$1010,$B467)))</f>
        <v/>
      </c>
    </row>
    <row r="468">
      <c r="A468" s="68" t="n">
        <v>462</v>
      </c>
      <c r="B468">
        <f>IFERROR(MATCH(A468,'Work Orders'!$AO$11:$AO$1010,0),"")</f>
        <v/>
      </c>
      <c r="C468" s="43">
        <f>IF($B468="","",IF(INDEX('Work Orders'!$A$11:$A$1010,$B468)="","",INDEX('Work Orders'!$A$11:$A$1010,$B468)))</f>
        <v/>
      </c>
      <c r="D468" s="43">
        <f>IF($B468="","",IF(INDEX('Work Orders'!$B$11:$B$1010,$B468)="","",INDEX('Work Orders'!$B$11:$B$1010,$B468)))</f>
        <v/>
      </c>
      <c r="E468" s="43">
        <f>IF($B468="","",IF(INDEX('Work Orders'!$D$11:$D$1010,$B468)="","",INDEX('Work Orders'!$D$11:$D$1010,$B468)))</f>
        <v/>
      </c>
      <c r="F468" s="43">
        <f>IF($B468="","",IF(INDEX('Work Orders'!$Q$11:$Q$1010,$B468)="","",INDEX('Work Orders'!$Q$11:$Q$1010,$B468)))</f>
        <v/>
      </c>
      <c r="G468" s="43">
        <f>IF($B468="","",IF(INDEX('Work Orders'!$V$11:$V$1010,$B468)="","",INDEX('Work Orders'!$V$11:$V$1010,$B468)))</f>
        <v/>
      </c>
      <c r="H468" s="47">
        <f>IF($B468="","",IF(INDEX('Work Orders'!$U$11:$U$1010,$B468)="","",INDEX('Work Orders'!$U$11:$U$1010,$B468)))</f>
        <v/>
      </c>
      <c r="I468" s="47">
        <f>IF($B468="","",IF(INDEX('Work Orders'!$X$11:$X$1010,$B468)="","",INDEX('Work Orders'!$X$11:$X$1010,$B468)))</f>
        <v/>
      </c>
      <c r="J468" s="44">
        <f>IF($B468="","",IF(INDEX('Work Orders'!$Z$11:$Z$1010,$B468)="","",INDEX('Work Orders'!$Z$11:$Z$1010,$B468)))</f>
        <v/>
      </c>
      <c r="K468" s="44">
        <f>IF($B468="","",IF(INDEX('Work Orders'!$AG$11:$AG$1010,$B468)="","",INDEX('Work Orders'!$AG$11:$AG$1010,$B468)))</f>
        <v/>
      </c>
      <c r="L468" s="44">
        <f>IF($B468="","",IF(INDEX('Work Orders'!$AH$11:$AH$1010,$B468)="","",INDEX('Work Orders'!$AH$11:$AH$1010,$B468)))</f>
        <v/>
      </c>
      <c r="M468" s="46">
        <f>IF($B468="","",IF(INDEX('Work Orders'!$AM$11:$AM$1010,$B468)="","",INDEX('Work Orders'!$AM$11:$AM$1010,$B468)))</f>
        <v/>
      </c>
      <c r="N468" s="43">
        <f>IF($B468="","",IF(INDEX('Work Orders'!$AL$11:$AL$1010,$B468)="","",INDEX('Work Orders'!$AL$11:$AL$1010,$B468)))</f>
        <v/>
      </c>
      <c r="O468" s="43">
        <f>IF($B468="","",IF(INDEX('Work Orders'!$N$11:$N$1010,$B468)="","",INDEX('Work Orders'!$N$11:$N$1010,$B468)))</f>
        <v/>
      </c>
    </row>
    <row r="469">
      <c r="A469" s="68" t="n">
        <v>463</v>
      </c>
      <c r="B469">
        <f>IFERROR(MATCH(A469,'Work Orders'!$AO$11:$AO$1010,0),"")</f>
        <v/>
      </c>
      <c r="C469" s="43">
        <f>IF($B469="","",IF(INDEX('Work Orders'!$A$11:$A$1010,$B469)="","",INDEX('Work Orders'!$A$11:$A$1010,$B469)))</f>
        <v/>
      </c>
      <c r="D469" s="43">
        <f>IF($B469="","",IF(INDEX('Work Orders'!$B$11:$B$1010,$B469)="","",INDEX('Work Orders'!$B$11:$B$1010,$B469)))</f>
        <v/>
      </c>
      <c r="E469" s="43">
        <f>IF($B469="","",IF(INDEX('Work Orders'!$D$11:$D$1010,$B469)="","",INDEX('Work Orders'!$D$11:$D$1010,$B469)))</f>
        <v/>
      </c>
      <c r="F469" s="43">
        <f>IF($B469="","",IF(INDEX('Work Orders'!$Q$11:$Q$1010,$B469)="","",INDEX('Work Orders'!$Q$11:$Q$1010,$B469)))</f>
        <v/>
      </c>
      <c r="G469" s="43">
        <f>IF($B469="","",IF(INDEX('Work Orders'!$V$11:$V$1010,$B469)="","",INDEX('Work Orders'!$V$11:$V$1010,$B469)))</f>
        <v/>
      </c>
      <c r="H469" s="47">
        <f>IF($B469="","",IF(INDEX('Work Orders'!$U$11:$U$1010,$B469)="","",INDEX('Work Orders'!$U$11:$U$1010,$B469)))</f>
        <v/>
      </c>
      <c r="I469" s="47">
        <f>IF($B469="","",IF(INDEX('Work Orders'!$X$11:$X$1010,$B469)="","",INDEX('Work Orders'!$X$11:$X$1010,$B469)))</f>
        <v/>
      </c>
      <c r="J469" s="44">
        <f>IF($B469="","",IF(INDEX('Work Orders'!$Z$11:$Z$1010,$B469)="","",INDEX('Work Orders'!$Z$11:$Z$1010,$B469)))</f>
        <v/>
      </c>
      <c r="K469" s="44">
        <f>IF($B469="","",IF(INDEX('Work Orders'!$AG$11:$AG$1010,$B469)="","",INDEX('Work Orders'!$AG$11:$AG$1010,$B469)))</f>
        <v/>
      </c>
      <c r="L469" s="44">
        <f>IF($B469="","",IF(INDEX('Work Orders'!$AH$11:$AH$1010,$B469)="","",INDEX('Work Orders'!$AH$11:$AH$1010,$B469)))</f>
        <v/>
      </c>
      <c r="M469" s="46">
        <f>IF($B469="","",IF(INDEX('Work Orders'!$AM$11:$AM$1010,$B469)="","",INDEX('Work Orders'!$AM$11:$AM$1010,$B469)))</f>
        <v/>
      </c>
      <c r="N469" s="43">
        <f>IF($B469="","",IF(INDEX('Work Orders'!$AL$11:$AL$1010,$B469)="","",INDEX('Work Orders'!$AL$11:$AL$1010,$B469)))</f>
        <v/>
      </c>
      <c r="O469" s="43">
        <f>IF($B469="","",IF(INDEX('Work Orders'!$N$11:$N$1010,$B469)="","",INDEX('Work Orders'!$N$11:$N$1010,$B469)))</f>
        <v/>
      </c>
    </row>
    <row r="470">
      <c r="A470" s="68" t="n">
        <v>464</v>
      </c>
      <c r="B470">
        <f>IFERROR(MATCH(A470,'Work Orders'!$AO$11:$AO$1010,0),"")</f>
        <v/>
      </c>
      <c r="C470" s="43">
        <f>IF($B470="","",IF(INDEX('Work Orders'!$A$11:$A$1010,$B470)="","",INDEX('Work Orders'!$A$11:$A$1010,$B470)))</f>
        <v/>
      </c>
      <c r="D470" s="43">
        <f>IF($B470="","",IF(INDEX('Work Orders'!$B$11:$B$1010,$B470)="","",INDEX('Work Orders'!$B$11:$B$1010,$B470)))</f>
        <v/>
      </c>
      <c r="E470" s="43">
        <f>IF($B470="","",IF(INDEX('Work Orders'!$D$11:$D$1010,$B470)="","",INDEX('Work Orders'!$D$11:$D$1010,$B470)))</f>
        <v/>
      </c>
      <c r="F470" s="43">
        <f>IF($B470="","",IF(INDEX('Work Orders'!$Q$11:$Q$1010,$B470)="","",INDEX('Work Orders'!$Q$11:$Q$1010,$B470)))</f>
        <v/>
      </c>
      <c r="G470" s="43">
        <f>IF($B470="","",IF(INDEX('Work Orders'!$V$11:$V$1010,$B470)="","",INDEX('Work Orders'!$V$11:$V$1010,$B470)))</f>
        <v/>
      </c>
      <c r="H470" s="47">
        <f>IF($B470="","",IF(INDEX('Work Orders'!$U$11:$U$1010,$B470)="","",INDEX('Work Orders'!$U$11:$U$1010,$B470)))</f>
        <v/>
      </c>
      <c r="I470" s="47">
        <f>IF($B470="","",IF(INDEX('Work Orders'!$X$11:$X$1010,$B470)="","",INDEX('Work Orders'!$X$11:$X$1010,$B470)))</f>
        <v/>
      </c>
      <c r="J470" s="44">
        <f>IF($B470="","",IF(INDEX('Work Orders'!$Z$11:$Z$1010,$B470)="","",INDEX('Work Orders'!$Z$11:$Z$1010,$B470)))</f>
        <v/>
      </c>
      <c r="K470" s="44">
        <f>IF($B470="","",IF(INDEX('Work Orders'!$AG$11:$AG$1010,$B470)="","",INDEX('Work Orders'!$AG$11:$AG$1010,$B470)))</f>
        <v/>
      </c>
      <c r="L470" s="44">
        <f>IF($B470="","",IF(INDEX('Work Orders'!$AH$11:$AH$1010,$B470)="","",INDEX('Work Orders'!$AH$11:$AH$1010,$B470)))</f>
        <v/>
      </c>
      <c r="M470" s="46">
        <f>IF($B470="","",IF(INDEX('Work Orders'!$AM$11:$AM$1010,$B470)="","",INDEX('Work Orders'!$AM$11:$AM$1010,$B470)))</f>
        <v/>
      </c>
      <c r="N470" s="43">
        <f>IF($B470="","",IF(INDEX('Work Orders'!$AL$11:$AL$1010,$B470)="","",INDEX('Work Orders'!$AL$11:$AL$1010,$B470)))</f>
        <v/>
      </c>
      <c r="O470" s="43">
        <f>IF($B470="","",IF(INDEX('Work Orders'!$N$11:$N$1010,$B470)="","",INDEX('Work Orders'!$N$11:$N$1010,$B470)))</f>
        <v/>
      </c>
    </row>
    <row r="471">
      <c r="A471" s="68" t="n">
        <v>465</v>
      </c>
      <c r="B471">
        <f>IFERROR(MATCH(A471,'Work Orders'!$AO$11:$AO$1010,0),"")</f>
        <v/>
      </c>
      <c r="C471" s="43">
        <f>IF($B471="","",IF(INDEX('Work Orders'!$A$11:$A$1010,$B471)="","",INDEX('Work Orders'!$A$11:$A$1010,$B471)))</f>
        <v/>
      </c>
      <c r="D471" s="43">
        <f>IF($B471="","",IF(INDEX('Work Orders'!$B$11:$B$1010,$B471)="","",INDEX('Work Orders'!$B$11:$B$1010,$B471)))</f>
        <v/>
      </c>
      <c r="E471" s="43">
        <f>IF($B471="","",IF(INDEX('Work Orders'!$D$11:$D$1010,$B471)="","",INDEX('Work Orders'!$D$11:$D$1010,$B471)))</f>
        <v/>
      </c>
      <c r="F471" s="43">
        <f>IF($B471="","",IF(INDEX('Work Orders'!$Q$11:$Q$1010,$B471)="","",INDEX('Work Orders'!$Q$11:$Q$1010,$B471)))</f>
        <v/>
      </c>
      <c r="G471" s="43">
        <f>IF($B471="","",IF(INDEX('Work Orders'!$V$11:$V$1010,$B471)="","",INDEX('Work Orders'!$V$11:$V$1010,$B471)))</f>
        <v/>
      </c>
      <c r="H471" s="47">
        <f>IF($B471="","",IF(INDEX('Work Orders'!$U$11:$U$1010,$B471)="","",INDEX('Work Orders'!$U$11:$U$1010,$B471)))</f>
        <v/>
      </c>
      <c r="I471" s="47">
        <f>IF($B471="","",IF(INDEX('Work Orders'!$X$11:$X$1010,$B471)="","",INDEX('Work Orders'!$X$11:$X$1010,$B471)))</f>
        <v/>
      </c>
      <c r="J471" s="44">
        <f>IF($B471="","",IF(INDEX('Work Orders'!$Z$11:$Z$1010,$B471)="","",INDEX('Work Orders'!$Z$11:$Z$1010,$B471)))</f>
        <v/>
      </c>
      <c r="K471" s="44">
        <f>IF($B471="","",IF(INDEX('Work Orders'!$AG$11:$AG$1010,$B471)="","",INDEX('Work Orders'!$AG$11:$AG$1010,$B471)))</f>
        <v/>
      </c>
      <c r="L471" s="44">
        <f>IF($B471="","",IF(INDEX('Work Orders'!$AH$11:$AH$1010,$B471)="","",INDEX('Work Orders'!$AH$11:$AH$1010,$B471)))</f>
        <v/>
      </c>
      <c r="M471" s="46">
        <f>IF($B471="","",IF(INDEX('Work Orders'!$AM$11:$AM$1010,$B471)="","",INDEX('Work Orders'!$AM$11:$AM$1010,$B471)))</f>
        <v/>
      </c>
      <c r="N471" s="43">
        <f>IF($B471="","",IF(INDEX('Work Orders'!$AL$11:$AL$1010,$B471)="","",INDEX('Work Orders'!$AL$11:$AL$1010,$B471)))</f>
        <v/>
      </c>
      <c r="O471" s="43">
        <f>IF($B471="","",IF(INDEX('Work Orders'!$N$11:$N$1010,$B471)="","",INDEX('Work Orders'!$N$11:$N$1010,$B471)))</f>
        <v/>
      </c>
    </row>
    <row r="472">
      <c r="A472" s="68" t="n">
        <v>466</v>
      </c>
      <c r="B472">
        <f>IFERROR(MATCH(A472,'Work Orders'!$AO$11:$AO$1010,0),"")</f>
        <v/>
      </c>
      <c r="C472" s="43">
        <f>IF($B472="","",IF(INDEX('Work Orders'!$A$11:$A$1010,$B472)="","",INDEX('Work Orders'!$A$11:$A$1010,$B472)))</f>
        <v/>
      </c>
      <c r="D472" s="43">
        <f>IF($B472="","",IF(INDEX('Work Orders'!$B$11:$B$1010,$B472)="","",INDEX('Work Orders'!$B$11:$B$1010,$B472)))</f>
        <v/>
      </c>
      <c r="E472" s="43">
        <f>IF($B472="","",IF(INDEX('Work Orders'!$D$11:$D$1010,$B472)="","",INDEX('Work Orders'!$D$11:$D$1010,$B472)))</f>
        <v/>
      </c>
      <c r="F472" s="43">
        <f>IF($B472="","",IF(INDEX('Work Orders'!$Q$11:$Q$1010,$B472)="","",INDEX('Work Orders'!$Q$11:$Q$1010,$B472)))</f>
        <v/>
      </c>
      <c r="G472" s="43">
        <f>IF($B472="","",IF(INDEX('Work Orders'!$V$11:$V$1010,$B472)="","",INDEX('Work Orders'!$V$11:$V$1010,$B472)))</f>
        <v/>
      </c>
      <c r="H472" s="47">
        <f>IF($B472="","",IF(INDEX('Work Orders'!$U$11:$U$1010,$B472)="","",INDEX('Work Orders'!$U$11:$U$1010,$B472)))</f>
        <v/>
      </c>
      <c r="I472" s="47">
        <f>IF($B472="","",IF(INDEX('Work Orders'!$X$11:$X$1010,$B472)="","",INDEX('Work Orders'!$X$11:$X$1010,$B472)))</f>
        <v/>
      </c>
      <c r="J472" s="44">
        <f>IF($B472="","",IF(INDEX('Work Orders'!$Z$11:$Z$1010,$B472)="","",INDEX('Work Orders'!$Z$11:$Z$1010,$B472)))</f>
        <v/>
      </c>
      <c r="K472" s="44">
        <f>IF($B472="","",IF(INDEX('Work Orders'!$AG$11:$AG$1010,$B472)="","",INDEX('Work Orders'!$AG$11:$AG$1010,$B472)))</f>
        <v/>
      </c>
      <c r="L472" s="44">
        <f>IF($B472="","",IF(INDEX('Work Orders'!$AH$11:$AH$1010,$B472)="","",INDEX('Work Orders'!$AH$11:$AH$1010,$B472)))</f>
        <v/>
      </c>
      <c r="M472" s="46">
        <f>IF($B472="","",IF(INDEX('Work Orders'!$AM$11:$AM$1010,$B472)="","",INDEX('Work Orders'!$AM$11:$AM$1010,$B472)))</f>
        <v/>
      </c>
      <c r="N472" s="43">
        <f>IF($B472="","",IF(INDEX('Work Orders'!$AL$11:$AL$1010,$B472)="","",INDEX('Work Orders'!$AL$11:$AL$1010,$B472)))</f>
        <v/>
      </c>
      <c r="O472" s="43">
        <f>IF($B472="","",IF(INDEX('Work Orders'!$N$11:$N$1010,$B472)="","",INDEX('Work Orders'!$N$11:$N$1010,$B472)))</f>
        <v/>
      </c>
    </row>
    <row r="473">
      <c r="A473" s="68" t="n">
        <v>467</v>
      </c>
      <c r="B473">
        <f>IFERROR(MATCH(A473,'Work Orders'!$AO$11:$AO$1010,0),"")</f>
        <v/>
      </c>
      <c r="C473" s="43">
        <f>IF($B473="","",IF(INDEX('Work Orders'!$A$11:$A$1010,$B473)="","",INDEX('Work Orders'!$A$11:$A$1010,$B473)))</f>
        <v/>
      </c>
      <c r="D473" s="43">
        <f>IF($B473="","",IF(INDEX('Work Orders'!$B$11:$B$1010,$B473)="","",INDEX('Work Orders'!$B$11:$B$1010,$B473)))</f>
        <v/>
      </c>
      <c r="E473" s="43">
        <f>IF($B473="","",IF(INDEX('Work Orders'!$D$11:$D$1010,$B473)="","",INDEX('Work Orders'!$D$11:$D$1010,$B473)))</f>
        <v/>
      </c>
      <c r="F473" s="43">
        <f>IF($B473="","",IF(INDEX('Work Orders'!$Q$11:$Q$1010,$B473)="","",INDEX('Work Orders'!$Q$11:$Q$1010,$B473)))</f>
        <v/>
      </c>
      <c r="G473" s="43">
        <f>IF($B473="","",IF(INDEX('Work Orders'!$V$11:$V$1010,$B473)="","",INDEX('Work Orders'!$V$11:$V$1010,$B473)))</f>
        <v/>
      </c>
      <c r="H473" s="47">
        <f>IF($B473="","",IF(INDEX('Work Orders'!$U$11:$U$1010,$B473)="","",INDEX('Work Orders'!$U$11:$U$1010,$B473)))</f>
        <v/>
      </c>
      <c r="I473" s="47">
        <f>IF($B473="","",IF(INDEX('Work Orders'!$X$11:$X$1010,$B473)="","",INDEX('Work Orders'!$X$11:$X$1010,$B473)))</f>
        <v/>
      </c>
      <c r="J473" s="44">
        <f>IF($B473="","",IF(INDEX('Work Orders'!$Z$11:$Z$1010,$B473)="","",INDEX('Work Orders'!$Z$11:$Z$1010,$B473)))</f>
        <v/>
      </c>
      <c r="K473" s="44">
        <f>IF($B473="","",IF(INDEX('Work Orders'!$AG$11:$AG$1010,$B473)="","",INDEX('Work Orders'!$AG$11:$AG$1010,$B473)))</f>
        <v/>
      </c>
      <c r="L473" s="44">
        <f>IF($B473="","",IF(INDEX('Work Orders'!$AH$11:$AH$1010,$B473)="","",INDEX('Work Orders'!$AH$11:$AH$1010,$B473)))</f>
        <v/>
      </c>
      <c r="M473" s="46">
        <f>IF($B473="","",IF(INDEX('Work Orders'!$AM$11:$AM$1010,$B473)="","",INDEX('Work Orders'!$AM$11:$AM$1010,$B473)))</f>
        <v/>
      </c>
      <c r="N473" s="43">
        <f>IF($B473="","",IF(INDEX('Work Orders'!$AL$11:$AL$1010,$B473)="","",INDEX('Work Orders'!$AL$11:$AL$1010,$B473)))</f>
        <v/>
      </c>
      <c r="O473" s="43">
        <f>IF($B473="","",IF(INDEX('Work Orders'!$N$11:$N$1010,$B473)="","",INDEX('Work Orders'!$N$11:$N$1010,$B473)))</f>
        <v/>
      </c>
    </row>
    <row r="474">
      <c r="A474" s="68" t="n">
        <v>468</v>
      </c>
      <c r="B474">
        <f>IFERROR(MATCH(A474,'Work Orders'!$AO$11:$AO$1010,0),"")</f>
        <v/>
      </c>
      <c r="C474" s="43">
        <f>IF($B474="","",IF(INDEX('Work Orders'!$A$11:$A$1010,$B474)="","",INDEX('Work Orders'!$A$11:$A$1010,$B474)))</f>
        <v/>
      </c>
      <c r="D474" s="43">
        <f>IF($B474="","",IF(INDEX('Work Orders'!$B$11:$B$1010,$B474)="","",INDEX('Work Orders'!$B$11:$B$1010,$B474)))</f>
        <v/>
      </c>
      <c r="E474" s="43">
        <f>IF($B474="","",IF(INDEX('Work Orders'!$D$11:$D$1010,$B474)="","",INDEX('Work Orders'!$D$11:$D$1010,$B474)))</f>
        <v/>
      </c>
      <c r="F474" s="43">
        <f>IF($B474="","",IF(INDEX('Work Orders'!$Q$11:$Q$1010,$B474)="","",INDEX('Work Orders'!$Q$11:$Q$1010,$B474)))</f>
        <v/>
      </c>
      <c r="G474" s="43">
        <f>IF($B474="","",IF(INDEX('Work Orders'!$V$11:$V$1010,$B474)="","",INDEX('Work Orders'!$V$11:$V$1010,$B474)))</f>
        <v/>
      </c>
      <c r="H474" s="47">
        <f>IF($B474="","",IF(INDEX('Work Orders'!$U$11:$U$1010,$B474)="","",INDEX('Work Orders'!$U$11:$U$1010,$B474)))</f>
        <v/>
      </c>
      <c r="I474" s="47">
        <f>IF($B474="","",IF(INDEX('Work Orders'!$X$11:$X$1010,$B474)="","",INDEX('Work Orders'!$X$11:$X$1010,$B474)))</f>
        <v/>
      </c>
      <c r="J474" s="44">
        <f>IF($B474="","",IF(INDEX('Work Orders'!$Z$11:$Z$1010,$B474)="","",INDEX('Work Orders'!$Z$11:$Z$1010,$B474)))</f>
        <v/>
      </c>
      <c r="K474" s="44">
        <f>IF($B474="","",IF(INDEX('Work Orders'!$AG$11:$AG$1010,$B474)="","",INDEX('Work Orders'!$AG$11:$AG$1010,$B474)))</f>
        <v/>
      </c>
      <c r="L474" s="44">
        <f>IF($B474="","",IF(INDEX('Work Orders'!$AH$11:$AH$1010,$B474)="","",INDEX('Work Orders'!$AH$11:$AH$1010,$B474)))</f>
        <v/>
      </c>
      <c r="M474" s="46">
        <f>IF($B474="","",IF(INDEX('Work Orders'!$AM$11:$AM$1010,$B474)="","",INDEX('Work Orders'!$AM$11:$AM$1010,$B474)))</f>
        <v/>
      </c>
      <c r="N474" s="43">
        <f>IF($B474="","",IF(INDEX('Work Orders'!$AL$11:$AL$1010,$B474)="","",INDEX('Work Orders'!$AL$11:$AL$1010,$B474)))</f>
        <v/>
      </c>
      <c r="O474" s="43">
        <f>IF($B474="","",IF(INDEX('Work Orders'!$N$11:$N$1010,$B474)="","",INDEX('Work Orders'!$N$11:$N$1010,$B474)))</f>
        <v/>
      </c>
    </row>
    <row r="475">
      <c r="A475" s="68" t="n">
        <v>469</v>
      </c>
      <c r="B475">
        <f>IFERROR(MATCH(A475,'Work Orders'!$AO$11:$AO$1010,0),"")</f>
        <v/>
      </c>
      <c r="C475" s="43">
        <f>IF($B475="","",IF(INDEX('Work Orders'!$A$11:$A$1010,$B475)="","",INDEX('Work Orders'!$A$11:$A$1010,$B475)))</f>
        <v/>
      </c>
      <c r="D475" s="43">
        <f>IF($B475="","",IF(INDEX('Work Orders'!$B$11:$B$1010,$B475)="","",INDEX('Work Orders'!$B$11:$B$1010,$B475)))</f>
        <v/>
      </c>
      <c r="E475" s="43">
        <f>IF($B475="","",IF(INDEX('Work Orders'!$D$11:$D$1010,$B475)="","",INDEX('Work Orders'!$D$11:$D$1010,$B475)))</f>
        <v/>
      </c>
      <c r="F475" s="43">
        <f>IF($B475="","",IF(INDEX('Work Orders'!$Q$11:$Q$1010,$B475)="","",INDEX('Work Orders'!$Q$11:$Q$1010,$B475)))</f>
        <v/>
      </c>
      <c r="G475" s="43">
        <f>IF($B475="","",IF(INDEX('Work Orders'!$V$11:$V$1010,$B475)="","",INDEX('Work Orders'!$V$11:$V$1010,$B475)))</f>
        <v/>
      </c>
      <c r="H475" s="47">
        <f>IF($B475="","",IF(INDEX('Work Orders'!$U$11:$U$1010,$B475)="","",INDEX('Work Orders'!$U$11:$U$1010,$B475)))</f>
        <v/>
      </c>
      <c r="I475" s="47">
        <f>IF($B475="","",IF(INDEX('Work Orders'!$X$11:$X$1010,$B475)="","",INDEX('Work Orders'!$X$11:$X$1010,$B475)))</f>
        <v/>
      </c>
      <c r="J475" s="44">
        <f>IF($B475="","",IF(INDEX('Work Orders'!$Z$11:$Z$1010,$B475)="","",INDEX('Work Orders'!$Z$11:$Z$1010,$B475)))</f>
        <v/>
      </c>
      <c r="K475" s="44">
        <f>IF($B475="","",IF(INDEX('Work Orders'!$AG$11:$AG$1010,$B475)="","",INDEX('Work Orders'!$AG$11:$AG$1010,$B475)))</f>
        <v/>
      </c>
      <c r="L475" s="44">
        <f>IF($B475="","",IF(INDEX('Work Orders'!$AH$11:$AH$1010,$B475)="","",INDEX('Work Orders'!$AH$11:$AH$1010,$B475)))</f>
        <v/>
      </c>
      <c r="M475" s="46">
        <f>IF($B475="","",IF(INDEX('Work Orders'!$AM$11:$AM$1010,$B475)="","",INDEX('Work Orders'!$AM$11:$AM$1010,$B475)))</f>
        <v/>
      </c>
      <c r="N475" s="43">
        <f>IF($B475="","",IF(INDEX('Work Orders'!$AL$11:$AL$1010,$B475)="","",INDEX('Work Orders'!$AL$11:$AL$1010,$B475)))</f>
        <v/>
      </c>
      <c r="O475" s="43">
        <f>IF($B475="","",IF(INDEX('Work Orders'!$N$11:$N$1010,$B475)="","",INDEX('Work Orders'!$N$11:$N$1010,$B475)))</f>
        <v/>
      </c>
    </row>
    <row r="476">
      <c r="A476" s="68" t="n">
        <v>470</v>
      </c>
      <c r="B476">
        <f>IFERROR(MATCH(A476,'Work Orders'!$AO$11:$AO$1010,0),"")</f>
        <v/>
      </c>
      <c r="C476" s="43">
        <f>IF($B476="","",IF(INDEX('Work Orders'!$A$11:$A$1010,$B476)="","",INDEX('Work Orders'!$A$11:$A$1010,$B476)))</f>
        <v/>
      </c>
      <c r="D476" s="43">
        <f>IF($B476="","",IF(INDEX('Work Orders'!$B$11:$B$1010,$B476)="","",INDEX('Work Orders'!$B$11:$B$1010,$B476)))</f>
        <v/>
      </c>
      <c r="E476" s="43">
        <f>IF($B476="","",IF(INDEX('Work Orders'!$D$11:$D$1010,$B476)="","",INDEX('Work Orders'!$D$11:$D$1010,$B476)))</f>
        <v/>
      </c>
      <c r="F476" s="43">
        <f>IF($B476="","",IF(INDEX('Work Orders'!$Q$11:$Q$1010,$B476)="","",INDEX('Work Orders'!$Q$11:$Q$1010,$B476)))</f>
        <v/>
      </c>
      <c r="G476" s="43">
        <f>IF($B476="","",IF(INDEX('Work Orders'!$V$11:$V$1010,$B476)="","",INDEX('Work Orders'!$V$11:$V$1010,$B476)))</f>
        <v/>
      </c>
      <c r="H476" s="47">
        <f>IF($B476="","",IF(INDEX('Work Orders'!$U$11:$U$1010,$B476)="","",INDEX('Work Orders'!$U$11:$U$1010,$B476)))</f>
        <v/>
      </c>
      <c r="I476" s="47">
        <f>IF($B476="","",IF(INDEX('Work Orders'!$X$11:$X$1010,$B476)="","",INDEX('Work Orders'!$X$11:$X$1010,$B476)))</f>
        <v/>
      </c>
      <c r="J476" s="44">
        <f>IF($B476="","",IF(INDEX('Work Orders'!$Z$11:$Z$1010,$B476)="","",INDEX('Work Orders'!$Z$11:$Z$1010,$B476)))</f>
        <v/>
      </c>
      <c r="K476" s="44">
        <f>IF($B476="","",IF(INDEX('Work Orders'!$AG$11:$AG$1010,$B476)="","",INDEX('Work Orders'!$AG$11:$AG$1010,$B476)))</f>
        <v/>
      </c>
      <c r="L476" s="44">
        <f>IF($B476="","",IF(INDEX('Work Orders'!$AH$11:$AH$1010,$B476)="","",INDEX('Work Orders'!$AH$11:$AH$1010,$B476)))</f>
        <v/>
      </c>
      <c r="M476" s="46">
        <f>IF($B476="","",IF(INDEX('Work Orders'!$AM$11:$AM$1010,$B476)="","",INDEX('Work Orders'!$AM$11:$AM$1010,$B476)))</f>
        <v/>
      </c>
      <c r="N476" s="43">
        <f>IF($B476="","",IF(INDEX('Work Orders'!$AL$11:$AL$1010,$B476)="","",INDEX('Work Orders'!$AL$11:$AL$1010,$B476)))</f>
        <v/>
      </c>
      <c r="O476" s="43">
        <f>IF($B476="","",IF(INDEX('Work Orders'!$N$11:$N$1010,$B476)="","",INDEX('Work Orders'!$N$11:$N$1010,$B476)))</f>
        <v/>
      </c>
    </row>
    <row r="477">
      <c r="A477" s="68" t="n">
        <v>471</v>
      </c>
      <c r="B477">
        <f>IFERROR(MATCH(A477,'Work Orders'!$AO$11:$AO$1010,0),"")</f>
        <v/>
      </c>
      <c r="C477" s="43">
        <f>IF($B477="","",IF(INDEX('Work Orders'!$A$11:$A$1010,$B477)="","",INDEX('Work Orders'!$A$11:$A$1010,$B477)))</f>
        <v/>
      </c>
      <c r="D477" s="43">
        <f>IF($B477="","",IF(INDEX('Work Orders'!$B$11:$B$1010,$B477)="","",INDEX('Work Orders'!$B$11:$B$1010,$B477)))</f>
        <v/>
      </c>
      <c r="E477" s="43">
        <f>IF($B477="","",IF(INDEX('Work Orders'!$D$11:$D$1010,$B477)="","",INDEX('Work Orders'!$D$11:$D$1010,$B477)))</f>
        <v/>
      </c>
      <c r="F477" s="43">
        <f>IF($B477="","",IF(INDEX('Work Orders'!$Q$11:$Q$1010,$B477)="","",INDEX('Work Orders'!$Q$11:$Q$1010,$B477)))</f>
        <v/>
      </c>
      <c r="G477" s="43">
        <f>IF($B477="","",IF(INDEX('Work Orders'!$V$11:$V$1010,$B477)="","",INDEX('Work Orders'!$V$11:$V$1010,$B477)))</f>
        <v/>
      </c>
      <c r="H477" s="47">
        <f>IF($B477="","",IF(INDEX('Work Orders'!$U$11:$U$1010,$B477)="","",INDEX('Work Orders'!$U$11:$U$1010,$B477)))</f>
        <v/>
      </c>
      <c r="I477" s="47">
        <f>IF($B477="","",IF(INDEX('Work Orders'!$X$11:$X$1010,$B477)="","",INDEX('Work Orders'!$X$11:$X$1010,$B477)))</f>
        <v/>
      </c>
      <c r="J477" s="44">
        <f>IF($B477="","",IF(INDEX('Work Orders'!$Z$11:$Z$1010,$B477)="","",INDEX('Work Orders'!$Z$11:$Z$1010,$B477)))</f>
        <v/>
      </c>
      <c r="K477" s="44">
        <f>IF($B477="","",IF(INDEX('Work Orders'!$AG$11:$AG$1010,$B477)="","",INDEX('Work Orders'!$AG$11:$AG$1010,$B477)))</f>
        <v/>
      </c>
      <c r="L477" s="44">
        <f>IF($B477="","",IF(INDEX('Work Orders'!$AH$11:$AH$1010,$B477)="","",INDEX('Work Orders'!$AH$11:$AH$1010,$B477)))</f>
        <v/>
      </c>
      <c r="M477" s="46">
        <f>IF($B477="","",IF(INDEX('Work Orders'!$AM$11:$AM$1010,$B477)="","",INDEX('Work Orders'!$AM$11:$AM$1010,$B477)))</f>
        <v/>
      </c>
      <c r="N477" s="43">
        <f>IF($B477="","",IF(INDEX('Work Orders'!$AL$11:$AL$1010,$B477)="","",INDEX('Work Orders'!$AL$11:$AL$1010,$B477)))</f>
        <v/>
      </c>
      <c r="O477" s="43">
        <f>IF($B477="","",IF(INDEX('Work Orders'!$N$11:$N$1010,$B477)="","",INDEX('Work Orders'!$N$11:$N$1010,$B477)))</f>
        <v/>
      </c>
    </row>
    <row r="478">
      <c r="A478" s="68" t="n">
        <v>472</v>
      </c>
      <c r="B478">
        <f>IFERROR(MATCH(A478,'Work Orders'!$AO$11:$AO$1010,0),"")</f>
        <v/>
      </c>
      <c r="C478" s="43">
        <f>IF($B478="","",IF(INDEX('Work Orders'!$A$11:$A$1010,$B478)="","",INDEX('Work Orders'!$A$11:$A$1010,$B478)))</f>
        <v/>
      </c>
      <c r="D478" s="43">
        <f>IF($B478="","",IF(INDEX('Work Orders'!$B$11:$B$1010,$B478)="","",INDEX('Work Orders'!$B$11:$B$1010,$B478)))</f>
        <v/>
      </c>
      <c r="E478" s="43">
        <f>IF($B478="","",IF(INDEX('Work Orders'!$D$11:$D$1010,$B478)="","",INDEX('Work Orders'!$D$11:$D$1010,$B478)))</f>
        <v/>
      </c>
      <c r="F478" s="43">
        <f>IF($B478="","",IF(INDEX('Work Orders'!$Q$11:$Q$1010,$B478)="","",INDEX('Work Orders'!$Q$11:$Q$1010,$B478)))</f>
        <v/>
      </c>
      <c r="G478" s="43">
        <f>IF($B478="","",IF(INDEX('Work Orders'!$V$11:$V$1010,$B478)="","",INDEX('Work Orders'!$V$11:$V$1010,$B478)))</f>
        <v/>
      </c>
      <c r="H478" s="47">
        <f>IF($B478="","",IF(INDEX('Work Orders'!$U$11:$U$1010,$B478)="","",INDEX('Work Orders'!$U$11:$U$1010,$B478)))</f>
        <v/>
      </c>
      <c r="I478" s="47">
        <f>IF($B478="","",IF(INDEX('Work Orders'!$X$11:$X$1010,$B478)="","",INDEX('Work Orders'!$X$11:$X$1010,$B478)))</f>
        <v/>
      </c>
      <c r="J478" s="44">
        <f>IF($B478="","",IF(INDEX('Work Orders'!$Z$11:$Z$1010,$B478)="","",INDEX('Work Orders'!$Z$11:$Z$1010,$B478)))</f>
        <v/>
      </c>
      <c r="K478" s="44">
        <f>IF($B478="","",IF(INDEX('Work Orders'!$AG$11:$AG$1010,$B478)="","",INDEX('Work Orders'!$AG$11:$AG$1010,$B478)))</f>
        <v/>
      </c>
      <c r="L478" s="44">
        <f>IF($B478="","",IF(INDEX('Work Orders'!$AH$11:$AH$1010,$B478)="","",INDEX('Work Orders'!$AH$11:$AH$1010,$B478)))</f>
        <v/>
      </c>
      <c r="M478" s="46">
        <f>IF($B478="","",IF(INDEX('Work Orders'!$AM$11:$AM$1010,$B478)="","",INDEX('Work Orders'!$AM$11:$AM$1010,$B478)))</f>
        <v/>
      </c>
      <c r="N478" s="43">
        <f>IF($B478="","",IF(INDEX('Work Orders'!$AL$11:$AL$1010,$B478)="","",INDEX('Work Orders'!$AL$11:$AL$1010,$B478)))</f>
        <v/>
      </c>
      <c r="O478" s="43">
        <f>IF($B478="","",IF(INDEX('Work Orders'!$N$11:$N$1010,$B478)="","",INDEX('Work Orders'!$N$11:$N$1010,$B478)))</f>
        <v/>
      </c>
    </row>
    <row r="479">
      <c r="A479" s="68" t="n">
        <v>473</v>
      </c>
      <c r="B479">
        <f>IFERROR(MATCH(A479,'Work Orders'!$AO$11:$AO$1010,0),"")</f>
        <v/>
      </c>
      <c r="C479" s="43">
        <f>IF($B479="","",IF(INDEX('Work Orders'!$A$11:$A$1010,$B479)="","",INDEX('Work Orders'!$A$11:$A$1010,$B479)))</f>
        <v/>
      </c>
      <c r="D479" s="43">
        <f>IF($B479="","",IF(INDEX('Work Orders'!$B$11:$B$1010,$B479)="","",INDEX('Work Orders'!$B$11:$B$1010,$B479)))</f>
        <v/>
      </c>
      <c r="E479" s="43">
        <f>IF($B479="","",IF(INDEX('Work Orders'!$D$11:$D$1010,$B479)="","",INDEX('Work Orders'!$D$11:$D$1010,$B479)))</f>
        <v/>
      </c>
      <c r="F479" s="43">
        <f>IF($B479="","",IF(INDEX('Work Orders'!$Q$11:$Q$1010,$B479)="","",INDEX('Work Orders'!$Q$11:$Q$1010,$B479)))</f>
        <v/>
      </c>
      <c r="G479" s="43">
        <f>IF($B479="","",IF(INDEX('Work Orders'!$V$11:$V$1010,$B479)="","",INDEX('Work Orders'!$V$11:$V$1010,$B479)))</f>
        <v/>
      </c>
      <c r="H479" s="47">
        <f>IF($B479="","",IF(INDEX('Work Orders'!$U$11:$U$1010,$B479)="","",INDEX('Work Orders'!$U$11:$U$1010,$B479)))</f>
        <v/>
      </c>
      <c r="I479" s="47">
        <f>IF($B479="","",IF(INDEX('Work Orders'!$X$11:$X$1010,$B479)="","",INDEX('Work Orders'!$X$11:$X$1010,$B479)))</f>
        <v/>
      </c>
      <c r="J479" s="44">
        <f>IF($B479="","",IF(INDEX('Work Orders'!$Z$11:$Z$1010,$B479)="","",INDEX('Work Orders'!$Z$11:$Z$1010,$B479)))</f>
        <v/>
      </c>
      <c r="K479" s="44">
        <f>IF($B479="","",IF(INDEX('Work Orders'!$AG$11:$AG$1010,$B479)="","",INDEX('Work Orders'!$AG$11:$AG$1010,$B479)))</f>
        <v/>
      </c>
      <c r="L479" s="44">
        <f>IF($B479="","",IF(INDEX('Work Orders'!$AH$11:$AH$1010,$B479)="","",INDEX('Work Orders'!$AH$11:$AH$1010,$B479)))</f>
        <v/>
      </c>
      <c r="M479" s="46">
        <f>IF($B479="","",IF(INDEX('Work Orders'!$AM$11:$AM$1010,$B479)="","",INDEX('Work Orders'!$AM$11:$AM$1010,$B479)))</f>
        <v/>
      </c>
      <c r="N479" s="43">
        <f>IF($B479="","",IF(INDEX('Work Orders'!$AL$11:$AL$1010,$B479)="","",INDEX('Work Orders'!$AL$11:$AL$1010,$B479)))</f>
        <v/>
      </c>
      <c r="O479" s="43">
        <f>IF($B479="","",IF(INDEX('Work Orders'!$N$11:$N$1010,$B479)="","",INDEX('Work Orders'!$N$11:$N$1010,$B479)))</f>
        <v/>
      </c>
    </row>
    <row r="480">
      <c r="A480" s="68" t="n">
        <v>474</v>
      </c>
      <c r="B480">
        <f>IFERROR(MATCH(A480,'Work Orders'!$AO$11:$AO$1010,0),"")</f>
        <v/>
      </c>
      <c r="C480" s="43">
        <f>IF($B480="","",IF(INDEX('Work Orders'!$A$11:$A$1010,$B480)="","",INDEX('Work Orders'!$A$11:$A$1010,$B480)))</f>
        <v/>
      </c>
      <c r="D480" s="43">
        <f>IF($B480="","",IF(INDEX('Work Orders'!$B$11:$B$1010,$B480)="","",INDEX('Work Orders'!$B$11:$B$1010,$B480)))</f>
        <v/>
      </c>
      <c r="E480" s="43">
        <f>IF($B480="","",IF(INDEX('Work Orders'!$D$11:$D$1010,$B480)="","",INDEX('Work Orders'!$D$11:$D$1010,$B480)))</f>
        <v/>
      </c>
      <c r="F480" s="43">
        <f>IF($B480="","",IF(INDEX('Work Orders'!$Q$11:$Q$1010,$B480)="","",INDEX('Work Orders'!$Q$11:$Q$1010,$B480)))</f>
        <v/>
      </c>
      <c r="G480" s="43">
        <f>IF($B480="","",IF(INDEX('Work Orders'!$V$11:$V$1010,$B480)="","",INDEX('Work Orders'!$V$11:$V$1010,$B480)))</f>
        <v/>
      </c>
      <c r="H480" s="47">
        <f>IF($B480="","",IF(INDEX('Work Orders'!$U$11:$U$1010,$B480)="","",INDEX('Work Orders'!$U$11:$U$1010,$B480)))</f>
        <v/>
      </c>
      <c r="I480" s="47">
        <f>IF($B480="","",IF(INDEX('Work Orders'!$X$11:$X$1010,$B480)="","",INDEX('Work Orders'!$X$11:$X$1010,$B480)))</f>
        <v/>
      </c>
      <c r="J480" s="44">
        <f>IF($B480="","",IF(INDEX('Work Orders'!$Z$11:$Z$1010,$B480)="","",INDEX('Work Orders'!$Z$11:$Z$1010,$B480)))</f>
        <v/>
      </c>
      <c r="K480" s="44">
        <f>IF($B480="","",IF(INDEX('Work Orders'!$AG$11:$AG$1010,$B480)="","",INDEX('Work Orders'!$AG$11:$AG$1010,$B480)))</f>
        <v/>
      </c>
      <c r="L480" s="44">
        <f>IF($B480="","",IF(INDEX('Work Orders'!$AH$11:$AH$1010,$B480)="","",INDEX('Work Orders'!$AH$11:$AH$1010,$B480)))</f>
        <v/>
      </c>
      <c r="M480" s="46">
        <f>IF($B480="","",IF(INDEX('Work Orders'!$AM$11:$AM$1010,$B480)="","",INDEX('Work Orders'!$AM$11:$AM$1010,$B480)))</f>
        <v/>
      </c>
      <c r="N480" s="43">
        <f>IF($B480="","",IF(INDEX('Work Orders'!$AL$11:$AL$1010,$B480)="","",INDEX('Work Orders'!$AL$11:$AL$1010,$B480)))</f>
        <v/>
      </c>
      <c r="O480" s="43">
        <f>IF($B480="","",IF(INDEX('Work Orders'!$N$11:$N$1010,$B480)="","",INDEX('Work Orders'!$N$11:$N$1010,$B480)))</f>
        <v/>
      </c>
    </row>
    <row r="481">
      <c r="A481" s="68" t="n">
        <v>475</v>
      </c>
      <c r="B481">
        <f>IFERROR(MATCH(A481,'Work Orders'!$AO$11:$AO$1010,0),"")</f>
        <v/>
      </c>
      <c r="C481" s="43">
        <f>IF($B481="","",IF(INDEX('Work Orders'!$A$11:$A$1010,$B481)="","",INDEX('Work Orders'!$A$11:$A$1010,$B481)))</f>
        <v/>
      </c>
      <c r="D481" s="43">
        <f>IF($B481="","",IF(INDEX('Work Orders'!$B$11:$B$1010,$B481)="","",INDEX('Work Orders'!$B$11:$B$1010,$B481)))</f>
        <v/>
      </c>
      <c r="E481" s="43">
        <f>IF($B481="","",IF(INDEX('Work Orders'!$D$11:$D$1010,$B481)="","",INDEX('Work Orders'!$D$11:$D$1010,$B481)))</f>
        <v/>
      </c>
      <c r="F481" s="43">
        <f>IF($B481="","",IF(INDEX('Work Orders'!$Q$11:$Q$1010,$B481)="","",INDEX('Work Orders'!$Q$11:$Q$1010,$B481)))</f>
        <v/>
      </c>
      <c r="G481" s="43">
        <f>IF($B481="","",IF(INDEX('Work Orders'!$V$11:$V$1010,$B481)="","",INDEX('Work Orders'!$V$11:$V$1010,$B481)))</f>
        <v/>
      </c>
      <c r="H481" s="47">
        <f>IF($B481="","",IF(INDEX('Work Orders'!$U$11:$U$1010,$B481)="","",INDEX('Work Orders'!$U$11:$U$1010,$B481)))</f>
        <v/>
      </c>
      <c r="I481" s="47">
        <f>IF($B481="","",IF(INDEX('Work Orders'!$X$11:$X$1010,$B481)="","",INDEX('Work Orders'!$X$11:$X$1010,$B481)))</f>
        <v/>
      </c>
      <c r="J481" s="44">
        <f>IF($B481="","",IF(INDEX('Work Orders'!$Z$11:$Z$1010,$B481)="","",INDEX('Work Orders'!$Z$11:$Z$1010,$B481)))</f>
        <v/>
      </c>
      <c r="K481" s="44">
        <f>IF($B481="","",IF(INDEX('Work Orders'!$AG$11:$AG$1010,$B481)="","",INDEX('Work Orders'!$AG$11:$AG$1010,$B481)))</f>
        <v/>
      </c>
      <c r="L481" s="44">
        <f>IF($B481="","",IF(INDEX('Work Orders'!$AH$11:$AH$1010,$B481)="","",INDEX('Work Orders'!$AH$11:$AH$1010,$B481)))</f>
        <v/>
      </c>
      <c r="M481" s="46">
        <f>IF($B481="","",IF(INDEX('Work Orders'!$AM$11:$AM$1010,$B481)="","",INDEX('Work Orders'!$AM$11:$AM$1010,$B481)))</f>
        <v/>
      </c>
      <c r="N481" s="43">
        <f>IF($B481="","",IF(INDEX('Work Orders'!$AL$11:$AL$1010,$B481)="","",INDEX('Work Orders'!$AL$11:$AL$1010,$B481)))</f>
        <v/>
      </c>
      <c r="O481" s="43">
        <f>IF($B481="","",IF(INDEX('Work Orders'!$N$11:$N$1010,$B481)="","",INDEX('Work Orders'!$N$11:$N$1010,$B481)))</f>
        <v/>
      </c>
    </row>
    <row r="482">
      <c r="A482" s="68" t="n">
        <v>476</v>
      </c>
      <c r="B482">
        <f>IFERROR(MATCH(A482,'Work Orders'!$AO$11:$AO$1010,0),"")</f>
        <v/>
      </c>
      <c r="C482" s="43">
        <f>IF($B482="","",IF(INDEX('Work Orders'!$A$11:$A$1010,$B482)="","",INDEX('Work Orders'!$A$11:$A$1010,$B482)))</f>
        <v/>
      </c>
      <c r="D482" s="43">
        <f>IF($B482="","",IF(INDEX('Work Orders'!$B$11:$B$1010,$B482)="","",INDEX('Work Orders'!$B$11:$B$1010,$B482)))</f>
        <v/>
      </c>
      <c r="E482" s="43">
        <f>IF($B482="","",IF(INDEX('Work Orders'!$D$11:$D$1010,$B482)="","",INDEX('Work Orders'!$D$11:$D$1010,$B482)))</f>
        <v/>
      </c>
      <c r="F482" s="43">
        <f>IF($B482="","",IF(INDEX('Work Orders'!$Q$11:$Q$1010,$B482)="","",INDEX('Work Orders'!$Q$11:$Q$1010,$B482)))</f>
        <v/>
      </c>
      <c r="G482" s="43">
        <f>IF($B482="","",IF(INDEX('Work Orders'!$V$11:$V$1010,$B482)="","",INDEX('Work Orders'!$V$11:$V$1010,$B482)))</f>
        <v/>
      </c>
      <c r="H482" s="47">
        <f>IF($B482="","",IF(INDEX('Work Orders'!$U$11:$U$1010,$B482)="","",INDEX('Work Orders'!$U$11:$U$1010,$B482)))</f>
        <v/>
      </c>
      <c r="I482" s="47">
        <f>IF($B482="","",IF(INDEX('Work Orders'!$X$11:$X$1010,$B482)="","",INDEX('Work Orders'!$X$11:$X$1010,$B482)))</f>
        <v/>
      </c>
      <c r="J482" s="44">
        <f>IF($B482="","",IF(INDEX('Work Orders'!$Z$11:$Z$1010,$B482)="","",INDEX('Work Orders'!$Z$11:$Z$1010,$B482)))</f>
        <v/>
      </c>
      <c r="K482" s="44">
        <f>IF($B482="","",IF(INDEX('Work Orders'!$AG$11:$AG$1010,$B482)="","",INDEX('Work Orders'!$AG$11:$AG$1010,$B482)))</f>
        <v/>
      </c>
      <c r="L482" s="44">
        <f>IF($B482="","",IF(INDEX('Work Orders'!$AH$11:$AH$1010,$B482)="","",INDEX('Work Orders'!$AH$11:$AH$1010,$B482)))</f>
        <v/>
      </c>
      <c r="M482" s="46">
        <f>IF($B482="","",IF(INDEX('Work Orders'!$AM$11:$AM$1010,$B482)="","",INDEX('Work Orders'!$AM$11:$AM$1010,$B482)))</f>
        <v/>
      </c>
      <c r="N482" s="43">
        <f>IF($B482="","",IF(INDEX('Work Orders'!$AL$11:$AL$1010,$B482)="","",INDEX('Work Orders'!$AL$11:$AL$1010,$B482)))</f>
        <v/>
      </c>
      <c r="O482" s="43">
        <f>IF($B482="","",IF(INDEX('Work Orders'!$N$11:$N$1010,$B482)="","",INDEX('Work Orders'!$N$11:$N$1010,$B482)))</f>
        <v/>
      </c>
    </row>
    <row r="483">
      <c r="A483" s="68" t="n">
        <v>477</v>
      </c>
      <c r="B483">
        <f>IFERROR(MATCH(A483,'Work Orders'!$AO$11:$AO$1010,0),"")</f>
        <v/>
      </c>
      <c r="C483" s="43">
        <f>IF($B483="","",IF(INDEX('Work Orders'!$A$11:$A$1010,$B483)="","",INDEX('Work Orders'!$A$11:$A$1010,$B483)))</f>
        <v/>
      </c>
      <c r="D483" s="43">
        <f>IF($B483="","",IF(INDEX('Work Orders'!$B$11:$B$1010,$B483)="","",INDEX('Work Orders'!$B$11:$B$1010,$B483)))</f>
        <v/>
      </c>
      <c r="E483" s="43">
        <f>IF($B483="","",IF(INDEX('Work Orders'!$D$11:$D$1010,$B483)="","",INDEX('Work Orders'!$D$11:$D$1010,$B483)))</f>
        <v/>
      </c>
      <c r="F483" s="43">
        <f>IF($B483="","",IF(INDEX('Work Orders'!$Q$11:$Q$1010,$B483)="","",INDEX('Work Orders'!$Q$11:$Q$1010,$B483)))</f>
        <v/>
      </c>
      <c r="G483" s="43">
        <f>IF($B483="","",IF(INDEX('Work Orders'!$V$11:$V$1010,$B483)="","",INDEX('Work Orders'!$V$11:$V$1010,$B483)))</f>
        <v/>
      </c>
      <c r="H483" s="47">
        <f>IF($B483="","",IF(INDEX('Work Orders'!$U$11:$U$1010,$B483)="","",INDEX('Work Orders'!$U$11:$U$1010,$B483)))</f>
        <v/>
      </c>
      <c r="I483" s="47">
        <f>IF($B483="","",IF(INDEX('Work Orders'!$X$11:$X$1010,$B483)="","",INDEX('Work Orders'!$X$11:$X$1010,$B483)))</f>
        <v/>
      </c>
      <c r="J483" s="44">
        <f>IF($B483="","",IF(INDEX('Work Orders'!$Z$11:$Z$1010,$B483)="","",INDEX('Work Orders'!$Z$11:$Z$1010,$B483)))</f>
        <v/>
      </c>
      <c r="K483" s="44">
        <f>IF($B483="","",IF(INDEX('Work Orders'!$AG$11:$AG$1010,$B483)="","",INDEX('Work Orders'!$AG$11:$AG$1010,$B483)))</f>
        <v/>
      </c>
      <c r="L483" s="44">
        <f>IF($B483="","",IF(INDEX('Work Orders'!$AH$11:$AH$1010,$B483)="","",INDEX('Work Orders'!$AH$11:$AH$1010,$B483)))</f>
        <v/>
      </c>
      <c r="M483" s="46">
        <f>IF($B483="","",IF(INDEX('Work Orders'!$AM$11:$AM$1010,$B483)="","",INDEX('Work Orders'!$AM$11:$AM$1010,$B483)))</f>
        <v/>
      </c>
      <c r="N483" s="43">
        <f>IF($B483="","",IF(INDEX('Work Orders'!$AL$11:$AL$1010,$B483)="","",INDEX('Work Orders'!$AL$11:$AL$1010,$B483)))</f>
        <v/>
      </c>
      <c r="O483" s="43">
        <f>IF($B483="","",IF(INDEX('Work Orders'!$N$11:$N$1010,$B483)="","",INDEX('Work Orders'!$N$11:$N$1010,$B483)))</f>
        <v/>
      </c>
    </row>
    <row r="484">
      <c r="A484" s="68" t="n">
        <v>478</v>
      </c>
      <c r="B484">
        <f>IFERROR(MATCH(A484,'Work Orders'!$AO$11:$AO$1010,0),"")</f>
        <v/>
      </c>
      <c r="C484" s="43">
        <f>IF($B484="","",IF(INDEX('Work Orders'!$A$11:$A$1010,$B484)="","",INDEX('Work Orders'!$A$11:$A$1010,$B484)))</f>
        <v/>
      </c>
      <c r="D484" s="43">
        <f>IF($B484="","",IF(INDEX('Work Orders'!$B$11:$B$1010,$B484)="","",INDEX('Work Orders'!$B$11:$B$1010,$B484)))</f>
        <v/>
      </c>
      <c r="E484" s="43">
        <f>IF($B484="","",IF(INDEX('Work Orders'!$D$11:$D$1010,$B484)="","",INDEX('Work Orders'!$D$11:$D$1010,$B484)))</f>
        <v/>
      </c>
      <c r="F484" s="43">
        <f>IF($B484="","",IF(INDEX('Work Orders'!$Q$11:$Q$1010,$B484)="","",INDEX('Work Orders'!$Q$11:$Q$1010,$B484)))</f>
        <v/>
      </c>
      <c r="G484" s="43">
        <f>IF($B484="","",IF(INDEX('Work Orders'!$V$11:$V$1010,$B484)="","",INDEX('Work Orders'!$V$11:$V$1010,$B484)))</f>
        <v/>
      </c>
      <c r="H484" s="47">
        <f>IF($B484="","",IF(INDEX('Work Orders'!$U$11:$U$1010,$B484)="","",INDEX('Work Orders'!$U$11:$U$1010,$B484)))</f>
        <v/>
      </c>
      <c r="I484" s="47">
        <f>IF($B484="","",IF(INDEX('Work Orders'!$X$11:$X$1010,$B484)="","",INDEX('Work Orders'!$X$11:$X$1010,$B484)))</f>
        <v/>
      </c>
      <c r="J484" s="44">
        <f>IF($B484="","",IF(INDEX('Work Orders'!$Z$11:$Z$1010,$B484)="","",INDEX('Work Orders'!$Z$11:$Z$1010,$B484)))</f>
        <v/>
      </c>
      <c r="K484" s="44">
        <f>IF($B484="","",IF(INDEX('Work Orders'!$AG$11:$AG$1010,$B484)="","",INDEX('Work Orders'!$AG$11:$AG$1010,$B484)))</f>
        <v/>
      </c>
      <c r="L484" s="44">
        <f>IF($B484="","",IF(INDEX('Work Orders'!$AH$11:$AH$1010,$B484)="","",INDEX('Work Orders'!$AH$11:$AH$1010,$B484)))</f>
        <v/>
      </c>
      <c r="M484" s="46">
        <f>IF($B484="","",IF(INDEX('Work Orders'!$AM$11:$AM$1010,$B484)="","",INDEX('Work Orders'!$AM$11:$AM$1010,$B484)))</f>
        <v/>
      </c>
      <c r="N484" s="43">
        <f>IF($B484="","",IF(INDEX('Work Orders'!$AL$11:$AL$1010,$B484)="","",INDEX('Work Orders'!$AL$11:$AL$1010,$B484)))</f>
        <v/>
      </c>
      <c r="O484" s="43">
        <f>IF($B484="","",IF(INDEX('Work Orders'!$N$11:$N$1010,$B484)="","",INDEX('Work Orders'!$N$11:$N$1010,$B484)))</f>
        <v/>
      </c>
    </row>
    <row r="485">
      <c r="A485" s="68" t="n">
        <v>479</v>
      </c>
      <c r="B485">
        <f>IFERROR(MATCH(A485,'Work Orders'!$AO$11:$AO$1010,0),"")</f>
        <v/>
      </c>
      <c r="C485" s="43">
        <f>IF($B485="","",IF(INDEX('Work Orders'!$A$11:$A$1010,$B485)="","",INDEX('Work Orders'!$A$11:$A$1010,$B485)))</f>
        <v/>
      </c>
      <c r="D485" s="43">
        <f>IF($B485="","",IF(INDEX('Work Orders'!$B$11:$B$1010,$B485)="","",INDEX('Work Orders'!$B$11:$B$1010,$B485)))</f>
        <v/>
      </c>
      <c r="E485" s="43">
        <f>IF($B485="","",IF(INDEX('Work Orders'!$D$11:$D$1010,$B485)="","",INDEX('Work Orders'!$D$11:$D$1010,$B485)))</f>
        <v/>
      </c>
      <c r="F485" s="43">
        <f>IF($B485="","",IF(INDEX('Work Orders'!$Q$11:$Q$1010,$B485)="","",INDEX('Work Orders'!$Q$11:$Q$1010,$B485)))</f>
        <v/>
      </c>
      <c r="G485" s="43">
        <f>IF($B485="","",IF(INDEX('Work Orders'!$V$11:$V$1010,$B485)="","",INDEX('Work Orders'!$V$11:$V$1010,$B485)))</f>
        <v/>
      </c>
      <c r="H485" s="47">
        <f>IF($B485="","",IF(INDEX('Work Orders'!$U$11:$U$1010,$B485)="","",INDEX('Work Orders'!$U$11:$U$1010,$B485)))</f>
        <v/>
      </c>
      <c r="I485" s="47">
        <f>IF($B485="","",IF(INDEX('Work Orders'!$X$11:$X$1010,$B485)="","",INDEX('Work Orders'!$X$11:$X$1010,$B485)))</f>
        <v/>
      </c>
      <c r="J485" s="44">
        <f>IF($B485="","",IF(INDEX('Work Orders'!$Z$11:$Z$1010,$B485)="","",INDEX('Work Orders'!$Z$11:$Z$1010,$B485)))</f>
        <v/>
      </c>
      <c r="K485" s="44">
        <f>IF($B485="","",IF(INDEX('Work Orders'!$AG$11:$AG$1010,$B485)="","",INDEX('Work Orders'!$AG$11:$AG$1010,$B485)))</f>
        <v/>
      </c>
      <c r="L485" s="44">
        <f>IF($B485="","",IF(INDEX('Work Orders'!$AH$11:$AH$1010,$B485)="","",INDEX('Work Orders'!$AH$11:$AH$1010,$B485)))</f>
        <v/>
      </c>
      <c r="M485" s="46">
        <f>IF($B485="","",IF(INDEX('Work Orders'!$AM$11:$AM$1010,$B485)="","",INDEX('Work Orders'!$AM$11:$AM$1010,$B485)))</f>
        <v/>
      </c>
      <c r="N485" s="43">
        <f>IF($B485="","",IF(INDEX('Work Orders'!$AL$11:$AL$1010,$B485)="","",INDEX('Work Orders'!$AL$11:$AL$1010,$B485)))</f>
        <v/>
      </c>
      <c r="O485" s="43">
        <f>IF($B485="","",IF(INDEX('Work Orders'!$N$11:$N$1010,$B485)="","",INDEX('Work Orders'!$N$11:$N$1010,$B485)))</f>
        <v/>
      </c>
    </row>
    <row r="486">
      <c r="A486" s="68" t="n">
        <v>480</v>
      </c>
      <c r="B486">
        <f>IFERROR(MATCH(A486,'Work Orders'!$AO$11:$AO$1010,0),"")</f>
        <v/>
      </c>
      <c r="C486" s="43">
        <f>IF($B486="","",IF(INDEX('Work Orders'!$A$11:$A$1010,$B486)="","",INDEX('Work Orders'!$A$11:$A$1010,$B486)))</f>
        <v/>
      </c>
      <c r="D486" s="43">
        <f>IF($B486="","",IF(INDEX('Work Orders'!$B$11:$B$1010,$B486)="","",INDEX('Work Orders'!$B$11:$B$1010,$B486)))</f>
        <v/>
      </c>
      <c r="E486" s="43">
        <f>IF($B486="","",IF(INDEX('Work Orders'!$D$11:$D$1010,$B486)="","",INDEX('Work Orders'!$D$11:$D$1010,$B486)))</f>
        <v/>
      </c>
      <c r="F486" s="43">
        <f>IF($B486="","",IF(INDEX('Work Orders'!$Q$11:$Q$1010,$B486)="","",INDEX('Work Orders'!$Q$11:$Q$1010,$B486)))</f>
        <v/>
      </c>
      <c r="G486" s="43">
        <f>IF($B486="","",IF(INDEX('Work Orders'!$V$11:$V$1010,$B486)="","",INDEX('Work Orders'!$V$11:$V$1010,$B486)))</f>
        <v/>
      </c>
      <c r="H486" s="47">
        <f>IF($B486="","",IF(INDEX('Work Orders'!$U$11:$U$1010,$B486)="","",INDEX('Work Orders'!$U$11:$U$1010,$B486)))</f>
        <v/>
      </c>
      <c r="I486" s="47">
        <f>IF($B486="","",IF(INDEX('Work Orders'!$X$11:$X$1010,$B486)="","",INDEX('Work Orders'!$X$11:$X$1010,$B486)))</f>
        <v/>
      </c>
      <c r="J486" s="44">
        <f>IF($B486="","",IF(INDEX('Work Orders'!$Z$11:$Z$1010,$B486)="","",INDEX('Work Orders'!$Z$11:$Z$1010,$B486)))</f>
        <v/>
      </c>
      <c r="K486" s="44">
        <f>IF($B486="","",IF(INDEX('Work Orders'!$AG$11:$AG$1010,$B486)="","",INDEX('Work Orders'!$AG$11:$AG$1010,$B486)))</f>
        <v/>
      </c>
      <c r="L486" s="44">
        <f>IF($B486="","",IF(INDEX('Work Orders'!$AH$11:$AH$1010,$B486)="","",INDEX('Work Orders'!$AH$11:$AH$1010,$B486)))</f>
        <v/>
      </c>
      <c r="M486" s="46">
        <f>IF($B486="","",IF(INDEX('Work Orders'!$AM$11:$AM$1010,$B486)="","",INDEX('Work Orders'!$AM$11:$AM$1010,$B486)))</f>
        <v/>
      </c>
      <c r="N486" s="43">
        <f>IF($B486="","",IF(INDEX('Work Orders'!$AL$11:$AL$1010,$B486)="","",INDEX('Work Orders'!$AL$11:$AL$1010,$B486)))</f>
        <v/>
      </c>
      <c r="O486" s="43">
        <f>IF($B486="","",IF(INDEX('Work Orders'!$N$11:$N$1010,$B486)="","",INDEX('Work Orders'!$N$11:$N$1010,$B486)))</f>
        <v/>
      </c>
    </row>
    <row r="487">
      <c r="A487" s="68" t="n">
        <v>481</v>
      </c>
      <c r="B487">
        <f>IFERROR(MATCH(A487,'Work Orders'!$AO$11:$AO$1010,0),"")</f>
        <v/>
      </c>
      <c r="C487" s="43">
        <f>IF($B487="","",IF(INDEX('Work Orders'!$A$11:$A$1010,$B487)="","",INDEX('Work Orders'!$A$11:$A$1010,$B487)))</f>
        <v/>
      </c>
      <c r="D487" s="43">
        <f>IF($B487="","",IF(INDEX('Work Orders'!$B$11:$B$1010,$B487)="","",INDEX('Work Orders'!$B$11:$B$1010,$B487)))</f>
        <v/>
      </c>
      <c r="E487" s="43">
        <f>IF($B487="","",IF(INDEX('Work Orders'!$D$11:$D$1010,$B487)="","",INDEX('Work Orders'!$D$11:$D$1010,$B487)))</f>
        <v/>
      </c>
      <c r="F487" s="43">
        <f>IF($B487="","",IF(INDEX('Work Orders'!$Q$11:$Q$1010,$B487)="","",INDEX('Work Orders'!$Q$11:$Q$1010,$B487)))</f>
        <v/>
      </c>
      <c r="G487" s="43">
        <f>IF($B487="","",IF(INDEX('Work Orders'!$V$11:$V$1010,$B487)="","",INDEX('Work Orders'!$V$11:$V$1010,$B487)))</f>
        <v/>
      </c>
      <c r="H487" s="47">
        <f>IF($B487="","",IF(INDEX('Work Orders'!$U$11:$U$1010,$B487)="","",INDEX('Work Orders'!$U$11:$U$1010,$B487)))</f>
        <v/>
      </c>
      <c r="I487" s="47">
        <f>IF($B487="","",IF(INDEX('Work Orders'!$X$11:$X$1010,$B487)="","",INDEX('Work Orders'!$X$11:$X$1010,$B487)))</f>
        <v/>
      </c>
      <c r="J487" s="44">
        <f>IF($B487="","",IF(INDEX('Work Orders'!$Z$11:$Z$1010,$B487)="","",INDEX('Work Orders'!$Z$11:$Z$1010,$B487)))</f>
        <v/>
      </c>
      <c r="K487" s="44">
        <f>IF($B487="","",IF(INDEX('Work Orders'!$AG$11:$AG$1010,$B487)="","",INDEX('Work Orders'!$AG$11:$AG$1010,$B487)))</f>
        <v/>
      </c>
      <c r="L487" s="44">
        <f>IF($B487="","",IF(INDEX('Work Orders'!$AH$11:$AH$1010,$B487)="","",INDEX('Work Orders'!$AH$11:$AH$1010,$B487)))</f>
        <v/>
      </c>
      <c r="M487" s="46">
        <f>IF($B487="","",IF(INDEX('Work Orders'!$AM$11:$AM$1010,$B487)="","",INDEX('Work Orders'!$AM$11:$AM$1010,$B487)))</f>
        <v/>
      </c>
      <c r="N487" s="43">
        <f>IF($B487="","",IF(INDEX('Work Orders'!$AL$11:$AL$1010,$B487)="","",INDEX('Work Orders'!$AL$11:$AL$1010,$B487)))</f>
        <v/>
      </c>
      <c r="O487" s="43">
        <f>IF($B487="","",IF(INDEX('Work Orders'!$N$11:$N$1010,$B487)="","",INDEX('Work Orders'!$N$11:$N$1010,$B487)))</f>
        <v/>
      </c>
    </row>
    <row r="488">
      <c r="A488" s="68" t="n">
        <v>482</v>
      </c>
      <c r="B488">
        <f>IFERROR(MATCH(A488,'Work Orders'!$AO$11:$AO$1010,0),"")</f>
        <v/>
      </c>
      <c r="C488" s="43">
        <f>IF($B488="","",IF(INDEX('Work Orders'!$A$11:$A$1010,$B488)="","",INDEX('Work Orders'!$A$11:$A$1010,$B488)))</f>
        <v/>
      </c>
      <c r="D488" s="43">
        <f>IF($B488="","",IF(INDEX('Work Orders'!$B$11:$B$1010,$B488)="","",INDEX('Work Orders'!$B$11:$B$1010,$B488)))</f>
        <v/>
      </c>
      <c r="E488" s="43">
        <f>IF($B488="","",IF(INDEX('Work Orders'!$D$11:$D$1010,$B488)="","",INDEX('Work Orders'!$D$11:$D$1010,$B488)))</f>
        <v/>
      </c>
      <c r="F488" s="43">
        <f>IF($B488="","",IF(INDEX('Work Orders'!$Q$11:$Q$1010,$B488)="","",INDEX('Work Orders'!$Q$11:$Q$1010,$B488)))</f>
        <v/>
      </c>
      <c r="G488" s="43">
        <f>IF($B488="","",IF(INDEX('Work Orders'!$V$11:$V$1010,$B488)="","",INDEX('Work Orders'!$V$11:$V$1010,$B488)))</f>
        <v/>
      </c>
      <c r="H488" s="47">
        <f>IF($B488="","",IF(INDEX('Work Orders'!$U$11:$U$1010,$B488)="","",INDEX('Work Orders'!$U$11:$U$1010,$B488)))</f>
        <v/>
      </c>
      <c r="I488" s="47">
        <f>IF($B488="","",IF(INDEX('Work Orders'!$X$11:$X$1010,$B488)="","",INDEX('Work Orders'!$X$11:$X$1010,$B488)))</f>
        <v/>
      </c>
      <c r="J488" s="44">
        <f>IF($B488="","",IF(INDEX('Work Orders'!$Z$11:$Z$1010,$B488)="","",INDEX('Work Orders'!$Z$11:$Z$1010,$B488)))</f>
        <v/>
      </c>
      <c r="K488" s="44">
        <f>IF($B488="","",IF(INDEX('Work Orders'!$AG$11:$AG$1010,$B488)="","",INDEX('Work Orders'!$AG$11:$AG$1010,$B488)))</f>
        <v/>
      </c>
      <c r="L488" s="44">
        <f>IF($B488="","",IF(INDEX('Work Orders'!$AH$11:$AH$1010,$B488)="","",INDEX('Work Orders'!$AH$11:$AH$1010,$B488)))</f>
        <v/>
      </c>
      <c r="M488" s="46">
        <f>IF($B488="","",IF(INDEX('Work Orders'!$AM$11:$AM$1010,$B488)="","",INDEX('Work Orders'!$AM$11:$AM$1010,$B488)))</f>
        <v/>
      </c>
      <c r="N488" s="43">
        <f>IF($B488="","",IF(INDEX('Work Orders'!$AL$11:$AL$1010,$B488)="","",INDEX('Work Orders'!$AL$11:$AL$1010,$B488)))</f>
        <v/>
      </c>
      <c r="O488" s="43">
        <f>IF($B488="","",IF(INDEX('Work Orders'!$N$11:$N$1010,$B488)="","",INDEX('Work Orders'!$N$11:$N$1010,$B488)))</f>
        <v/>
      </c>
    </row>
    <row r="489">
      <c r="A489" s="68" t="n">
        <v>483</v>
      </c>
      <c r="B489">
        <f>IFERROR(MATCH(A489,'Work Orders'!$AO$11:$AO$1010,0),"")</f>
        <v/>
      </c>
      <c r="C489" s="43">
        <f>IF($B489="","",IF(INDEX('Work Orders'!$A$11:$A$1010,$B489)="","",INDEX('Work Orders'!$A$11:$A$1010,$B489)))</f>
        <v/>
      </c>
      <c r="D489" s="43">
        <f>IF($B489="","",IF(INDEX('Work Orders'!$B$11:$B$1010,$B489)="","",INDEX('Work Orders'!$B$11:$B$1010,$B489)))</f>
        <v/>
      </c>
      <c r="E489" s="43">
        <f>IF($B489="","",IF(INDEX('Work Orders'!$D$11:$D$1010,$B489)="","",INDEX('Work Orders'!$D$11:$D$1010,$B489)))</f>
        <v/>
      </c>
      <c r="F489" s="43">
        <f>IF($B489="","",IF(INDEX('Work Orders'!$Q$11:$Q$1010,$B489)="","",INDEX('Work Orders'!$Q$11:$Q$1010,$B489)))</f>
        <v/>
      </c>
      <c r="G489" s="43">
        <f>IF($B489="","",IF(INDEX('Work Orders'!$V$11:$V$1010,$B489)="","",INDEX('Work Orders'!$V$11:$V$1010,$B489)))</f>
        <v/>
      </c>
      <c r="H489" s="47">
        <f>IF($B489="","",IF(INDEX('Work Orders'!$U$11:$U$1010,$B489)="","",INDEX('Work Orders'!$U$11:$U$1010,$B489)))</f>
        <v/>
      </c>
      <c r="I489" s="47">
        <f>IF($B489="","",IF(INDEX('Work Orders'!$X$11:$X$1010,$B489)="","",INDEX('Work Orders'!$X$11:$X$1010,$B489)))</f>
        <v/>
      </c>
      <c r="J489" s="44">
        <f>IF($B489="","",IF(INDEX('Work Orders'!$Z$11:$Z$1010,$B489)="","",INDEX('Work Orders'!$Z$11:$Z$1010,$B489)))</f>
        <v/>
      </c>
      <c r="K489" s="44">
        <f>IF($B489="","",IF(INDEX('Work Orders'!$AG$11:$AG$1010,$B489)="","",INDEX('Work Orders'!$AG$11:$AG$1010,$B489)))</f>
        <v/>
      </c>
      <c r="L489" s="44">
        <f>IF($B489="","",IF(INDEX('Work Orders'!$AH$11:$AH$1010,$B489)="","",INDEX('Work Orders'!$AH$11:$AH$1010,$B489)))</f>
        <v/>
      </c>
      <c r="M489" s="46">
        <f>IF($B489="","",IF(INDEX('Work Orders'!$AM$11:$AM$1010,$B489)="","",INDEX('Work Orders'!$AM$11:$AM$1010,$B489)))</f>
        <v/>
      </c>
      <c r="N489" s="43">
        <f>IF($B489="","",IF(INDEX('Work Orders'!$AL$11:$AL$1010,$B489)="","",INDEX('Work Orders'!$AL$11:$AL$1010,$B489)))</f>
        <v/>
      </c>
      <c r="O489" s="43">
        <f>IF($B489="","",IF(INDEX('Work Orders'!$N$11:$N$1010,$B489)="","",INDEX('Work Orders'!$N$11:$N$1010,$B489)))</f>
        <v/>
      </c>
    </row>
    <row r="490">
      <c r="A490" s="68" t="n">
        <v>484</v>
      </c>
      <c r="B490">
        <f>IFERROR(MATCH(A490,'Work Orders'!$AO$11:$AO$1010,0),"")</f>
        <v/>
      </c>
      <c r="C490" s="43">
        <f>IF($B490="","",IF(INDEX('Work Orders'!$A$11:$A$1010,$B490)="","",INDEX('Work Orders'!$A$11:$A$1010,$B490)))</f>
        <v/>
      </c>
      <c r="D490" s="43">
        <f>IF($B490="","",IF(INDEX('Work Orders'!$B$11:$B$1010,$B490)="","",INDEX('Work Orders'!$B$11:$B$1010,$B490)))</f>
        <v/>
      </c>
      <c r="E490" s="43">
        <f>IF($B490="","",IF(INDEX('Work Orders'!$D$11:$D$1010,$B490)="","",INDEX('Work Orders'!$D$11:$D$1010,$B490)))</f>
        <v/>
      </c>
      <c r="F490" s="43">
        <f>IF($B490="","",IF(INDEX('Work Orders'!$Q$11:$Q$1010,$B490)="","",INDEX('Work Orders'!$Q$11:$Q$1010,$B490)))</f>
        <v/>
      </c>
      <c r="G490" s="43">
        <f>IF($B490="","",IF(INDEX('Work Orders'!$V$11:$V$1010,$B490)="","",INDEX('Work Orders'!$V$11:$V$1010,$B490)))</f>
        <v/>
      </c>
      <c r="H490" s="47">
        <f>IF($B490="","",IF(INDEX('Work Orders'!$U$11:$U$1010,$B490)="","",INDEX('Work Orders'!$U$11:$U$1010,$B490)))</f>
        <v/>
      </c>
      <c r="I490" s="47">
        <f>IF($B490="","",IF(INDEX('Work Orders'!$X$11:$X$1010,$B490)="","",INDEX('Work Orders'!$X$11:$X$1010,$B490)))</f>
        <v/>
      </c>
      <c r="J490" s="44">
        <f>IF($B490="","",IF(INDEX('Work Orders'!$Z$11:$Z$1010,$B490)="","",INDEX('Work Orders'!$Z$11:$Z$1010,$B490)))</f>
        <v/>
      </c>
      <c r="K490" s="44">
        <f>IF($B490="","",IF(INDEX('Work Orders'!$AG$11:$AG$1010,$B490)="","",INDEX('Work Orders'!$AG$11:$AG$1010,$B490)))</f>
        <v/>
      </c>
      <c r="L490" s="44">
        <f>IF($B490="","",IF(INDEX('Work Orders'!$AH$11:$AH$1010,$B490)="","",INDEX('Work Orders'!$AH$11:$AH$1010,$B490)))</f>
        <v/>
      </c>
      <c r="M490" s="46">
        <f>IF($B490="","",IF(INDEX('Work Orders'!$AM$11:$AM$1010,$B490)="","",INDEX('Work Orders'!$AM$11:$AM$1010,$B490)))</f>
        <v/>
      </c>
      <c r="N490" s="43">
        <f>IF($B490="","",IF(INDEX('Work Orders'!$AL$11:$AL$1010,$B490)="","",INDEX('Work Orders'!$AL$11:$AL$1010,$B490)))</f>
        <v/>
      </c>
      <c r="O490" s="43">
        <f>IF($B490="","",IF(INDEX('Work Orders'!$N$11:$N$1010,$B490)="","",INDEX('Work Orders'!$N$11:$N$1010,$B490)))</f>
        <v/>
      </c>
    </row>
    <row r="491">
      <c r="A491" s="68" t="n">
        <v>485</v>
      </c>
      <c r="B491">
        <f>IFERROR(MATCH(A491,'Work Orders'!$AO$11:$AO$1010,0),"")</f>
        <v/>
      </c>
      <c r="C491" s="43">
        <f>IF($B491="","",IF(INDEX('Work Orders'!$A$11:$A$1010,$B491)="","",INDEX('Work Orders'!$A$11:$A$1010,$B491)))</f>
        <v/>
      </c>
      <c r="D491" s="43">
        <f>IF($B491="","",IF(INDEX('Work Orders'!$B$11:$B$1010,$B491)="","",INDEX('Work Orders'!$B$11:$B$1010,$B491)))</f>
        <v/>
      </c>
      <c r="E491" s="43">
        <f>IF($B491="","",IF(INDEX('Work Orders'!$D$11:$D$1010,$B491)="","",INDEX('Work Orders'!$D$11:$D$1010,$B491)))</f>
        <v/>
      </c>
      <c r="F491" s="43">
        <f>IF($B491="","",IF(INDEX('Work Orders'!$Q$11:$Q$1010,$B491)="","",INDEX('Work Orders'!$Q$11:$Q$1010,$B491)))</f>
        <v/>
      </c>
      <c r="G491" s="43">
        <f>IF($B491="","",IF(INDEX('Work Orders'!$V$11:$V$1010,$B491)="","",INDEX('Work Orders'!$V$11:$V$1010,$B491)))</f>
        <v/>
      </c>
      <c r="H491" s="47">
        <f>IF($B491="","",IF(INDEX('Work Orders'!$U$11:$U$1010,$B491)="","",INDEX('Work Orders'!$U$11:$U$1010,$B491)))</f>
        <v/>
      </c>
      <c r="I491" s="47">
        <f>IF($B491="","",IF(INDEX('Work Orders'!$X$11:$X$1010,$B491)="","",INDEX('Work Orders'!$X$11:$X$1010,$B491)))</f>
        <v/>
      </c>
      <c r="J491" s="44">
        <f>IF($B491="","",IF(INDEX('Work Orders'!$Z$11:$Z$1010,$B491)="","",INDEX('Work Orders'!$Z$11:$Z$1010,$B491)))</f>
        <v/>
      </c>
      <c r="K491" s="44">
        <f>IF($B491="","",IF(INDEX('Work Orders'!$AG$11:$AG$1010,$B491)="","",INDEX('Work Orders'!$AG$11:$AG$1010,$B491)))</f>
        <v/>
      </c>
      <c r="L491" s="44">
        <f>IF($B491="","",IF(INDEX('Work Orders'!$AH$11:$AH$1010,$B491)="","",INDEX('Work Orders'!$AH$11:$AH$1010,$B491)))</f>
        <v/>
      </c>
      <c r="M491" s="46">
        <f>IF($B491="","",IF(INDEX('Work Orders'!$AM$11:$AM$1010,$B491)="","",INDEX('Work Orders'!$AM$11:$AM$1010,$B491)))</f>
        <v/>
      </c>
      <c r="N491" s="43">
        <f>IF($B491="","",IF(INDEX('Work Orders'!$AL$11:$AL$1010,$B491)="","",INDEX('Work Orders'!$AL$11:$AL$1010,$B491)))</f>
        <v/>
      </c>
      <c r="O491" s="43">
        <f>IF($B491="","",IF(INDEX('Work Orders'!$N$11:$N$1010,$B491)="","",INDEX('Work Orders'!$N$11:$N$1010,$B491)))</f>
        <v/>
      </c>
    </row>
    <row r="492">
      <c r="A492" s="68" t="n">
        <v>486</v>
      </c>
      <c r="B492">
        <f>IFERROR(MATCH(A492,'Work Orders'!$AO$11:$AO$1010,0),"")</f>
        <v/>
      </c>
      <c r="C492" s="43">
        <f>IF($B492="","",IF(INDEX('Work Orders'!$A$11:$A$1010,$B492)="","",INDEX('Work Orders'!$A$11:$A$1010,$B492)))</f>
        <v/>
      </c>
      <c r="D492" s="43">
        <f>IF($B492="","",IF(INDEX('Work Orders'!$B$11:$B$1010,$B492)="","",INDEX('Work Orders'!$B$11:$B$1010,$B492)))</f>
        <v/>
      </c>
      <c r="E492" s="43">
        <f>IF($B492="","",IF(INDEX('Work Orders'!$D$11:$D$1010,$B492)="","",INDEX('Work Orders'!$D$11:$D$1010,$B492)))</f>
        <v/>
      </c>
      <c r="F492" s="43">
        <f>IF($B492="","",IF(INDEX('Work Orders'!$Q$11:$Q$1010,$B492)="","",INDEX('Work Orders'!$Q$11:$Q$1010,$B492)))</f>
        <v/>
      </c>
      <c r="G492" s="43">
        <f>IF($B492="","",IF(INDEX('Work Orders'!$V$11:$V$1010,$B492)="","",INDEX('Work Orders'!$V$11:$V$1010,$B492)))</f>
        <v/>
      </c>
      <c r="H492" s="47">
        <f>IF($B492="","",IF(INDEX('Work Orders'!$U$11:$U$1010,$B492)="","",INDEX('Work Orders'!$U$11:$U$1010,$B492)))</f>
        <v/>
      </c>
      <c r="I492" s="47">
        <f>IF($B492="","",IF(INDEX('Work Orders'!$X$11:$X$1010,$B492)="","",INDEX('Work Orders'!$X$11:$X$1010,$B492)))</f>
        <v/>
      </c>
      <c r="J492" s="44">
        <f>IF($B492="","",IF(INDEX('Work Orders'!$Z$11:$Z$1010,$B492)="","",INDEX('Work Orders'!$Z$11:$Z$1010,$B492)))</f>
        <v/>
      </c>
      <c r="K492" s="44">
        <f>IF($B492="","",IF(INDEX('Work Orders'!$AG$11:$AG$1010,$B492)="","",INDEX('Work Orders'!$AG$11:$AG$1010,$B492)))</f>
        <v/>
      </c>
      <c r="L492" s="44">
        <f>IF($B492="","",IF(INDEX('Work Orders'!$AH$11:$AH$1010,$B492)="","",INDEX('Work Orders'!$AH$11:$AH$1010,$B492)))</f>
        <v/>
      </c>
      <c r="M492" s="46">
        <f>IF($B492="","",IF(INDEX('Work Orders'!$AM$11:$AM$1010,$B492)="","",INDEX('Work Orders'!$AM$11:$AM$1010,$B492)))</f>
        <v/>
      </c>
      <c r="N492" s="43">
        <f>IF($B492="","",IF(INDEX('Work Orders'!$AL$11:$AL$1010,$B492)="","",INDEX('Work Orders'!$AL$11:$AL$1010,$B492)))</f>
        <v/>
      </c>
      <c r="O492" s="43">
        <f>IF($B492="","",IF(INDEX('Work Orders'!$N$11:$N$1010,$B492)="","",INDEX('Work Orders'!$N$11:$N$1010,$B492)))</f>
        <v/>
      </c>
    </row>
    <row r="493">
      <c r="A493" s="68" t="n">
        <v>487</v>
      </c>
      <c r="B493">
        <f>IFERROR(MATCH(A493,'Work Orders'!$AO$11:$AO$1010,0),"")</f>
        <v/>
      </c>
      <c r="C493" s="43">
        <f>IF($B493="","",IF(INDEX('Work Orders'!$A$11:$A$1010,$B493)="","",INDEX('Work Orders'!$A$11:$A$1010,$B493)))</f>
        <v/>
      </c>
      <c r="D493" s="43">
        <f>IF($B493="","",IF(INDEX('Work Orders'!$B$11:$B$1010,$B493)="","",INDEX('Work Orders'!$B$11:$B$1010,$B493)))</f>
        <v/>
      </c>
      <c r="E493" s="43">
        <f>IF($B493="","",IF(INDEX('Work Orders'!$D$11:$D$1010,$B493)="","",INDEX('Work Orders'!$D$11:$D$1010,$B493)))</f>
        <v/>
      </c>
      <c r="F493" s="43">
        <f>IF($B493="","",IF(INDEX('Work Orders'!$Q$11:$Q$1010,$B493)="","",INDEX('Work Orders'!$Q$11:$Q$1010,$B493)))</f>
        <v/>
      </c>
      <c r="G493" s="43">
        <f>IF($B493="","",IF(INDEX('Work Orders'!$V$11:$V$1010,$B493)="","",INDEX('Work Orders'!$V$11:$V$1010,$B493)))</f>
        <v/>
      </c>
      <c r="H493" s="47">
        <f>IF($B493="","",IF(INDEX('Work Orders'!$U$11:$U$1010,$B493)="","",INDEX('Work Orders'!$U$11:$U$1010,$B493)))</f>
        <v/>
      </c>
      <c r="I493" s="47">
        <f>IF($B493="","",IF(INDEX('Work Orders'!$X$11:$X$1010,$B493)="","",INDEX('Work Orders'!$X$11:$X$1010,$B493)))</f>
        <v/>
      </c>
      <c r="J493" s="44">
        <f>IF($B493="","",IF(INDEX('Work Orders'!$Z$11:$Z$1010,$B493)="","",INDEX('Work Orders'!$Z$11:$Z$1010,$B493)))</f>
        <v/>
      </c>
      <c r="K493" s="44">
        <f>IF($B493="","",IF(INDEX('Work Orders'!$AG$11:$AG$1010,$B493)="","",INDEX('Work Orders'!$AG$11:$AG$1010,$B493)))</f>
        <v/>
      </c>
      <c r="L493" s="44">
        <f>IF($B493="","",IF(INDEX('Work Orders'!$AH$11:$AH$1010,$B493)="","",INDEX('Work Orders'!$AH$11:$AH$1010,$B493)))</f>
        <v/>
      </c>
      <c r="M493" s="46">
        <f>IF($B493="","",IF(INDEX('Work Orders'!$AM$11:$AM$1010,$B493)="","",INDEX('Work Orders'!$AM$11:$AM$1010,$B493)))</f>
        <v/>
      </c>
      <c r="N493" s="43">
        <f>IF($B493="","",IF(INDEX('Work Orders'!$AL$11:$AL$1010,$B493)="","",INDEX('Work Orders'!$AL$11:$AL$1010,$B493)))</f>
        <v/>
      </c>
      <c r="O493" s="43">
        <f>IF($B493="","",IF(INDEX('Work Orders'!$N$11:$N$1010,$B493)="","",INDEX('Work Orders'!$N$11:$N$1010,$B493)))</f>
        <v/>
      </c>
    </row>
    <row r="494">
      <c r="A494" s="68" t="n">
        <v>488</v>
      </c>
      <c r="B494">
        <f>IFERROR(MATCH(A494,'Work Orders'!$AO$11:$AO$1010,0),"")</f>
        <v/>
      </c>
      <c r="C494" s="43">
        <f>IF($B494="","",IF(INDEX('Work Orders'!$A$11:$A$1010,$B494)="","",INDEX('Work Orders'!$A$11:$A$1010,$B494)))</f>
        <v/>
      </c>
      <c r="D494" s="43">
        <f>IF($B494="","",IF(INDEX('Work Orders'!$B$11:$B$1010,$B494)="","",INDEX('Work Orders'!$B$11:$B$1010,$B494)))</f>
        <v/>
      </c>
      <c r="E494" s="43">
        <f>IF($B494="","",IF(INDEX('Work Orders'!$D$11:$D$1010,$B494)="","",INDEX('Work Orders'!$D$11:$D$1010,$B494)))</f>
        <v/>
      </c>
      <c r="F494" s="43">
        <f>IF($B494="","",IF(INDEX('Work Orders'!$Q$11:$Q$1010,$B494)="","",INDEX('Work Orders'!$Q$11:$Q$1010,$B494)))</f>
        <v/>
      </c>
      <c r="G494" s="43">
        <f>IF($B494="","",IF(INDEX('Work Orders'!$V$11:$V$1010,$B494)="","",INDEX('Work Orders'!$V$11:$V$1010,$B494)))</f>
        <v/>
      </c>
      <c r="H494" s="47">
        <f>IF($B494="","",IF(INDEX('Work Orders'!$U$11:$U$1010,$B494)="","",INDEX('Work Orders'!$U$11:$U$1010,$B494)))</f>
        <v/>
      </c>
      <c r="I494" s="47">
        <f>IF($B494="","",IF(INDEX('Work Orders'!$X$11:$X$1010,$B494)="","",INDEX('Work Orders'!$X$11:$X$1010,$B494)))</f>
        <v/>
      </c>
      <c r="J494" s="44">
        <f>IF($B494="","",IF(INDEX('Work Orders'!$Z$11:$Z$1010,$B494)="","",INDEX('Work Orders'!$Z$11:$Z$1010,$B494)))</f>
        <v/>
      </c>
      <c r="K494" s="44">
        <f>IF($B494="","",IF(INDEX('Work Orders'!$AG$11:$AG$1010,$B494)="","",INDEX('Work Orders'!$AG$11:$AG$1010,$B494)))</f>
        <v/>
      </c>
      <c r="L494" s="44">
        <f>IF($B494="","",IF(INDEX('Work Orders'!$AH$11:$AH$1010,$B494)="","",INDEX('Work Orders'!$AH$11:$AH$1010,$B494)))</f>
        <v/>
      </c>
      <c r="M494" s="46">
        <f>IF($B494="","",IF(INDEX('Work Orders'!$AM$11:$AM$1010,$B494)="","",INDEX('Work Orders'!$AM$11:$AM$1010,$B494)))</f>
        <v/>
      </c>
      <c r="N494" s="43">
        <f>IF($B494="","",IF(INDEX('Work Orders'!$AL$11:$AL$1010,$B494)="","",INDEX('Work Orders'!$AL$11:$AL$1010,$B494)))</f>
        <v/>
      </c>
      <c r="O494" s="43">
        <f>IF($B494="","",IF(INDEX('Work Orders'!$N$11:$N$1010,$B494)="","",INDEX('Work Orders'!$N$11:$N$1010,$B494)))</f>
        <v/>
      </c>
    </row>
    <row r="495">
      <c r="A495" s="68" t="n">
        <v>489</v>
      </c>
      <c r="B495">
        <f>IFERROR(MATCH(A495,'Work Orders'!$AO$11:$AO$1010,0),"")</f>
        <v/>
      </c>
      <c r="C495" s="43">
        <f>IF($B495="","",IF(INDEX('Work Orders'!$A$11:$A$1010,$B495)="","",INDEX('Work Orders'!$A$11:$A$1010,$B495)))</f>
        <v/>
      </c>
      <c r="D495" s="43">
        <f>IF($B495="","",IF(INDEX('Work Orders'!$B$11:$B$1010,$B495)="","",INDEX('Work Orders'!$B$11:$B$1010,$B495)))</f>
        <v/>
      </c>
      <c r="E495" s="43">
        <f>IF($B495="","",IF(INDEX('Work Orders'!$D$11:$D$1010,$B495)="","",INDEX('Work Orders'!$D$11:$D$1010,$B495)))</f>
        <v/>
      </c>
      <c r="F495" s="43">
        <f>IF($B495="","",IF(INDEX('Work Orders'!$Q$11:$Q$1010,$B495)="","",INDEX('Work Orders'!$Q$11:$Q$1010,$B495)))</f>
        <v/>
      </c>
      <c r="G495" s="43">
        <f>IF($B495="","",IF(INDEX('Work Orders'!$V$11:$V$1010,$B495)="","",INDEX('Work Orders'!$V$11:$V$1010,$B495)))</f>
        <v/>
      </c>
      <c r="H495" s="47">
        <f>IF($B495="","",IF(INDEX('Work Orders'!$U$11:$U$1010,$B495)="","",INDEX('Work Orders'!$U$11:$U$1010,$B495)))</f>
        <v/>
      </c>
      <c r="I495" s="47">
        <f>IF($B495="","",IF(INDEX('Work Orders'!$X$11:$X$1010,$B495)="","",INDEX('Work Orders'!$X$11:$X$1010,$B495)))</f>
        <v/>
      </c>
      <c r="J495" s="44">
        <f>IF($B495="","",IF(INDEX('Work Orders'!$Z$11:$Z$1010,$B495)="","",INDEX('Work Orders'!$Z$11:$Z$1010,$B495)))</f>
        <v/>
      </c>
      <c r="K495" s="44">
        <f>IF($B495="","",IF(INDEX('Work Orders'!$AG$11:$AG$1010,$B495)="","",INDEX('Work Orders'!$AG$11:$AG$1010,$B495)))</f>
        <v/>
      </c>
      <c r="L495" s="44">
        <f>IF($B495="","",IF(INDEX('Work Orders'!$AH$11:$AH$1010,$B495)="","",INDEX('Work Orders'!$AH$11:$AH$1010,$B495)))</f>
        <v/>
      </c>
      <c r="M495" s="46">
        <f>IF($B495="","",IF(INDEX('Work Orders'!$AM$11:$AM$1010,$B495)="","",INDEX('Work Orders'!$AM$11:$AM$1010,$B495)))</f>
        <v/>
      </c>
      <c r="N495" s="43">
        <f>IF($B495="","",IF(INDEX('Work Orders'!$AL$11:$AL$1010,$B495)="","",INDEX('Work Orders'!$AL$11:$AL$1010,$B495)))</f>
        <v/>
      </c>
      <c r="O495" s="43">
        <f>IF($B495="","",IF(INDEX('Work Orders'!$N$11:$N$1010,$B495)="","",INDEX('Work Orders'!$N$11:$N$1010,$B495)))</f>
        <v/>
      </c>
    </row>
    <row r="496">
      <c r="A496" s="68" t="n">
        <v>490</v>
      </c>
      <c r="B496">
        <f>IFERROR(MATCH(A496,'Work Orders'!$AO$11:$AO$1010,0),"")</f>
        <v/>
      </c>
      <c r="C496" s="43">
        <f>IF($B496="","",IF(INDEX('Work Orders'!$A$11:$A$1010,$B496)="","",INDEX('Work Orders'!$A$11:$A$1010,$B496)))</f>
        <v/>
      </c>
      <c r="D496" s="43">
        <f>IF($B496="","",IF(INDEX('Work Orders'!$B$11:$B$1010,$B496)="","",INDEX('Work Orders'!$B$11:$B$1010,$B496)))</f>
        <v/>
      </c>
      <c r="E496" s="43">
        <f>IF($B496="","",IF(INDEX('Work Orders'!$D$11:$D$1010,$B496)="","",INDEX('Work Orders'!$D$11:$D$1010,$B496)))</f>
        <v/>
      </c>
      <c r="F496" s="43">
        <f>IF($B496="","",IF(INDEX('Work Orders'!$Q$11:$Q$1010,$B496)="","",INDEX('Work Orders'!$Q$11:$Q$1010,$B496)))</f>
        <v/>
      </c>
      <c r="G496" s="43">
        <f>IF($B496="","",IF(INDEX('Work Orders'!$V$11:$V$1010,$B496)="","",INDEX('Work Orders'!$V$11:$V$1010,$B496)))</f>
        <v/>
      </c>
      <c r="H496" s="47">
        <f>IF($B496="","",IF(INDEX('Work Orders'!$U$11:$U$1010,$B496)="","",INDEX('Work Orders'!$U$11:$U$1010,$B496)))</f>
        <v/>
      </c>
      <c r="I496" s="47">
        <f>IF($B496="","",IF(INDEX('Work Orders'!$X$11:$X$1010,$B496)="","",INDEX('Work Orders'!$X$11:$X$1010,$B496)))</f>
        <v/>
      </c>
      <c r="J496" s="44">
        <f>IF($B496="","",IF(INDEX('Work Orders'!$Z$11:$Z$1010,$B496)="","",INDEX('Work Orders'!$Z$11:$Z$1010,$B496)))</f>
        <v/>
      </c>
      <c r="K496" s="44">
        <f>IF($B496="","",IF(INDEX('Work Orders'!$AG$11:$AG$1010,$B496)="","",INDEX('Work Orders'!$AG$11:$AG$1010,$B496)))</f>
        <v/>
      </c>
      <c r="L496" s="44">
        <f>IF($B496="","",IF(INDEX('Work Orders'!$AH$11:$AH$1010,$B496)="","",INDEX('Work Orders'!$AH$11:$AH$1010,$B496)))</f>
        <v/>
      </c>
      <c r="M496" s="46">
        <f>IF($B496="","",IF(INDEX('Work Orders'!$AM$11:$AM$1010,$B496)="","",INDEX('Work Orders'!$AM$11:$AM$1010,$B496)))</f>
        <v/>
      </c>
      <c r="N496" s="43">
        <f>IF($B496="","",IF(INDEX('Work Orders'!$AL$11:$AL$1010,$B496)="","",INDEX('Work Orders'!$AL$11:$AL$1010,$B496)))</f>
        <v/>
      </c>
      <c r="O496" s="43">
        <f>IF($B496="","",IF(INDEX('Work Orders'!$N$11:$N$1010,$B496)="","",INDEX('Work Orders'!$N$11:$N$1010,$B496)))</f>
        <v/>
      </c>
    </row>
    <row r="497">
      <c r="A497" s="68" t="n">
        <v>491</v>
      </c>
      <c r="B497">
        <f>IFERROR(MATCH(A497,'Work Orders'!$AO$11:$AO$1010,0),"")</f>
        <v/>
      </c>
      <c r="C497" s="43">
        <f>IF($B497="","",IF(INDEX('Work Orders'!$A$11:$A$1010,$B497)="","",INDEX('Work Orders'!$A$11:$A$1010,$B497)))</f>
        <v/>
      </c>
      <c r="D497" s="43">
        <f>IF($B497="","",IF(INDEX('Work Orders'!$B$11:$B$1010,$B497)="","",INDEX('Work Orders'!$B$11:$B$1010,$B497)))</f>
        <v/>
      </c>
      <c r="E497" s="43">
        <f>IF($B497="","",IF(INDEX('Work Orders'!$D$11:$D$1010,$B497)="","",INDEX('Work Orders'!$D$11:$D$1010,$B497)))</f>
        <v/>
      </c>
      <c r="F497" s="43">
        <f>IF($B497="","",IF(INDEX('Work Orders'!$Q$11:$Q$1010,$B497)="","",INDEX('Work Orders'!$Q$11:$Q$1010,$B497)))</f>
        <v/>
      </c>
      <c r="G497" s="43">
        <f>IF($B497="","",IF(INDEX('Work Orders'!$V$11:$V$1010,$B497)="","",INDEX('Work Orders'!$V$11:$V$1010,$B497)))</f>
        <v/>
      </c>
      <c r="H497" s="47">
        <f>IF($B497="","",IF(INDEX('Work Orders'!$U$11:$U$1010,$B497)="","",INDEX('Work Orders'!$U$11:$U$1010,$B497)))</f>
        <v/>
      </c>
      <c r="I497" s="47">
        <f>IF($B497="","",IF(INDEX('Work Orders'!$X$11:$X$1010,$B497)="","",INDEX('Work Orders'!$X$11:$X$1010,$B497)))</f>
        <v/>
      </c>
      <c r="J497" s="44">
        <f>IF($B497="","",IF(INDEX('Work Orders'!$Z$11:$Z$1010,$B497)="","",INDEX('Work Orders'!$Z$11:$Z$1010,$B497)))</f>
        <v/>
      </c>
      <c r="K497" s="44">
        <f>IF($B497="","",IF(INDEX('Work Orders'!$AG$11:$AG$1010,$B497)="","",INDEX('Work Orders'!$AG$11:$AG$1010,$B497)))</f>
        <v/>
      </c>
      <c r="L497" s="44">
        <f>IF($B497="","",IF(INDEX('Work Orders'!$AH$11:$AH$1010,$B497)="","",INDEX('Work Orders'!$AH$11:$AH$1010,$B497)))</f>
        <v/>
      </c>
      <c r="M497" s="46">
        <f>IF($B497="","",IF(INDEX('Work Orders'!$AM$11:$AM$1010,$B497)="","",INDEX('Work Orders'!$AM$11:$AM$1010,$B497)))</f>
        <v/>
      </c>
      <c r="N497" s="43">
        <f>IF($B497="","",IF(INDEX('Work Orders'!$AL$11:$AL$1010,$B497)="","",INDEX('Work Orders'!$AL$11:$AL$1010,$B497)))</f>
        <v/>
      </c>
      <c r="O497" s="43">
        <f>IF($B497="","",IF(INDEX('Work Orders'!$N$11:$N$1010,$B497)="","",INDEX('Work Orders'!$N$11:$N$1010,$B497)))</f>
        <v/>
      </c>
    </row>
    <row r="498">
      <c r="A498" s="68" t="n">
        <v>492</v>
      </c>
      <c r="B498">
        <f>IFERROR(MATCH(A498,'Work Orders'!$AO$11:$AO$1010,0),"")</f>
        <v/>
      </c>
      <c r="C498" s="43">
        <f>IF($B498="","",IF(INDEX('Work Orders'!$A$11:$A$1010,$B498)="","",INDEX('Work Orders'!$A$11:$A$1010,$B498)))</f>
        <v/>
      </c>
      <c r="D498" s="43">
        <f>IF($B498="","",IF(INDEX('Work Orders'!$B$11:$B$1010,$B498)="","",INDEX('Work Orders'!$B$11:$B$1010,$B498)))</f>
        <v/>
      </c>
      <c r="E498" s="43">
        <f>IF($B498="","",IF(INDEX('Work Orders'!$D$11:$D$1010,$B498)="","",INDEX('Work Orders'!$D$11:$D$1010,$B498)))</f>
        <v/>
      </c>
      <c r="F498" s="43">
        <f>IF($B498="","",IF(INDEX('Work Orders'!$Q$11:$Q$1010,$B498)="","",INDEX('Work Orders'!$Q$11:$Q$1010,$B498)))</f>
        <v/>
      </c>
      <c r="G498" s="43">
        <f>IF($B498="","",IF(INDEX('Work Orders'!$V$11:$V$1010,$B498)="","",INDEX('Work Orders'!$V$11:$V$1010,$B498)))</f>
        <v/>
      </c>
      <c r="H498" s="47">
        <f>IF($B498="","",IF(INDEX('Work Orders'!$U$11:$U$1010,$B498)="","",INDEX('Work Orders'!$U$11:$U$1010,$B498)))</f>
        <v/>
      </c>
      <c r="I498" s="47">
        <f>IF($B498="","",IF(INDEX('Work Orders'!$X$11:$X$1010,$B498)="","",INDEX('Work Orders'!$X$11:$X$1010,$B498)))</f>
        <v/>
      </c>
      <c r="J498" s="44">
        <f>IF($B498="","",IF(INDEX('Work Orders'!$Z$11:$Z$1010,$B498)="","",INDEX('Work Orders'!$Z$11:$Z$1010,$B498)))</f>
        <v/>
      </c>
      <c r="K498" s="44">
        <f>IF($B498="","",IF(INDEX('Work Orders'!$AG$11:$AG$1010,$B498)="","",INDEX('Work Orders'!$AG$11:$AG$1010,$B498)))</f>
        <v/>
      </c>
      <c r="L498" s="44">
        <f>IF($B498="","",IF(INDEX('Work Orders'!$AH$11:$AH$1010,$B498)="","",INDEX('Work Orders'!$AH$11:$AH$1010,$B498)))</f>
        <v/>
      </c>
      <c r="M498" s="46">
        <f>IF($B498="","",IF(INDEX('Work Orders'!$AM$11:$AM$1010,$B498)="","",INDEX('Work Orders'!$AM$11:$AM$1010,$B498)))</f>
        <v/>
      </c>
      <c r="N498" s="43">
        <f>IF($B498="","",IF(INDEX('Work Orders'!$AL$11:$AL$1010,$B498)="","",INDEX('Work Orders'!$AL$11:$AL$1010,$B498)))</f>
        <v/>
      </c>
      <c r="O498" s="43">
        <f>IF($B498="","",IF(INDEX('Work Orders'!$N$11:$N$1010,$B498)="","",INDEX('Work Orders'!$N$11:$N$1010,$B498)))</f>
        <v/>
      </c>
    </row>
    <row r="499">
      <c r="A499" s="68" t="n">
        <v>493</v>
      </c>
      <c r="B499">
        <f>IFERROR(MATCH(A499,'Work Orders'!$AO$11:$AO$1010,0),"")</f>
        <v/>
      </c>
      <c r="C499" s="43">
        <f>IF($B499="","",IF(INDEX('Work Orders'!$A$11:$A$1010,$B499)="","",INDEX('Work Orders'!$A$11:$A$1010,$B499)))</f>
        <v/>
      </c>
      <c r="D499" s="43">
        <f>IF($B499="","",IF(INDEX('Work Orders'!$B$11:$B$1010,$B499)="","",INDEX('Work Orders'!$B$11:$B$1010,$B499)))</f>
        <v/>
      </c>
      <c r="E499" s="43">
        <f>IF($B499="","",IF(INDEX('Work Orders'!$D$11:$D$1010,$B499)="","",INDEX('Work Orders'!$D$11:$D$1010,$B499)))</f>
        <v/>
      </c>
      <c r="F499" s="43">
        <f>IF($B499="","",IF(INDEX('Work Orders'!$Q$11:$Q$1010,$B499)="","",INDEX('Work Orders'!$Q$11:$Q$1010,$B499)))</f>
        <v/>
      </c>
      <c r="G499" s="43">
        <f>IF($B499="","",IF(INDEX('Work Orders'!$V$11:$V$1010,$B499)="","",INDEX('Work Orders'!$V$11:$V$1010,$B499)))</f>
        <v/>
      </c>
      <c r="H499" s="47">
        <f>IF($B499="","",IF(INDEX('Work Orders'!$U$11:$U$1010,$B499)="","",INDEX('Work Orders'!$U$11:$U$1010,$B499)))</f>
        <v/>
      </c>
      <c r="I499" s="47">
        <f>IF($B499="","",IF(INDEX('Work Orders'!$X$11:$X$1010,$B499)="","",INDEX('Work Orders'!$X$11:$X$1010,$B499)))</f>
        <v/>
      </c>
      <c r="J499" s="44">
        <f>IF($B499="","",IF(INDEX('Work Orders'!$Z$11:$Z$1010,$B499)="","",INDEX('Work Orders'!$Z$11:$Z$1010,$B499)))</f>
        <v/>
      </c>
      <c r="K499" s="44">
        <f>IF($B499="","",IF(INDEX('Work Orders'!$AG$11:$AG$1010,$B499)="","",INDEX('Work Orders'!$AG$11:$AG$1010,$B499)))</f>
        <v/>
      </c>
      <c r="L499" s="44">
        <f>IF($B499="","",IF(INDEX('Work Orders'!$AH$11:$AH$1010,$B499)="","",INDEX('Work Orders'!$AH$11:$AH$1010,$B499)))</f>
        <v/>
      </c>
      <c r="M499" s="46">
        <f>IF($B499="","",IF(INDEX('Work Orders'!$AM$11:$AM$1010,$B499)="","",INDEX('Work Orders'!$AM$11:$AM$1010,$B499)))</f>
        <v/>
      </c>
      <c r="N499" s="43">
        <f>IF($B499="","",IF(INDEX('Work Orders'!$AL$11:$AL$1010,$B499)="","",INDEX('Work Orders'!$AL$11:$AL$1010,$B499)))</f>
        <v/>
      </c>
      <c r="O499" s="43">
        <f>IF($B499="","",IF(INDEX('Work Orders'!$N$11:$N$1010,$B499)="","",INDEX('Work Orders'!$N$11:$N$1010,$B499)))</f>
        <v/>
      </c>
    </row>
    <row r="500">
      <c r="A500" s="68" t="n">
        <v>494</v>
      </c>
      <c r="B500">
        <f>IFERROR(MATCH(A500,'Work Orders'!$AO$11:$AO$1010,0),"")</f>
        <v/>
      </c>
      <c r="C500" s="43">
        <f>IF($B500="","",IF(INDEX('Work Orders'!$A$11:$A$1010,$B500)="","",INDEX('Work Orders'!$A$11:$A$1010,$B500)))</f>
        <v/>
      </c>
      <c r="D500" s="43">
        <f>IF($B500="","",IF(INDEX('Work Orders'!$B$11:$B$1010,$B500)="","",INDEX('Work Orders'!$B$11:$B$1010,$B500)))</f>
        <v/>
      </c>
      <c r="E500" s="43">
        <f>IF($B500="","",IF(INDEX('Work Orders'!$D$11:$D$1010,$B500)="","",INDEX('Work Orders'!$D$11:$D$1010,$B500)))</f>
        <v/>
      </c>
      <c r="F500" s="43">
        <f>IF($B500="","",IF(INDEX('Work Orders'!$Q$11:$Q$1010,$B500)="","",INDEX('Work Orders'!$Q$11:$Q$1010,$B500)))</f>
        <v/>
      </c>
      <c r="G500" s="43">
        <f>IF($B500="","",IF(INDEX('Work Orders'!$V$11:$V$1010,$B500)="","",INDEX('Work Orders'!$V$11:$V$1010,$B500)))</f>
        <v/>
      </c>
      <c r="H500" s="47">
        <f>IF($B500="","",IF(INDEX('Work Orders'!$U$11:$U$1010,$B500)="","",INDEX('Work Orders'!$U$11:$U$1010,$B500)))</f>
        <v/>
      </c>
      <c r="I500" s="47">
        <f>IF($B500="","",IF(INDEX('Work Orders'!$X$11:$X$1010,$B500)="","",INDEX('Work Orders'!$X$11:$X$1010,$B500)))</f>
        <v/>
      </c>
      <c r="J500" s="44">
        <f>IF($B500="","",IF(INDEX('Work Orders'!$Z$11:$Z$1010,$B500)="","",INDEX('Work Orders'!$Z$11:$Z$1010,$B500)))</f>
        <v/>
      </c>
      <c r="K500" s="44">
        <f>IF($B500="","",IF(INDEX('Work Orders'!$AG$11:$AG$1010,$B500)="","",INDEX('Work Orders'!$AG$11:$AG$1010,$B500)))</f>
        <v/>
      </c>
      <c r="L500" s="44">
        <f>IF($B500="","",IF(INDEX('Work Orders'!$AH$11:$AH$1010,$B500)="","",INDEX('Work Orders'!$AH$11:$AH$1010,$B500)))</f>
        <v/>
      </c>
      <c r="M500" s="46">
        <f>IF($B500="","",IF(INDEX('Work Orders'!$AM$11:$AM$1010,$B500)="","",INDEX('Work Orders'!$AM$11:$AM$1010,$B500)))</f>
        <v/>
      </c>
      <c r="N500" s="43">
        <f>IF($B500="","",IF(INDEX('Work Orders'!$AL$11:$AL$1010,$B500)="","",INDEX('Work Orders'!$AL$11:$AL$1010,$B500)))</f>
        <v/>
      </c>
      <c r="O500" s="43">
        <f>IF($B500="","",IF(INDEX('Work Orders'!$N$11:$N$1010,$B500)="","",INDEX('Work Orders'!$N$11:$N$1010,$B500)))</f>
        <v/>
      </c>
    </row>
    <row r="501">
      <c r="A501" s="68" t="n">
        <v>495</v>
      </c>
      <c r="B501">
        <f>IFERROR(MATCH(A501,'Work Orders'!$AO$11:$AO$1010,0),"")</f>
        <v/>
      </c>
      <c r="C501" s="43">
        <f>IF($B501="","",IF(INDEX('Work Orders'!$A$11:$A$1010,$B501)="","",INDEX('Work Orders'!$A$11:$A$1010,$B501)))</f>
        <v/>
      </c>
      <c r="D501" s="43">
        <f>IF($B501="","",IF(INDEX('Work Orders'!$B$11:$B$1010,$B501)="","",INDEX('Work Orders'!$B$11:$B$1010,$B501)))</f>
        <v/>
      </c>
      <c r="E501" s="43">
        <f>IF($B501="","",IF(INDEX('Work Orders'!$D$11:$D$1010,$B501)="","",INDEX('Work Orders'!$D$11:$D$1010,$B501)))</f>
        <v/>
      </c>
      <c r="F501" s="43">
        <f>IF($B501="","",IF(INDEX('Work Orders'!$Q$11:$Q$1010,$B501)="","",INDEX('Work Orders'!$Q$11:$Q$1010,$B501)))</f>
        <v/>
      </c>
      <c r="G501" s="43">
        <f>IF($B501="","",IF(INDEX('Work Orders'!$V$11:$V$1010,$B501)="","",INDEX('Work Orders'!$V$11:$V$1010,$B501)))</f>
        <v/>
      </c>
      <c r="H501" s="47">
        <f>IF($B501="","",IF(INDEX('Work Orders'!$U$11:$U$1010,$B501)="","",INDEX('Work Orders'!$U$11:$U$1010,$B501)))</f>
        <v/>
      </c>
      <c r="I501" s="47">
        <f>IF($B501="","",IF(INDEX('Work Orders'!$X$11:$X$1010,$B501)="","",INDEX('Work Orders'!$X$11:$X$1010,$B501)))</f>
        <v/>
      </c>
      <c r="J501" s="44">
        <f>IF($B501="","",IF(INDEX('Work Orders'!$Z$11:$Z$1010,$B501)="","",INDEX('Work Orders'!$Z$11:$Z$1010,$B501)))</f>
        <v/>
      </c>
      <c r="K501" s="44">
        <f>IF($B501="","",IF(INDEX('Work Orders'!$AG$11:$AG$1010,$B501)="","",INDEX('Work Orders'!$AG$11:$AG$1010,$B501)))</f>
        <v/>
      </c>
      <c r="L501" s="44">
        <f>IF($B501="","",IF(INDEX('Work Orders'!$AH$11:$AH$1010,$B501)="","",INDEX('Work Orders'!$AH$11:$AH$1010,$B501)))</f>
        <v/>
      </c>
      <c r="M501" s="46">
        <f>IF($B501="","",IF(INDEX('Work Orders'!$AM$11:$AM$1010,$B501)="","",INDEX('Work Orders'!$AM$11:$AM$1010,$B501)))</f>
        <v/>
      </c>
      <c r="N501" s="43">
        <f>IF($B501="","",IF(INDEX('Work Orders'!$AL$11:$AL$1010,$B501)="","",INDEX('Work Orders'!$AL$11:$AL$1010,$B501)))</f>
        <v/>
      </c>
      <c r="O501" s="43">
        <f>IF($B501="","",IF(INDEX('Work Orders'!$N$11:$N$1010,$B501)="","",INDEX('Work Orders'!$N$11:$N$1010,$B501)))</f>
        <v/>
      </c>
    </row>
    <row r="502">
      <c r="A502" s="68" t="n">
        <v>496</v>
      </c>
      <c r="B502">
        <f>IFERROR(MATCH(A502,'Work Orders'!$AO$11:$AO$1010,0),"")</f>
        <v/>
      </c>
      <c r="C502" s="43">
        <f>IF($B502="","",IF(INDEX('Work Orders'!$A$11:$A$1010,$B502)="","",INDEX('Work Orders'!$A$11:$A$1010,$B502)))</f>
        <v/>
      </c>
      <c r="D502" s="43">
        <f>IF($B502="","",IF(INDEX('Work Orders'!$B$11:$B$1010,$B502)="","",INDEX('Work Orders'!$B$11:$B$1010,$B502)))</f>
        <v/>
      </c>
      <c r="E502" s="43">
        <f>IF($B502="","",IF(INDEX('Work Orders'!$D$11:$D$1010,$B502)="","",INDEX('Work Orders'!$D$11:$D$1010,$B502)))</f>
        <v/>
      </c>
      <c r="F502" s="43">
        <f>IF($B502="","",IF(INDEX('Work Orders'!$Q$11:$Q$1010,$B502)="","",INDEX('Work Orders'!$Q$11:$Q$1010,$B502)))</f>
        <v/>
      </c>
      <c r="G502" s="43">
        <f>IF($B502="","",IF(INDEX('Work Orders'!$V$11:$V$1010,$B502)="","",INDEX('Work Orders'!$V$11:$V$1010,$B502)))</f>
        <v/>
      </c>
      <c r="H502" s="47">
        <f>IF($B502="","",IF(INDEX('Work Orders'!$U$11:$U$1010,$B502)="","",INDEX('Work Orders'!$U$11:$U$1010,$B502)))</f>
        <v/>
      </c>
      <c r="I502" s="47">
        <f>IF($B502="","",IF(INDEX('Work Orders'!$X$11:$X$1010,$B502)="","",INDEX('Work Orders'!$X$11:$X$1010,$B502)))</f>
        <v/>
      </c>
      <c r="J502" s="44">
        <f>IF($B502="","",IF(INDEX('Work Orders'!$Z$11:$Z$1010,$B502)="","",INDEX('Work Orders'!$Z$11:$Z$1010,$B502)))</f>
        <v/>
      </c>
      <c r="K502" s="44">
        <f>IF($B502="","",IF(INDEX('Work Orders'!$AG$11:$AG$1010,$B502)="","",INDEX('Work Orders'!$AG$11:$AG$1010,$B502)))</f>
        <v/>
      </c>
      <c r="L502" s="44">
        <f>IF($B502="","",IF(INDEX('Work Orders'!$AH$11:$AH$1010,$B502)="","",INDEX('Work Orders'!$AH$11:$AH$1010,$B502)))</f>
        <v/>
      </c>
      <c r="M502" s="46">
        <f>IF($B502="","",IF(INDEX('Work Orders'!$AM$11:$AM$1010,$B502)="","",INDEX('Work Orders'!$AM$11:$AM$1010,$B502)))</f>
        <v/>
      </c>
      <c r="N502" s="43">
        <f>IF($B502="","",IF(INDEX('Work Orders'!$AL$11:$AL$1010,$B502)="","",INDEX('Work Orders'!$AL$11:$AL$1010,$B502)))</f>
        <v/>
      </c>
      <c r="O502" s="43">
        <f>IF($B502="","",IF(INDEX('Work Orders'!$N$11:$N$1010,$B502)="","",INDEX('Work Orders'!$N$11:$N$1010,$B502)))</f>
        <v/>
      </c>
    </row>
    <row r="503">
      <c r="A503" s="68" t="n">
        <v>497</v>
      </c>
      <c r="B503">
        <f>IFERROR(MATCH(A503,'Work Orders'!$AO$11:$AO$1010,0),"")</f>
        <v/>
      </c>
      <c r="C503" s="43">
        <f>IF($B503="","",IF(INDEX('Work Orders'!$A$11:$A$1010,$B503)="","",INDEX('Work Orders'!$A$11:$A$1010,$B503)))</f>
        <v/>
      </c>
      <c r="D503" s="43">
        <f>IF($B503="","",IF(INDEX('Work Orders'!$B$11:$B$1010,$B503)="","",INDEX('Work Orders'!$B$11:$B$1010,$B503)))</f>
        <v/>
      </c>
      <c r="E503" s="43">
        <f>IF($B503="","",IF(INDEX('Work Orders'!$D$11:$D$1010,$B503)="","",INDEX('Work Orders'!$D$11:$D$1010,$B503)))</f>
        <v/>
      </c>
      <c r="F503" s="43">
        <f>IF($B503="","",IF(INDEX('Work Orders'!$Q$11:$Q$1010,$B503)="","",INDEX('Work Orders'!$Q$11:$Q$1010,$B503)))</f>
        <v/>
      </c>
      <c r="G503" s="43">
        <f>IF($B503="","",IF(INDEX('Work Orders'!$V$11:$V$1010,$B503)="","",INDEX('Work Orders'!$V$11:$V$1010,$B503)))</f>
        <v/>
      </c>
      <c r="H503" s="47">
        <f>IF($B503="","",IF(INDEX('Work Orders'!$U$11:$U$1010,$B503)="","",INDEX('Work Orders'!$U$11:$U$1010,$B503)))</f>
        <v/>
      </c>
      <c r="I503" s="47">
        <f>IF($B503="","",IF(INDEX('Work Orders'!$X$11:$X$1010,$B503)="","",INDEX('Work Orders'!$X$11:$X$1010,$B503)))</f>
        <v/>
      </c>
      <c r="J503" s="44">
        <f>IF($B503="","",IF(INDEX('Work Orders'!$Z$11:$Z$1010,$B503)="","",INDEX('Work Orders'!$Z$11:$Z$1010,$B503)))</f>
        <v/>
      </c>
      <c r="K503" s="44">
        <f>IF($B503="","",IF(INDEX('Work Orders'!$AG$11:$AG$1010,$B503)="","",INDEX('Work Orders'!$AG$11:$AG$1010,$B503)))</f>
        <v/>
      </c>
      <c r="L503" s="44">
        <f>IF($B503="","",IF(INDEX('Work Orders'!$AH$11:$AH$1010,$B503)="","",INDEX('Work Orders'!$AH$11:$AH$1010,$B503)))</f>
        <v/>
      </c>
      <c r="M503" s="46">
        <f>IF($B503="","",IF(INDEX('Work Orders'!$AM$11:$AM$1010,$B503)="","",INDEX('Work Orders'!$AM$11:$AM$1010,$B503)))</f>
        <v/>
      </c>
      <c r="N503" s="43">
        <f>IF($B503="","",IF(INDEX('Work Orders'!$AL$11:$AL$1010,$B503)="","",INDEX('Work Orders'!$AL$11:$AL$1010,$B503)))</f>
        <v/>
      </c>
      <c r="O503" s="43">
        <f>IF($B503="","",IF(INDEX('Work Orders'!$N$11:$N$1010,$B503)="","",INDEX('Work Orders'!$N$11:$N$1010,$B503)))</f>
        <v/>
      </c>
    </row>
    <row r="504">
      <c r="A504" s="68" t="n">
        <v>498</v>
      </c>
      <c r="B504">
        <f>IFERROR(MATCH(A504,'Work Orders'!$AO$11:$AO$1010,0),"")</f>
        <v/>
      </c>
      <c r="C504" s="43">
        <f>IF($B504="","",IF(INDEX('Work Orders'!$A$11:$A$1010,$B504)="","",INDEX('Work Orders'!$A$11:$A$1010,$B504)))</f>
        <v/>
      </c>
      <c r="D504" s="43">
        <f>IF($B504="","",IF(INDEX('Work Orders'!$B$11:$B$1010,$B504)="","",INDEX('Work Orders'!$B$11:$B$1010,$B504)))</f>
        <v/>
      </c>
      <c r="E504" s="43">
        <f>IF($B504="","",IF(INDEX('Work Orders'!$D$11:$D$1010,$B504)="","",INDEX('Work Orders'!$D$11:$D$1010,$B504)))</f>
        <v/>
      </c>
      <c r="F504" s="43">
        <f>IF($B504="","",IF(INDEX('Work Orders'!$Q$11:$Q$1010,$B504)="","",INDEX('Work Orders'!$Q$11:$Q$1010,$B504)))</f>
        <v/>
      </c>
      <c r="G504" s="43">
        <f>IF($B504="","",IF(INDEX('Work Orders'!$V$11:$V$1010,$B504)="","",INDEX('Work Orders'!$V$11:$V$1010,$B504)))</f>
        <v/>
      </c>
      <c r="H504" s="47">
        <f>IF($B504="","",IF(INDEX('Work Orders'!$U$11:$U$1010,$B504)="","",INDEX('Work Orders'!$U$11:$U$1010,$B504)))</f>
        <v/>
      </c>
      <c r="I504" s="47">
        <f>IF($B504="","",IF(INDEX('Work Orders'!$X$11:$X$1010,$B504)="","",INDEX('Work Orders'!$X$11:$X$1010,$B504)))</f>
        <v/>
      </c>
      <c r="J504" s="44">
        <f>IF($B504="","",IF(INDEX('Work Orders'!$Z$11:$Z$1010,$B504)="","",INDEX('Work Orders'!$Z$11:$Z$1010,$B504)))</f>
        <v/>
      </c>
      <c r="K504" s="44">
        <f>IF($B504="","",IF(INDEX('Work Orders'!$AG$11:$AG$1010,$B504)="","",INDEX('Work Orders'!$AG$11:$AG$1010,$B504)))</f>
        <v/>
      </c>
      <c r="L504" s="44">
        <f>IF($B504="","",IF(INDEX('Work Orders'!$AH$11:$AH$1010,$B504)="","",INDEX('Work Orders'!$AH$11:$AH$1010,$B504)))</f>
        <v/>
      </c>
      <c r="M504" s="46">
        <f>IF($B504="","",IF(INDEX('Work Orders'!$AM$11:$AM$1010,$B504)="","",INDEX('Work Orders'!$AM$11:$AM$1010,$B504)))</f>
        <v/>
      </c>
      <c r="N504" s="43">
        <f>IF($B504="","",IF(INDEX('Work Orders'!$AL$11:$AL$1010,$B504)="","",INDEX('Work Orders'!$AL$11:$AL$1010,$B504)))</f>
        <v/>
      </c>
      <c r="O504" s="43">
        <f>IF($B504="","",IF(INDEX('Work Orders'!$N$11:$N$1010,$B504)="","",INDEX('Work Orders'!$N$11:$N$1010,$B504)))</f>
        <v/>
      </c>
    </row>
    <row r="505">
      <c r="A505" s="68" t="n">
        <v>499</v>
      </c>
      <c r="B505">
        <f>IFERROR(MATCH(A505,'Work Orders'!$AO$11:$AO$1010,0),"")</f>
        <v/>
      </c>
      <c r="C505" s="43">
        <f>IF($B505="","",IF(INDEX('Work Orders'!$A$11:$A$1010,$B505)="","",INDEX('Work Orders'!$A$11:$A$1010,$B505)))</f>
        <v/>
      </c>
      <c r="D505" s="43">
        <f>IF($B505="","",IF(INDEX('Work Orders'!$B$11:$B$1010,$B505)="","",INDEX('Work Orders'!$B$11:$B$1010,$B505)))</f>
        <v/>
      </c>
      <c r="E505" s="43">
        <f>IF($B505="","",IF(INDEX('Work Orders'!$D$11:$D$1010,$B505)="","",INDEX('Work Orders'!$D$11:$D$1010,$B505)))</f>
        <v/>
      </c>
      <c r="F505" s="43">
        <f>IF($B505="","",IF(INDEX('Work Orders'!$Q$11:$Q$1010,$B505)="","",INDEX('Work Orders'!$Q$11:$Q$1010,$B505)))</f>
        <v/>
      </c>
      <c r="G505" s="43">
        <f>IF($B505="","",IF(INDEX('Work Orders'!$V$11:$V$1010,$B505)="","",INDEX('Work Orders'!$V$11:$V$1010,$B505)))</f>
        <v/>
      </c>
      <c r="H505" s="47">
        <f>IF($B505="","",IF(INDEX('Work Orders'!$U$11:$U$1010,$B505)="","",INDEX('Work Orders'!$U$11:$U$1010,$B505)))</f>
        <v/>
      </c>
      <c r="I505" s="47">
        <f>IF($B505="","",IF(INDEX('Work Orders'!$X$11:$X$1010,$B505)="","",INDEX('Work Orders'!$X$11:$X$1010,$B505)))</f>
        <v/>
      </c>
      <c r="J505" s="44">
        <f>IF($B505="","",IF(INDEX('Work Orders'!$Z$11:$Z$1010,$B505)="","",INDEX('Work Orders'!$Z$11:$Z$1010,$B505)))</f>
        <v/>
      </c>
      <c r="K505" s="44">
        <f>IF($B505="","",IF(INDEX('Work Orders'!$AG$11:$AG$1010,$B505)="","",INDEX('Work Orders'!$AG$11:$AG$1010,$B505)))</f>
        <v/>
      </c>
      <c r="L505" s="44">
        <f>IF($B505="","",IF(INDEX('Work Orders'!$AH$11:$AH$1010,$B505)="","",INDEX('Work Orders'!$AH$11:$AH$1010,$B505)))</f>
        <v/>
      </c>
      <c r="M505" s="46">
        <f>IF($B505="","",IF(INDEX('Work Orders'!$AM$11:$AM$1010,$B505)="","",INDEX('Work Orders'!$AM$11:$AM$1010,$B505)))</f>
        <v/>
      </c>
      <c r="N505" s="43">
        <f>IF($B505="","",IF(INDEX('Work Orders'!$AL$11:$AL$1010,$B505)="","",INDEX('Work Orders'!$AL$11:$AL$1010,$B505)))</f>
        <v/>
      </c>
      <c r="O505" s="43">
        <f>IF($B505="","",IF(INDEX('Work Orders'!$N$11:$N$1010,$B505)="","",INDEX('Work Orders'!$N$11:$N$1010,$B505)))</f>
        <v/>
      </c>
    </row>
    <row r="506">
      <c r="A506" s="68" t="n">
        <v>500</v>
      </c>
      <c r="B506">
        <f>IFERROR(MATCH(A506,'Work Orders'!$AO$11:$AO$1010,0),"")</f>
        <v/>
      </c>
      <c r="C506" s="43">
        <f>IF($B506="","",IF(INDEX('Work Orders'!$A$11:$A$1010,$B506)="","",INDEX('Work Orders'!$A$11:$A$1010,$B506)))</f>
        <v/>
      </c>
      <c r="D506" s="43">
        <f>IF($B506="","",IF(INDEX('Work Orders'!$B$11:$B$1010,$B506)="","",INDEX('Work Orders'!$B$11:$B$1010,$B506)))</f>
        <v/>
      </c>
      <c r="E506" s="43">
        <f>IF($B506="","",IF(INDEX('Work Orders'!$D$11:$D$1010,$B506)="","",INDEX('Work Orders'!$D$11:$D$1010,$B506)))</f>
        <v/>
      </c>
      <c r="F506" s="43">
        <f>IF($B506="","",IF(INDEX('Work Orders'!$Q$11:$Q$1010,$B506)="","",INDEX('Work Orders'!$Q$11:$Q$1010,$B506)))</f>
        <v/>
      </c>
      <c r="G506" s="43">
        <f>IF($B506="","",IF(INDEX('Work Orders'!$V$11:$V$1010,$B506)="","",INDEX('Work Orders'!$V$11:$V$1010,$B506)))</f>
        <v/>
      </c>
      <c r="H506" s="47">
        <f>IF($B506="","",IF(INDEX('Work Orders'!$U$11:$U$1010,$B506)="","",INDEX('Work Orders'!$U$11:$U$1010,$B506)))</f>
        <v/>
      </c>
      <c r="I506" s="47">
        <f>IF($B506="","",IF(INDEX('Work Orders'!$X$11:$X$1010,$B506)="","",INDEX('Work Orders'!$X$11:$X$1010,$B506)))</f>
        <v/>
      </c>
      <c r="J506" s="44">
        <f>IF($B506="","",IF(INDEX('Work Orders'!$Z$11:$Z$1010,$B506)="","",INDEX('Work Orders'!$Z$11:$Z$1010,$B506)))</f>
        <v/>
      </c>
      <c r="K506" s="44">
        <f>IF($B506="","",IF(INDEX('Work Orders'!$AG$11:$AG$1010,$B506)="","",INDEX('Work Orders'!$AG$11:$AG$1010,$B506)))</f>
        <v/>
      </c>
      <c r="L506" s="44">
        <f>IF($B506="","",IF(INDEX('Work Orders'!$AH$11:$AH$1010,$B506)="","",INDEX('Work Orders'!$AH$11:$AH$1010,$B506)))</f>
        <v/>
      </c>
      <c r="M506" s="46">
        <f>IF($B506="","",IF(INDEX('Work Orders'!$AM$11:$AM$1010,$B506)="","",INDEX('Work Orders'!$AM$11:$AM$1010,$B506)))</f>
        <v/>
      </c>
      <c r="N506" s="43">
        <f>IF($B506="","",IF(INDEX('Work Orders'!$AL$11:$AL$1010,$B506)="","",INDEX('Work Orders'!$AL$11:$AL$1010,$B506)))</f>
        <v/>
      </c>
      <c r="O506" s="43">
        <f>IF($B506="","",IF(INDEX('Work Orders'!$N$11:$N$1010,$B506)="","",INDEX('Work Orders'!$N$11:$N$1010,$B506)))</f>
        <v/>
      </c>
    </row>
    <row r="507">
      <c r="A507" s="68" t="n">
        <v>501</v>
      </c>
      <c r="B507">
        <f>IFERROR(MATCH(A507,'Work Orders'!$AO$11:$AO$1010,0),"")</f>
        <v/>
      </c>
      <c r="C507" s="43">
        <f>IF($B507="","",IF(INDEX('Work Orders'!$A$11:$A$1010,$B507)="","",INDEX('Work Orders'!$A$11:$A$1010,$B507)))</f>
        <v/>
      </c>
      <c r="D507" s="43">
        <f>IF($B507="","",IF(INDEX('Work Orders'!$B$11:$B$1010,$B507)="","",INDEX('Work Orders'!$B$11:$B$1010,$B507)))</f>
        <v/>
      </c>
      <c r="E507" s="43">
        <f>IF($B507="","",IF(INDEX('Work Orders'!$D$11:$D$1010,$B507)="","",INDEX('Work Orders'!$D$11:$D$1010,$B507)))</f>
        <v/>
      </c>
      <c r="F507" s="43">
        <f>IF($B507="","",IF(INDEX('Work Orders'!$Q$11:$Q$1010,$B507)="","",INDEX('Work Orders'!$Q$11:$Q$1010,$B507)))</f>
        <v/>
      </c>
      <c r="G507" s="43">
        <f>IF($B507="","",IF(INDEX('Work Orders'!$V$11:$V$1010,$B507)="","",INDEX('Work Orders'!$V$11:$V$1010,$B507)))</f>
        <v/>
      </c>
      <c r="H507" s="47">
        <f>IF($B507="","",IF(INDEX('Work Orders'!$U$11:$U$1010,$B507)="","",INDEX('Work Orders'!$U$11:$U$1010,$B507)))</f>
        <v/>
      </c>
      <c r="I507" s="47">
        <f>IF($B507="","",IF(INDEX('Work Orders'!$X$11:$X$1010,$B507)="","",INDEX('Work Orders'!$X$11:$X$1010,$B507)))</f>
        <v/>
      </c>
      <c r="J507" s="44">
        <f>IF($B507="","",IF(INDEX('Work Orders'!$Z$11:$Z$1010,$B507)="","",INDEX('Work Orders'!$Z$11:$Z$1010,$B507)))</f>
        <v/>
      </c>
      <c r="K507" s="44">
        <f>IF($B507="","",IF(INDEX('Work Orders'!$AG$11:$AG$1010,$B507)="","",INDEX('Work Orders'!$AG$11:$AG$1010,$B507)))</f>
        <v/>
      </c>
      <c r="L507" s="44">
        <f>IF($B507="","",IF(INDEX('Work Orders'!$AH$11:$AH$1010,$B507)="","",INDEX('Work Orders'!$AH$11:$AH$1010,$B507)))</f>
        <v/>
      </c>
      <c r="M507" s="46">
        <f>IF($B507="","",IF(INDEX('Work Orders'!$AM$11:$AM$1010,$B507)="","",INDEX('Work Orders'!$AM$11:$AM$1010,$B507)))</f>
        <v/>
      </c>
      <c r="N507" s="43">
        <f>IF($B507="","",IF(INDEX('Work Orders'!$AL$11:$AL$1010,$B507)="","",INDEX('Work Orders'!$AL$11:$AL$1010,$B507)))</f>
        <v/>
      </c>
      <c r="O507" s="43">
        <f>IF($B507="","",IF(INDEX('Work Orders'!$N$11:$N$1010,$B507)="","",INDEX('Work Orders'!$N$11:$N$1010,$B507)))</f>
        <v/>
      </c>
    </row>
    <row r="508">
      <c r="A508" s="68" t="n">
        <v>502</v>
      </c>
      <c r="B508">
        <f>IFERROR(MATCH(A508,'Work Orders'!$AO$11:$AO$1010,0),"")</f>
        <v/>
      </c>
      <c r="C508" s="43">
        <f>IF($B508="","",IF(INDEX('Work Orders'!$A$11:$A$1010,$B508)="","",INDEX('Work Orders'!$A$11:$A$1010,$B508)))</f>
        <v/>
      </c>
      <c r="D508" s="43">
        <f>IF($B508="","",IF(INDEX('Work Orders'!$B$11:$B$1010,$B508)="","",INDEX('Work Orders'!$B$11:$B$1010,$B508)))</f>
        <v/>
      </c>
      <c r="E508" s="43">
        <f>IF($B508="","",IF(INDEX('Work Orders'!$D$11:$D$1010,$B508)="","",INDEX('Work Orders'!$D$11:$D$1010,$B508)))</f>
        <v/>
      </c>
      <c r="F508" s="43">
        <f>IF($B508="","",IF(INDEX('Work Orders'!$Q$11:$Q$1010,$B508)="","",INDEX('Work Orders'!$Q$11:$Q$1010,$B508)))</f>
        <v/>
      </c>
      <c r="G508" s="43">
        <f>IF($B508="","",IF(INDEX('Work Orders'!$V$11:$V$1010,$B508)="","",INDEX('Work Orders'!$V$11:$V$1010,$B508)))</f>
        <v/>
      </c>
      <c r="H508" s="47">
        <f>IF($B508="","",IF(INDEX('Work Orders'!$U$11:$U$1010,$B508)="","",INDEX('Work Orders'!$U$11:$U$1010,$B508)))</f>
        <v/>
      </c>
      <c r="I508" s="47">
        <f>IF($B508="","",IF(INDEX('Work Orders'!$X$11:$X$1010,$B508)="","",INDEX('Work Orders'!$X$11:$X$1010,$B508)))</f>
        <v/>
      </c>
      <c r="J508" s="44">
        <f>IF($B508="","",IF(INDEX('Work Orders'!$Z$11:$Z$1010,$B508)="","",INDEX('Work Orders'!$Z$11:$Z$1010,$B508)))</f>
        <v/>
      </c>
      <c r="K508" s="44">
        <f>IF($B508="","",IF(INDEX('Work Orders'!$AG$11:$AG$1010,$B508)="","",INDEX('Work Orders'!$AG$11:$AG$1010,$B508)))</f>
        <v/>
      </c>
      <c r="L508" s="44">
        <f>IF($B508="","",IF(INDEX('Work Orders'!$AH$11:$AH$1010,$B508)="","",INDEX('Work Orders'!$AH$11:$AH$1010,$B508)))</f>
        <v/>
      </c>
      <c r="M508" s="46">
        <f>IF($B508="","",IF(INDEX('Work Orders'!$AM$11:$AM$1010,$B508)="","",INDEX('Work Orders'!$AM$11:$AM$1010,$B508)))</f>
        <v/>
      </c>
      <c r="N508" s="43">
        <f>IF($B508="","",IF(INDEX('Work Orders'!$AL$11:$AL$1010,$B508)="","",INDEX('Work Orders'!$AL$11:$AL$1010,$B508)))</f>
        <v/>
      </c>
      <c r="O508" s="43">
        <f>IF($B508="","",IF(INDEX('Work Orders'!$N$11:$N$1010,$B508)="","",INDEX('Work Orders'!$N$11:$N$1010,$B508)))</f>
        <v/>
      </c>
    </row>
    <row r="509">
      <c r="A509" s="68" t="n">
        <v>503</v>
      </c>
      <c r="B509">
        <f>IFERROR(MATCH(A509,'Work Orders'!$AO$11:$AO$1010,0),"")</f>
        <v/>
      </c>
      <c r="C509" s="43">
        <f>IF($B509="","",IF(INDEX('Work Orders'!$A$11:$A$1010,$B509)="","",INDEX('Work Orders'!$A$11:$A$1010,$B509)))</f>
        <v/>
      </c>
      <c r="D509" s="43">
        <f>IF($B509="","",IF(INDEX('Work Orders'!$B$11:$B$1010,$B509)="","",INDEX('Work Orders'!$B$11:$B$1010,$B509)))</f>
        <v/>
      </c>
      <c r="E509" s="43">
        <f>IF($B509="","",IF(INDEX('Work Orders'!$D$11:$D$1010,$B509)="","",INDEX('Work Orders'!$D$11:$D$1010,$B509)))</f>
        <v/>
      </c>
      <c r="F509" s="43">
        <f>IF($B509="","",IF(INDEX('Work Orders'!$Q$11:$Q$1010,$B509)="","",INDEX('Work Orders'!$Q$11:$Q$1010,$B509)))</f>
        <v/>
      </c>
      <c r="G509" s="43">
        <f>IF($B509="","",IF(INDEX('Work Orders'!$V$11:$V$1010,$B509)="","",INDEX('Work Orders'!$V$11:$V$1010,$B509)))</f>
        <v/>
      </c>
      <c r="H509" s="47">
        <f>IF($B509="","",IF(INDEX('Work Orders'!$U$11:$U$1010,$B509)="","",INDEX('Work Orders'!$U$11:$U$1010,$B509)))</f>
        <v/>
      </c>
      <c r="I509" s="47">
        <f>IF($B509="","",IF(INDEX('Work Orders'!$X$11:$X$1010,$B509)="","",INDEX('Work Orders'!$X$11:$X$1010,$B509)))</f>
        <v/>
      </c>
      <c r="J509" s="44">
        <f>IF($B509="","",IF(INDEX('Work Orders'!$Z$11:$Z$1010,$B509)="","",INDEX('Work Orders'!$Z$11:$Z$1010,$B509)))</f>
        <v/>
      </c>
      <c r="K509" s="44">
        <f>IF($B509="","",IF(INDEX('Work Orders'!$AG$11:$AG$1010,$B509)="","",INDEX('Work Orders'!$AG$11:$AG$1010,$B509)))</f>
        <v/>
      </c>
      <c r="L509" s="44">
        <f>IF($B509="","",IF(INDEX('Work Orders'!$AH$11:$AH$1010,$B509)="","",INDEX('Work Orders'!$AH$11:$AH$1010,$B509)))</f>
        <v/>
      </c>
      <c r="M509" s="46">
        <f>IF($B509="","",IF(INDEX('Work Orders'!$AM$11:$AM$1010,$B509)="","",INDEX('Work Orders'!$AM$11:$AM$1010,$B509)))</f>
        <v/>
      </c>
      <c r="N509" s="43">
        <f>IF($B509="","",IF(INDEX('Work Orders'!$AL$11:$AL$1010,$B509)="","",INDEX('Work Orders'!$AL$11:$AL$1010,$B509)))</f>
        <v/>
      </c>
      <c r="O509" s="43">
        <f>IF($B509="","",IF(INDEX('Work Orders'!$N$11:$N$1010,$B509)="","",INDEX('Work Orders'!$N$11:$N$1010,$B509)))</f>
        <v/>
      </c>
    </row>
    <row r="510">
      <c r="A510" s="68" t="n">
        <v>504</v>
      </c>
      <c r="B510">
        <f>IFERROR(MATCH(A510,'Work Orders'!$AO$11:$AO$1010,0),"")</f>
        <v/>
      </c>
      <c r="C510" s="43">
        <f>IF($B510="","",IF(INDEX('Work Orders'!$A$11:$A$1010,$B510)="","",INDEX('Work Orders'!$A$11:$A$1010,$B510)))</f>
        <v/>
      </c>
      <c r="D510" s="43">
        <f>IF($B510="","",IF(INDEX('Work Orders'!$B$11:$B$1010,$B510)="","",INDEX('Work Orders'!$B$11:$B$1010,$B510)))</f>
        <v/>
      </c>
      <c r="E510" s="43">
        <f>IF($B510="","",IF(INDEX('Work Orders'!$D$11:$D$1010,$B510)="","",INDEX('Work Orders'!$D$11:$D$1010,$B510)))</f>
        <v/>
      </c>
      <c r="F510" s="43">
        <f>IF($B510="","",IF(INDEX('Work Orders'!$Q$11:$Q$1010,$B510)="","",INDEX('Work Orders'!$Q$11:$Q$1010,$B510)))</f>
        <v/>
      </c>
      <c r="G510" s="43">
        <f>IF($B510="","",IF(INDEX('Work Orders'!$V$11:$V$1010,$B510)="","",INDEX('Work Orders'!$V$11:$V$1010,$B510)))</f>
        <v/>
      </c>
      <c r="H510" s="47">
        <f>IF($B510="","",IF(INDEX('Work Orders'!$U$11:$U$1010,$B510)="","",INDEX('Work Orders'!$U$11:$U$1010,$B510)))</f>
        <v/>
      </c>
      <c r="I510" s="47">
        <f>IF($B510="","",IF(INDEX('Work Orders'!$X$11:$X$1010,$B510)="","",INDEX('Work Orders'!$X$11:$X$1010,$B510)))</f>
        <v/>
      </c>
      <c r="J510" s="44">
        <f>IF($B510="","",IF(INDEX('Work Orders'!$Z$11:$Z$1010,$B510)="","",INDEX('Work Orders'!$Z$11:$Z$1010,$B510)))</f>
        <v/>
      </c>
      <c r="K510" s="44">
        <f>IF($B510="","",IF(INDEX('Work Orders'!$AG$11:$AG$1010,$B510)="","",INDEX('Work Orders'!$AG$11:$AG$1010,$B510)))</f>
        <v/>
      </c>
      <c r="L510" s="44">
        <f>IF($B510="","",IF(INDEX('Work Orders'!$AH$11:$AH$1010,$B510)="","",INDEX('Work Orders'!$AH$11:$AH$1010,$B510)))</f>
        <v/>
      </c>
      <c r="M510" s="46">
        <f>IF($B510="","",IF(INDEX('Work Orders'!$AM$11:$AM$1010,$B510)="","",INDEX('Work Orders'!$AM$11:$AM$1010,$B510)))</f>
        <v/>
      </c>
      <c r="N510" s="43">
        <f>IF($B510="","",IF(INDEX('Work Orders'!$AL$11:$AL$1010,$B510)="","",INDEX('Work Orders'!$AL$11:$AL$1010,$B510)))</f>
        <v/>
      </c>
      <c r="O510" s="43">
        <f>IF($B510="","",IF(INDEX('Work Orders'!$N$11:$N$1010,$B510)="","",INDEX('Work Orders'!$N$11:$N$1010,$B510)))</f>
        <v/>
      </c>
    </row>
    <row r="511">
      <c r="A511" s="68" t="n">
        <v>505</v>
      </c>
      <c r="B511">
        <f>IFERROR(MATCH(A511,'Work Orders'!$AO$11:$AO$1010,0),"")</f>
        <v/>
      </c>
      <c r="C511" s="43">
        <f>IF($B511="","",IF(INDEX('Work Orders'!$A$11:$A$1010,$B511)="","",INDEX('Work Orders'!$A$11:$A$1010,$B511)))</f>
        <v/>
      </c>
      <c r="D511" s="43">
        <f>IF($B511="","",IF(INDEX('Work Orders'!$B$11:$B$1010,$B511)="","",INDEX('Work Orders'!$B$11:$B$1010,$B511)))</f>
        <v/>
      </c>
      <c r="E511" s="43">
        <f>IF($B511="","",IF(INDEX('Work Orders'!$D$11:$D$1010,$B511)="","",INDEX('Work Orders'!$D$11:$D$1010,$B511)))</f>
        <v/>
      </c>
      <c r="F511" s="43">
        <f>IF($B511="","",IF(INDEX('Work Orders'!$Q$11:$Q$1010,$B511)="","",INDEX('Work Orders'!$Q$11:$Q$1010,$B511)))</f>
        <v/>
      </c>
      <c r="G511" s="43">
        <f>IF($B511="","",IF(INDEX('Work Orders'!$V$11:$V$1010,$B511)="","",INDEX('Work Orders'!$V$11:$V$1010,$B511)))</f>
        <v/>
      </c>
      <c r="H511" s="47">
        <f>IF($B511="","",IF(INDEX('Work Orders'!$U$11:$U$1010,$B511)="","",INDEX('Work Orders'!$U$11:$U$1010,$B511)))</f>
        <v/>
      </c>
      <c r="I511" s="47">
        <f>IF($B511="","",IF(INDEX('Work Orders'!$X$11:$X$1010,$B511)="","",INDEX('Work Orders'!$X$11:$X$1010,$B511)))</f>
        <v/>
      </c>
      <c r="J511" s="44">
        <f>IF($B511="","",IF(INDEX('Work Orders'!$Z$11:$Z$1010,$B511)="","",INDEX('Work Orders'!$Z$11:$Z$1010,$B511)))</f>
        <v/>
      </c>
      <c r="K511" s="44">
        <f>IF($B511="","",IF(INDEX('Work Orders'!$AG$11:$AG$1010,$B511)="","",INDEX('Work Orders'!$AG$11:$AG$1010,$B511)))</f>
        <v/>
      </c>
      <c r="L511" s="44">
        <f>IF($B511="","",IF(INDEX('Work Orders'!$AH$11:$AH$1010,$B511)="","",INDEX('Work Orders'!$AH$11:$AH$1010,$B511)))</f>
        <v/>
      </c>
      <c r="M511" s="46">
        <f>IF($B511="","",IF(INDEX('Work Orders'!$AM$11:$AM$1010,$B511)="","",INDEX('Work Orders'!$AM$11:$AM$1010,$B511)))</f>
        <v/>
      </c>
      <c r="N511" s="43">
        <f>IF($B511="","",IF(INDEX('Work Orders'!$AL$11:$AL$1010,$B511)="","",INDEX('Work Orders'!$AL$11:$AL$1010,$B511)))</f>
        <v/>
      </c>
      <c r="O511" s="43">
        <f>IF($B511="","",IF(INDEX('Work Orders'!$N$11:$N$1010,$B511)="","",INDEX('Work Orders'!$N$11:$N$1010,$B511)))</f>
        <v/>
      </c>
    </row>
    <row r="512">
      <c r="A512" s="68" t="n">
        <v>506</v>
      </c>
      <c r="B512">
        <f>IFERROR(MATCH(A512,'Work Orders'!$AO$11:$AO$1010,0),"")</f>
        <v/>
      </c>
      <c r="C512" s="43">
        <f>IF($B512="","",IF(INDEX('Work Orders'!$A$11:$A$1010,$B512)="","",INDEX('Work Orders'!$A$11:$A$1010,$B512)))</f>
        <v/>
      </c>
      <c r="D512" s="43">
        <f>IF($B512="","",IF(INDEX('Work Orders'!$B$11:$B$1010,$B512)="","",INDEX('Work Orders'!$B$11:$B$1010,$B512)))</f>
        <v/>
      </c>
      <c r="E512" s="43">
        <f>IF($B512="","",IF(INDEX('Work Orders'!$D$11:$D$1010,$B512)="","",INDEX('Work Orders'!$D$11:$D$1010,$B512)))</f>
        <v/>
      </c>
      <c r="F512" s="43">
        <f>IF($B512="","",IF(INDEX('Work Orders'!$Q$11:$Q$1010,$B512)="","",INDEX('Work Orders'!$Q$11:$Q$1010,$B512)))</f>
        <v/>
      </c>
      <c r="G512" s="43">
        <f>IF($B512="","",IF(INDEX('Work Orders'!$V$11:$V$1010,$B512)="","",INDEX('Work Orders'!$V$11:$V$1010,$B512)))</f>
        <v/>
      </c>
      <c r="H512" s="47">
        <f>IF($B512="","",IF(INDEX('Work Orders'!$U$11:$U$1010,$B512)="","",INDEX('Work Orders'!$U$11:$U$1010,$B512)))</f>
        <v/>
      </c>
      <c r="I512" s="47">
        <f>IF($B512="","",IF(INDEX('Work Orders'!$X$11:$X$1010,$B512)="","",INDEX('Work Orders'!$X$11:$X$1010,$B512)))</f>
        <v/>
      </c>
      <c r="J512" s="44">
        <f>IF($B512="","",IF(INDEX('Work Orders'!$Z$11:$Z$1010,$B512)="","",INDEX('Work Orders'!$Z$11:$Z$1010,$B512)))</f>
        <v/>
      </c>
      <c r="K512" s="44">
        <f>IF($B512="","",IF(INDEX('Work Orders'!$AG$11:$AG$1010,$B512)="","",INDEX('Work Orders'!$AG$11:$AG$1010,$B512)))</f>
        <v/>
      </c>
      <c r="L512" s="44">
        <f>IF($B512="","",IF(INDEX('Work Orders'!$AH$11:$AH$1010,$B512)="","",INDEX('Work Orders'!$AH$11:$AH$1010,$B512)))</f>
        <v/>
      </c>
      <c r="M512" s="46">
        <f>IF($B512="","",IF(INDEX('Work Orders'!$AM$11:$AM$1010,$B512)="","",INDEX('Work Orders'!$AM$11:$AM$1010,$B512)))</f>
        <v/>
      </c>
      <c r="N512" s="43">
        <f>IF($B512="","",IF(INDEX('Work Orders'!$AL$11:$AL$1010,$B512)="","",INDEX('Work Orders'!$AL$11:$AL$1010,$B512)))</f>
        <v/>
      </c>
      <c r="O512" s="43">
        <f>IF($B512="","",IF(INDEX('Work Orders'!$N$11:$N$1010,$B512)="","",INDEX('Work Orders'!$N$11:$N$1010,$B512)))</f>
        <v/>
      </c>
    </row>
    <row r="513">
      <c r="A513" s="68" t="n">
        <v>507</v>
      </c>
      <c r="B513">
        <f>IFERROR(MATCH(A513,'Work Orders'!$AO$11:$AO$1010,0),"")</f>
        <v/>
      </c>
      <c r="C513" s="43">
        <f>IF($B513="","",IF(INDEX('Work Orders'!$A$11:$A$1010,$B513)="","",INDEX('Work Orders'!$A$11:$A$1010,$B513)))</f>
        <v/>
      </c>
      <c r="D513" s="43">
        <f>IF($B513="","",IF(INDEX('Work Orders'!$B$11:$B$1010,$B513)="","",INDEX('Work Orders'!$B$11:$B$1010,$B513)))</f>
        <v/>
      </c>
      <c r="E513" s="43">
        <f>IF($B513="","",IF(INDEX('Work Orders'!$D$11:$D$1010,$B513)="","",INDEX('Work Orders'!$D$11:$D$1010,$B513)))</f>
        <v/>
      </c>
      <c r="F513" s="43">
        <f>IF($B513="","",IF(INDEX('Work Orders'!$Q$11:$Q$1010,$B513)="","",INDEX('Work Orders'!$Q$11:$Q$1010,$B513)))</f>
        <v/>
      </c>
      <c r="G513" s="43">
        <f>IF($B513="","",IF(INDEX('Work Orders'!$V$11:$V$1010,$B513)="","",INDEX('Work Orders'!$V$11:$V$1010,$B513)))</f>
        <v/>
      </c>
      <c r="H513" s="47">
        <f>IF($B513="","",IF(INDEX('Work Orders'!$U$11:$U$1010,$B513)="","",INDEX('Work Orders'!$U$11:$U$1010,$B513)))</f>
        <v/>
      </c>
      <c r="I513" s="47">
        <f>IF($B513="","",IF(INDEX('Work Orders'!$X$11:$X$1010,$B513)="","",INDEX('Work Orders'!$X$11:$X$1010,$B513)))</f>
        <v/>
      </c>
      <c r="J513" s="44">
        <f>IF($B513="","",IF(INDEX('Work Orders'!$Z$11:$Z$1010,$B513)="","",INDEX('Work Orders'!$Z$11:$Z$1010,$B513)))</f>
        <v/>
      </c>
      <c r="K513" s="44">
        <f>IF($B513="","",IF(INDEX('Work Orders'!$AG$11:$AG$1010,$B513)="","",INDEX('Work Orders'!$AG$11:$AG$1010,$B513)))</f>
        <v/>
      </c>
      <c r="L513" s="44">
        <f>IF($B513="","",IF(INDEX('Work Orders'!$AH$11:$AH$1010,$B513)="","",INDEX('Work Orders'!$AH$11:$AH$1010,$B513)))</f>
        <v/>
      </c>
      <c r="M513" s="46">
        <f>IF($B513="","",IF(INDEX('Work Orders'!$AM$11:$AM$1010,$B513)="","",INDEX('Work Orders'!$AM$11:$AM$1010,$B513)))</f>
        <v/>
      </c>
      <c r="N513" s="43">
        <f>IF($B513="","",IF(INDEX('Work Orders'!$AL$11:$AL$1010,$B513)="","",INDEX('Work Orders'!$AL$11:$AL$1010,$B513)))</f>
        <v/>
      </c>
      <c r="O513" s="43">
        <f>IF($B513="","",IF(INDEX('Work Orders'!$N$11:$N$1010,$B513)="","",INDEX('Work Orders'!$N$11:$N$1010,$B513)))</f>
        <v/>
      </c>
    </row>
    <row r="514">
      <c r="A514" s="68" t="n">
        <v>508</v>
      </c>
      <c r="B514">
        <f>IFERROR(MATCH(A514,'Work Orders'!$AO$11:$AO$1010,0),"")</f>
        <v/>
      </c>
      <c r="C514" s="43">
        <f>IF($B514="","",IF(INDEX('Work Orders'!$A$11:$A$1010,$B514)="","",INDEX('Work Orders'!$A$11:$A$1010,$B514)))</f>
        <v/>
      </c>
      <c r="D514" s="43">
        <f>IF($B514="","",IF(INDEX('Work Orders'!$B$11:$B$1010,$B514)="","",INDEX('Work Orders'!$B$11:$B$1010,$B514)))</f>
        <v/>
      </c>
      <c r="E514" s="43">
        <f>IF($B514="","",IF(INDEX('Work Orders'!$D$11:$D$1010,$B514)="","",INDEX('Work Orders'!$D$11:$D$1010,$B514)))</f>
        <v/>
      </c>
      <c r="F514" s="43">
        <f>IF($B514="","",IF(INDEX('Work Orders'!$Q$11:$Q$1010,$B514)="","",INDEX('Work Orders'!$Q$11:$Q$1010,$B514)))</f>
        <v/>
      </c>
      <c r="G514" s="43">
        <f>IF($B514="","",IF(INDEX('Work Orders'!$V$11:$V$1010,$B514)="","",INDEX('Work Orders'!$V$11:$V$1010,$B514)))</f>
        <v/>
      </c>
      <c r="H514" s="47">
        <f>IF($B514="","",IF(INDEX('Work Orders'!$U$11:$U$1010,$B514)="","",INDEX('Work Orders'!$U$11:$U$1010,$B514)))</f>
        <v/>
      </c>
      <c r="I514" s="47">
        <f>IF($B514="","",IF(INDEX('Work Orders'!$X$11:$X$1010,$B514)="","",INDEX('Work Orders'!$X$11:$X$1010,$B514)))</f>
        <v/>
      </c>
      <c r="J514" s="44">
        <f>IF($B514="","",IF(INDEX('Work Orders'!$Z$11:$Z$1010,$B514)="","",INDEX('Work Orders'!$Z$11:$Z$1010,$B514)))</f>
        <v/>
      </c>
      <c r="K514" s="44">
        <f>IF($B514="","",IF(INDEX('Work Orders'!$AG$11:$AG$1010,$B514)="","",INDEX('Work Orders'!$AG$11:$AG$1010,$B514)))</f>
        <v/>
      </c>
      <c r="L514" s="44">
        <f>IF($B514="","",IF(INDEX('Work Orders'!$AH$11:$AH$1010,$B514)="","",INDEX('Work Orders'!$AH$11:$AH$1010,$B514)))</f>
        <v/>
      </c>
      <c r="M514" s="46">
        <f>IF($B514="","",IF(INDEX('Work Orders'!$AM$11:$AM$1010,$B514)="","",INDEX('Work Orders'!$AM$11:$AM$1010,$B514)))</f>
        <v/>
      </c>
      <c r="N514" s="43">
        <f>IF($B514="","",IF(INDEX('Work Orders'!$AL$11:$AL$1010,$B514)="","",INDEX('Work Orders'!$AL$11:$AL$1010,$B514)))</f>
        <v/>
      </c>
      <c r="O514" s="43">
        <f>IF($B514="","",IF(INDEX('Work Orders'!$N$11:$N$1010,$B514)="","",INDEX('Work Orders'!$N$11:$N$1010,$B514)))</f>
        <v/>
      </c>
    </row>
    <row r="515">
      <c r="A515" s="68" t="n">
        <v>509</v>
      </c>
      <c r="B515">
        <f>IFERROR(MATCH(A515,'Work Orders'!$AO$11:$AO$1010,0),"")</f>
        <v/>
      </c>
      <c r="C515" s="43">
        <f>IF($B515="","",IF(INDEX('Work Orders'!$A$11:$A$1010,$B515)="","",INDEX('Work Orders'!$A$11:$A$1010,$B515)))</f>
        <v/>
      </c>
      <c r="D515" s="43">
        <f>IF($B515="","",IF(INDEX('Work Orders'!$B$11:$B$1010,$B515)="","",INDEX('Work Orders'!$B$11:$B$1010,$B515)))</f>
        <v/>
      </c>
      <c r="E515" s="43">
        <f>IF($B515="","",IF(INDEX('Work Orders'!$D$11:$D$1010,$B515)="","",INDEX('Work Orders'!$D$11:$D$1010,$B515)))</f>
        <v/>
      </c>
      <c r="F515" s="43">
        <f>IF($B515="","",IF(INDEX('Work Orders'!$Q$11:$Q$1010,$B515)="","",INDEX('Work Orders'!$Q$11:$Q$1010,$B515)))</f>
        <v/>
      </c>
      <c r="G515" s="43">
        <f>IF($B515="","",IF(INDEX('Work Orders'!$V$11:$V$1010,$B515)="","",INDEX('Work Orders'!$V$11:$V$1010,$B515)))</f>
        <v/>
      </c>
      <c r="H515" s="47">
        <f>IF($B515="","",IF(INDEX('Work Orders'!$U$11:$U$1010,$B515)="","",INDEX('Work Orders'!$U$11:$U$1010,$B515)))</f>
        <v/>
      </c>
      <c r="I515" s="47">
        <f>IF($B515="","",IF(INDEX('Work Orders'!$X$11:$X$1010,$B515)="","",INDEX('Work Orders'!$X$11:$X$1010,$B515)))</f>
        <v/>
      </c>
      <c r="J515" s="44">
        <f>IF($B515="","",IF(INDEX('Work Orders'!$Z$11:$Z$1010,$B515)="","",INDEX('Work Orders'!$Z$11:$Z$1010,$B515)))</f>
        <v/>
      </c>
      <c r="K515" s="44">
        <f>IF($B515="","",IF(INDEX('Work Orders'!$AG$11:$AG$1010,$B515)="","",INDEX('Work Orders'!$AG$11:$AG$1010,$B515)))</f>
        <v/>
      </c>
      <c r="L515" s="44">
        <f>IF($B515="","",IF(INDEX('Work Orders'!$AH$11:$AH$1010,$B515)="","",INDEX('Work Orders'!$AH$11:$AH$1010,$B515)))</f>
        <v/>
      </c>
      <c r="M515" s="46">
        <f>IF($B515="","",IF(INDEX('Work Orders'!$AM$11:$AM$1010,$B515)="","",INDEX('Work Orders'!$AM$11:$AM$1010,$B515)))</f>
        <v/>
      </c>
      <c r="N515" s="43">
        <f>IF($B515="","",IF(INDEX('Work Orders'!$AL$11:$AL$1010,$B515)="","",INDEX('Work Orders'!$AL$11:$AL$1010,$B515)))</f>
        <v/>
      </c>
      <c r="O515" s="43">
        <f>IF($B515="","",IF(INDEX('Work Orders'!$N$11:$N$1010,$B515)="","",INDEX('Work Orders'!$N$11:$N$1010,$B515)))</f>
        <v/>
      </c>
    </row>
    <row r="516">
      <c r="A516" s="68" t="n">
        <v>510</v>
      </c>
      <c r="B516">
        <f>IFERROR(MATCH(A516,'Work Orders'!$AO$11:$AO$1010,0),"")</f>
        <v/>
      </c>
      <c r="C516" s="43">
        <f>IF($B516="","",IF(INDEX('Work Orders'!$A$11:$A$1010,$B516)="","",INDEX('Work Orders'!$A$11:$A$1010,$B516)))</f>
        <v/>
      </c>
      <c r="D516" s="43">
        <f>IF($B516="","",IF(INDEX('Work Orders'!$B$11:$B$1010,$B516)="","",INDEX('Work Orders'!$B$11:$B$1010,$B516)))</f>
        <v/>
      </c>
      <c r="E516" s="43">
        <f>IF($B516="","",IF(INDEX('Work Orders'!$D$11:$D$1010,$B516)="","",INDEX('Work Orders'!$D$11:$D$1010,$B516)))</f>
        <v/>
      </c>
      <c r="F516" s="43">
        <f>IF($B516="","",IF(INDEX('Work Orders'!$Q$11:$Q$1010,$B516)="","",INDEX('Work Orders'!$Q$11:$Q$1010,$B516)))</f>
        <v/>
      </c>
      <c r="G516" s="43">
        <f>IF($B516="","",IF(INDEX('Work Orders'!$V$11:$V$1010,$B516)="","",INDEX('Work Orders'!$V$11:$V$1010,$B516)))</f>
        <v/>
      </c>
      <c r="H516" s="47">
        <f>IF($B516="","",IF(INDEX('Work Orders'!$U$11:$U$1010,$B516)="","",INDEX('Work Orders'!$U$11:$U$1010,$B516)))</f>
        <v/>
      </c>
      <c r="I516" s="47">
        <f>IF($B516="","",IF(INDEX('Work Orders'!$X$11:$X$1010,$B516)="","",INDEX('Work Orders'!$X$11:$X$1010,$B516)))</f>
        <v/>
      </c>
      <c r="J516" s="44">
        <f>IF($B516="","",IF(INDEX('Work Orders'!$Z$11:$Z$1010,$B516)="","",INDEX('Work Orders'!$Z$11:$Z$1010,$B516)))</f>
        <v/>
      </c>
      <c r="K516" s="44">
        <f>IF($B516="","",IF(INDEX('Work Orders'!$AG$11:$AG$1010,$B516)="","",INDEX('Work Orders'!$AG$11:$AG$1010,$B516)))</f>
        <v/>
      </c>
      <c r="L516" s="44">
        <f>IF($B516="","",IF(INDEX('Work Orders'!$AH$11:$AH$1010,$B516)="","",INDEX('Work Orders'!$AH$11:$AH$1010,$B516)))</f>
        <v/>
      </c>
      <c r="M516" s="46">
        <f>IF($B516="","",IF(INDEX('Work Orders'!$AM$11:$AM$1010,$B516)="","",INDEX('Work Orders'!$AM$11:$AM$1010,$B516)))</f>
        <v/>
      </c>
      <c r="N516" s="43">
        <f>IF($B516="","",IF(INDEX('Work Orders'!$AL$11:$AL$1010,$B516)="","",INDEX('Work Orders'!$AL$11:$AL$1010,$B516)))</f>
        <v/>
      </c>
      <c r="O516" s="43">
        <f>IF($B516="","",IF(INDEX('Work Orders'!$N$11:$N$1010,$B516)="","",INDEX('Work Orders'!$N$11:$N$1010,$B516)))</f>
        <v/>
      </c>
    </row>
    <row r="517">
      <c r="A517" s="68" t="n">
        <v>511</v>
      </c>
      <c r="B517">
        <f>IFERROR(MATCH(A517,'Work Orders'!$AO$11:$AO$1010,0),"")</f>
        <v/>
      </c>
      <c r="C517" s="43">
        <f>IF($B517="","",IF(INDEX('Work Orders'!$A$11:$A$1010,$B517)="","",INDEX('Work Orders'!$A$11:$A$1010,$B517)))</f>
        <v/>
      </c>
      <c r="D517" s="43">
        <f>IF($B517="","",IF(INDEX('Work Orders'!$B$11:$B$1010,$B517)="","",INDEX('Work Orders'!$B$11:$B$1010,$B517)))</f>
        <v/>
      </c>
      <c r="E517" s="43">
        <f>IF($B517="","",IF(INDEX('Work Orders'!$D$11:$D$1010,$B517)="","",INDEX('Work Orders'!$D$11:$D$1010,$B517)))</f>
        <v/>
      </c>
      <c r="F517" s="43">
        <f>IF($B517="","",IF(INDEX('Work Orders'!$Q$11:$Q$1010,$B517)="","",INDEX('Work Orders'!$Q$11:$Q$1010,$B517)))</f>
        <v/>
      </c>
      <c r="G517" s="43">
        <f>IF($B517="","",IF(INDEX('Work Orders'!$V$11:$V$1010,$B517)="","",INDEX('Work Orders'!$V$11:$V$1010,$B517)))</f>
        <v/>
      </c>
      <c r="H517" s="47">
        <f>IF($B517="","",IF(INDEX('Work Orders'!$U$11:$U$1010,$B517)="","",INDEX('Work Orders'!$U$11:$U$1010,$B517)))</f>
        <v/>
      </c>
      <c r="I517" s="47">
        <f>IF($B517="","",IF(INDEX('Work Orders'!$X$11:$X$1010,$B517)="","",INDEX('Work Orders'!$X$11:$X$1010,$B517)))</f>
        <v/>
      </c>
      <c r="J517" s="44">
        <f>IF($B517="","",IF(INDEX('Work Orders'!$Z$11:$Z$1010,$B517)="","",INDEX('Work Orders'!$Z$11:$Z$1010,$B517)))</f>
        <v/>
      </c>
      <c r="K517" s="44">
        <f>IF($B517="","",IF(INDEX('Work Orders'!$AG$11:$AG$1010,$B517)="","",INDEX('Work Orders'!$AG$11:$AG$1010,$B517)))</f>
        <v/>
      </c>
      <c r="L517" s="44">
        <f>IF($B517="","",IF(INDEX('Work Orders'!$AH$11:$AH$1010,$B517)="","",INDEX('Work Orders'!$AH$11:$AH$1010,$B517)))</f>
        <v/>
      </c>
      <c r="M517" s="46">
        <f>IF($B517="","",IF(INDEX('Work Orders'!$AM$11:$AM$1010,$B517)="","",INDEX('Work Orders'!$AM$11:$AM$1010,$B517)))</f>
        <v/>
      </c>
      <c r="N517" s="43">
        <f>IF($B517="","",IF(INDEX('Work Orders'!$AL$11:$AL$1010,$B517)="","",INDEX('Work Orders'!$AL$11:$AL$1010,$B517)))</f>
        <v/>
      </c>
      <c r="O517" s="43">
        <f>IF($B517="","",IF(INDEX('Work Orders'!$N$11:$N$1010,$B517)="","",INDEX('Work Orders'!$N$11:$N$1010,$B517)))</f>
        <v/>
      </c>
    </row>
    <row r="518">
      <c r="A518" s="68" t="n">
        <v>512</v>
      </c>
      <c r="B518">
        <f>IFERROR(MATCH(A518,'Work Orders'!$AO$11:$AO$1010,0),"")</f>
        <v/>
      </c>
      <c r="C518" s="43">
        <f>IF($B518="","",IF(INDEX('Work Orders'!$A$11:$A$1010,$B518)="","",INDEX('Work Orders'!$A$11:$A$1010,$B518)))</f>
        <v/>
      </c>
      <c r="D518" s="43">
        <f>IF($B518="","",IF(INDEX('Work Orders'!$B$11:$B$1010,$B518)="","",INDEX('Work Orders'!$B$11:$B$1010,$B518)))</f>
        <v/>
      </c>
      <c r="E518" s="43">
        <f>IF($B518="","",IF(INDEX('Work Orders'!$D$11:$D$1010,$B518)="","",INDEX('Work Orders'!$D$11:$D$1010,$B518)))</f>
        <v/>
      </c>
      <c r="F518" s="43">
        <f>IF($B518="","",IF(INDEX('Work Orders'!$Q$11:$Q$1010,$B518)="","",INDEX('Work Orders'!$Q$11:$Q$1010,$B518)))</f>
        <v/>
      </c>
      <c r="G518" s="43">
        <f>IF($B518="","",IF(INDEX('Work Orders'!$V$11:$V$1010,$B518)="","",INDEX('Work Orders'!$V$11:$V$1010,$B518)))</f>
        <v/>
      </c>
      <c r="H518" s="47">
        <f>IF($B518="","",IF(INDEX('Work Orders'!$U$11:$U$1010,$B518)="","",INDEX('Work Orders'!$U$11:$U$1010,$B518)))</f>
        <v/>
      </c>
      <c r="I518" s="47">
        <f>IF($B518="","",IF(INDEX('Work Orders'!$X$11:$X$1010,$B518)="","",INDEX('Work Orders'!$X$11:$X$1010,$B518)))</f>
        <v/>
      </c>
      <c r="J518" s="44">
        <f>IF($B518="","",IF(INDEX('Work Orders'!$Z$11:$Z$1010,$B518)="","",INDEX('Work Orders'!$Z$11:$Z$1010,$B518)))</f>
        <v/>
      </c>
      <c r="K518" s="44">
        <f>IF($B518="","",IF(INDEX('Work Orders'!$AG$11:$AG$1010,$B518)="","",INDEX('Work Orders'!$AG$11:$AG$1010,$B518)))</f>
        <v/>
      </c>
      <c r="L518" s="44">
        <f>IF($B518="","",IF(INDEX('Work Orders'!$AH$11:$AH$1010,$B518)="","",INDEX('Work Orders'!$AH$11:$AH$1010,$B518)))</f>
        <v/>
      </c>
      <c r="M518" s="46">
        <f>IF($B518="","",IF(INDEX('Work Orders'!$AM$11:$AM$1010,$B518)="","",INDEX('Work Orders'!$AM$11:$AM$1010,$B518)))</f>
        <v/>
      </c>
      <c r="N518" s="43">
        <f>IF($B518="","",IF(INDEX('Work Orders'!$AL$11:$AL$1010,$B518)="","",INDEX('Work Orders'!$AL$11:$AL$1010,$B518)))</f>
        <v/>
      </c>
      <c r="O518" s="43">
        <f>IF($B518="","",IF(INDEX('Work Orders'!$N$11:$N$1010,$B518)="","",INDEX('Work Orders'!$N$11:$N$1010,$B518)))</f>
        <v/>
      </c>
    </row>
    <row r="519">
      <c r="A519" s="68" t="n">
        <v>513</v>
      </c>
      <c r="B519">
        <f>IFERROR(MATCH(A519,'Work Orders'!$AO$11:$AO$1010,0),"")</f>
        <v/>
      </c>
      <c r="C519" s="43">
        <f>IF($B519="","",IF(INDEX('Work Orders'!$A$11:$A$1010,$B519)="","",INDEX('Work Orders'!$A$11:$A$1010,$B519)))</f>
        <v/>
      </c>
      <c r="D519" s="43">
        <f>IF($B519="","",IF(INDEX('Work Orders'!$B$11:$B$1010,$B519)="","",INDEX('Work Orders'!$B$11:$B$1010,$B519)))</f>
        <v/>
      </c>
      <c r="E519" s="43">
        <f>IF($B519="","",IF(INDEX('Work Orders'!$D$11:$D$1010,$B519)="","",INDEX('Work Orders'!$D$11:$D$1010,$B519)))</f>
        <v/>
      </c>
      <c r="F519" s="43">
        <f>IF($B519="","",IF(INDEX('Work Orders'!$Q$11:$Q$1010,$B519)="","",INDEX('Work Orders'!$Q$11:$Q$1010,$B519)))</f>
        <v/>
      </c>
      <c r="G519" s="43">
        <f>IF($B519="","",IF(INDEX('Work Orders'!$V$11:$V$1010,$B519)="","",INDEX('Work Orders'!$V$11:$V$1010,$B519)))</f>
        <v/>
      </c>
      <c r="H519" s="47">
        <f>IF($B519="","",IF(INDEX('Work Orders'!$U$11:$U$1010,$B519)="","",INDEX('Work Orders'!$U$11:$U$1010,$B519)))</f>
        <v/>
      </c>
      <c r="I519" s="47">
        <f>IF($B519="","",IF(INDEX('Work Orders'!$X$11:$X$1010,$B519)="","",INDEX('Work Orders'!$X$11:$X$1010,$B519)))</f>
        <v/>
      </c>
      <c r="J519" s="44">
        <f>IF($B519="","",IF(INDEX('Work Orders'!$Z$11:$Z$1010,$B519)="","",INDEX('Work Orders'!$Z$11:$Z$1010,$B519)))</f>
        <v/>
      </c>
      <c r="K519" s="44">
        <f>IF($B519="","",IF(INDEX('Work Orders'!$AG$11:$AG$1010,$B519)="","",INDEX('Work Orders'!$AG$11:$AG$1010,$B519)))</f>
        <v/>
      </c>
      <c r="L519" s="44">
        <f>IF($B519="","",IF(INDEX('Work Orders'!$AH$11:$AH$1010,$B519)="","",INDEX('Work Orders'!$AH$11:$AH$1010,$B519)))</f>
        <v/>
      </c>
      <c r="M519" s="46">
        <f>IF($B519="","",IF(INDEX('Work Orders'!$AM$11:$AM$1010,$B519)="","",INDEX('Work Orders'!$AM$11:$AM$1010,$B519)))</f>
        <v/>
      </c>
      <c r="N519" s="43">
        <f>IF($B519="","",IF(INDEX('Work Orders'!$AL$11:$AL$1010,$B519)="","",INDEX('Work Orders'!$AL$11:$AL$1010,$B519)))</f>
        <v/>
      </c>
      <c r="O519" s="43">
        <f>IF($B519="","",IF(INDEX('Work Orders'!$N$11:$N$1010,$B519)="","",INDEX('Work Orders'!$N$11:$N$1010,$B519)))</f>
        <v/>
      </c>
    </row>
    <row r="520">
      <c r="A520" s="68" t="n">
        <v>514</v>
      </c>
      <c r="B520">
        <f>IFERROR(MATCH(A520,'Work Orders'!$AO$11:$AO$1010,0),"")</f>
        <v/>
      </c>
      <c r="C520" s="43">
        <f>IF($B520="","",IF(INDEX('Work Orders'!$A$11:$A$1010,$B520)="","",INDEX('Work Orders'!$A$11:$A$1010,$B520)))</f>
        <v/>
      </c>
      <c r="D520" s="43">
        <f>IF($B520="","",IF(INDEX('Work Orders'!$B$11:$B$1010,$B520)="","",INDEX('Work Orders'!$B$11:$B$1010,$B520)))</f>
        <v/>
      </c>
      <c r="E520" s="43">
        <f>IF($B520="","",IF(INDEX('Work Orders'!$D$11:$D$1010,$B520)="","",INDEX('Work Orders'!$D$11:$D$1010,$B520)))</f>
        <v/>
      </c>
      <c r="F520" s="43">
        <f>IF($B520="","",IF(INDEX('Work Orders'!$Q$11:$Q$1010,$B520)="","",INDEX('Work Orders'!$Q$11:$Q$1010,$B520)))</f>
        <v/>
      </c>
      <c r="G520" s="43">
        <f>IF($B520="","",IF(INDEX('Work Orders'!$V$11:$V$1010,$B520)="","",INDEX('Work Orders'!$V$11:$V$1010,$B520)))</f>
        <v/>
      </c>
      <c r="H520" s="47">
        <f>IF($B520="","",IF(INDEX('Work Orders'!$U$11:$U$1010,$B520)="","",INDEX('Work Orders'!$U$11:$U$1010,$B520)))</f>
        <v/>
      </c>
      <c r="I520" s="47">
        <f>IF($B520="","",IF(INDEX('Work Orders'!$X$11:$X$1010,$B520)="","",INDEX('Work Orders'!$X$11:$X$1010,$B520)))</f>
        <v/>
      </c>
      <c r="J520" s="44">
        <f>IF($B520="","",IF(INDEX('Work Orders'!$Z$11:$Z$1010,$B520)="","",INDEX('Work Orders'!$Z$11:$Z$1010,$B520)))</f>
        <v/>
      </c>
      <c r="K520" s="44">
        <f>IF($B520="","",IF(INDEX('Work Orders'!$AG$11:$AG$1010,$B520)="","",INDEX('Work Orders'!$AG$11:$AG$1010,$B520)))</f>
        <v/>
      </c>
      <c r="L520" s="44">
        <f>IF($B520="","",IF(INDEX('Work Orders'!$AH$11:$AH$1010,$B520)="","",INDEX('Work Orders'!$AH$11:$AH$1010,$B520)))</f>
        <v/>
      </c>
      <c r="M520" s="46">
        <f>IF($B520="","",IF(INDEX('Work Orders'!$AM$11:$AM$1010,$B520)="","",INDEX('Work Orders'!$AM$11:$AM$1010,$B520)))</f>
        <v/>
      </c>
      <c r="N520" s="43">
        <f>IF($B520="","",IF(INDEX('Work Orders'!$AL$11:$AL$1010,$B520)="","",INDEX('Work Orders'!$AL$11:$AL$1010,$B520)))</f>
        <v/>
      </c>
      <c r="O520" s="43">
        <f>IF($B520="","",IF(INDEX('Work Orders'!$N$11:$N$1010,$B520)="","",INDEX('Work Orders'!$N$11:$N$1010,$B520)))</f>
        <v/>
      </c>
    </row>
    <row r="521">
      <c r="A521" s="68" t="n">
        <v>515</v>
      </c>
      <c r="B521">
        <f>IFERROR(MATCH(A521,'Work Orders'!$AO$11:$AO$1010,0),"")</f>
        <v/>
      </c>
      <c r="C521" s="43">
        <f>IF($B521="","",IF(INDEX('Work Orders'!$A$11:$A$1010,$B521)="","",INDEX('Work Orders'!$A$11:$A$1010,$B521)))</f>
        <v/>
      </c>
      <c r="D521" s="43">
        <f>IF($B521="","",IF(INDEX('Work Orders'!$B$11:$B$1010,$B521)="","",INDEX('Work Orders'!$B$11:$B$1010,$B521)))</f>
        <v/>
      </c>
      <c r="E521" s="43">
        <f>IF($B521="","",IF(INDEX('Work Orders'!$D$11:$D$1010,$B521)="","",INDEX('Work Orders'!$D$11:$D$1010,$B521)))</f>
        <v/>
      </c>
      <c r="F521" s="43">
        <f>IF($B521="","",IF(INDEX('Work Orders'!$Q$11:$Q$1010,$B521)="","",INDEX('Work Orders'!$Q$11:$Q$1010,$B521)))</f>
        <v/>
      </c>
      <c r="G521" s="43">
        <f>IF($B521="","",IF(INDEX('Work Orders'!$V$11:$V$1010,$B521)="","",INDEX('Work Orders'!$V$11:$V$1010,$B521)))</f>
        <v/>
      </c>
      <c r="H521" s="47">
        <f>IF($B521="","",IF(INDEX('Work Orders'!$U$11:$U$1010,$B521)="","",INDEX('Work Orders'!$U$11:$U$1010,$B521)))</f>
        <v/>
      </c>
      <c r="I521" s="47">
        <f>IF($B521="","",IF(INDEX('Work Orders'!$X$11:$X$1010,$B521)="","",INDEX('Work Orders'!$X$11:$X$1010,$B521)))</f>
        <v/>
      </c>
      <c r="J521" s="44">
        <f>IF($B521="","",IF(INDEX('Work Orders'!$Z$11:$Z$1010,$B521)="","",INDEX('Work Orders'!$Z$11:$Z$1010,$B521)))</f>
        <v/>
      </c>
      <c r="K521" s="44">
        <f>IF($B521="","",IF(INDEX('Work Orders'!$AG$11:$AG$1010,$B521)="","",INDEX('Work Orders'!$AG$11:$AG$1010,$B521)))</f>
        <v/>
      </c>
      <c r="L521" s="44">
        <f>IF($B521="","",IF(INDEX('Work Orders'!$AH$11:$AH$1010,$B521)="","",INDEX('Work Orders'!$AH$11:$AH$1010,$B521)))</f>
        <v/>
      </c>
      <c r="M521" s="46">
        <f>IF($B521="","",IF(INDEX('Work Orders'!$AM$11:$AM$1010,$B521)="","",INDEX('Work Orders'!$AM$11:$AM$1010,$B521)))</f>
        <v/>
      </c>
      <c r="N521" s="43">
        <f>IF($B521="","",IF(INDEX('Work Orders'!$AL$11:$AL$1010,$B521)="","",INDEX('Work Orders'!$AL$11:$AL$1010,$B521)))</f>
        <v/>
      </c>
      <c r="O521" s="43">
        <f>IF($B521="","",IF(INDEX('Work Orders'!$N$11:$N$1010,$B521)="","",INDEX('Work Orders'!$N$11:$N$1010,$B521)))</f>
        <v/>
      </c>
    </row>
    <row r="522">
      <c r="A522" s="68" t="n">
        <v>516</v>
      </c>
      <c r="B522">
        <f>IFERROR(MATCH(A522,'Work Orders'!$AO$11:$AO$1010,0),"")</f>
        <v/>
      </c>
      <c r="C522" s="43">
        <f>IF($B522="","",IF(INDEX('Work Orders'!$A$11:$A$1010,$B522)="","",INDEX('Work Orders'!$A$11:$A$1010,$B522)))</f>
        <v/>
      </c>
      <c r="D522" s="43">
        <f>IF($B522="","",IF(INDEX('Work Orders'!$B$11:$B$1010,$B522)="","",INDEX('Work Orders'!$B$11:$B$1010,$B522)))</f>
        <v/>
      </c>
      <c r="E522" s="43">
        <f>IF($B522="","",IF(INDEX('Work Orders'!$D$11:$D$1010,$B522)="","",INDEX('Work Orders'!$D$11:$D$1010,$B522)))</f>
        <v/>
      </c>
      <c r="F522" s="43">
        <f>IF($B522="","",IF(INDEX('Work Orders'!$Q$11:$Q$1010,$B522)="","",INDEX('Work Orders'!$Q$11:$Q$1010,$B522)))</f>
        <v/>
      </c>
      <c r="G522" s="43">
        <f>IF($B522="","",IF(INDEX('Work Orders'!$V$11:$V$1010,$B522)="","",INDEX('Work Orders'!$V$11:$V$1010,$B522)))</f>
        <v/>
      </c>
      <c r="H522" s="47">
        <f>IF($B522="","",IF(INDEX('Work Orders'!$U$11:$U$1010,$B522)="","",INDEX('Work Orders'!$U$11:$U$1010,$B522)))</f>
        <v/>
      </c>
      <c r="I522" s="47">
        <f>IF($B522="","",IF(INDEX('Work Orders'!$X$11:$X$1010,$B522)="","",INDEX('Work Orders'!$X$11:$X$1010,$B522)))</f>
        <v/>
      </c>
      <c r="J522" s="44">
        <f>IF($B522="","",IF(INDEX('Work Orders'!$Z$11:$Z$1010,$B522)="","",INDEX('Work Orders'!$Z$11:$Z$1010,$B522)))</f>
        <v/>
      </c>
      <c r="K522" s="44">
        <f>IF($B522="","",IF(INDEX('Work Orders'!$AG$11:$AG$1010,$B522)="","",INDEX('Work Orders'!$AG$11:$AG$1010,$B522)))</f>
        <v/>
      </c>
      <c r="L522" s="44">
        <f>IF($B522="","",IF(INDEX('Work Orders'!$AH$11:$AH$1010,$B522)="","",INDEX('Work Orders'!$AH$11:$AH$1010,$B522)))</f>
        <v/>
      </c>
      <c r="M522" s="46">
        <f>IF($B522="","",IF(INDEX('Work Orders'!$AM$11:$AM$1010,$B522)="","",INDEX('Work Orders'!$AM$11:$AM$1010,$B522)))</f>
        <v/>
      </c>
      <c r="N522" s="43">
        <f>IF($B522="","",IF(INDEX('Work Orders'!$AL$11:$AL$1010,$B522)="","",INDEX('Work Orders'!$AL$11:$AL$1010,$B522)))</f>
        <v/>
      </c>
      <c r="O522" s="43">
        <f>IF($B522="","",IF(INDEX('Work Orders'!$N$11:$N$1010,$B522)="","",INDEX('Work Orders'!$N$11:$N$1010,$B522)))</f>
        <v/>
      </c>
    </row>
    <row r="523">
      <c r="A523" s="68" t="n">
        <v>517</v>
      </c>
      <c r="B523">
        <f>IFERROR(MATCH(A523,'Work Orders'!$AO$11:$AO$1010,0),"")</f>
        <v/>
      </c>
      <c r="C523" s="43">
        <f>IF($B523="","",IF(INDEX('Work Orders'!$A$11:$A$1010,$B523)="","",INDEX('Work Orders'!$A$11:$A$1010,$B523)))</f>
        <v/>
      </c>
      <c r="D523" s="43">
        <f>IF($B523="","",IF(INDEX('Work Orders'!$B$11:$B$1010,$B523)="","",INDEX('Work Orders'!$B$11:$B$1010,$B523)))</f>
        <v/>
      </c>
      <c r="E523" s="43">
        <f>IF($B523="","",IF(INDEX('Work Orders'!$D$11:$D$1010,$B523)="","",INDEX('Work Orders'!$D$11:$D$1010,$B523)))</f>
        <v/>
      </c>
      <c r="F523" s="43">
        <f>IF($B523="","",IF(INDEX('Work Orders'!$Q$11:$Q$1010,$B523)="","",INDEX('Work Orders'!$Q$11:$Q$1010,$B523)))</f>
        <v/>
      </c>
      <c r="G523" s="43">
        <f>IF($B523="","",IF(INDEX('Work Orders'!$V$11:$V$1010,$B523)="","",INDEX('Work Orders'!$V$11:$V$1010,$B523)))</f>
        <v/>
      </c>
      <c r="H523" s="47">
        <f>IF($B523="","",IF(INDEX('Work Orders'!$U$11:$U$1010,$B523)="","",INDEX('Work Orders'!$U$11:$U$1010,$B523)))</f>
        <v/>
      </c>
      <c r="I523" s="47">
        <f>IF($B523="","",IF(INDEX('Work Orders'!$X$11:$X$1010,$B523)="","",INDEX('Work Orders'!$X$11:$X$1010,$B523)))</f>
        <v/>
      </c>
      <c r="J523" s="44">
        <f>IF($B523="","",IF(INDEX('Work Orders'!$Z$11:$Z$1010,$B523)="","",INDEX('Work Orders'!$Z$11:$Z$1010,$B523)))</f>
        <v/>
      </c>
      <c r="K523" s="44">
        <f>IF($B523="","",IF(INDEX('Work Orders'!$AG$11:$AG$1010,$B523)="","",INDEX('Work Orders'!$AG$11:$AG$1010,$B523)))</f>
        <v/>
      </c>
      <c r="L523" s="44">
        <f>IF($B523="","",IF(INDEX('Work Orders'!$AH$11:$AH$1010,$B523)="","",INDEX('Work Orders'!$AH$11:$AH$1010,$B523)))</f>
        <v/>
      </c>
      <c r="M523" s="46">
        <f>IF($B523="","",IF(INDEX('Work Orders'!$AM$11:$AM$1010,$B523)="","",INDEX('Work Orders'!$AM$11:$AM$1010,$B523)))</f>
        <v/>
      </c>
      <c r="N523" s="43">
        <f>IF($B523="","",IF(INDEX('Work Orders'!$AL$11:$AL$1010,$B523)="","",INDEX('Work Orders'!$AL$11:$AL$1010,$B523)))</f>
        <v/>
      </c>
      <c r="O523" s="43">
        <f>IF($B523="","",IF(INDEX('Work Orders'!$N$11:$N$1010,$B523)="","",INDEX('Work Orders'!$N$11:$N$1010,$B523)))</f>
        <v/>
      </c>
    </row>
    <row r="524">
      <c r="A524" s="68" t="n">
        <v>518</v>
      </c>
      <c r="B524">
        <f>IFERROR(MATCH(A524,'Work Orders'!$AO$11:$AO$1010,0),"")</f>
        <v/>
      </c>
      <c r="C524" s="43">
        <f>IF($B524="","",IF(INDEX('Work Orders'!$A$11:$A$1010,$B524)="","",INDEX('Work Orders'!$A$11:$A$1010,$B524)))</f>
        <v/>
      </c>
      <c r="D524" s="43">
        <f>IF($B524="","",IF(INDEX('Work Orders'!$B$11:$B$1010,$B524)="","",INDEX('Work Orders'!$B$11:$B$1010,$B524)))</f>
        <v/>
      </c>
      <c r="E524" s="43">
        <f>IF($B524="","",IF(INDEX('Work Orders'!$D$11:$D$1010,$B524)="","",INDEX('Work Orders'!$D$11:$D$1010,$B524)))</f>
        <v/>
      </c>
      <c r="F524" s="43">
        <f>IF($B524="","",IF(INDEX('Work Orders'!$Q$11:$Q$1010,$B524)="","",INDEX('Work Orders'!$Q$11:$Q$1010,$B524)))</f>
        <v/>
      </c>
      <c r="G524" s="43">
        <f>IF($B524="","",IF(INDEX('Work Orders'!$V$11:$V$1010,$B524)="","",INDEX('Work Orders'!$V$11:$V$1010,$B524)))</f>
        <v/>
      </c>
      <c r="H524" s="47">
        <f>IF($B524="","",IF(INDEX('Work Orders'!$U$11:$U$1010,$B524)="","",INDEX('Work Orders'!$U$11:$U$1010,$B524)))</f>
        <v/>
      </c>
      <c r="I524" s="47">
        <f>IF($B524="","",IF(INDEX('Work Orders'!$X$11:$X$1010,$B524)="","",INDEX('Work Orders'!$X$11:$X$1010,$B524)))</f>
        <v/>
      </c>
      <c r="J524" s="44">
        <f>IF($B524="","",IF(INDEX('Work Orders'!$Z$11:$Z$1010,$B524)="","",INDEX('Work Orders'!$Z$11:$Z$1010,$B524)))</f>
        <v/>
      </c>
      <c r="K524" s="44">
        <f>IF($B524="","",IF(INDEX('Work Orders'!$AG$11:$AG$1010,$B524)="","",INDEX('Work Orders'!$AG$11:$AG$1010,$B524)))</f>
        <v/>
      </c>
      <c r="L524" s="44">
        <f>IF($B524="","",IF(INDEX('Work Orders'!$AH$11:$AH$1010,$B524)="","",INDEX('Work Orders'!$AH$11:$AH$1010,$B524)))</f>
        <v/>
      </c>
      <c r="M524" s="46">
        <f>IF($B524="","",IF(INDEX('Work Orders'!$AM$11:$AM$1010,$B524)="","",INDEX('Work Orders'!$AM$11:$AM$1010,$B524)))</f>
        <v/>
      </c>
      <c r="N524" s="43">
        <f>IF($B524="","",IF(INDEX('Work Orders'!$AL$11:$AL$1010,$B524)="","",INDEX('Work Orders'!$AL$11:$AL$1010,$B524)))</f>
        <v/>
      </c>
      <c r="O524" s="43">
        <f>IF($B524="","",IF(INDEX('Work Orders'!$N$11:$N$1010,$B524)="","",INDEX('Work Orders'!$N$11:$N$1010,$B524)))</f>
        <v/>
      </c>
    </row>
    <row r="525">
      <c r="A525" s="68" t="n">
        <v>519</v>
      </c>
      <c r="B525">
        <f>IFERROR(MATCH(A525,'Work Orders'!$AO$11:$AO$1010,0),"")</f>
        <v/>
      </c>
      <c r="C525" s="43">
        <f>IF($B525="","",IF(INDEX('Work Orders'!$A$11:$A$1010,$B525)="","",INDEX('Work Orders'!$A$11:$A$1010,$B525)))</f>
        <v/>
      </c>
      <c r="D525" s="43">
        <f>IF($B525="","",IF(INDEX('Work Orders'!$B$11:$B$1010,$B525)="","",INDEX('Work Orders'!$B$11:$B$1010,$B525)))</f>
        <v/>
      </c>
      <c r="E525" s="43">
        <f>IF($B525="","",IF(INDEX('Work Orders'!$D$11:$D$1010,$B525)="","",INDEX('Work Orders'!$D$11:$D$1010,$B525)))</f>
        <v/>
      </c>
      <c r="F525" s="43">
        <f>IF($B525="","",IF(INDEX('Work Orders'!$Q$11:$Q$1010,$B525)="","",INDEX('Work Orders'!$Q$11:$Q$1010,$B525)))</f>
        <v/>
      </c>
      <c r="G525" s="43">
        <f>IF($B525="","",IF(INDEX('Work Orders'!$V$11:$V$1010,$B525)="","",INDEX('Work Orders'!$V$11:$V$1010,$B525)))</f>
        <v/>
      </c>
      <c r="H525" s="47">
        <f>IF($B525="","",IF(INDEX('Work Orders'!$U$11:$U$1010,$B525)="","",INDEX('Work Orders'!$U$11:$U$1010,$B525)))</f>
        <v/>
      </c>
      <c r="I525" s="47">
        <f>IF($B525="","",IF(INDEX('Work Orders'!$X$11:$X$1010,$B525)="","",INDEX('Work Orders'!$X$11:$X$1010,$B525)))</f>
        <v/>
      </c>
      <c r="J525" s="44">
        <f>IF($B525="","",IF(INDEX('Work Orders'!$Z$11:$Z$1010,$B525)="","",INDEX('Work Orders'!$Z$11:$Z$1010,$B525)))</f>
        <v/>
      </c>
      <c r="K525" s="44">
        <f>IF($B525="","",IF(INDEX('Work Orders'!$AG$11:$AG$1010,$B525)="","",INDEX('Work Orders'!$AG$11:$AG$1010,$B525)))</f>
        <v/>
      </c>
      <c r="L525" s="44">
        <f>IF($B525="","",IF(INDEX('Work Orders'!$AH$11:$AH$1010,$B525)="","",INDEX('Work Orders'!$AH$11:$AH$1010,$B525)))</f>
        <v/>
      </c>
      <c r="M525" s="46">
        <f>IF($B525="","",IF(INDEX('Work Orders'!$AM$11:$AM$1010,$B525)="","",INDEX('Work Orders'!$AM$11:$AM$1010,$B525)))</f>
        <v/>
      </c>
      <c r="N525" s="43">
        <f>IF($B525="","",IF(INDEX('Work Orders'!$AL$11:$AL$1010,$B525)="","",INDEX('Work Orders'!$AL$11:$AL$1010,$B525)))</f>
        <v/>
      </c>
      <c r="O525" s="43">
        <f>IF($B525="","",IF(INDEX('Work Orders'!$N$11:$N$1010,$B525)="","",INDEX('Work Orders'!$N$11:$N$1010,$B525)))</f>
        <v/>
      </c>
    </row>
    <row r="526">
      <c r="A526" s="68" t="n">
        <v>520</v>
      </c>
      <c r="B526">
        <f>IFERROR(MATCH(A526,'Work Orders'!$AO$11:$AO$1010,0),"")</f>
        <v/>
      </c>
      <c r="C526" s="43">
        <f>IF($B526="","",IF(INDEX('Work Orders'!$A$11:$A$1010,$B526)="","",INDEX('Work Orders'!$A$11:$A$1010,$B526)))</f>
        <v/>
      </c>
      <c r="D526" s="43">
        <f>IF($B526="","",IF(INDEX('Work Orders'!$B$11:$B$1010,$B526)="","",INDEX('Work Orders'!$B$11:$B$1010,$B526)))</f>
        <v/>
      </c>
      <c r="E526" s="43">
        <f>IF($B526="","",IF(INDEX('Work Orders'!$D$11:$D$1010,$B526)="","",INDEX('Work Orders'!$D$11:$D$1010,$B526)))</f>
        <v/>
      </c>
      <c r="F526" s="43">
        <f>IF($B526="","",IF(INDEX('Work Orders'!$Q$11:$Q$1010,$B526)="","",INDEX('Work Orders'!$Q$11:$Q$1010,$B526)))</f>
        <v/>
      </c>
      <c r="G526" s="43">
        <f>IF($B526="","",IF(INDEX('Work Orders'!$V$11:$V$1010,$B526)="","",INDEX('Work Orders'!$V$11:$V$1010,$B526)))</f>
        <v/>
      </c>
      <c r="H526" s="47">
        <f>IF($B526="","",IF(INDEX('Work Orders'!$U$11:$U$1010,$B526)="","",INDEX('Work Orders'!$U$11:$U$1010,$B526)))</f>
        <v/>
      </c>
      <c r="I526" s="47">
        <f>IF($B526="","",IF(INDEX('Work Orders'!$X$11:$X$1010,$B526)="","",INDEX('Work Orders'!$X$11:$X$1010,$B526)))</f>
        <v/>
      </c>
      <c r="J526" s="44">
        <f>IF($B526="","",IF(INDEX('Work Orders'!$Z$11:$Z$1010,$B526)="","",INDEX('Work Orders'!$Z$11:$Z$1010,$B526)))</f>
        <v/>
      </c>
      <c r="K526" s="44">
        <f>IF($B526="","",IF(INDEX('Work Orders'!$AG$11:$AG$1010,$B526)="","",INDEX('Work Orders'!$AG$11:$AG$1010,$B526)))</f>
        <v/>
      </c>
      <c r="L526" s="44">
        <f>IF($B526="","",IF(INDEX('Work Orders'!$AH$11:$AH$1010,$B526)="","",INDEX('Work Orders'!$AH$11:$AH$1010,$B526)))</f>
        <v/>
      </c>
      <c r="M526" s="46">
        <f>IF($B526="","",IF(INDEX('Work Orders'!$AM$11:$AM$1010,$B526)="","",INDEX('Work Orders'!$AM$11:$AM$1010,$B526)))</f>
        <v/>
      </c>
      <c r="N526" s="43">
        <f>IF($B526="","",IF(INDEX('Work Orders'!$AL$11:$AL$1010,$B526)="","",INDEX('Work Orders'!$AL$11:$AL$1010,$B526)))</f>
        <v/>
      </c>
      <c r="O526" s="43">
        <f>IF($B526="","",IF(INDEX('Work Orders'!$N$11:$N$1010,$B526)="","",INDEX('Work Orders'!$N$11:$N$1010,$B526)))</f>
        <v/>
      </c>
    </row>
    <row r="527">
      <c r="A527" s="68" t="n">
        <v>521</v>
      </c>
      <c r="B527">
        <f>IFERROR(MATCH(A527,'Work Orders'!$AO$11:$AO$1010,0),"")</f>
        <v/>
      </c>
      <c r="C527" s="43">
        <f>IF($B527="","",IF(INDEX('Work Orders'!$A$11:$A$1010,$B527)="","",INDEX('Work Orders'!$A$11:$A$1010,$B527)))</f>
        <v/>
      </c>
      <c r="D527" s="43">
        <f>IF($B527="","",IF(INDEX('Work Orders'!$B$11:$B$1010,$B527)="","",INDEX('Work Orders'!$B$11:$B$1010,$B527)))</f>
        <v/>
      </c>
      <c r="E527" s="43">
        <f>IF($B527="","",IF(INDEX('Work Orders'!$D$11:$D$1010,$B527)="","",INDEX('Work Orders'!$D$11:$D$1010,$B527)))</f>
        <v/>
      </c>
      <c r="F527" s="43">
        <f>IF($B527="","",IF(INDEX('Work Orders'!$Q$11:$Q$1010,$B527)="","",INDEX('Work Orders'!$Q$11:$Q$1010,$B527)))</f>
        <v/>
      </c>
      <c r="G527" s="43">
        <f>IF($B527="","",IF(INDEX('Work Orders'!$V$11:$V$1010,$B527)="","",INDEX('Work Orders'!$V$11:$V$1010,$B527)))</f>
        <v/>
      </c>
      <c r="H527" s="47">
        <f>IF($B527="","",IF(INDEX('Work Orders'!$U$11:$U$1010,$B527)="","",INDEX('Work Orders'!$U$11:$U$1010,$B527)))</f>
        <v/>
      </c>
      <c r="I527" s="47">
        <f>IF($B527="","",IF(INDEX('Work Orders'!$X$11:$X$1010,$B527)="","",INDEX('Work Orders'!$X$11:$X$1010,$B527)))</f>
        <v/>
      </c>
      <c r="J527" s="44">
        <f>IF($B527="","",IF(INDEX('Work Orders'!$Z$11:$Z$1010,$B527)="","",INDEX('Work Orders'!$Z$11:$Z$1010,$B527)))</f>
        <v/>
      </c>
      <c r="K527" s="44">
        <f>IF($B527="","",IF(INDEX('Work Orders'!$AG$11:$AG$1010,$B527)="","",INDEX('Work Orders'!$AG$11:$AG$1010,$B527)))</f>
        <v/>
      </c>
      <c r="L527" s="44">
        <f>IF($B527="","",IF(INDEX('Work Orders'!$AH$11:$AH$1010,$B527)="","",INDEX('Work Orders'!$AH$11:$AH$1010,$B527)))</f>
        <v/>
      </c>
      <c r="M527" s="46">
        <f>IF($B527="","",IF(INDEX('Work Orders'!$AM$11:$AM$1010,$B527)="","",INDEX('Work Orders'!$AM$11:$AM$1010,$B527)))</f>
        <v/>
      </c>
      <c r="N527" s="43">
        <f>IF($B527="","",IF(INDEX('Work Orders'!$AL$11:$AL$1010,$B527)="","",INDEX('Work Orders'!$AL$11:$AL$1010,$B527)))</f>
        <v/>
      </c>
      <c r="O527" s="43">
        <f>IF($B527="","",IF(INDEX('Work Orders'!$N$11:$N$1010,$B527)="","",INDEX('Work Orders'!$N$11:$N$1010,$B527)))</f>
        <v/>
      </c>
    </row>
    <row r="528">
      <c r="A528" s="68" t="n">
        <v>522</v>
      </c>
      <c r="B528">
        <f>IFERROR(MATCH(A528,'Work Orders'!$AO$11:$AO$1010,0),"")</f>
        <v/>
      </c>
      <c r="C528" s="43">
        <f>IF($B528="","",IF(INDEX('Work Orders'!$A$11:$A$1010,$B528)="","",INDEX('Work Orders'!$A$11:$A$1010,$B528)))</f>
        <v/>
      </c>
      <c r="D528" s="43">
        <f>IF($B528="","",IF(INDEX('Work Orders'!$B$11:$B$1010,$B528)="","",INDEX('Work Orders'!$B$11:$B$1010,$B528)))</f>
        <v/>
      </c>
      <c r="E528" s="43">
        <f>IF($B528="","",IF(INDEX('Work Orders'!$D$11:$D$1010,$B528)="","",INDEX('Work Orders'!$D$11:$D$1010,$B528)))</f>
        <v/>
      </c>
      <c r="F528" s="43">
        <f>IF($B528="","",IF(INDEX('Work Orders'!$Q$11:$Q$1010,$B528)="","",INDEX('Work Orders'!$Q$11:$Q$1010,$B528)))</f>
        <v/>
      </c>
      <c r="G528" s="43">
        <f>IF($B528="","",IF(INDEX('Work Orders'!$V$11:$V$1010,$B528)="","",INDEX('Work Orders'!$V$11:$V$1010,$B528)))</f>
        <v/>
      </c>
      <c r="H528" s="47">
        <f>IF($B528="","",IF(INDEX('Work Orders'!$U$11:$U$1010,$B528)="","",INDEX('Work Orders'!$U$11:$U$1010,$B528)))</f>
        <v/>
      </c>
      <c r="I528" s="47">
        <f>IF($B528="","",IF(INDEX('Work Orders'!$X$11:$X$1010,$B528)="","",INDEX('Work Orders'!$X$11:$X$1010,$B528)))</f>
        <v/>
      </c>
      <c r="J528" s="44">
        <f>IF($B528="","",IF(INDEX('Work Orders'!$Z$11:$Z$1010,$B528)="","",INDEX('Work Orders'!$Z$11:$Z$1010,$B528)))</f>
        <v/>
      </c>
      <c r="K528" s="44">
        <f>IF($B528="","",IF(INDEX('Work Orders'!$AG$11:$AG$1010,$B528)="","",INDEX('Work Orders'!$AG$11:$AG$1010,$B528)))</f>
        <v/>
      </c>
      <c r="L528" s="44">
        <f>IF($B528="","",IF(INDEX('Work Orders'!$AH$11:$AH$1010,$B528)="","",INDEX('Work Orders'!$AH$11:$AH$1010,$B528)))</f>
        <v/>
      </c>
      <c r="M528" s="46">
        <f>IF($B528="","",IF(INDEX('Work Orders'!$AM$11:$AM$1010,$B528)="","",INDEX('Work Orders'!$AM$11:$AM$1010,$B528)))</f>
        <v/>
      </c>
      <c r="N528" s="43">
        <f>IF($B528="","",IF(INDEX('Work Orders'!$AL$11:$AL$1010,$B528)="","",INDEX('Work Orders'!$AL$11:$AL$1010,$B528)))</f>
        <v/>
      </c>
      <c r="O528" s="43">
        <f>IF($B528="","",IF(INDEX('Work Orders'!$N$11:$N$1010,$B528)="","",INDEX('Work Orders'!$N$11:$N$1010,$B528)))</f>
        <v/>
      </c>
    </row>
    <row r="529">
      <c r="A529" s="68" t="n">
        <v>523</v>
      </c>
      <c r="B529">
        <f>IFERROR(MATCH(A529,'Work Orders'!$AO$11:$AO$1010,0),"")</f>
        <v/>
      </c>
      <c r="C529" s="43">
        <f>IF($B529="","",IF(INDEX('Work Orders'!$A$11:$A$1010,$B529)="","",INDEX('Work Orders'!$A$11:$A$1010,$B529)))</f>
        <v/>
      </c>
      <c r="D529" s="43">
        <f>IF($B529="","",IF(INDEX('Work Orders'!$B$11:$B$1010,$B529)="","",INDEX('Work Orders'!$B$11:$B$1010,$B529)))</f>
        <v/>
      </c>
      <c r="E529" s="43">
        <f>IF($B529="","",IF(INDEX('Work Orders'!$D$11:$D$1010,$B529)="","",INDEX('Work Orders'!$D$11:$D$1010,$B529)))</f>
        <v/>
      </c>
      <c r="F529" s="43">
        <f>IF($B529="","",IF(INDEX('Work Orders'!$Q$11:$Q$1010,$B529)="","",INDEX('Work Orders'!$Q$11:$Q$1010,$B529)))</f>
        <v/>
      </c>
      <c r="G529" s="43">
        <f>IF($B529="","",IF(INDEX('Work Orders'!$V$11:$V$1010,$B529)="","",INDEX('Work Orders'!$V$11:$V$1010,$B529)))</f>
        <v/>
      </c>
      <c r="H529" s="47">
        <f>IF($B529="","",IF(INDEX('Work Orders'!$U$11:$U$1010,$B529)="","",INDEX('Work Orders'!$U$11:$U$1010,$B529)))</f>
        <v/>
      </c>
      <c r="I529" s="47">
        <f>IF($B529="","",IF(INDEX('Work Orders'!$X$11:$X$1010,$B529)="","",INDEX('Work Orders'!$X$11:$X$1010,$B529)))</f>
        <v/>
      </c>
      <c r="J529" s="44">
        <f>IF($B529="","",IF(INDEX('Work Orders'!$Z$11:$Z$1010,$B529)="","",INDEX('Work Orders'!$Z$11:$Z$1010,$B529)))</f>
        <v/>
      </c>
      <c r="K529" s="44">
        <f>IF($B529="","",IF(INDEX('Work Orders'!$AG$11:$AG$1010,$B529)="","",INDEX('Work Orders'!$AG$11:$AG$1010,$B529)))</f>
        <v/>
      </c>
      <c r="L529" s="44">
        <f>IF($B529="","",IF(INDEX('Work Orders'!$AH$11:$AH$1010,$B529)="","",INDEX('Work Orders'!$AH$11:$AH$1010,$B529)))</f>
        <v/>
      </c>
      <c r="M529" s="46">
        <f>IF($B529="","",IF(INDEX('Work Orders'!$AM$11:$AM$1010,$B529)="","",INDEX('Work Orders'!$AM$11:$AM$1010,$B529)))</f>
        <v/>
      </c>
      <c r="N529" s="43">
        <f>IF($B529="","",IF(INDEX('Work Orders'!$AL$11:$AL$1010,$B529)="","",INDEX('Work Orders'!$AL$11:$AL$1010,$B529)))</f>
        <v/>
      </c>
      <c r="O529" s="43">
        <f>IF($B529="","",IF(INDEX('Work Orders'!$N$11:$N$1010,$B529)="","",INDEX('Work Orders'!$N$11:$N$1010,$B529)))</f>
        <v/>
      </c>
    </row>
    <row r="530">
      <c r="A530" s="68" t="n">
        <v>524</v>
      </c>
      <c r="B530">
        <f>IFERROR(MATCH(A530,'Work Orders'!$AO$11:$AO$1010,0),"")</f>
        <v/>
      </c>
      <c r="C530" s="43">
        <f>IF($B530="","",IF(INDEX('Work Orders'!$A$11:$A$1010,$B530)="","",INDEX('Work Orders'!$A$11:$A$1010,$B530)))</f>
        <v/>
      </c>
      <c r="D530" s="43">
        <f>IF($B530="","",IF(INDEX('Work Orders'!$B$11:$B$1010,$B530)="","",INDEX('Work Orders'!$B$11:$B$1010,$B530)))</f>
        <v/>
      </c>
      <c r="E530" s="43">
        <f>IF($B530="","",IF(INDEX('Work Orders'!$D$11:$D$1010,$B530)="","",INDEX('Work Orders'!$D$11:$D$1010,$B530)))</f>
        <v/>
      </c>
      <c r="F530" s="43">
        <f>IF($B530="","",IF(INDEX('Work Orders'!$Q$11:$Q$1010,$B530)="","",INDEX('Work Orders'!$Q$11:$Q$1010,$B530)))</f>
        <v/>
      </c>
      <c r="G530" s="43">
        <f>IF($B530="","",IF(INDEX('Work Orders'!$V$11:$V$1010,$B530)="","",INDEX('Work Orders'!$V$11:$V$1010,$B530)))</f>
        <v/>
      </c>
      <c r="H530" s="47">
        <f>IF($B530="","",IF(INDEX('Work Orders'!$U$11:$U$1010,$B530)="","",INDEX('Work Orders'!$U$11:$U$1010,$B530)))</f>
        <v/>
      </c>
      <c r="I530" s="47">
        <f>IF($B530="","",IF(INDEX('Work Orders'!$X$11:$X$1010,$B530)="","",INDEX('Work Orders'!$X$11:$X$1010,$B530)))</f>
        <v/>
      </c>
      <c r="J530" s="44">
        <f>IF($B530="","",IF(INDEX('Work Orders'!$Z$11:$Z$1010,$B530)="","",INDEX('Work Orders'!$Z$11:$Z$1010,$B530)))</f>
        <v/>
      </c>
      <c r="K530" s="44">
        <f>IF($B530="","",IF(INDEX('Work Orders'!$AG$11:$AG$1010,$B530)="","",INDEX('Work Orders'!$AG$11:$AG$1010,$B530)))</f>
        <v/>
      </c>
      <c r="L530" s="44">
        <f>IF($B530="","",IF(INDEX('Work Orders'!$AH$11:$AH$1010,$B530)="","",INDEX('Work Orders'!$AH$11:$AH$1010,$B530)))</f>
        <v/>
      </c>
      <c r="M530" s="46">
        <f>IF($B530="","",IF(INDEX('Work Orders'!$AM$11:$AM$1010,$B530)="","",INDEX('Work Orders'!$AM$11:$AM$1010,$B530)))</f>
        <v/>
      </c>
      <c r="N530" s="43">
        <f>IF($B530="","",IF(INDEX('Work Orders'!$AL$11:$AL$1010,$B530)="","",INDEX('Work Orders'!$AL$11:$AL$1010,$B530)))</f>
        <v/>
      </c>
      <c r="O530" s="43">
        <f>IF($B530="","",IF(INDEX('Work Orders'!$N$11:$N$1010,$B530)="","",INDEX('Work Orders'!$N$11:$N$1010,$B530)))</f>
        <v/>
      </c>
    </row>
    <row r="531">
      <c r="A531" s="68" t="n">
        <v>525</v>
      </c>
      <c r="B531">
        <f>IFERROR(MATCH(A531,'Work Orders'!$AO$11:$AO$1010,0),"")</f>
        <v/>
      </c>
      <c r="C531" s="43">
        <f>IF($B531="","",IF(INDEX('Work Orders'!$A$11:$A$1010,$B531)="","",INDEX('Work Orders'!$A$11:$A$1010,$B531)))</f>
        <v/>
      </c>
      <c r="D531" s="43">
        <f>IF($B531="","",IF(INDEX('Work Orders'!$B$11:$B$1010,$B531)="","",INDEX('Work Orders'!$B$11:$B$1010,$B531)))</f>
        <v/>
      </c>
      <c r="E531" s="43">
        <f>IF($B531="","",IF(INDEX('Work Orders'!$D$11:$D$1010,$B531)="","",INDEX('Work Orders'!$D$11:$D$1010,$B531)))</f>
        <v/>
      </c>
      <c r="F531" s="43">
        <f>IF($B531="","",IF(INDEX('Work Orders'!$Q$11:$Q$1010,$B531)="","",INDEX('Work Orders'!$Q$11:$Q$1010,$B531)))</f>
        <v/>
      </c>
      <c r="G531" s="43">
        <f>IF($B531="","",IF(INDEX('Work Orders'!$V$11:$V$1010,$B531)="","",INDEX('Work Orders'!$V$11:$V$1010,$B531)))</f>
        <v/>
      </c>
      <c r="H531" s="47">
        <f>IF($B531="","",IF(INDEX('Work Orders'!$U$11:$U$1010,$B531)="","",INDEX('Work Orders'!$U$11:$U$1010,$B531)))</f>
        <v/>
      </c>
      <c r="I531" s="47">
        <f>IF($B531="","",IF(INDEX('Work Orders'!$X$11:$X$1010,$B531)="","",INDEX('Work Orders'!$X$11:$X$1010,$B531)))</f>
        <v/>
      </c>
      <c r="J531" s="44">
        <f>IF($B531="","",IF(INDEX('Work Orders'!$Z$11:$Z$1010,$B531)="","",INDEX('Work Orders'!$Z$11:$Z$1010,$B531)))</f>
        <v/>
      </c>
      <c r="K531" s="44">
        <f>IF($B531="","",IF(INDEX('Work Orders'!$AG$11:$AG$1010,$B531)="","",INDEX('Work Orders'!$AG$11:$AG$1010,$B531)))</f>
        <v/>
      </c>
      <c r="L531" s="44">
        <f>IF($B531="","",IF(INDEX('Work Orders'!$AH$11:$AH$1010,$B531)="","",INDEX('Work Orders'!$AH$11:$AH$1010,$B531)))</f>
        <v/>
      </c>
      <c r="M531" s="46">
        <f>IF($B531="","",IF(INDEX('Work Orders'!$AM$11:$AM$1010,$B531)="","",INDEX('Work Orders'!$AM$11:$AM$1010,$B531)))</f>
        <v/>
      </c>
      <c r="N531" s="43">
        <f>IF($B531="","",IF(INDEX('Work Orders'!$AL$11:$AL$1010,$B531)="","",INDEX('Work Orders'!$AL$11:$AL$1010,$B531)))</f>
        <v/>
      </c>
      <c r="O531" s="43">
        <f>IF($B531="","",IF(INDEX('Work Orders'!$N$11:$N$1010,$B531)="","",INDEX('Work Orders'!$N$11:$N$1010,$B531)))</f>
        <v/>
      </c>
    </row>
    <row r="532">
      <c r="A532" s="68" t="n">
        <v>526</v>
      </c>
      <c r="B532">
        <f>IFERROR(MATCH(A532,'Work Orders'!$AO$11:$AO$1010,0),"")</f>
        <v/>
      </c>
      <c r="C532" s="43">
        <f>IF($B532="","",IF(INDEX('Work Orders'!$A$11:$A$1010,$B532)="","",INDEX('Work Orders'!$A$11:$A$1010,$B532)))</f>
        <v/>
      </c>
      <c r="D532" s="43">
        <f>IF($B532="","",IF(INDEX('Work Orders'!$B$11:$B$1010,$B532)="","",INDEX('Work Orders'!$B$11:$B$1010,$B532)))</f>
        <v/>
      </c>
      <c r="E532" s="43">
        <f>IF($B532="","",IF(INDEX('Work Orders'!$D$11:$D$1010,$B532)="","",INDEX('Work Orders'!$D$11:$D$1010,$B532)))</f>
        <v/>
      </c>
      <c r="F532" s="43">
        <f>IF($B532="","",IF(INDEX('Work Orders'!$Q$11:$Q$1010,$B532)="","",INDEX('Work Orders'!$Q$11:$Q$1010,$B532)))</f>
        <v/>
      </c>
      <c r="G532" s="43">
        <f>IF($B532="","",IF(INDEX('Work Orders'!$V$11:$V$1010,$B532)="","",INDEX('Work Orders'!$V$11:$V$1010,$B532)))</f>
        <v/>
      </c>
      <c r="H532" s="47">
        <f>IF($B532="","",IF(INDEX('Work Orders'!$U$11:$U$1010,$B532)="","",INDEX('Work Orders'!$U$11:$U$1010,$B532)))</f>
        <v/>
      </c>
      <c r="I532" s="47">
        <f>IF($B532="","",IF(INDEX('Work Orders'!$X$11:$X$1010,$B532)="","",INDEX('Work Orders'!$X$11:$X$1010,$B532)))</f>
        <v/>
      </c>
      <c r="J532" s="44">
        <f>IF($B532="","",IF(INDEX('Work Orders'!$Z$11:$Z$1010,$B532)="","",INDEX('Work Orders'!$Z$11:$Z$1010,$B532)))</f>
        <v/>
      </c>
      <c r="K532" s="44">
        <f>IF($B532="","",IF(INDEX('Work Orders'!$AG$11:$AG$1010,$B532)="","",INDEX('Work Orders'!$AG$11:$AG$1010,$B532)))</f>
        <v/>
      </c>
      <c r="L532" s="44">
        <f>IF($B532="","",IF(INDEX('Work Orders'!$AH$11:$AH$1010,$B532)="","",INDEX('Work Orders'!$AH$11:$AH$1010,$B532)))</f>
        <v/>
      </c>
      <c r="M532" s="46">
        <f>IF($B532="","",IF(INDEX('Work Orders'!$AM$11:$AM$1010,$B532)="","",INDEX('Work Orders'!$AM$11:$AM$1010,$B532)))</f>
        <v/>
      </c>
      <c r="N532" s="43">
        <f>IF($B532="","",IF(INDEX('Work Orders'!$AL$11:$AL$1010,$B532)="","",INDEX('Work Orders'!$AL$11:$AL$1010,$B532)))</f>
        <v/>
      </c>
      <c r="O532" s="43">
        <f>IF($B532="","",IF(INDEX('Work Orders'!$N$11:$N$1010,$B532)="","",INDEX('Work Orders'!$N$11:$N$1010,$B532)))</f>
        <v/>
      </c>
    </row>
    <row r="533">
      <c r="A533" s="68" t="n">
        <v>527</v>
      </c>
      <c r="B533">
        <f>IFERROR(MATCH(A533,'Work Orders'!$AO$11:$AO$1010,0),"")</f>
        <v/>
      </c>
      <c r="C533" s="43">
        <f>IF($B533="","",IF(INDEX('Work Orders'!$A$11:$A$1010,$B533)="","",INDEX('Work Orders'!$A$11:$A$1010,$B533)))</f>
        <v/>
      </c>
      <c r="D533" s="43">
        <f>IF($B533="","",IF(INDEX('Work Orders'!$B$11:$B$1010,$B533)="","",INDEX('Work Orders'!$B$11:$B$1010,$B533)))</f>
        <v/>
      </c>
      <c r="E533" s="43">
        <f>IF($B533="","",IF(INDEX('Work Orders'!$D$11:$D$1010,$B533)="","",INDEX('Work Orders'!$D$11:$D$1010,$B533)))</f>
        <v/>
      </c>
      <c r="F533" s="43">
        <f>IF($B533="","",IF(INDEX('Work Orders'!$Q$11:$Q$1010,$B533)="","",INDEX('Work Orders'!$Q$11:$Q$1010,$B533)))</f>
        <v/>
      </c>
      <c r="G533" s="43">
        <f>IF($B533="","",IF(INDEX('Work Orders'!$V$11:$V$1010,$B533)="","",INDEX('Work Orders'!$V$11:$V$1010,$B533)))</f>
        <v/>
      </c>
      <c r="H533" s="47">
        <f>IF($B533="","",IF(INDEX('Work Orders'!$U$11:$U$1010,$B533)="","",INDEX('Work Orders'!$U$11:$U$1010,$B533)))</f>
        <v/>
      </c>
      <c r="I533" s="47">
        <f>IF($B533="","",IF(INDEX('Work Orders'!$X$11:$X$1010,$B533)="","",INDEX('Work Orders'!$X$11:$X$1010,$B533)))</f>
        <v/>
      </c>
      <c r="J533" s="44">
        <f>IF($B533="","",IF(INDEX('Work Orders'!$Z$11:$Z$1010,$B533)="","",INDEX('Work Orders'!$Z$11:$Z$1010,$B533)))</f>
        <v/>
      </c>
      <c r="K533" s="44">
        <f>IF($B533="","",IF(INDEX('Work Orders'!$AG$11:$AG$1010,$B533)="","",INDEX('Work Orders'!$AG$11:$AG$1010,$B533)))</f>
        <v/>
      </c>
      <c r="L533" s="44">
        <f>IF($B533="","",IF(INDEX('Work Orders'!$AH$11:$AH$1010,$B533)="","",INDEX('Work Orders'!$AH$11:$AH$1010,$B533)))</f>
        <v/>
      </c>
      <c r="M533" s="46">
        <f>IF($B533="","",IF(INDEX('Work Orders'!$AM$11:$AM$1010,$B533)="","",INDEX('Work Orders'!$AM$11:$AM$1010,$B533)))</f>
        <v/>
      </c>
      <c r="N533" s="43">
        <f>IF($B533="","",IF(INDEX('Work Orders'!$AL$11:$AL$1010,$B533)="","",INDEX('Work Orders'!$AL$11:$AL$1010,$B533)))</f>
        <v/>
      </c>
      <c r="O533" s="43">
        <f>IF($B533="","",IF(INDEX('Work Orders'!$N$11:$N$1010,$B533)="","",INDEX('Work Orders'!$N$11:$N$1010,$B533)))</f>
        <v/>
      </c>
    </row>
    <row r="534">
      <c r="A534" s="68" t="n">
        <v>528</v>
      </c>
      <c r="B534">
        <f>IFERROR(MATCH(A534,'Work Orders'!$AO$11:$AO$1010,0),"")</f>
        <v/>
      </c>
      <c r="C534" s="43">
        <f>IF($B534="","",IF(INDEX('Work Orders'!$A$11:$A$1010,$B534)="","",INDEX('Work Orders'!$A$11:$A$1010,$B534)))</f>
        <v/>
      </c>
      <c r="D534" s="43">
        <f>IF($B534="","",IF(INDEX('Work Orders'!$B$11:$B$1010,$B534)="","",INDEX('Work Orders'!$B$11:$B$1010,$B534)))</f>
        <v/>
      </c>
      <c r="E534" s="43">
        <f>IF($B534="","",IF(INDEX('Work Orders'!$D$11:$D$1010,$B534)="","",INDEX('Work Orders'!$D$11:$D$1010,$B534)))</f>
        <v/>
      </c>
      <c r="F534" s="43">
        <f>IF($B534="","",IF(INDEX('Work Orders'!$Q$11:$Q$1010,$B534)="","",INDEX('Work Orders'!$Q$11:$Q$1010,$B534)))</f>
        <v/>
      </c>
      <c r="G534" s="43">
        <f>IF($B534="","",IF(INDEX('Work Orders'!$V$11:$V$1010,$B534)="","",INDEX('Work Orders'!$V$11:$V$1010,$B534)))</f>
        <v/>
      </c>
      <c r="H534" s="47">
        <f>IF($B534="","",IF(INDEX('Work Orders'!$U$11:$U$1010,$B534)="","",INDEX('Work Orders'!$U$11:$U$1010,$B534)))</f>
        <v/>
      </c>
      <c r="I534" s="47">
        <f>IF($B534="","",IF(INDEX('Work Orders'!$X$11:$X$1010,$B534)="","",INDEX('Work Orders'!$X$11:$X$1010,$B534)))</f>
        <v/>
      </c>
      <c r="J534" s="44">
        <f>IF($B534="","",IF(INDEX('Work Orders'!$Z$11:$Z$1010,$B534)="","",INDEX('Work Orders'!$Z$11:$Z$1010,$B534)))</f>
        <v/>
      </c>
      <c r="K534" s="44">
        <f>IF($B534="","",IF(INDEX('Work Orders'!$AG$11:$AG$1010,$B534)="","",INDEX('Work Orders'!$AG$11:$AG$1010,$B534)))</f>
        <v/>
      </c>
      <c r="L534" s="44">
        <f>IF($B534="","",IF(INDEX('Work Orders'!$AH$11:$AH$1010,$B534)="","",INDEX('Work Orders'!$AH$11:$AH$1010,$B534)))</f>
        <v/>
      </c>
      <c r="M534" s="46">
        <f>IF($B534="","",IF(INDEX('Work Orders'!$AM$11:$AM$1010,$B534)="","",INDEX('Work Orders'!$AM$11:$AM$1010,$B534)))</f>
        <v/>
      </c>
      <c r="N534" s="43">
        <f>IF($B534="","",IF(INDEX('Work Orders'!$AL$11:$AL$1010,$B534)="","",INDEX('Work Orders'!$AL$11:$AL$1010,$B534)))</f>
        <v/>
      </c>
      <c r="O534" s="43">
        <f>IF($B534="","",IF(INDEX('Work Orders'!$N$11:$N$1010,$B534)="","",INDEX('Work Orders'!$N$11:$N$1010,$B534)))</f>
        <v/>
      </c>
    </row>
    <row r="535">
      <c r="A535" s="68" t="n">
        <v>529</v>
      </c>
      <c r="B535">
        <f>IFERROR(MATCH(A535,'Work Orders'!$AO$11:$AO$1010,0),"")</f>
        <v/>
      </c>
      <c r="C535" s="43">
        <f>IF($B535="","",IF(INDEX('Work Orders'!$A$11:$A$1010,$B535)="","",INDEX('Work Orders'!$A$11:$A$1010,$B535)))</f>
        <v/>
      </c>
      <c r="D535" s="43">
        <f>IF($B535="","",IF(INDEX('Work Orders'!$B$11:$B$1010,$B535)="","",INDEX('Work Orders'!$B$11:$B$1010,$B535)))</f>
        <v/>
      </c>
      <c r="E535" s="43">
        <f>IF($B535="","",IF(INDEX('Work Orders'!$D$11:$D$1010,$B535)="","",INDEX('Work Orders'!$D$11:$D$1010,$B535)))</f>
        <v/>
      </c>
      <c r="F535" s="43">
        <f>IF($B535="","",IF(INDEX('Work Orders'!$Q$11:$Q$1010,$B535)="","",INDEX('Work Orders'!$Q$11:$Q$1010,$B535)))</f>
        <v/>
      </c>
      <c r="G535" s="43">
        <f>IF($B535="","",IF(INDEX('Work Orders'!$V$11:$V$1010,$B535)="","",INDEX('Work Orders'!$V$11:$V$1010,$B535)))</f>
        <v/>
      </c>
      <c r="H535" s="47">
        <f>IF($B535="","",IF(INDEX('Work Orders'!$U$11:$U$1010,$B535)="","",INDEX('Work Orders'!$U$11:$U$1010,$B535)))</f>
        <v/>
      </c>
      <c r="I535" s="47">
        <f>IF($B535="","",IF(INDEX('Work Orders'!$X$11:$X$1010,$B535)="","",INDEX('Work Orders'!$X$11:$X$1010,$B535)))</f>
        <v/>
      </c>
      <c r="J535" s="44">
        <f>IF($B535="","",IF(INDEX('Work Orders'!$Z$11:$Z$1010,$B535)="","",INDEX('Work Orders'!$Z$11:$Z$1010,$B535)))</f>
        <v/>
      </c>
      <c r="K535" s="44">
        <f>IF($B535="","",IF(INDEX('Work Orders'!$AG$11:$AG$1010,$B535)="","",INDEX('Work Orders'!$AG$11:$AG$1010,$B535)))</f>
        <v/>
      </c>
      <c r="L535" s="44">
        <f>IF($B535="","",IF(INDEX('Work Orders'!$AH$11:$AH$1010,$B535)="","",INDEX('Work Orders'!$AH$11:$AH$1010,$B535)))</f>
        <v/>
      </c>
      <c r="M535" s="46">
        <f>IF($B535="","",IF(INDEX('Work Orders'!$AM$11:$AM$1010,$B535)="","",INDEX('Work Orders'!$AM$11:$AM$1010,$B535)))</f>
        <v/>
      </c>
      <c r="N535" s="43">
        <f>IF($B535="","",IF(INDEX('Work Orders'!$AL$11:$AL$1010,$B535)="","",INDEX('Work Orders'!$AL$11:$AL$1010,$B535)))</f>
        <v/>
      </c>
      <c r="O535" s="43">
        <f>IF($B535="","",IF(INDEX('Work Orders'!$N$11:$N$1010,$B535)="","",INDEX('Work Orders'!$N$11:$N$1010,$B535)))</f>
        <v/>
      </c>
    </row>
    <row r="536">
      <c r="A536" s="68" t="n">
        <v>530</v>
      </c>
      <c r="B536">
        <f>IFERROR(MATCH(A536,'Work Orders'!$AO$11:$AO$1010,0),"")</f>
        <v/>
      </c>
      <c r="C536" s="43">
        <f>IF($B536="","",IF(INDEX('Work Orders'!$A$11:$A$1010,$B536)="","",INDEX('Work Orders'!$A$11:$A$1010,$B536)))</f>
        <v/>
      </c>
      <c r="D536" s="43">
        <f>IF($B536="","",IF(INDEX('Work Orders'!$B$11:$B$1010,$B536)="","",INDEX('Work Orders'!$B$11:$B$1010,$B536)))</f>
        <v/>
      </c>
      <c r="E536" s="43">
        <f>IF($B536="","",IF(INDEX('Work Orders'!$D$11:$D$1010,$B536)="","",INDEX('Work Orders'!$D$11:$D$1010,$B536)))</f>
        <v/>
      </c>
      <c r="F536" s="43">
        <f>IF($B536="","",IF(INDEX('Work Orders'!$Q$11:$Q$1010,$B536)="","",INDEX('Work Orders'!$Q$11:$Q$1010,$B536)))</f>
        <v/>
      </c>
      <c r="G536" s="43">
        <f>IF($B536="","",IF(INDEX('Work Orders'!$V$11:$V$1010,$B536)="","",INDEX('Work Orders'!$V$11:$V$1010,$B536)))</f>
        <v/>
      </c>
      <c r="H536" s="47">
        <f>IF($B536="","",IF(INDEX('Work Orders'!$U$11:$U$1010,$B536)="","",INDEX('Work Orders'!$U$11:$U$1010,$B536)))</f>
        <v/>
      </c>
      <c r="I536" s="47">
        <f>IF($B536="","",IF(INDEX('Work Orders'!$X$11:$X$1010,$B536)="","",INDEX('Work Orders'!$X$11:$X$1010,$B536)))</f>
        <v/>
      </c>
      <c r="J536" s="44">
        <f>IF($B536="","",IF(INDEX('Work Orders'!$Z$11:$Z$1010,$B536)="","",INDEX('Work Orders'!$Z$11:$Z$1010,$B536)))</f>
        <v/>
      </c>
      <c r="K536" s="44">
        <f>IF($B536="","",IF(INDEX('Work Orders'!$AG$11:$AG$1010,$B536)="","",INDEX('Work Orders'!$AG$11:$AG$1010,$B536)))</f>
        <v/>
      </c>
      <c r="L536" s="44">
        <f>IF($B536="","",IF(INDEX('Work Orders'!$AH$11:$AH$1010,$B536)="","",INDEX('Work Orders'!$AH$11:$AH$1010,$B536)))</f>
        <v/>
      </c>
      <c r="M536" s="46">
        <f>IF($B536="","",IF(INDEX('Work Orders'!$AM$11:$AM$1010,$B536)="","",INDEX('Work Orders'!$AM$11:$AM$1010,$B536)))</f>
        <v/>
      </c>
      <c r="N536" s="43">
        <f>IF($B536="","",IF(INDEX('Work Orders'!$AL$11:$AL$1010,$B536)="","",INDEX('Work Orders'!$AL$11:$AL$1010,$B536)))</f>
        <v/>
      </c>
      <c r="O536" s="43">
        <f>IF($B536="","",IF(INDEX('Work Orders'!$N$11:$N$1010,$B536)="","",INDEX('Work Orders'!$N$11:$N$1010,$B536)))</f>
        <v/>
      </c>
    </row>
    <row r="537">
      <c r="A537" s="68" t="n">
        <v>531</v>
      </c>
      <c r="B537">
        <f>IFERROR(MATCH(A537,'Work Orders'!$AO$11:$AO$1010,0),"")</f>
        <v/>
      </c>
      <c r="C537" s="43">
        <f>IF($B537="","",IF(INDEX('Work Orders'!$A$11:$A$1010,$B537)="","",INDEX('Work Orders'!$A$11:$A$1010,$B537)))</f>
        <v/>
      </c>
      <c r="D537" s="43">
        <f>IF($B537="","",IF(INDEX('Work Orders'!$B$11:$B$1010,$B537)="","",INDEX('Work Orders'!$B$11:$B$1010,$B537)))</f>
        <v/>
      </c>
      <c r="E537" s="43">
        <f>IF($B537="","",IF(INDEX('Work Orders'!$D$11:$D$1010,$B537)="","",INDEX('Work Orders'!$D$11:$D$1010,$B537)))</f>
        <v/>
      </c>
      <c r="F537" s="43">
        <f>IF($B537="","",IF(INDEX('Work Orders'!$Q$11:$Q$1010,$B537)="","",INDEX('Work Orders'!$Q$11:$Q$1010,$B537)))</f>
        <v/>
      </c>
      <c r="G537" s="43">
        <f>IF($B537="","",IF(INDEX('Work Orders'!$V$11:$V$1010,$B537)="","",INDEX('Work Orders'!$V$11:$V$1010,$B537)))</f>
        <v/>
      </c>
      <c r="H537" s="47">
        <f>IF($B537="","",IF(INDEX('Work Orders'!$U$11:$U$1010,$B537)="","",INDEX('Work Orders'!$U$11:$U$1010,$B537)))</f>
        <v/>
      </c>
      <c r="I537" s="47">
        <f>IF($B537="","",IF(INDEX('Work Orders'!$X$11:$X$1010,$B537)="","",INDEX('Work Orders'!$X$11:$X$1010,$B537)))</f>
        <v/>
      </c>
      <c r="J537" s="44">
        <f>IF($B537="","",IF(INDEX('Work Orders'!$Z$11:$Z$1010,$B537)="","",INDEX('Work Orders'!$Z$11:$Z$1010,$B537)))</f>
        <v/>
      </c>
      <c r="K537" s="44">
        <f>IF($B537="","",IF(INDEX('Work Orders'!$AG$11:$AG$1010,$B537)="","",INDEX('Work Orders'!$AG$11:$AG$1010,$B537)))</f>
        <v/>
      </c>
      <c r="L537" s="44">
        <f>IF($B537="","",IF(INDEX('Work Orders'!$AH$11:$AH$1010,$B537)="","",INDEX('Work Orders'!$AH$11:$AH$1010,$B537)))</f>
        <v/>
      </c>
      <c r="M537" s="46">
        <f>IF($B537="","",IF(INDEX('Work Orders'!$AM$11:$AM$1010,$B537)="","",INDEX('Work Orders'!$AM$11:$AM$1010,$B537)))</f>
        <v/>
      </c>
      <c r="N537" s="43">
        <f>IF($B537="","",IF(INDEX('Work Orders'!$AL$11:$AL$1010,$B537)="","",INDEX('Work Orders'!$AL$11:$AL$1010,$B537)))</f>
        <v/>
      </c>
      <c r="O537" s="43">
        <f>IF($B537="","",IF(INDEX('Work Orders'!$N$11:$N$1010,$B537)="","",INDEX('Work Orders'!$N$11:$N$1010,$B537)))</f>
        <v/>
      </c>
    </row>
    <row r="538">
      <c r="A538" s="68" t="n">
        <v>532</v>
      </c>
      <c r="B538">
        <f>IFERROR(MATCH(A538,'Work Orders'!$AO$11:$AO$1010,0),"")</f>
        <v/>
      </c>
      <c r="C538" s="43">
        <f>IF($B538="","",IF(INDEX('Work Orders'!$A$11:$A$1010,$B538)="","",INDEX('Work Orders'!$A$11:$A$1010,$B538)))</f>
        <v/>
      </c>
      <c r="D538" s="43">
        <f>IF($B538="","",IF(INDEX('Work Orders'!$B$11:$B$1010,$B538)="","",INDEX('Work Orders'!$B$11:$B$1010,$B538)))</f>
        <v/>
      </c>
      <c r="E538" s="43">
        <f>IF($B538="","",IF(INDEX('Work Orders'!$D$11:$D$1010,$B538)="","",INDEX('Work Orders'!$D$11:$D$1010,$B538)))</f>
        <v/>
      </c>
      <c r="F538" s="43">
        <f>IF($B538="","",IF(INDEX('Work Orders'!$Q$11:$Q$1010,$B538)="","",INDEX('Work Orders'!$Q$11:$Q$1010,$B538)))</f>
        <v/>
      </c>
      <c r="G538" s="43">
        <f>IF($B538="","",IF(INDEX('Work Orders'!$V$11:$V$1010,$B538)="","",INDEX('Work Orders'!$V$11:$V$1010,$B538)))</f>
        <v/>
      </c>
      <c r="H538" s="47">
        <f>IF($B538="","",IF(INDEX('Work Orders'!$U$11:$U$1010,$B538)="","",INDEX('Work Orders'!$U$11:$U$1010,$B538)))</f>
        <v/>
      </c>
      <c r="I538" s="47">
        <f>IF($B538="","",IF(INDEX('Work Orders'!$X$11:$X$1010,$B538)="","",INDEX('Work Orders'!$X$11:$X$1010,$B538)))</f>
        <v/>
      </c>
      <c r="J538" s="44">
        <f>IF($B538="","",IF(INDEX('Work Orders'!$Z$11:$Z$1010,$B538)="","",INDEX('Work Orders'!$Z$11:$Z$1010,$B538)))</f>
        <v/>
      </c>
      <c r="K538" s="44">
        <f>IF($B538="","",IF(INDEX('Work Orders'!$AG$11:$AG$1010,$B538)="","",INDEX('Work Orders'!$AG$11:$AG$1010,$B538)))</f>
        <v/>
      </c>
      <c r="L538" s="44">
        <f>IF($B538="","",IF(INDEX('Work Orders'!$AH$11:$AH$1010,$B538)="","",INDEX('Work Orders'!$AH$11:$AH$1010,$B538)))</f>
        <v/>
      </c>
      <c r="M538" s="46">
        <f>IF($B538="","",IF(INDEX('Work Orders'!$AM$11:$AM$1010,$B538)="","",INDEX('Work Orders'!$AM$11:$AM$1010,$B538)))</f>
        <v/>
      </c>
      <c r="N538" s="43">
        <f>IF($B538="","",IF(INDEX('Work Orders'!$AL$11:$AL$1010,$B538)="","",INDEX('Work Orders'!$AL$11:$AL$1010,$B538)))</f>
        <v/>
      </c>
      <c r="O538" s="43">
        <f>IF($B538="","",IF(INDEX('Work Orders'!$N$11:$N$1010,$B538)="","",INDEX('Work Orders'!$N$11:$N$1010,$B538)))</f>
        <v/>
      </c>
    </row>
    <row r="539">
      <c r="A539" s="68" t="n">
        <v>533</v>
      </c>
      <c r="B539">
        <f>IFERROR(MATCH(A539,'Work Orders'!$AO$11:$AO$1010,0),"")</f>
        <v/>
      </c>
      <c r="C539" s="43">
        <f>IF($B539="","",IF(INDEX('Work Orders'!$A$11:$A$1010,$B539)="","",INDEX('Work Orders'!$A$11:$A$1010,$B539)))</f>
        <v/>
      </c>
      <c r="D539" s="43">
        <f>IF($B539="","",IF(INDEX('Work Orders'!$B$11:$B$1010,$B539)="","",INDEX('Work Orders'!$B$11:$B$1010,$B539)))</f>
        <v/>
      </c>
      <c r="E539" s="43">
        <f>IF($B539="","",IF(INDEX('Work Orders'!$D$11:$D$1010,$B539)="","",INDEX('Work Orders'!$D$11:$D$1010,$B539)))</f>
        <v/>
      </c>
      <c r="F539" s="43">
        <f>IF($B539="","",IF(INDEX('Work Orders'!$Q$11:$Q$1010,$B539)="","",INDEX('Work Orders'!$Q$11:$Q$1010,$B539)))</f>
        <v/>
      </c>
      <c r="G539" s="43">
        <f>IF($B539="","",IF(INDEX('Work Orders'!$V$11:$V$1010,$B539)="","",INDEX('Work Orders'!$V$11:$V$1010,$B539)))</f>
        <v/>
      </c>
      <c r="H539" s="47">
        <f>IF($B539="","",IF(INDEX('Work Orders'!$U$11:$U$1010,$B539)="","",INDEX('Work Orders'!$U$11:$U$1010,$B539)))</f>
        <v/>
      </c>
      <c r="I539" s="47">
        <f>IF($B539="","",IF(INDEX('Work Orders'!$X$11:$X$1010,$B539)="","",INDEX('Work Orders'!$X$11:$X$1010,$B539)))</f>
        <v/>
      </c>
      <c r="J539" s="44">
        <f>IF($B539="","",IF(INDEX('Work Orders'!$Z$11:$Z$1010,$B539)="","",INDEX('Work Orders'!$Z$11:$Z$1010,$B539)))</f>
        <v/>
      </c>
      <c r="K539" s="44">
        <f>IF($B539="","",IF(INDEX('Work Orders'!$AG$11:$AG$1010,$B539)="","",INDEX('Work Orders'!$AG$11:$AG$1010,$B539)))</f>
        <v/>
      </c>
      <c r="L539" s="44">
        <f>IF($B539="","",IF(INDEX('Work Orders'!$AH$11:$AH$1010,$B539)="","",INDEX('Work Orders'!$AH$11:$AH$1010,$B539)))</f>
        <v/>
      </c>
      <c r="M539" s="46">
        <f>IF($B539="","",IF(INDEX('Work Orders'!$AM$11:$AM$1010,$B539)="","",INDEX('Work Orders'!$AM$11:$AM$1010,$B539)))</f>
        <v/>
      </c>
      <c r="N539" s="43">
        <f>IF($B539="","",IF(INDEX('Work Orders'!$AL$11:$AL$1010,$B539)="","",INDEX('Work Orders'!$AL$11:$AL$1010,$B539)))</f>
        <v/>
      </c>
      <c r="O539" s="43">
        <f>IF($B539="","",IF(INDEX('Work Orders'!$N$11:$N$1010,$B539)="","",INDEX('Work Orders'!$N$11:$N$1010,$B539)))</f>
        <v/>
      </c>
    </row>
    <row r="540">
      <c r="A540" s="68" t="n">
        <v>534</v>
      </c>
      <c r="B540">
        <f>IFERROR(MATCH(A540,'Work Orders'!$AO$11:$AO$1010,0),"")</f>
        <v/>
      </c>
      <c r="C540" s="43">
        <f>IF($B540="","",IF(INDEX('Work Orders'!$A$11:$A$1010,$B540)="","",INDEX('Work Orders'!$A$11:$A$1010,$B540)))</f>
        <v/>
      </c>
      <c r="D540" s="43">
        <f>IF($B540="","",IF(INDEX('Work Orders'!$B$11:$B$1010,$B540)="","",INDEX('Work Orders'!$B$11:$B$1010,$B540)))</f>
        <v/>
      </c>
      <c r="E540" s="43">
        <f>IF($B540="","",IF(INDEX('Work Orders'!$D$11:$D$1010,$B540)="","",INDEX('Work Orders'!$D$11:$D$1010,$B540)))</f>
        <v/>
      </c>
      <c r="F540" s="43">
        <f>IF($B540="","",IF(INDEX('Work Orders'!$Q$11:$Q$1010,$B540)="","",INDEX('Work Orders'!$Q$11:$Q$1010,$B540)))</f>
        <v/>
      </c>
      <c r="G540" s="43">
        <f>IF($B540="","",IF(INDEX('Work Orders'!$V$11:$V$1010,$B540)="","",INDEX('Work Orders'!$V$11:$V$1010,$B540)))</f>
        <v/>
      </c>
      <c r="H540" s="47">
        <f>IF($B540="","",IF(INDEX('Work Orders'!$U$11:$U$1010,$B540)="","",INDEX('Work Orders'!$U$11:$U$1010,$B540)))</f>
        <v/>
      </c>
      <c r="I540" s="47">
        <f>IF($B540="","",IF(INDEX('Work Orders'!$X$11:$X$1010,$B540)="","",INDEX('Work Orders'!$X$11:$X$1010,$B540)))</f>
        <v/>
      </c>
      <c r="J540" s="44">
        <f>IF($B540="","",IF(INDEX('Work Orders'!$Z$11:$Z$1010,$B540)="","",INDEX('Work Orders'!$Z$11:$Z$1010,$B540)))</f>
        <v/>
      </c>
      <c r="K540" s="44">
        <f>IF($B540="","",IF(INDEX('Work Orders'!$AG$11:$AG$1010,$B540)="","",INDEX('Work Orders'!$AG$11:$AG$1010,$B540)))</f>
        <v/>
      </c>
      <c r="L540" s="44">
        <f>IF($B540="","",IF(INDEX('Work Orders'!$AH$11:$AH$1010,$B540)="","",INDEX('Work Orders'!$AH$11:$AH$1010,$B540)))</f>
        <v/>
      </c>
      <c r="M540" s="46">
        <f>IF($B540="","",IF(INDEX('Work Orders'!$AM$11:$AM$1010,$B540)="","",INDEX('Work Orders'!$AM$11:$AM$1010,$B540)))</f>
        <v/>
      </c>
      <c r="N540" s="43">
        <f>IF($B540="","",IF(INDEX('Work Orders'!$AL$11:$AL$1010,$B540)="","",INDEX('Work Orders'!$AL$11:$AL$1010,$B540)))</f>
        <v/>
      </c>
      <c r="O540" s="43">
        <f>IF($B540="","",IF(INDEX('Work Orders'!$N$11:$N$1010,$B540)="","",INDEX('Work Orders'!$N$11:$N$1010,$B540)))</f>
        <v/>
      </c>
    </row>
    <row r="541">
      <c r="A541" s="68" t="n">
        <v>535</v>
      </c>
      <c r="B541">
        <f>IFERROR(MATCH(A541,'Work Orders'!$AO$11:$AO$1010,0),"")</f>
        <v/>
      </c>
      <c r="C541" s="43">
        <f>IF($B541="","",IF(INDEX('Work Orders'!$A$11:$A$1010,$B541)="","",INDEX('Work Orders'!$A$11:$A$1010,$B541)))</f>
        <v/>
      </c>
      <c r="D541" s="43">
        <f>IF($B541="","",IF(INDEX('Work Orders'!$B$11:$B$1010,$B541)="","",INDEX('Work Orders'!$B$11:$B$1010,$B541)))</f>
        <v/>
      </c>
      <c r="E541" s="43">
        <f>IF($B541="","",IF(INDEX('Work Orders'!$D$11:$D$1010,$B541)="","",INDEX('Work Orders'!$D$11:$D$1010,$B541)))</f>
        <v/>
      </c>
      <c r="F541" s="43">
        <f>IF($B541="","",IF(INDEX('Work Orders'!$Q$11:$Q$1010,$B541)="","",INDEX('Work Orders'!$Q$11:$Q$1010,$B541)))</f>
        <v/>
      </c>
      <c r="G541" s="43">
        <f>IF($B541="","",IF(INDEX('Work Orders'!$V$11:$V$1010,$B541)="","",INDEX('Work Orders'!$V$11:$V$1010,$B541)))</f>
        <v/>
      </c>
      <c r="H541" s="47">
        <f>IF($B541="","",IF(INDEX('Work Orders'!$U$11:$U$1010,$B541)="","",INDEX('Work Orders'!$U$11:$U$1010,$B541)))</f>
        <v/>
      </c>
      <c r="I541" s="47">
        <f>IF($B541="","",IF(INDEX('Work Orders'!$X$11:$X$1010,$B541)="","",INDEX('Work Orders'!$X$11:$X$1010,$B541)))</f>
        <v/>
      </c>
      <c r="J541" s="44">
        <f>IF($B541="","",IF(INDEX('Work Orders'!$Z$11:$Z$1010,$B541)="","",INDEX('Work Orders'!$Z$11:$Z$1010,$B541)))</f>
        <v/>
      </c>
      <c r="K541" s="44">
        <f>IF($B541="","",IF(INDEX('Work Orders'!$AG$11:$AG$1010,$B541)="","",INDEX('Work Orders'!$AG$11:$AG$1010,$B541)))</f>
        <v/>
      </c>
      <c r="L541" s="44">
        <f>IF($B541="","",IF(INDEX('Work Orders'!$AH$11:$AH$1010,$B541)="","",INDEX('Work Orders'!$AH$11:$AH$1010,$B541)))</f>
        <v/>
      </c>
      <c r="M541" s="46">
        <f>IF($B541="","",IF(INDEX('Work Orders'!$AM$11:$AM$1010,$B541)="","",INDEX('Work Orders'!$AM$11:$AM$1010,$B541)))</f>
        <v/>
      </c>
      <c r="N541" s="43">
        <f>IF($B541="","",IF(INDEX('Work Orders'!$AL$11:$AL$1010,$B541)="","",INDEX('Work Orders'!$AL$11:$AL$1010,$B541)))</f>
        <v/>
      </c>
      <c r="O541" s="43">
        <f>IF($B541="","",IF(INDEX('Work Orders'!$N$11:$N$1010,$B541)="","",INDEX('Work Orders'!$N$11:$N$1010,$B541)))</f>
        <v/>
      </c>
    </row>
    <row r="542">
      <c r="A542" s="68" t="n">
        <v>536</v>
      </c>
      <c r="B542">
        <f>IFERROR(MATCH(A542,'Work Orders'!$AO$11:$AO$1010,0),"")</f>
        <v/>
      </c>
      <c r="C542" s="43">
        <f>IF($B542="","",IF(INDEX('Work Orders'!$A$11:$A$1010,$B542)="","",INDEX('Work Orders'!$A$11:$A$1010,$B542)))</f>
        <v/>
      </c>
      <c r="D542" s="43">
        <f>IF($B542="","",IF(INDEX('Work Orders'!$B$11:$B$1010,$B542)="","",INDEX('Work Orders'!$B$11:$B$1010,$B542)))</f>
        <v/>
      </c>
      <c r="E542" s="43">
        <f>IF($B542="","",IF(INDEX('Work Orders'!$D$11:$D$1010,$B542)="","",INDEX('Work Orders'!$D$11:$D$1010,$B542)))</f>
        <v/>
      </c>
      <c r="F542" s="43">
        <f>IF($B542="","",IF(INDEX('Work Orders'!$Q$11:$Q$1010,$B542)="","",INDEX('Work Orders'!$Q$11:$Q$1010,$B542)))</f>
        <v/>
      </c>
      <c r="G542" s="43">
        <f>IF($B542="","",IF(INDEX('Work Orders'!$V$11:$V$1010,$B542)="","",INDEX('Work Orders'!$V$11:$V$1010,$B542)))</f>
        <v/>
      </c>
      <c r="H542" s="47">
        <f>IF($B542="","",IF(INDEX('Work Orders'!$U$11:$U$1010,$B542)="","",INDEX('Work Orders'!$U$11:$U$1010,$B542)))</f>
        <v/>
      </c>
      <c r="I542" s="47">
        <f>IF($B542="","",IF(INDEX('Work Orders'!$X$11:$X$1010,$B542)="","",INDEX('Work Orders'!$X$11:$X$1010,$B542)))</f>
        <v/>
      </c>
      <c r="J542" s="44">
        <f>IF($B542="","",IF(INDEX('Work Orders'!$Z$11:$Z$1010,$B542)="","",INDEX('Work Orders'!$Z$11:$Z$1010,$B542)))</f>
        <v/>
      </c>
      <c r="K542" s="44">
        <f>IF($B542="","",IF(INDEX('Work Orders'!$AG$11:$AG$1010,$B542)="","",INDEX('Work Orders'!$AG$11:$AG$1010,$B542)))</f>
        <v/>
      </c>
      <c r="L542" s="44">
        <f>IF($B542="","",IF(INDEX('Work Orders'!$AH$11:$AH$1010,$B542)="","",INDEX('Work Orders'!$AH$11:$AH$1010,$B542)))</f>
        <v/>
      </c>
      <c r="M542" s="46">
        <f>IF($B542="","",IF(INDEX('Work Orders'!$AM$11:$AM$1010,$B542)="","",INDEX('Work Orders'!$AM$11:$AM$1010,$B542)))</f>
        <v/>
      </c>
      <c r="N542" s="43">
        <f>IF($B542="","",IF(INDEX('Work Orders'!$AL$11:$AL$1010,$B542)="","",INDEX('Work Orders'!$AL$11:$AL$1010,$B542)))</f>
        <v/>
      </c>
      <c r="O542" s="43">
        <f>IF($B542="","",IF(INDEX('Work Orders'!$N$11:$N$1010,$B542)="","",INDEX('Work Orders'!$N$11:$N$1010,$B542)))</f>
        <v/>
      </c>
    </row>
    <row r="543">
      <c r="A543" s="68" t="n">
        <v>537</v>
      </c>
      <c r="B543">
        <f>IFERROR(MATCH(A543,'Work Orders'!$AO$11:$AO$1010,0),"")</f>
        <v/>
      </c>
      <c r="C543" s="43">
        <f>IF($B543="","",IF(INDEX('Work Orders'!$A$11:$A$1010,$B543)="","",INDEX('Work Orders'!$A$11:$A$1010,$B543)))</f>
        <v/>
      </c>
      <c r="D543" s="43">
        <f>IF($B543="","",IF(INDEX('Work Orders'!$B$11:$B$1010,$B543)="","",INDEX('Work Orders'!$B$11:$B$1010,$B543)))</f>
        <v/>
      </c>
      <c r="E543" s="43">
        <f>IF($B543="","",IF(INDEX('Work Orders'!$D$11:$D$1010,$B543)="","",INDEX('Work Orders'!$D$11:$D$1010,$B543)))</f>
        <v/>
      </c>
      <c r="F543" s="43">
        <f>IF($B543="","",IF(INDEX('Work Orders'!$Q$11:$Q$1010,$B543)="","",INDEX('Work Orders'!$Q$11:$Q$1010,$B543)))</f>
        <v/>
      </c>
      <c r="G543" s="43">
        <f>IF($B543="","",IF(INDEX('Work Orders'!$V$11:$V$1010,$B543)="","",INDEX('Work Orders'!$V$11:$V$1010,$B543)))</f>
        <v/>
      </c>
      <c r="H543" s="47">
        <f>IF($B543="","",IF(INDEX('Work Orders'!$U$11:$U$1010,$B543)="","",INDEX('Work Orders'!$U$11:$U$1010,$B543)))</f>
        <v/>
      </c>
      <c r="I543" s="47">
        <f>IF($B543="","",IF(INDEX('Work Orders'!$X$11:$X$1010,$B543)="","",INDEX('Work Orders'!$X$11:$X$1010,$B543)))</f>
        <v/>
      </c>
      <c r="J543" s="44">
        <f>IF($B543="","",IF(INDEX('Work Orders'!$Z$11:$Z$1010,$B543)="","",INDEX('Work Orders'!$Z$11:$Z$1010,$B543)))</f>
        <v/>
      </c>
      <c r="K543" s="44">
        <f>IF($B543="","",IF(INDEX('Work Orders'!$AG$11:$AG$1010,$B543)="","",INDEX('Work Orders'!$AG$11:$AG$1010,$B543)))</f>
        <v/>
      </c>
      <c r="L543" s="44">
        <f>IF($B543="","",IF(INDEX('Work Orders'!$AH$11:$AH$1010,$B543)="","",INDEX('Work Orders'!$AH$11:$AH$1010,$B543)))</f>
        <v/>
      </c>
      <c r="M543" s="46">
        <f>IF($B543="","",IF(INDEX('Work Orders'!$AM$11:$AM$1010,$B543)="","",INDEX('Work Orders'!$AM$11:$AM$1010,$B543)))</f>
        <v/>
      </c>
      <c r="N543" s="43">
        <f>IF($B543="","",IF(INDEX('Work Orders'!$AL$11:$AL$1010,$B543)="","",INDEX('Work Orders'!$AL$11:$AL$1010,$B543)))</f>
        <v/>
      </c>
      <c r="O543" s="43">
        <f>IF($B543="","",IF(INDEX('Work Orders'!$N$11:$N$1010,$B543)="","",INDEX('Work Orders'!$N$11:$N$1010,$B543)))</f>
        <v/>
      </c>
    </row>
    <row r="544">
      <c r="A544" s="68" t="n">
        <v>538</v>
      </c>
      <c r="B544">
        <f>IFERROR(MATCH(A544,'Work Orders'!$AO$11:$AO$1010,0),"")</f>
        <v/>
      </c>
      <c r="C544" s="43">
        <f>IF($B544="","",IF(INDEX('Work Orders'!$A$11:$A$1010,$B544)="","",INDEX('Work Orders'!$A$11:$A$1010,$B544)))</f>
        <v/>
      </c>
      <c r="D544" s="43">
        <f>IF($B544="","",IF(INDEX('Work Orders'!$B$11:$B$1010,$B544)="","",INDEX('Work Orders'!$B$11:$B$1010,$B544)))</f>
        <v/>
      </c>
      <c r="E544" s="43">
        <f>IF($B544="","",IF(INDEX('Work Orders'!$D$11:$D$1010,$B544)="","",INDEX('Work Orders'!$D$11:$D$1010,$B544)))</f>
        <v/>
      </c>
      <c r="F544" s="43">
        <f>IF($B544="","",IF(INDEX('Work Orders'!$Q$11:$Q$1010,$B544)="","",INDEX('Work Orders'!$Q$11:$Q$1010,$B544)))</f>
        <v/>
      </c>
      <c r="G544" s="43">
        <f>IF($B544="","",IF(INDEX('Work Orders'!$V$11:$V$1010,$B544)="","",INDEX('Work Orders'!$V$11:$V$1010,$B544)))</f>
        <v/>
      </c>
      <c r="H544" s="47">
        <f>IF($B544="","",IF(INDEX('Work Orders'!$U$11:$U$1010,$B544)="","",INDEX('Work Orders'!$U$11:$U$1010,$B544)))</f>
        <v/>
      </c>
      <c r="I544" s="47">
        <f>IF($B544="","",IF(INDEX('Work Orders'!$X$11:$X$1010,$B544)="","",INDEX('Work Orders'!$X$11:$X$1010,$B544)))</f>
        <v/>
      </c>
      <c r="J544" s="44">
        <f>IF($B544="","",IF(INDEX('Work Orders'!$Z$11:$Z$1010,$B544)="","",INDEX('Work Orders'!$Z$11:$Z$1010,$B544)))</f>
        <v/>
      </c>
      <c r="K544" s="44">
        <f>IF($B544="","",IF(INDEX('Work Orders'!$AG$11:$AG$1010,$B544)="","",INDEX('Work Orders'!$AG$11:$AG$1010,$B544)))</f>
        <v/>
      </c>
      <c r="L544" s="44">
        <f>IF($B544="","",IF(INDEX('Work Orders'!$AH$11:$AH$1010,$B544)="","",INDEX('Work Orders'!$AH$11:$AH$1010,$B544)))</f>
        <v/>
      </c>
      <c r="M544" s="46">
        <f>IF($B544="","",IF(INDEX('Work Orders'!$AM$11:$AM$1010,$B544)="","",INDEX('Work Orders'!$AM$11:$AM$1010,$B544)))</f>
        <v/>
      </c>
      <c r="N544" s="43">
        <f>IF($B544="","",IF(INDEX('Work Orders'!$AL$11:$AL$1010,$B544)="","",INDEX('Work Orders'!$AL$11:$AL$1010,$B544)))</f>
        <v/>
      </c>
      <c r="O544" s="43">
        <f>IF($B544="","",IF(INDEX('Work Orders'!$N$11:$N$1010,$B544)="","",INDEX('Work Orders'!$N$11:$N$1010,$B544)))</f>
        <v/>
      </c>
    </row>
    <row r="545">
      <c r="A545" s="68" t="n">
        <v>539</v>
      </c>
      <c r="B545">
        <f>IFERROR(MATCH(A545,'Work Orders'!$AO$11:$AO$1010,0),"")</f>
        <v/>
      </c>
      <c r="C545" s="43">
        <f>IF($B545="","",IF(INDEX('Work Orders'!$A$11:$A$1010,$B545)="","",INDEX('Work Orders'!$A$11:$A$1010,$B545)))</f>
        <v/>
      </c>
      <c r="D545" s="43">
        <f>IF($B545="","",IF(INDEX('Work Orders'!$B$11:$B$1010,$B545)="","",INDEX('Work Orders'!$B$11:$B$1010,$B545)))</f>
        <v/>
      </c>
      <c r="E545" s="43">
        <f>IF($B545="","",IF(INDEX('Work Orders'!$D$11:$D$1010,$B545)="","",INDEX('Work Orders'!$D$11:$D$1010,$B545)))</f>
        <v/>
      </c>
      <c r="F545" s="43">
        <f>IF($B545="","",IF(INDEX('Work Orders'!$Q$11:$Q$1010,$B545)="","",INDEX('Work Orders'!$Q$11:$Q$1010,$B545)))</f>
        <v/>
      </c>
      <c r="G545" s="43">
        <f>IF($B545="","",IF(INDEX('Work Orders'!$V$11:$V$1010,$B545)="","",INDEX('Work Orders'!$V$11:$V$1010,$B545)))</f>
        <v/>
      </c>
      <c r="H545" s="47">
        <f>IF($B545="","",IF(INDEX('Work Orders'!$U$11:$U$1010,$B545)="","",INDEX('Work Orders'!$U$11:$U$1010,$B545)))</f>
        <v/>
      </c>
      <c r="I545" s="47">
        <f>IF($B545="","",IF(INDEX('Work Orders'!$X$11:$X$1010,$B545)="","",INDEX('Work Orders'!$X$11:$X$1010,$B545)))</f>
        <v/>
      </c>
      <c r="J545" s="44">
        <f>IF($B545="","",IF(INDEX('Work Orders'!$Z$11:$Z$1010,$B545)="","",INDEX('Work Orders'!$Z$11:$Z$1010,$B545)))</f>
        <v/>
      </c>
      <c r="K545" s="44">
        <f>IF($B545="","",IF(INDEX('Work Orders'!$AG$11:$AG$1010,$B545)="","",INDEX('Work Orders'!$AG$11:$AG$1010,$B545)))</f>
        <v/>
      </c>
      <c r="L545" s="44">
        <f>IF($B545="","",IF(INDEX('Work Orders'!$AH$11:$AH$1010,$B545)="","",INDEX('Work Orders'!$AH$11:$AH$1010,$B545)))</f>
        <v/>
      </c>
      <c r="M545" s="46">
        <f>IF($B545="","",IF(INDEX('Work Orders'!$AM$11:$AM$1010,$B545)="","",INDEX('Work Orders'!$AM$11:$AM$1010,$B545)))</f>
        <v/>
      </c>
      <c r="N545" s="43">
        <f>IF($B545="","",IF(INDEX('Work Orders'!$AL$11:$AL$1010,$B545)="","",INDEX('Work Orders'!$AL$11:$AL$1010,$B545)))</f>
        <v/>
      </c>
      <c r="O545" s="43">
        <f>IF($B545="","",IF(INDEX('Work Orders'!$N$11:$N$1010,$B545)="","",INDEX('Work Orders'!$N$11:$N$1010,$B545)))</f>
        <v/>
      </c>
    </row>
    <row r="546">
      <c r="A546" s="68" t="n">
        <v>540</v>
      </c>
      <c r="B546">
        <f>IFERROR(MATCH(A546,'Work Orders'!$AO$11:$AO$1010,0),"")</f>
        <v/>
      </c>
      <c r="C546" s="43">
        <f>IF($B546="","",IF(INDEX('Work Orders'!$A$11:$A$1010,$B546)="","",INDEX('Work Orders'!$A$11:$A$1010,$B546)))</f>
        <v/>
      </c>
      <c r="D546" s="43">
        <f>IF($B546="","",IF(INDEX('Work Orders'!$B$11:$B$1010,$B546)="","",INDEX('Work Orders'!$B$11:$B$1010,$B546)))</f>
        <v/>
      </c>
      <c r="E546" s="43">
        <f>IF($B546="","",IF(INDEX('Work Orders'!$D$11:$D$1010,$B546)="","",INDEX('Work Orders'!$D$11:$D$1010,$B546)))</f>
        <v/>
      </c>
      <c r="F546" s="43">
        <f>IF($B546="","",IF(INDEX('Work Orders'!$Q$11:$Q$1010,$B546)="","",INDEX('Work Orders'!$Q$11:$Q$1010,$B546)))</f>
        <v/>
      </c>
      <c r="G546" s="43">
        <f>IF($B546="","",IF(INDEX('Work Orders'!$V$11:$V$1010,$B546)="","",INDEX('Work Orders'!$V$11:$V$1010,$B546)))</f>
        <v/>
      </c>
      <c r="H546" s="47">
        <f>IF($B546="","",IF(INDEX('Work Orders'!$U$11:$U$1010,$B546)="","",INDEX('Work Orders'!$U$11:$U$1010,$B546)))</f>
        <v/>
      </c>
      <c r="I546" s="47">
        <f>IF($B546="","",IF(INDEX('Work Orders'!$X$11:$X$1010,$B546)="","",INDEX('Work Orders'!$X$11:$X$1010,$B546)))</f>
        <v/>
      </c>
      <c r="J546" s="44">
        <f>IF($B546="","",IF(INDEX('Work Orders'!$Z$11:$Z$1010,$B546)="","",INDEX('Work Orders'!$Z$11:$Z$1010,$B546)))</f>
        <v/>
      </c>
      <c r="K546" s="44">
        <f>IF($B546="","",IF(INDEX('Work Orders'!$AG$11:$AG$1010,$B546)="","",INDEX('Work Orders'!$AG$11:$AG$1010,$B546)))</f>
        <v/>
      </c>
      <c r="L546" s="44">
        <f>IF($B546="","",IF(INDEX('Work Orders'!$AH$11:$AH$1010,$B546)="","",INDEX('Work Orders'!$AH$11:$AH$1010,$B546)))</f>
        <v/>
      </c>
      <c r="M546" s="46">
        <f>IF($B546="","",IF(INDEX('Work Orders'!$AM$11:$AM$1010,$B546)="","",INDEX('Work Orders'!$AM$11:$AM$1010,$B546)))</f>
        <v/>
      </c>
      <c r="N546" s="43">
        <f>IF($B546="","",IF(INDEX('Work Orders'!$AL$11:$AL$1010,$B546)="","",INDEX('Work Orders'!$AL$11:$AL$1010,$B546)))</f>
        <v/>
      </c>
      <c r="O546" s="43">
        <f>IF($B546="","",IF(INDEX('Work Orders'!$N$11:$N$1010,$B546)="","",INDEX('Work Orders'!$N$11:$N$1010,$B546)))</f>
        <v/>
      </c>
    </row>
    <row r="547">
      <c r="A547" s="68" t="n">
        <v>541</v>
      </c>
      <c r="B547">
        <f>IFERROR(MATCH(A547,'Work Orders'!$AO$11:$AO$1010,0),"")</f>
        <v/>
      </c>
      <c r="C547" s="43">
        <f>IF($B547="","",IF(INDEX('Work Orders'!$A$11:$A$1010,$B547)="","",INDEX('Work Orders'!$A$11:$A$1010,$B547)))</f>
        <v/>
      </c>
      <c r="D547" s="43">
        <f>IF($B547="","",IF(INDEX('Work Orders'!$B$11:$B$1010,$B547)="","",INDEX('Work Orders'!$B$11:$B$1010,$B547)))</f>
        <v/>
      </c>
      <c r="E547" s="43">
        <f>IF($B547="","",IF(INDEX('Work Orders'!$D$11:$D$1010,$B547)="","",INDEX('Work Orders'!$D$11:$D$1010,$B547)))</f>
        <v/>
      </c>
      <c r="F547" s="43">
        <f>IF($B547="","",IF(INDEX('Work Orders'!$Q$11:$Q$1010,$B547)="","",INDEX('Work Orders'!$Q$11:$Q$1010,$B547)))</f>
        <v/>
      </c>
      <c r="G547" s="43">
        <f>IF($B547="","",IF(INDEX('Work Orders'!$V$11:$V$1010,$B547)="","",INDEX('Work Orders'!$V$11:$V$1010,$B547)))</f>
        <v/>
      </c>
      <c r="H547" s="47">
        <f>IF($B547="","",IF(INDEX('Work Orders'!$U$11:$U$1010,$B547)="","",INDEX('Work Orders'!$U$11:$U$1010,$B547)))</f>
        <v/>
      </c>
      <c r="I547" s="47">
        <f>IF($B547="","",IF(INDEX('Work Orders'!$X$11:$X$1010,$B547)="","",INDEX('Work Orders'!$X$11:$X$1010,$B547)))</f>
        <v/>
      </c>
      <c r="J547" s="44">
        <f>IF($B547="","",IF(INDEX('Work Orders'!$Z$11:$Z$1010,$B547)="","",INDEX('Work Orders'!$Z$11:$Z$1010,$B547)))</f>
        <v/>
      </c>
      <c r="K547" s="44">
        <f>IF($B547="","",IF(INDEX('Work Orders'!$AG$11:$AG$1010,$B547)="","",INDEX('Work Orders'!$AG$11:$AG$1010,$B547)))</f>
        <v/>
      </c>
      <c r="L547" s="44">
        <f>IF($B547="","",IF(INDEX('Work Orders'!$AH$11:$AH$1010,$B547)="","",INDEX('Work Orders'!$AH$11:$AH$1010,$B547)))</f>
        <v/>
      </c>
      <c r="M547" s="46">
        <f>IF($B547="","",IF(INDEX('Work Orders'!$AM$11:$AM$1010,$B547)="","",INDEX('Work Orders'!$AM$11:$AM$1010,$B547)))</f>
        <v/>
      </c>
      <c r="N547" s="43">
        <f>IF($B547="","",IF(INDEX('Work Orders'!$AL$11:$AL$1010,$B547)="","",INDEX('Work Orders'!$AL$11:$AL$1010,$B547)))</f>
        <v/>
      </c>
      <c r="O547" s="43">
        <f>IF($B547="","",IF(INDEX('Work Orders'!$N$11:$N$1010,$B547)="","",INDEX('Work Orders'!$N$11:$N$1010,$B547)))</f>
        <v/>
      </c>
    </row>
    <row r="548">
      <c r="A548" s="68" t="n">
        <v>542</v>
      </c>
      <c r="B548">
        <f>IFERROR(MATCH(A548,'Work Orders'!$AO$11:$AO$1010,0),"")</f>
        <v/>
      </c>
      <c r="C548" s="43">
        <f>IF($B548="","",IF(INDEX('Work Orders'!$A$11:$A$1010,$B548)="","",INDEX('Work Orders'!$A$11:$A$1010,$B548)))</f>
        <v/>
      </c>
      <c r="D548" s="43">
        <f>IF($B548="","",IF(INDEX('Work Orders'!$B$11:$B$1010,$B548)="","",INDEX('Work Orders'!$B$11:$B$1010,$B548)))</f>
        <v/>
      </c>
      <c r="E548" s="43">
        <f>IF($B548="","",IF(INDEX('Work Orders'!$D$11:$D$1010,$B548)="","",INDEX('Work Orders'!$D$11:$D$1010,$B548)))</f>
        <v/>
      </c>
      <c r="F548" s="43">
        <f>IF($B548="","",IF(INDEX('Work Orders'!$Q$11:$Q$1010,$B548)="","",INDEX('Work Orders'!$Q$11:$Q$1010,$B548)))</f>
        <v/>
      </c>
      <c r="G548" s="43">
        <f>IF($B548="","",IF(INDEX('Work Orders'!$V$11:$V$1010,$B548)="","",INDEX('Work Orders'!$V$11:$V$1010,$B548)))</f>
        <v/>
      </c>
      <c r="H548" s="47">
        <f>IF($B548="","",IF(INDEX('Work Orders'!$U$11:$U$1010,$B548)="","",INDEX('Work Orders'!$U$11:$U$1010,$B548)))</f>
        <v/>
      </c>
      <c r="I548" s="47">
        <f>IF($B548="","",IF(INDEX('Work Orders'!$X$11:$X$1010,$B548)="","",INDEX('Work Orders'!$X$11:$X$1010,$B548)))</f>
        <v/>
      </c>
      <c r="J548" s="44">
        <f>IF($B548="","",IF(INDEX('Work Orders'!$Z$11:$Z$1010,$B548)="","",INDEX('Work Orders'!$Z$11:$Z$1010,$B548)))</f>
        <v/>
      </c>
      <c r="K548" s="44">
        <f>IF($B548="","",IF(INDEX('Work Orders'!$AG$11:$AG$1010,$B548)="","",INDEX('Work Orders'!$AG$11:$AG$1010,$B548)))</f>
        <v/>
      </c>
      <c r="L548" s="44">
        <f>IF($B548="","",IF(INDEX('Work Orders'!$AH$11:$AH$1010,$B548)="","",INDEX('Work Orders'!$AH$11:$AH$1010,$B548)))</f>
        <v/>
      </c>
      <c r="M548" s="46">
        <f>IF($B548="","",IF(INDEX('Work Orders'!$AM$11:$AM$1010,$B548)="","",INDEX('Work Orders'!$AM$11:$AM$1010,$B548)))</f>
        <v/>
      </c>
      <c r="N548" s="43">
        <f>IF($B548="","",IF(INDEX('Work Orders'!$AL$11:$AL$1010,$B548)="","",INDEX('Work Orders'!$AL$11:$AL$1010,$B548)))</f>
        <v/>
      </c>
      <c r="O548" s="43">
        <f>IF($B548="","",IF(INDEX('Work Orders'!$N$11:$N$1010,$B548)="","",INDEX('Work Orders'!$N$11:$N$1010,$B548)))</f>
        <v/>
      </c>
    </row>
    <row r="549">
      <c r="A549" s="68" t="n">
        <v>543</v>
      </c>
      <c r="B549">
        <f>IFERROR(MATCH(A549,'Work Orders'!$AO$11:$AO$1010,0),"")</f>
        <v/>
      </c>
      <c r="C549" s="43">
        <f>IF($B549="","",IF(INDEX('Work Orders'!$A$11:$A$1010,$B549)="","",INDEX('Work Orders'!$A$11:$A$1010,$B549)))</f>
        <v/>
      </c>
      <c r="D549" s="43">
        <f>IF($B549="","",IF(INDEX('Work Orders'!$B$11:$B$1010,$B549)="","",INDEX('Work Orders'!$B$11:$B$1010,$B549)))</f>
        <v/>
      </c>
      <c r="E549" s="43">
        <f>IF($B549="","",IF(INDEX('Work Orders'!$D$11:$D$1010,$B549)="","",INDEX('Work Orders'!$D$11:$D$1010,$B549)))</f>
        <v/>
      </c>
      <c r="F549" s="43">
        <f>IF($B549="","",IF(INDEX('Work Orders'!$Q$11:$Q$1010,$B549)="","",INDEX('Work Orders'!$Q$11:$Q$1010,$B549)))</f>
        <v/>
      </c>
      <c r="G549" s="43">
        <f>IF($B549="","",IF(INDEX('Work Orders'!$V$11:$V$1010,$B549)="","",INDEX('Work Orders'!$V$11:$V$1010,$B549)))</f>
        <v/>
      </c>
      <c r="H549" s="47">
        <f>IF($B549="","",IF(INDEX('Work Orders'!$U$11:$U$1010,$B549)="","",INDEX('Work Orders'!$U$11:$U$1010,$B549)))</f>
        <v/>
      </c>
      <c r="I549" s="47">
        <f>IF($B549="","",IF(INDEX('Work Orders'!$X$11:$X$1010,$B549)="","",INDEX('Work Orders'!$X$11:$X$1010,$B549)))</f>
        <v/>
      </c>
      <c r="J549" s="44">
        <f>IF($B549="","",IF(INDEX('Work Orders'!$Z$11:$Z$1010,$B549)="","",INDEX('Work Orders'!$Z$11:$Z$1010,$B549)))</f>
        <v/>
      </c>
      <c r="K549" s="44">
        <f>IF($B549="","",IF(INDEX('Work Orders'!$AG$11:$AG$1010,$B549)="","",INDEX('Work Orders'!$AG$11:$AG$1010,$B549)))</f>
        <v/>
      </c>
      <c r="L549" s="44">
        <f>IF($B549="","",IF(INDEX('Work Orders'!$AH$11:$AH$1010,$B549)="","",INDEX('Work Orders'!$AH$11:$AH$1010,$B549)))</f>
        <v/>
      </c>
      <c r="M549" s="46">
        <f>IF($B549="","",IF(INDEX('Work Orders'!$AM$11:$AM$1010,$B549)="","",INDEX('Work Orders'!$AM$11:$AM$1010,$B549)))</f>
        <v/>
      </c>
      <c r="N549" s="43">
        <f>IF($B549="","",IF(INDEX('Work Orders'!$AL$11:$AL$1010,$B549)="","",INDEX('Work Orders'!$AL$11:$AL$1010,$B549)))</f>
        <v/>
      </c>
      <c r="O549" s="43">
        <f>IF($B549="","",IF(INDEX('Work Orders'!$N$11:$N$1010,$B549)="","",INDEX('Work Orders'!$N$11:$N$1010,$B549)))</f>
        <v/>
      </c>
    </row>
    <row r="550">
      <c r="A550" s="68" t="n">
        <v>544</v>
      </c>
      <c r="B550">
        <f>IFERROR(MATCH(A550,'Work Orders'!$AO$11:$AO$1010,0),"")</f>
        <v/>
      </c>
      <c r="C550" s="43">
        <f>IF($B550="","",IF(INDEX('Work Orders'!$A$11:$A$1010,$B550)="","",INDEX('Work Orders'!$A$11:$A$1010,$B550)))</f>
        <v/>
      </c>
      <c r="D550" s="43">
        <f>IF($B550="","",IF(INDEX('Work Orders'!$B$11:$B$1010,$B550)="","",INDEX('Work Orders'!$B$11:$B$1010,$B550)))</f>
        <v/>
      </c>
      <c r="E550" s="43">
        <f>IF($B550="","",IF(INDEX('Work Orders'!$D$11:$D$1010,$B550)="","",INDEX('Work Orders'!$D$11:$D$1010,$B550)))</f>
        <v/>
      </c>
      <c r="F550" s="43">
        <f>IF($B550="","",IF(INDEX('Work Orders'!$Q$11:$Q$1010,$B550)="","",INDEX('Work Orders'!$Q$11:$Q$1010,$B550)))</f>
        <v/>
      </c>
      <c r="G550" s="43">
        <f>IF($B550="","",IF(INDEX('Work Orders'!$V$11:$V$1010,$B550)="","",INDEX('Work Orders'!$V$11:$V$1010,$B550)))</f>
        <v/>
      </c>
      <c r="H550" s="47">
        <f>IF($B550="","",IF(INDEX('Work Orders'!$U$11:$U$1010,$B550)="","",INDEX('Work Orders'!$U$11:$U$1010,$B550)))</f>
        <v/>
      </c>
      <c r="I550" s="47">
        <f>IF($B550="","",IF(INDEX('Work Orders'!$X$11:$X$1010,$B550)="","",INDEX('Work Orders'!$X$11:$X$1010,$B550)))</f>
        <v/>
      </c>
      <c r="J550" s="44">
        <f>IF($B550="","",IF(INDEX('Work Orders'!$Z$11:$Z$1010,$B550)="","",INDEX('Work Orders'!$Z$11:$Z$1010,$B550)))</f>
        <v/>
      </c>
      <c r="K550" s="44">
        <f>IF($B550="","",IF(INDEX('Work Orders'!$AG$11:$AG$1010,$B550)="","",INDEX('Work Orders'!$AG$11:$AG$1010,$B550)))</f>
        <v/>
      </c>
      <c r="L550" s="44">
        <f>IF($B550="","",IF(INDEX('Work Orders'!$AH$11:$AH$1010,$B550)="","",INDEX('Work Orders'!$AH$11:$AH$1010,$B550)))</f>
        <v/>
      </c>
      <c r="M550" s="46">
        <f>IF($B550="","",IF(INDEX('Work Orders'!$AM$11:$AM$1010,$B550)="","",INDEX('Work Orders'!$AM$11:$AM$1010,$B550)))</f>
        <v/>
      </c>
      <c r="N550" s="43">
        <f>IF($B550="","",IF(INDEX('Work Orders'!$AL$11:$AL$1010,$B550)="","",INDEX('Work Orders'!$AL$11:$AL$1010,$B550)))</f>
        <v/>
      </c>
      <c r="O550" s="43">
        <f>IF($B550="","",IF(INDEX('Work Orders'!$N$11:$N$1010,$B550)="","",INDEX('Work Orders'!$N$11:$N$1010,$B550)))</f>
        <v/>
      </c>
    </row>
    <row r="551">
      <c r="A551" s="68" t="n">
        <v>545</v>
      </c>
      <c r="B551">
        <f>IFERROR(MATCH(A551,'Work Orders'!$AO$11:$AO$1010,0),"")</f>
        <v/>
      </c>
      <c r="C551" s="43">
        <f>IF($B551="","",IF(INDEX('Work Orders'!$A$11:$A$1010,$B551)="","",INDEX('Work Orders'!$A$11:$A$1010,$B551)))</f>
        <v/>
      </c>
      <c r="D551" s="43">
        <f>IF($B551="","",IF(INDEX('Work Orders'!$B$11:$B$1010,$B551)="","",INDEX('Work Orders'!$B$11:$B$1010,$B551)))</f>
        <v/>
      </c>
      <c r="E551" s="43">
        <f>IF($B551="","",IF(INDEX('Work Orders'!$D$11:$D$1010,$B551)="","",INDEX('Work Orders'!$D$11:$D$1010,$B551)))</f>
        <v/>
      </c>
      <c r="F551" s="43">
        <f>IF($B551="","",IF(INDEX('Work Orders'!$Q$11:$Q$1010,$B551)="","",INDEX('Work Orders'!$Q$11:$Q$1010,$B551)))</f>
        <v/>
      </c>
      <c r="G551" s="43">
        <f>IF($B551="","",IF(INDEX('Work Orders'!$V$11:$V$1010,$B551)="","",INDEX('Work Orders'!$V$11:$V$1010,$B551)))</f>
        <v/>
      </c>
      <c r="H551" s="47">
        <f>IF($B551="","",IF(INDEX('Work Orders'!$U$11:$U$1010,$B551)="","",INDEX('Work Orders'!$U$11:$U$1010,$B551)))</f>
        <v/>
      </c>
      <c r="I551" s="47">
        <f>IF($B551="","",IF(INDEX('Work Orders'!$X$11:$X$1010,$B551)="","",INDEX('Work Orders'!$X$11:$X$1010,$B551)))</f>
        <v/>
      </c>
      <c r="J551" s="44">
        <f>IF($B551="","",IF(INDEX('Work Orders'!$Z$11:$Z$1010,$B551)="","",INDEX('Work Orders'!$Z$11:$Z$1010,$B551)))</f>
        <v/>
      </c>
      <c r="K551" s="44">
        <f>IF($B551="","",IF(INDEX('Work Orders'!$AG$11:$AG$1010,$B551)="","",INDEX('Work Orders'!$AG$11:$AG$1010,$B551)))</f>
        <v/>
      </c>
      <c r="L551" s="44">
        <f>IF($B551="","",IF(INDEX('Work Orders'!$AH$11:$AH$1010,$B551)="","",INDEX('Work Orders'!$AH$11:$AH$1010,$B551)))</f>
        <v/>
      </c>
      <c r="M551" s="46">
        <f>IF($B551="","",IF(INDEX('Work Orders'!$AM$11:$AM$1010,$B551)="","",INDEX('Work Orders'!$AM$11:$AM$1010,$B551)))</f>
        <v/>
      </c>
      <c r="N551" s="43">
        <f>IF($B551="","",IF(INDEX('Work Orders'!$AL$11:$AL$1010,$B551)="","",INDEX('Work Orders'!$AL$11:$AL$1010,$B551)))</f>
        <v/>
      </c>
      <c r="O551" s="43">
        <f>IF($B551="","",IF(INDEX('Work Orders'!$N$11:$N$1010,$B551)="","",INDEX('Work Orders'!$N$11:$N$1010,$B551)))</f>
        <v/>
      </c>
    </row>
    <row r="552">
      <c r="A552" s="68" t="n">
        <v>546</v>
      </c>
      <c r="B552">
        <f>IFERROR(MATCH(A552,'Work Orders'!$AO$11:$AO$1010,0),"")</f>
        <v/>
      </c>
      <c r="C552" s="43">
        <f>IF($B552="","",IF(INDEX('Work Orders'!$A$11:$A$1010,$B552)="","",INDEX('Work Orders'!$A$11:$A$1010,$B552)))</f>
        <v/>
      </c>
      <c r="D552" s="43">
        <f>IF($B552="","",IF(INDEX('Work Orders'!$B$11:$B$1010,$B552)="","",INDEX('Work Orders'!$B$11:$B$1010,$B552)))</f>
        <v/>
      </c>
      <c r="E552" s="43">
        <f>IF($B552="","",IF(INDEX('Work Orders'!$D$11:$D$1010,$B552)="","",INDEX('Work Orders'!$D$11:$D$1010,$B552)))</f>
        <v/>
      </c>
      <c r="F552" s="43">
        <f>IF($B552="","",IF(INDEX('Work Orders'!$Q$11:$Q$1010,$B552)="","",INDEX('Work Orders'!$Q$11:$Q$1010,$B552)))</f>
        <v/>
      </c>
      <c r="G552" s="43">
        <f>IF($B552="","",IF(INDEX('Work Orders'!$V$11:$V$1010,$B552)="","",INDEX('Work Orders'!$V$11:$V$1010,$B552)))</f>
        <v/>
      </c>
      <c r="H552" s="47">
        <f>IF($B552="","",IF(INDEX('Work Orders'!$U$11:$U$1010,$B552)="","",INDEX('Work Orders'!$U$11:$U$1010,$B552)))</f>
        <v/>
      </c>
      <c r="I552" s="47">
        <f>IF($B552="","",IF(INDEX('Work Orders'!$X$11:$X$1010,$B552)="","",INDEX('Work Orders'!$X$11:$X$1010,$B552)))</f>
        <v/>
      </c>
      <c r="J552" s="44">
        <f>IF($B552="","",IF(INDEX('Work Orders'!$Z$11:$Z$1010,$B552)="","",INDEX('Work Orders'!$Z$11:$Z$1010,$B552)))</f>
        <v/>
      </c>
      <c r="K552" s="44">
        <f>IF($B552="","",IF(INDEX('Work Orders'!$AG$11:$AG$1010,$B552)="","",INDEX('Work Orders'!$AG$11:$AG$1010,$B552)))</f>
        <v/>
      </c>
      <c r="L552" s="44">
        <f>IF($B552="","",IF(INDEX('Work Orders'!$AH$11:$AH$1010,$B552)="","",INDEX('Work Orders'!$AH$11:$AH$1010,$B552)))</f>
        <v/>
      </c>
      <c r="M552" s="46">
        <f>IF($B552="","",IF(INDEX('Work Orders'!$AM$11:$AM$1010,$B552)="","",INDEX('Work Orders'!$AM$11:$AM$1010,$B552)))</f>
        <v/>
      </c>
      <c r="N552" s="43">
        <f>IF($B552="","",IF(INDEX('Work Orders'!$AL$11:$AL$1010,$B552)="","",INDEX('Work Orders'!$AL$11:$AL$1010,$B552)))</f>
        <v/>
      </c>
      <c r="O552" s="43">
        <f>IF($B552="","",IF(INDEX('Work Orders'!$N$11:$N$1010,$B552)="","",INDEX('Work Orders'!$N$11:$N$1010,$B552)))</f>
        <v/>
      </c>
    </row>
    <row r="553">
      <c r="A553" s="68" t="n">
        <v>547</v>
      </c>
      <c r="B553">
        <f>IFERROR(MATCH(A553,'Work Orders'!$AO$11:$AO$1010,0),"")</f>
        <v/>
      </c>
      <c r="C553" s="43">
        <f>IF($B553="","",IF(INDEX('Work Orders'!$A$11:$A$1010,$B553)="","",INDEX('Work Orders'!$A$11:$A$1010,$B553)))</f>
        <v/>
      </c>
      <c r="D553" s="43">
        <f>IF($B553="","",IF(INDEX('Work Orders'!$B$11:$B$1010,$B553)="","",INDEX('Work Orders'!$B$11:$B$1010,$B553)))</f>
        <v/>
      </c>
      <c r="E553" s="43">
        <f>IF($B553="","",IF(INDEX('Work Orders'!$D$11:$D$1010,$B553)="","",INDEX('Work Orders'!$D$11:$D$1010,$B553)))</f>
        <v/>
      </c>
      <c r="F553" s="43">
        <f>IF($B553="","",IF(INDEX('Work Orders'!$Q$11:$Q$1010,$B553)="","",INDEX('Work Orders'!$Q$11:$Q$1010,$B553)))</f>
        <v/>
      </c>
      <c r="G553" s="43">
        <f>IF($B553="","",IF(INDEX('Work Orders'!$V$11:$V$1010,$B553)="","",INDEX('Work Orders'!$V$11:$V$1010,$B553)))</f>
        <v/>
      </c>
      <c r="H553" s="47">
        <f>IF($B553="","",IF(INDEX('Work Orders'!$U$11:$U$1010,$B553)="","",INDEX('Work Orders'!$U$11:$U$1010,$B553)))</f>
        <v/>
      </c>
      <c r="I553" s="47">
        <f>IF($B553="","",IF(INDEX('Work Orders'!$X$11:$X$1010,$B553)="","",INDEX('Work Orders'!$X$11:$X$1010,$B553)))</f>
        <v/>
      </c>
      <c r="J553" s="44">
        <f>IF($B553="","",IF(INDEX('Work Orders'!$Z$11:$Z$1010,$B553)="","",INDEX('Work Orders'!$Z$11:$Z$1010,$B553)))</f>
        <v/>
      </c>
      <c r="K553" s="44">
        <f>IF($B553="","",IF(INDEX('Work Orders'!$AG$11:$AG$1010,$B553)="","",INDEX('Work Orders'!$AG$11:$AG$1010,$B553)))</f>
        <v/>
      </c>
      <c r="L553" s="44">
        <f>IF($B553="","",IF(INDEX('Work Orders'!$AH$11:$AH$1010,$B553)="","",INDEX('Work Orders'!$AH$11:$AH$1010,$B553)))</f>
        <v/>
      </c>
      <c r="M553" s="46">
        <f>IF($B553="","",IF(INDEX('Work Orders'!$AM$11:$AM$1010,$B553)="","",INDEX('Work Orders'!$AM$11:$AM$1010,$B553)))</f>
        <v/>
      </c>
      <c r="N553" s="43">
        <f>IF($B553="","",IF(INDEX('Work Orders'!$AL$11:$AL$1010,$B553)="","",INDEX('Work Orders'!$AL$11:$AL$1010,$B553)))</f>
        <v/>
      </c>
      <c r="O553" s="43">
        <f>IF($B553="","",IF(INDEX('Work Orders'!$N$11:$N$1010,$B553)="","",INDEX('Work Orders'!$N$11:$N$1010,$B553)))</f>
        <v/>
      </c>
    </row>
    <row r="554">
      <c r="A554" s="68" t="n">
        <v>548</v>
      </c>
      <c r="B554">
        <f>IFERROR(MATCH(A554,'Work Orders'!$AO$11:$AO$1010,0),"")</f>
        <v/>
      </c>
      <c r="C554" s="43">
        <f>IF($B554="","",IF(INDEX('Work Orders'!$A$11:$A$1010,$B554)="","",INDEX('Work Orders'!$A$11:$A$1010,$B554)))</f>
        <v/>
      </c>
      <c r="D554" s="43">
        <f>IF($B554="","",IF(INDEX('Work Orders'!$B$11:$B$1010,$B554)="","",INDEX('Work Orders'!$B$11:$B$1010,$B554)))</f>
        <v/>
      </c>
      <c r="E554" s="43">
        <f>IF($B554="","",IF(INDEX('Work Orders'!$D$11:$D$1010,$B554)="","",INDEX('Work Orders'!$D$11:$D$1010,$B554)))</f>
        <v/>
      </c>
      <c r="F554" s="43">
        <f>IF($B554="","",IF(INDEX('Work Orders'!$Q$11:$Q$1010,$B554)="","",INDEX('Work Orders'!$Q$11:$Q$1010,$B554)))</f>
        <v/>
      </c>
      <c r="G554" s="43">
        <f>IF($B554="","",IF(INDEX('Work Orders'!$V$11:$V$1010,$B554)="","",INDEX('Work Orders'!$V$11:$V$1010,$B554)))</f>
        <v/>
      </c>
      <c r="H554" s="47">
        <f>IF($B554="","",IF(INDEX('Work Orders'!$U$11:$U$1010,$B554)="","",INDEX('Work Orders'!$U$11:$U$1010,$B554)))</f>
        <v/>
      </c>
      <c r="I554" s="47">
        <f>IF($B554="","",IF(INDEX('Work Orders'!$X$11:$X$1010,$B554)="","",INDEX('Work Orders'!$X$11:$X$1010,$B554)))</f>
        <v/>
      </c>
      <c r="J554" s="44">
        <f>IF($B554="","",IF(INDEX('Work Orders'!$Z$11:$Z$1010,$B554)="","",INDEX('Work Orders'!$Z$11:$Z$1010,$B554)))</f>
        <v/>
      </c>
      <c r="K554" s="44">
        <f>IF($B554="","",IF(INDEX('Work Orders'!$AG$11:$AG$1010,$B554)="","",INDEX('Work Orders'!$AG$11:$AG$1010,$B554)))</f>
        <v/>
      </c>
      <c r="L554" s="44">
        <f>IF($B554="","",IF(INDEX('Work Orders'!$AH$11:$AH$1010,$B554)="","",INDEX('Work Orders'!$AH$11:$AH$1010,$B554)))</f>
        <v/>
      </c>
      <c r="M554" s="46">
        <f>IF($B554="","",IF(INDEX('Work Orders'!$AM$11:$AM$1010,$B554)="","",INDEX('Work Orders'!$AM$11:$AM$1010,$B554)))</f>
        <v/>
      </c>
      <c r="N554" s="43">
        <f>IF($B554="","",IF(INDEX('Work Orders'!$AL$11:$AL$1010,$B554)="","",INDEX('Work Orders'!$AL$11:$AL$1010,$B554)))</f>
        <v/>
      </c>
      <c r="O554" s="43">
        <f>IF($B554="","",IF(INDEX('Work Orders'!$N$11:$N$1010,$B554)="","",INDEX('Work Orders'!$N$11:$N$1010,$B554)))</f>
        <v/>
      </c>
    </row>
    <row r="555">
      <c r="A555" s="68" t="n">
        <v>549</v>
      </c>
      <c r="B555">
        <f>IFERROR(MATCH(A555,'Work Orders'!$AO$11:$AO$1010,0),"")</f>
        <v/>
      </c>
      <c r="C555" s="43">
        <f>IF($B555="","",IF(INDEX('Work Orders'!$A$11:$A$1010,$B555)="","",INDEX('Work Orders'!$A$11:$A$1010,$B555)))</f>
        <v/>
      </c>
      <c r="D555" s="43">
        <f>IF($B555="","",IF(INDEX('Work Orders'!$B$11:$B$1010,$B555)="","",INDEX('Work Orders'!$B$11:$B$1010,$B555)))</f>
        <v/>
      </c>
      <c r="E555" s="43">
        <f>IF($B555="","",IF(INDEX('Work Orders'!$D$11:$D$1010,$B555)="","",INDEX('Work Orders'!$D$11:$D$1010,$B555)))</f>
        <v/>
      </c>
      <c r="F555" s="43">
        <f>IF($B555="","",IF(INDEX('Work Orders'!$Q$11:$Q$1010,$B555)="","",INDEX('Work Orders'!$Q$11:$Q$1010,$B555)))</f>
        <v/>
      </c>
      <c r="G555" s="43">
        <f>IF($B555="","",IF(INDEX('Work Orders'!$V$11:$V$1010,$B555)="","",INDEX('Work Orders'!$V$11:$V$1010,$B555)))</f>
        <v/>
      </c>
      <c r="H555" s="47">
        <f>IF($B555="","",IF(INDEX('Work Orders'!$U$11:$U$1010,$B555)="","",INDEX('Work Orders'!$U$11:$U$1010,$B555)))</f>
        <v/>
      </c>
      <c r="I555" s="47">
        <f>IF($B555="","",IF(INDEX('Work Orders'!$X$11:$X$1010,$B555)="","",INDEX('Work Orders'!$X$11:$X$1010,$B555)))</f>
        <v/>
      </c>
      <c r="J555" s="44">
        <f>IF($B555="","",IF(INDEX('Work Orders'!$Z$11:$Z$1010,$B555)="","",INDEX('Work Orders'!$Z$11:$Z$1010,$B555)))</f>
        <v/>
      </c>
      <c r="K555" s="44">
        <f>IF($B555="","",IF(INDEX('Work Orders'!$AG$11:$AG$1010,$B555)="","",INDEX('Work Orders'!$AG$11:$AG$1010,$B555)))</f>
        <v/>
      </c>
      <c r="L555" s="44">
        <f>IF($B555="","",IF(INDEX('Work Orders'!$AH$11:$AH$1010,$B555)="","",INDEX('Work Orders'!$AH$11:$AH$1010,$B555)))</f>
        <v/>
      </c>
      <c r="M555" s="46">
        <f>IF($B555="","",IF(INDEX('Work Orders'!$AM$11:$AM$1010,$B555)="","",INDEX('Work Orders'!$AM$11:$AM$1010,$B555)))</f>
        <v/>
      </c>
      <c r="N555" s="43">
        <f>IF($B555="","",IF(INDEX('Work Orders'!$AL$11:$AL$1010,$B555)="","",INDEX('Work Orders'!$AL$11:$AL$1010,$B555)))</f>
        <v/>
      </c>
      <c r="O555" s="43">
        <f>IF($B555="","",IF(INDEX('Work Orders'!$N$11:$N$1010,$B555)="","",INDEX('Work Orders'!$N$11:$N$1010,$B555)))</f>
        <v/>
      </c>
    </row>
    <row r="556">
      <c r="A556" s="68" t="n">
        <v>550</v>
      </c>
      <c r="B556">
        <f>IFERROR(MATCH(A556,'Work Orders'!$AO$11:$AO$1010,0),"")</f>
        <v/>
      </c>
      <c r="C556" s="43">
        <f>IF($B556="","",IF(INDEX('Work Orders'!$A$11:$A$1010,$B556)="","",INDEX('Work Orders'!$A$11:$A$1010,$B556)))</f>
        <v/>
      </c>
      <c r="D556" s="43">
        <f>IF($B556="","",IF(INDEX('Work Orders'!$B$11:$B$1010,$B556)="","",INDEX('Work Orders'!$B$11:$B$1010,$B556)))</f>
        <v/>
      </c>
      <c r="E556" s="43">
        <f>IF($B556="","",IF(INDEX('Work Orders'!$D$11:$D$1010,$B556)="","",INDEX('Work Orders'!$D$11:$D$1010,$B556)))</f>
        <v/>
      </c>
      <c r="F556" s="43">
        <f>IF($B556="","",IF(INDEX('Work Orders'!$Q$11:$Q$1010,$B556)="","",INDEX('Work Orders'!$Q$11:$Q$1010,$B556)))</f>
        <v/>
      </c>
      <c r="G556" s="43">
        <f>IF($B556="","",IF(INDEX('Work Orders'!$V$11:$V$1010,$B556)="","",INDEX('Work Orders'!$V$11:$V$1010,$B556)))</f>
        <v/>
      </c>
      <c r="H556" s="47">
        <f>IF($B556="","",IF(INDEX('Work Orders'!$U$11:$U$1010,$B556)="","",INDEX('Work Orders'!$U$11:$U$1010,$B556)))</f>
        <v/>
      </c>
      <c r="I556" s="47">
        <f>IF($B556="","",IF(INDEX('Work Orders'!$X$11:$X$1010,$B556)="","",INDEX('Work Orders'!$X$11:$X$1010,$B556)))</f>
        <v/>
      </c>
      <c r="J556" s="44">
        <f>IF($B556="","",IF(INDEX('Work Orders'!$Z$11:$Z$1010,$B556)="","",INDEX('Work Orders'!$Z$11:$Z$1010,$B556)))</f>
        <v/>
      </c>
      <c r="K556" s="44">
        <f>IF($B556="","",IF(INDEX('Work Orders'!$AG$11:$AG$1010,$B556)="","",INDEX('Work Orders'!$AG$11:$AG$1010,$B556)))</f>
        <v/>
      </c>
      <c r="L556" s="44">
        <f>IF($B556="","",IF(INDEX('Work Orders'!$AH$11:$AH$1010,$B556)="","",INDEX('Work Orders'!$AH$11:$AH$1010,$B556)))</f>
        <v/>
      </c>
      <c r="M556" s="46">
        <f>IF($B556="","",IF(INDEX('Work Orders'!$AM$11:$AM$1010,$B556)="","",INDEX('Work Orders'!$AM$11:$AM$1010,$B556)))</f>
        <v/>
      </c>
      <c r="N556" s="43">
        <f>IF($B556="","",IF(INDEX('Work Orders'!$AL$11:$AL$1010,$B556)="","",INDEX('Work Orders'!$AL$11:$AL$1010,$B556)))</f>
        <v/>
      </c>
      <c r="O556" s="43">
        <f>IF($B556="","",IF(INDEX('Work Orders'!$N$11:$N$1010,$B556)="","",INDEX('Work Orders'!$N$11:$N$1010,$B556)))</f>
        <v/>
      </c>
    </row>
    <row r="557">
      <c r="A557" s="68" t="n">
        <v>551</v>
      </c>
      <c r="B557">
        <f>IFERROR(MATCH(A557,'Work Orders'!$AO$11:$AO$1010,0),"")</f>
        <v/>
      </c>
      <c r="C557" s="43">
        <f>IF($B557="","",IF(INDEX('Work Orders'!$A$11:$A$1010,$B557)="","",INDEX('Work Orders'!$A$11:$A$1010,$B557)))</f>
        <v/>
      </c>
      <c r="D557" s="43">
        <f>IF($B557="","",IF(INDEX('Work Orders'!$B$11:$B$1010,$B557)="","",INDEX('Work Orders'!$B$11:$B$1010,$B557)))</f>
        <v/>
      </c>
      <c r="E557" s="43">
        <f>IF($B557="","",IF(INDEX('Work Orders'!$D$11:$D$1010,$B557)="","",INDEX('Work Orders'!$D$11:$D$1010,$B557)))</f>
        <v/>
      </c>
      <c r="F557" s="43">
        <f>IF($B557="","",IF(INDEX('Work Orders'!$Q$11:$Q$1010,$B557)="","",INDEX('Work Orders'!$Q$11:$Q$1010,$B557)))</f>
        <v/>
      </c>
      <c r="G557" s="43">
        <f>IF($B557="","",IF(INDEX('Work Orders'!$V$11:$V$1010,$B557)="","",INDEX('Work Orders'!$V$11:$V$1010,$B557)))</f>
        <v/>
      </c>
      <c r="H557" s="47">
        <f>IF($B557="","",IF(INDEX('Work Orders'!$U$11:$U$1010,$B557)="","",INDEX('Work Orders'!$U$11:$U$1010,$B557)))</f>
        <v/>
      </c>
      <c r="I557" s="47">
        <f>IF($B557="","",IF(INDEX('Work Orders'!$X$11:$X$1010,$B557)="","",INDEX('Work Orders'!$X$11:$X$1010,$B557)))</f>
        <v/>
      </c>
      <c r="J557" s="44">
        <f>IF($B557="","",IF(INDEX('Work Orders'!$Z$11:$Z$1010,$B557)="","",INDEX('Work Orders'!$Z$11:$Z$1010,$B557)))</f>
        <v/>
      </c>
      <c r="K557" s="44">
        <f>IF($B557="","",IF(INDEX('Work Orders'!$AG$11:$AG$1010,$B557)="","",INDEX('Work Orders'!$AG$11:$AG$1010,$B557)))</f>
        <v/>
      </c>
      <c r="L557" s="44">
        <f>IF($B557="","",IF(INDEX('Work Orders'!$AH$11:$AH$1010,$B557)="","",INDEX('Work Orders'!$AH$11:$AH$1010,$B557)))</f>
        <v/>
      </c>
      <c r="M557" s="46">
        <f>IF($B557="","",IF(INDEX('Work Orders'!$AM$11:$AM$1010,$B557)="","",INDEX('Work Orders'!$AM$11:$AM$1010,$B557)))</f>
        <v/>
      </c>
      <c r="N557" s="43">
        <f>IF($B557="","",IF(INDEX('Work Orders'!$AL$11:$AL$1010,$B557)="","",INDEX('Work Orders'!$AL$11:$AL$1010,$B557)))</f>
        <v/>
      </c>
      <c r="O557" s="43">
        <f>IF($B557="","",IF(INDEX('Work Orders'!$N$11:$N$1010,$B557)="","",INDEX('Work Orders'!$N$11:$N$1010,$B557)))</f>
        <v/>
      </c>
    </row>
    <row r="558">
      <c r="A558" s="68" t="n">
        <v>552</v>
      </c>
      <c r="B558">
        <f>IFERROR(MATCH(A558,'Work Orders'!$AO$11:$AO$1010,0),"")</f>
        <v/>
      </c>
      <c r="C558" s="43">
        <f>IF($B558="","",IF(INDEX('Work Orders'!$A$11:$A$1010,$B558)="","",INDEX('Work Orders'!$A$11:$A$1010,$B558)))</f>
        <v/>
      </c>
      <c r="D558" s="43">
        <f>IF($B558="","",IF(INDEX('Work Orders'!$B$11:$B$1010,$B558)="","",INDEX('Work Orders'!$B$11:$B$1010,$B558)))</f>
        <v/>
      </c>
      <c r="E558" s="43">
        <f>IF($B558="","",IF(INDEX('Work Orders'!$D$11:$D$1010,$B558)="","",INDEX('Work Orders'!$D$11:$D$1010,$B558)))</f>
        <v/>
      </c>
      <c r="F558" s="43">
        <f>IF($B558="","",IF(INDEX('Work Orders'!$Q$11:$Q$1010,$B558)="","",INDEX('Work Orders'!$Q$11:$Q$1010,$B558)))</f>
        <v/>
      </c>
      <c r="G558" s="43">
        <f>IF($B558="","",IF(INDEX('Work Orders'!$V$11:$V$1010,$B558)="","",INDEX('Work Orders'!$V$11:$V$1010,$B558)))</f>
        <v/>
      </c>
      <c r="H558" s="47">
        <f>IF($B558="","",IF(INDEX('Work Orders'!$U$11:$U$1010,$B558)="","",INDEX('Work Orders'!$U$11:$U$1010,$B558)))</f>
        <v/>
      </c>
      <c r="I558" s="47">
        <f>IF($B558="","",IF(INDEX('Work Orders'!$X$11:$X$1010,$B558)="","",INDEX('Work Orders'!$X$11:$X$1010,$B558)))</f>
        <v/>
      </c>
      <c r="J558" s="44">
        <f>IF($B558="","",IF(INDEX('Work Orders'!$Z$11:$Z$1010,$B558)="","",INDEX('Work Orders'!$Z$11:$Z$1010,$B558)))</f>
        <v/>
      </c>
      <c r="K558" s="44">
        <f>IF($B558="","",IF(INDEX('Work Orders'!$AG$11:$AG$1010,$B558)="","",INDEX('Work Orders'!$AG$11:$AG$1010,$B558)))</f>
        <v/>
      </c>
      <c r="L558" s="44">
        <f>IF($B558="","",IF(INDEX('Work Orders'!$AH$11:$AH$1010,$B558)="","",INDEX('Work Orders'!$AH$11:$AH$1010,$B558)))</f>
        <v/>
      </c>
      <c r="M558" s="46">
        <f>IF($B558="","",IF(INDEX('Work Orders'!$AM$11:$AM$1010,$B558)="","",INDEX('Work Orders'!$AM$11:$AM$1010,$B558)))</f>
        <v/>
      </c>
      <c r="N558" s="43">
        <f>IF($B558="","",IF(INDEX('Work Orders'!$AL$11:$AL$1010,$B558)="","",INDEX('Work Orders'!$AL$11:$AL$1010,$B558)))</f>
        <v/>
      </c>
      <c r="O558" s="43">
        <f>IF($B558="","",IF(INDEX('Work Orders'!$N$11:$N$1010,$B558)="","",INDEX('Work Orders'!$N$11:$N$1010,$B558)))</f>
        <v/>
      </c>
    </row>
    <row r="559">
      <c r="A559" s="68" t="n">
        <v>553</v>
      </c>
      <c r="B559">
        <f>IFERROR(MATCH(A559,'Work Orders'!$AO$11:$AO$1010,0),"")</f>
        <v/>
      </c>
      <c r="C559" s="43">
        <f>IF($B559="","",IF(INDEX('Work Orders'!$A$11:$A$1010,$B559)="","",INDEX('Work Orders'!$A$11:$A$1010,$B559)))</f>
        <v/>
      </c>
      <c r="D559" s="43">
        <f>IF($B559="","",IF(INDEX('Work Orders'!$B$11:$B$1010,$B559)="","",INDEX('Work Orders'!$B$11:$B$1010,$B559)))</f>
        <v/>
      </c>
      <c r="E559" s="43">
        <f>IF($B559="","",IF(INDEX('Work Orders'!$D$11:$D$1010,$B559)="","",INDEX('Work Orders'!$D$11:$D$1010,$B559)))</f>
        <v/>
      </c>
      <c r="F559" s="43">
        <f>IF($B559="","",IF(INDEX('Work Orders'!$Q$11:$Q$1010,$B559)="","",INDEX('Work Orders'!$Q$11:$Q$1010,$B559)))</f>
        <v/>
      </c>
      <c r="G559" s="43">
        <f>IF($B559="","",IF(INDEX('Work Orders'!$V$11:$V$1010,$B559)="","",INDEX('Work Orders'!$V$11:$V$1010,$B559)))</f>
        <v/>
      </c>
      <c r="H559" s="47">
        <f>IF($B559="","",IF(INDEX('Work Orders'!$U$11:$U$1010,$B559)="","",INDEX('Work Orders'!$U$11:$U$1010,$B559)))</f>
        <v/>
      </c>
      <c r="I559" s="47">
        <f>IF($B559="","",IF(INDEX('Work Orders'!$X$11:$X$1010,$B559)="","",INDEX('Work Orders'!$X$11:$X$1010,$B559)))</f>
        <v/>
      </c>
      <c r="J559" s="44">
        <f>IF($B559="","",IF(INDEX('Work Orders'!$Z$11:$Z$1010,$B559)="","",INDEX('Work Orders'!$Z$11:$Z$1010,$B559)))</f>
        <v/>
      </c>
      <c r="K559" s="44">
        <f>IF($B559="","",IF(INDEX('Work Orders'!$AG$11:$AG$1010,$B559)="","",INDEX('Work Orders'!$AG$11:$AG$1010,$B559)))</f>
        <v/>
      </c>
      <c r="L559" s="44">
        <f>IF($B559="","",IF(INDEX('Work Orders'!$AH$11:$AH$1010,$B559)="","",INDEX('Work Orders'!$AH$11:$AH$1010,$B559)))</f>
        <v/>
      </c>
      <c r="M559" s="46">
        <f>IF($B559="","",IF(INDEX('Work Orders'!$AM$11:$AM$1010,$B559)="","",INDEX('Work Orders'!$AM$11:$AM$1010,$B559)))</f>
        <v/>
      </c>
      <c r="N559" s="43">
        <f>IF($B559="","",IF(INDEX('Work Orders'!$AL$11:$AL$1010,$B559)="","",INDEX('Work Orders'!$AL$11:$AL$1010,$B559)))</f>
        <v/>
      </c>
      <c r="O559" s="43">
        <f>IF($B559="","",IF(INDEX('Work Orders'!$N$11:$N$1010,$B559)="","",INDEX('Work Orders'!$N$11:$N$1010,$B559)))</f>
        <v/>
      </c>
    </row>
    <row r="560">
      <c r="A560" s="68" t="n">
        <v>554</v>
      </c>
      <c r="B560">
        <f>IFERROR(MATCH(A560,'Work Orders'!$AO$11:$AO$1010,0),"")</f>
        <v/>
      </c>
      <c r="C560" s="43">
        <f>IF($B560="","",IF(INDEX('Work Orders'!$A$11:$A$1010,$B560)="","",INDEX('Work Orders'!$A$11:$A$1010,$B560)))</f>
        <v/>
      </c>
      <c r="D560" s="43">
        <f>IF($B560="","",IF(INDEX('Work Orders'!$B$11:$B$1010,$B560)="","",INDEX('Work Orders'!$B$11:$B$1010,$B560)))</f>
        <v/>
      </c>
      <c r="E560" s="43">
        <f>IF($B560="","",IF(INDEX('Work Orders'!$D$11:$D$1010,$B560)="","",INDEX('Work Orders'!$D$11:$D$1010,$B560)))</f>
        <v/>
      </c>
      <c r="F560" s="43">
        <f>IF($B560="","",IF(INDEX('Work Orders'!$Q$11:$Q$1010,$B560)="","",INDEX('Work Orders'!$Q$11:$Q$1010,$B560)))</f>
        <v/>
      </c>
      <c r="G560" s="43">
        <f>IF($B560="","",IF(INDEX('Work Orders'!$V$11:$V$1010,$B560)="","",INDEX('Work Orders'!$V$11:$V$1010,$B560)))</f>
        <v/>
      </c>
      <c r="H560" s="47">
        <f>IF($B560="","",IF(INDEX('Work Orders'!$U$11:$U$1010,$B560)="","",INDEX('Work Orders'!$U$11:$U$1010,$B560)))</f>
        <v/>
      </c>
      <c r="I560" s="47">
        <f>IF($B560="","",IF(INDEX('Work Orders'!$X$11:$X$1010,$B560)="","",INDEX('Work Orders'!$X$11:$X$1010,$B560)))</f>
        <v/>
      </c>
      <c r="J560" s="44">
        <f>IF($B560="","",IF(INDEX('Work Orders'!$Z$11:$Z$1010,$B560)="","",INDEX('Work Orders'!$Z$11:$Z$1010,$B560)))</f>
        <v/>
      </c>
      <c r="K560" s="44">
        <f>IF($B560="","",IF(INDEX('Work Orders'!$AG$11:$AG$1010,$B560)="","",INDEX('Work Orders'!$AG$11:$AG$1010,$B560)))</f>
        <v/>
      </c>
      <c r="L560" s="44">
        <f>IF($B560="","",IF(INDEX('Work Orders'!$AH$11:$AH$1010,$B560)="","",INDEX('Work Orders'!$AH$11:$AH$1010,$B560)))</f>
        <v/>
      </c>
      <c r="M560" s="46">
        <f>IF($B560="","",IF(INDEX('Work Orders'!$AM$11:$AM$1010,$B560)="","",INDEX('Work Orders'!$AM$11:$AM$1010,$B560)))</f>
        <v/>
      </c>
      <c r="N560" s="43">
        <f>IF($B560="","",IF(INDEX('Work Orders'!$AL$11:$AL$1010,$B560)="","",INDEX('Work Orders'!$AL$11:$AL$1010,$B560)))</f>
        <v/>
      </c>
      <c r="O560" s="43">
        <f>IF($B560="","",IF(INDEX('Work Orders'!$N$11:$N$1010,$B560)="","",INDEX('Work Orders'!$N$11:$N$1010,$B560)))</f>
        <v/>
      </c>
    </row>
    <row r="561">
      <c r="A561" s="68" t="n">
        <v>555</v>
      </c>
      <c r="B561">
        <f>IFERROR(MATCH(A561,'Work Orders'!$AO$11:$AO$1010,0),"")</f>
        <v/>
      </c>
      <c r="C561" s="43">
        <f>IF($B561="","",IF(INDEX('Work Orders'!$A$11:$A$1010,$B561)="","",INDEX('Work Orders'!$A$11:$A$1010,$B561)))</f>
        <v/>
      </c>
      <c r="D561" s="43">
        <f>IF($B561="","",IF(INDEX('Work Orders'!$B$11:$B$1010,$B561)="","",INDEX('Work Orders'!$B$11:$B$1010,$B561)))</f>
        <v/>
      </c>
      <c r="E561" s="43">
        <f>IF($B561="","",IF(INDEX('Work Orders'!$D$11:$D$1010,$B561)="","",INDEX('Work Orders'!$D$11:$D$1010,$B561)))</f>
        <v/>
      </c>
      <c r="F561" s="43">
        <f>IF($B561="","",IF(INDEX('Work Orders'!$Q$11:$Q$1010,$B561)="","",INDEX('Work Orders'!$Q$11:$Q$1010,$B561)))</f>
        <v/>
      </c>
      <c r="G561" s="43">
        <f>IF($B561="","",IF(INDEX('Work Orders'!$V$11:$V$1010,$B561)="","",INDEX('Work Orders'!$V$11:$V$1010,$B561)))</f>
        <v/>
      </c>
      <c r="H561" s="47">
        <f>IF($B561="","",IF(INDEX('Work Orders'!$U$11:$U$1010,$B561)="","",INDEX('Work Orders'!$U$11:$U$1010,$B561)))</f>
        <v/>
      </c>
      <c r="I561" s="47">
        <f>IF($B561="","",IF(INDEX('Work Orders'!$X$11:$X$1010,$B561)="","",INDEX('Work Orders'!$X$11:$X$1010,$B561)))</f>
        <v/>
      </c>
      <c r="J561" s="44">
        <f>IF($B561="","",IF(INDEX('Work Orders'!$Z$11:$Z$1010,$B561)="","",INDEX('Work Orders'!$Z$11:$Z$1010,$B561)))</f>
        <v/>
      </c>
      <c r="K561" s="44">
        <f>IF($B561="","",IF(INDEX('Work Orders'!$AG$11:$AG$1010,$B561)="","",INDEX('Work Orders'!$AG$11:$AG$1010,$B561)))</f>
        <v/>
      </c>
      <c r="L561" s="44">
        <f>IF($B561="","",IF(INDEX('Work Orders'!$AH$11:$AH$1010,$B561)="","",INDEX('Work Orders'!$AH$11:$AH$1010,$B561)))</f>
        <v/>
      </c>
      <c r="M561" s="46">
        <f>IF($B561="","",IF(INDEX('Work Orders'!$AM$11:$AM$1010,$B561)="","",INDEX('Work Orders'!$AM$11:$AM$1010,$B561)))</f>
        <v/>
      </c>
      <c r="N561" s="43">
        <f>IF($B561="","",IF(INDEX('Work Orders'!$AL$11:$AL$1010,$B561)="","",INDEX('Work Orders'!$AL$11:$AL$1010,$B561)))</f>
        <v/>
      </c>
      <c r="O561" s="43">
        <f>IF($B561="","",IF(INDEX('Work Orders'!$N$11:$N$1010,$B561)="","",INDEX('Work Orders'!$N$11:$N$1010,$B561)))</f>
        <v/>
      </c>
    </row>
    <row r="562">
      <c r="A562" s="68" t="n">
        <v>556</v>
      </c>
      <c r="B562">
        <f>IFERROR(MATCH(A562,'Work Orders'!$AO$11:$AO$1010,0),"")</f>
        <v/>
      </c>
      <c r="C562" s="43">
        <f>IF($B562="","",IF(INDEX('Work Orders'!$A$11:$A$1010,$B562)="","",INDEX('Work Orders'!$A$11:$A$1010,$B562)))</f>
        <v/>
      </c>
      <c r="D562" s="43">
        <f>IF($B562="","",IF(INDEX('Work Orders'!$B$11:$B$1010,$B562)="","",INDEX('Work Orders'!$B$11:$B$1010,$B562)))</f>
        <v/>
      </c>
      <c r="E562" s="43">
        <f>IF($B562="","",IF(INDEX('Work Orders'!$D$11:$D$1010,$B562)="","",INDEX('Work Orders'!$D$11:$D$1010,$B562)))</f>
        <v/>
      </c>
      <c r="F562" s="43">
        <f>IF($B562="","",IF(INDEX('Work Orders'!$Q$11:$Q$1010,$B562)="","",INDEX('Work Orders'!$Q$11:$Q$1010,$B562)))</f>
        <v/>
      </c>
      <c r="G562" s="43">
        <f>IF($B562="","",IF(INDEX('Work Orders'!$V$11:$V$1010,$B562)="","",INDEX('Work Orders'!$V$11:$V$1010,$B562)))</f>
        <v/>
      </c>
      <c r="H562" s="47">
        <f>IF($B562="","",IF(INDEX('Work Orders'!$U$11:$U$1010,$B562)="","",INDEX('Work Orders'!$U$11:$U$1010,$B562)))</f>
        <v/>
      </c>
      <c r="I562" s="47">
        <f>IF($B562="","",IF(INDEX('Work Orders'!$X$11:$X$1010,$B562)="","",INDEX('Work Orders'!$X$11:$X$1010,$B562)))</f>
        <v/>
      </c>
      <c r="J562" s="44">
        <f>IF($B562="","",IF(INDEX('Work Orders'!$Z$11:$Z$1010,$B562)="","",INDEX('Work Orders'!$Z$11:$Z$1010,$B562)))</f>
        <v/>
      </c>
      <c r="K562" s="44">
        <f>IF($B562="","",IF(INDEX('Work Orders'!$AG$11:$AG$1010,$B562)="","",INDEX('Work Orders'!$AG$11:$AG$1010,$B562)))</f>
        <v/>
      </c>
      <c r="L562" s="44">
        <f>IF($B562="","",IF(INDEX('Work Orders'!$AH$11:$AH$1010,$B562)="","",INDEX('Work Orders'!$AH$11:$AH$1010,$B562)))</f>
        <v/>
      </c>
      <c r="M562" s="46">
        <f>IF($B562="","",IF(INDEX('Work Orders'!$AM$11:$AM$1010,$B562)="","",INDEX('Work Orders'!$AM$11:$AM$1010,$B562)))</f>
        <v/>
      </c>
      <c r="N562" s="43">
        <f>IF($B562="","",IF(INDEX('Work Orders'!$AL$11:$AL$1010,$B562)="","",INDEX('Work Orders'!$AL$11:$AL$1010,$B562)))</f>
        <v/>
      </c>
      <c r="O562" s="43">
        <f>IF($B562="","",IF(INDEX('Work Orders'!$N$11:$N$1010,$B562)="","",INDEX('Work Orders'!$N$11:$N$1010,$B562)))</f>
        <v/>
      </c>
    </row>
    <row r="563">
      <c r="A563" s="68" t="n">
        <v>557</v>
      </c>
      <c r="B563">
        <f>IFERROR(MATCH(A563,'Work Orders'!$AO$11:$AO$1010,0),"")</f>
        <v/>
      </c>
      <c r="C563" s="43">
        <f>IF($B563="","",IF(INDEX('Work Orders'!$A$11:$A$1010,$B563)="","",INDEX('Work Orders'!$A$11:$A$1010,$B563)))</f>
        <v/>
      </c>
      <c r="D563" s="43">
        <f>IF($B563="","",IF(INDEX('Work Orders'!$B$11:$B$1010,$B563)="","",INDEX('Work Orders'!$B$11:$B$1010,$B563)))</f>
        <v/>
      </c>
      <c r="E563" s="43">
        <f>IF($B563="","",IF(INDEX('Work Orders'!$D$11:$D$1010,$B563)="","",INDEX('Work Orders'!$D$11:$D$1010,$B563)))</f>
        <v/>
      </c>
      <c r="F563" s="43">
        <f>IF($B563="","",IF(INDEX('Work Orders'!$Q$11:$Q$1010,$B563)="","",INDEX('Work Orders'!$Q$11:$Q$1010,$B563)))</f>
        <v/>
      </c>
      <c r="G563" s="43">
        <f>IF($B563="","",IF(INDEX('Work Orders'!$V$11:$V$1010,$B563)="","",INDEX('Work Orders'!$V$11:$V$1010,$B563)))</f>
        <v/>
      </c>
      <c r="H563" s="47">
        <f>IF($B563="","",IF(INDEX('Work Orders'!$U$11:$U$1010,$B563)="","",INDEX('Work Orders'!$U$11:$U$1010,$B563)))</f>
        <v/>
      </c>
      <c r="I563" s="47">
        <f>IF($B563="","",IF(INDEX('Work Orders'!$X$11:$X$1010,$B563)="","",INDEX('Work Orders'!$X$11:$X$1010,$B563)))</f>
        <v/>
      </c>
      <c r="J563" s="44">
        <f>IF($B563="","",IF(INDEX('Work Orders'!$Z$11:$Z$1010,$B563)="","",INDEX('Work Orders'!$Z$11:$Z$1010,$B563)))</f>
        <v/>
      </c>
      <c r="K563" s="44">
        <f>IF($B563="","",IF(INDEX('Work Orders'!$AG$11:$AG$1010,$B563)="","",INDEX('Work Orders'!$AG$11:$AG$1010,$B563)))</f>
        <v/>
      </c>
      <c r="L563" s="44">
        <f>IF($B563="","",IF(INDEX('Work Orders'!$AH$11:$AH$1010,$B563)="","",INDEX('Work Orders'!$AH$11:$AH$1010,$B563)))</f>
        <v/>
      </c>
      <c r="M563" s="46">
        <f>IF($B563="","",IF(INDEX('Work Orders'!$AM$11:$AM$1010,$B563)="","",INDEX('Work Orders'!$AM$11:$AM$1010,$B563)))</f>
        <v/>
      </c>
      <c r="N563" s="43">
        <f>IF($B563="","",IF(INDEX('Work Orders'!$AL$11:$AL$1010,$B563)="","",INDEX('Work Orders'!$AL$11:$AL$1010,$B563)))</f>
        <v/>
      </c>
      <c r="O563" s="43">
        <f>IF($B563="","",IF(INDEX('Work Orders'!$N$11:$N$1010,$B563)="","",INDEX('Work Orders'!$N$11:$N$1010,$B563)))</f>
        <v/>
      </c>
    </row>
    <row r="564">
      <c r="A564" s="68" t="n">
        <v>558</v>
      </c>
      <c r="B564">
        <f>IFERROR(MATCH(A564,'Work Orders'!$AO$11:$AO$1010,0),"")</f>
        <v/>
      </c>
      <c r="C564" s="43">
        <f>IF($B564="","",IF(INDEX('Work Orders'!$A$11:$A$1010,$B564)="","",INDEX('Work Orders'!$A$11:$A$1010,$B564)))</f>
        <v/>
      </c>
      <c r="D564" s="43">
        <f>IF($B564="","",IF(INDEX('Work Orders'!$B$11:$B$1010,$B564)="","",INDEX('Work Orders'!$B$11:$B$1010,$B564)))</f>
        <v/>
      </c>
      <c r="E564" s="43">
        <f>IF($B564="","",IF(INDEX('Work Orders'!$D$11:$D$1010,$B564)="","",INDEX('Work Orders'!$D$11:$D$1010,$B564)))</f>
        <v/>
      </c>
      <c r="F564" s="43">
        <f>IF($B564="","",IF(INDEX('Work Orders'!$Q$11:$Q$1010,$B564)="","",INDEX('Work Orders'!$Q$11:$Q$1010,$B564)))</f>
        <v/>
      </c>
      <c r="G564" s="43">
        <f>IF($B564="","",IF(INDEX('Work Orders'!$V$11:$V$1010,$B564)="","",INDEX('Work Orders'!$V$11:$V$1010,$B564)))</f>
        <v/>
      </c>
      <c r="H564" s="47">
        <f>IF($B564="","",IF(INDEX('Work Orders'!$U$11:$U$1010,$B564)="","",INDEX('Work Orders'!$U$11:$U$1010,$B564)))</f>
        <v/>
      </c>
      <c r="I564" s="47">
        <f>IF($B564="","",IF(INDEX('Work Orders'!$X$11:$X$1010,$B564)="","",INDEX('Work Orders'!$X$11:$X$1010,$B564)))</f>
        <v/>
      </c>
      <c r="J564" s="44">
        <f>IF($B564="","",IF(INDEX('Work Orders'!$Z$11:$Z$1010,$B564)="","",INDEX('Work Orders'!$Z$11:$Z$1010,$B564)))</f>
        <v/>
      </c>
      <c r="K564" s="44">
        <f>IF($B564="","",IF(INDEX('Work Orders'!$AG$11:$AG$1010,$B564)="","",INDEX('Work Orders'!$AG$11:$AG$1010,$B564)))</f>
        <v/>
      </c>
      <c r="L564" s="44">
        <f>IF($B564="","",IF(INDEX('Work Orders'!$AH$11:$AH$1010,$B564)="","",INDEX('Work Orders'!$AH$11:$AH$1010,$B564)))</f>
        <v/>
      </c>
      <c r="M564" s="46">
        <f>IF($B564="","",IF(INDEX('Work Orders'!$AM$11:$AM$1010,$B564)="","",INDEX('Work Orders'!$AM$11:$AM$1010,$B564)))</f>
        <v/>
      </c>
      <c r="N564" s="43">
        <f>IF($B564="","",IF(INDEX('Work Orders'!$AL$11:$AL$1010,$B564)="","",INDEX('Work Orders'!$AL$11:$AL$1010,$B564)))</f>
        <v/>
      </c>
      <c r="O564" s="43">
        <f>IF($B564="","",IF(INDEX('Work Orders'!$N$11:$N$1010,$B564)="","",INDEX('Work Orders'!$N$11:$N$1010,$B564)))</f>
        <v/>
      </c>
    </row>
    <row r="565">
      <c r="A565" s="68" t="n">
        <v>559</v>
      </c>
      <c r="B565">
        <f>IFERROR(MATCH(A565,'Work Orders'!$AO$11:$AO$1010,0),"")</f>
        <v/>
      </c>
      <c r="C565" s="43">
        <f>IF($B565="","",IF(INDEX('Work Orders'!$A$11:$A$1010,$B565)="","",INDEX('Work Orders'!$A$11:$A$1010,$B565)))</f>
        <v/>
      </c>
      <c r="D565" s="43">
        <f>IF($B565="","",IF(INDEX('Work Orders'!$B$11:$B$1010,$B565)="","",INDEX('Work Orders'!$B$11:$B$1010,$B565)))</f>
        <v/>
      </c>
      <c r="E565" s="43">
        <f>IF($B565="","",IF(INDEX('Work Orders'!$D$11:$D$1010,$B565)="","",INDEX('Work Orders'!$D$11:$D$1010,$B565)))</f>
        <v/>
      </c>
      <c r="F565" s="43">
        <f>IF($B565="","",IF(INDEX('Work Orders'!$Q$11:$Q$1010,$B565)="","",INDEX('Work Orders'!$Q$11:$Q$1010,$B565)))</f>
        <v/>
      </c>
      <c r="G565" s="43">
        <f>IF($B565="","",IF(INDEX('Work Orders'!$V$11:$V$1010,$B565)="","",INDEX('Work Orders'!$V$11:$V$1010,$B565)))</f>
        <v/>
      </c>
      <c r="H565" s="47">
        <f>IF($B565="","",IF(INDEX('Work Orders'!$U$11:$U$1010,$B565)="","",INDEX('Work Orders'!$U$11:$U$1010,$B565)))</f>
        <v/>
      </c>
      <c r="I565" s="47">
        <f>IF($B565="","",IF(INDEX('Work Orders'!$X$11:$X$1010,$B565)="","",INDEX('Work Orders'!$X$11:$X$1010,$B565)))</f>
        <v/>
      </c>
      <c r="J565" s="44">
        <f>IF($B565="","",IF(INDEX('Work Orders'!$Z$11:$Z$1010,$B565)="","",INDEX('Work Orders'!$Z$11:$Z$1010,$B565)))</f>
        <v/>
      </c>
      <c r="K565" s="44">
        <f>IF($B565="","",IF(INDEX('Work Orders'!$AG$11:$AG$1010,$B565)="","",INDEX('Work Orders'!$AG$11:$AG$1010,$B565)))</f>
        <v/>
      </c>
      <c r="L565" s="44">
        <f>IF($B565="","",IF(INDEX('Work Orders'!$AH$11:$AH$1010,$B565)="","",INDEX('Work Orders'!$AH$11:$AH$1010,$B565)))</f>
        <v/>
      </c>
      <c r="M565" s="46">
        <f>IF($B565="","",IF(INDEX('Work Orders'!$AM$11:$AM$1010,$B565)="","",INDEX('Work Orders'!$AM$11:$AM$1010,$B565)))</f>
        <v/>
      </c>
      <c r="N565" s="43">
        <f>IF($B565="","",IF(INDEX('Work Orders'!$AL$11:$AL$1010,$B565)="","",INDEX('Work Orders'!$AL$11:$AL$1010,$B565)))</f>
        <v/>
      </c>
      <c r="O565" s="43">
        <f>IF($B565="","",IF(INDEX('Work Orders'!$N$11:$N$1010,$B565)="","",INDEX('Work Orders'!$N$11:$N$1010,$B565)))</f>
        <v/>
      </c>
    </row>
    <row r="566">
      <c r="A566" s="68" t="n">
        <v>560</v>
      </c>
      <c r="B566">
        <f>IFERROR(MATCH(A566,'Work Orders'!$AO$11:$AO$1010,0),"")</f>
        <v/>
      </c>
      <c r="C566" s="43">
        <f>IF($B566="","",IF(INDEX('Work Orders'!$A$11:$A$1010,$B566)="","",INDEX('Work Orders'!$A$11:$A$1010,$B566)))</f>
        <v/>
      </c>
      <c r="D566" s="43">
        <f>IF($B566="","",IF(INDEX('Work Orders'!$B$11:$B$1010,$B566)="","",INDEX('Work Orders'!$B$11:$B$1010,$B566)))</f>
        <v/>
      </c>
      <c r="E566" s="43">
        <f>IF($B566="","",IF(INDEX('Work Orders'!$D$11:$D$1010,$B566)="","",INDEX('Work Orders'!$D$11:$D$1010,$B566)))</f>
        <v/>
      </c>
      <c r="F566" s="43">
        <f>IF($B566="","",IF(INDEX('Work Orders'!$Q$11:$Q$1010,$B566)="","",INDEX('Work Orders'!$Q$11:$Q$1010,$B566)))</f>
        <v/>
      </c>
      <c r="G566" s="43">
        <f>IF($B566="","",IF(INDEX('Work Orders'!$V$11:$V$1010,$B566)="","",INDEX('Work Orders'!$V$11:$V$1010,$B566)))</f>
        <v/>
      </c>
      <c r="H566" s="47">
        <f>IF($B566="","",IF(INDEX('Work Orders'!$U$11:$U$1010,$B566)="","",INDEX('Work Orders'!$U$11:$U$1010,$B566)))</f>
        <v/>
      </c>
      <c r="I566" s="47">
        <f>IF($B566="","",IF(INDEX('Work Orders'!$X$11:$X$1010,$B566)="","",INDEX('Work Orders'!$X$11:$X$1010,$B566)))</f>
        <v/>
      </c>
      <c r="J566" s="44">
        <f>IF($B566="","",IF(INDEX('Work Orders'!$Z$11:$Z$1010,$B566)="","",INDEX('Work Orders'!$Z$11:$Z$1010,$B566)))</f>
        <v/>
      </c>
      <c r="K566" s="44">
        <f>IF($B566="","",IF(INDEX('Work Orders'!$AG$11:$AG$1010,$B566)="","",INDEX('Work Orders'!$AG$11:$AG$1010,$B566)))</f>
        <v/>
      </c>
      <c r="L566" s="44">
        <f>IF($B566="","",IF(INDEX('Work Orders'!$AH$11:$AH$1010,$B566)="","",INDEX('Work Orders'!$AH$11:$AH$1010,$B566)))</f>
        <v/>
      </c>
      <c r="M566" s="46">
        <f>IF($B566="","",IF(INDEX('Work Orders'!$AM$11:$AM$1010,$B566)="","",INDEX('Work Orders'!$AM$11:$AM$1010,$B566)))</f>
        <v/>
      </c>
      <c r="N566" s="43">
        <f>IF($B566="","",IF(INDEX('Work Orders'!$AL$11:$AL$1010,$B566)="","",INDEX('Work Orders'!$AL$11:$AL$1010,$B566)))</f>
        <v/>
      </c>
      <c r="O566" s="43">
        <f>IF($B566="","",IF(INDEX('Work Orders'!$N$11:$N$1010,$B566)="","",INDEX('Work Orders'!$N$11:$N$1010,$B566)))</f>
        <v/>
      </c>
    </row>
    <row r="567">
      <c r="A567" s="68" t="n">
        <v>561</v>
      </c>
      <c r="B567">
        <f>IFERROR(MATCH(A567,'Work Orders'!$AO$11:$AO$1010,0),"")</f>
        <v/>
      </c>
      <c r="C567" s="43">
        <f>IF($B567="","",IF(INDEX('Work Orders'!$A$11:$A$1010,$B567)="","",INDEX('Work Orders'!$A$11:$A$1010,$B567)))</f>
        <v/>
      </c>
      <c r="D567" s="43">
        <f>IF($B567="","",IF(INDEX('Work Orders'!$B$11:$B$1010,$B567)="","",INDEX('Work Orders'!$B$11:$B$1010,$B567)))</f>
        <v/>
      </c>
      <c r="E567" s="43">
        <f>IF($B567="","",IF(INDEX('Work Orders'!$D$11:$D$1010,$B567)="","",INDEX('Work Orders'!$D$11:$D$1010,$B567)))</f>
        <v/>
      </c>
      <c r="F567" s="43">
        <f>IF($B567="","",IF(INDEX('Work Orders'!$Q$11:$Q$1010,$B567)="","",INDEX('Work Orders'!$Q$11:$Q$1010,$B567)))</f>
        <v/>
      </c>
      <c r="G567" s="43">
        <f>IF($B567="","",IF(INDEX('Work Orders'!$V$11:$V$1010,$B567)="","",INDEX('Work Orders'!$V$11:$V$1010,$B567)))</f>
        <v/>
      </c>
      <c r="H567" s="47">
        <f>IF($B567="","",IF(INDEX('Work Orders'!$U$11:$U$1010,$B567)="","",INDEX('Work Orders'!$U$11:$U$1010,$B567)))</f>
        <v/>
      </c>
      <c r="I567" s="47">
        <f>IF($B567="","",IF(INDEX('Work Orders'!$X$11:$X$1010,$B567)="","",INDEX('Work Orders'!$X$11:$X$1010,$B567)))</f>
        <v/>
      </c>
      <c r="J567" s="44">
        <f>IF($B567="","",IF(INDEX('Work Orders'!$Z$11:$Z$1010,$B567)="","",INDEX('Work Orders'!$Z$11:$Z$1010,$B567)))</f>
        <v/>
      </c>
      <c r="K567" s="44">
        <f>IF($B567="","",IF(INDEX('Work Orders'!$AG$11:$AG$1010,$B567)="","",INDEX('Work Orders'!$AG$11:$AG$1010,$B567)))</f>
        <v/>
      </c>
      <c r="L567" s="44">
        <f>IF($B567="","",IF(INDEX('Work Orders'!$AH$11:$AH$1010,$B567)="","",INDEX('Work Orders'!$AH$11:$AH$1010,$B567)))</f>
        <v/>
      </c>
      <c r="M567" s="46">
        <f>IF($B567="","",IF(INDEX('Work Orders'!$AM$11:$AM$1010,$B567)="","",INDEX('Work Orders'!$AM$11:$AM$1010,$B567)))</f>
        <v/>
      </c>
      <c r="N567" s="43">
        <f>IF($B567="","",IF(INDEX('Work Orders'!$AL$11:$AL$1010,$B567)="","",INDEX('Work Orders'!$AL$11:$AL$1010,$B567)))</f>
        <v/>
      </c>
      <c r="O567" s="43">
        <f>IF($B567="","",IF(INDEX('Work Orders'!$N$11:$N$1010,$B567)="","",INDEX('Work Orders'!$N$11:$N$1010,$B567)))</f>
        <v/>
      </c>
    </row>
    <row r="568">
      <c r="A568" s="68" t="n">
        <v>562</v>
      </c>
      <c r="B568">
        <f>IFERROR(MATCH(A568,'Work Orders'!$AO$11:$AO$1010,0),"")</f>
        <v/>
      </c>
      <c r="C568" s="43">
        <f>IF($B568="","",IF(INDEX('Work Orders'!$A$11:$A$1010,$B568)="","",INDEX('Work Orders'!$A$11:$A$1010,$B568)))</f>
        <v/>
      </c>
      <c r="D568" s="43">
        <f>IF($B568="","",IF(INDEX('Work Orders'!$B$11:$B$1010,$B568)="","",INDEX('Work Orders'!$B$11:$B$1010,$B568)))</f>
        <v/>
      </c>
      <c r="E568" s="43">
        <f>IF($B568="","",IF(INDEX('Work Orders'!$D$11:$D$1010,$B568)="","",INDEX('Work Orders'!$D$11:$D$1010,$B568)))</f>
        <v/>
      </c>
      <c r="F568" s="43">
        <f>IF($B568="","",IF(INDEX('Work Orders'!$Q$11:$Q$1010,$B568)="","",INDEX('Work Orders'!$Q$11:$Q$1010,$B568)))</f>
        <v/>
      </c>
      <c r="G568" s="43">
        <f>IF($B568="","",IF(INDEX('Work Orders'!$V$11:$V$1010,$B568)="","",INDEX('Work Orders'!$V$11:$V$1010,$B568)))</f>
        <v/>
      </c>
      <c r="H568" s="47">
        <f>IF($B568="","",IF(INDEX('Work Orders'!$U$11:$U$1010,$B568)="","",INDEX('Work Orders'!$U$11:$U$1010,$B568)))</f>
        <v/>
      </c>
      <c r="I568" s="47">
        <f>IF($B568="","",IF(INDEX('Work Orders'!$X$11:$X$1010,$B568)="","",INDEX('Work Orders'!$X$11:$X$1010,$B568)))</f>
        <v/>
      </c>
      <c r="J568" s="44">
        <f>IF($B568="","",IF(INDEX('Work Orders'!$Z$11:$Z$1010,$B568)="","",INDEX('Work Orders'!$Z$11:$Z$1010,$B568)))</f>
        <v/>
      </c>
      <c r="K568" s="44">
        <f>IF($B568="","",IF(INDEX('Work Orders'!$AG$11:$AG$1010,$B568)="","",INDEX('Work Orders'!$AG$11:$AG$1010,$B568)))</f>
        <v/>
      </c>
      <c r="L568" s="44">
        <f>IF($B568="","",IF(INDEX('Work Orders'!$AH$11:$AH$1010,$B568)="","",INDEX('Work Orders'!$AH$11:$AH$1010,$B568)))</f>
        <v/>
      </c>
      <c r="M568" s="46">
        <f>IF($B568="","",IF(INDEX('Work Orders'!$AM$11:$AM$1010,$B568)="","",INDEX('Work Orders'!$AM$11:$AM$1010,$B568)))</f>
        <v/>
      </c>
      <c r="N568" s="43">
        <f>IF($B568="","",IF(INDEX('Work Orders'!$AL$11:$AL$1010,$B568)="","",INDEX('Work Orders'!$AL$11:$AL$1010,$B568)))</f>
        <v/>
      </c>
      <c r="O568" s="43">
        <f>IF($B568="","",IF(INDEX('Work Orders'!$N$11:$N$1010,$B568)="","",INDEX('Work Orders'!$N$11:$N$1010,$B568)))</f>
        <v/>
      </c>
    </row>
    <row r="569">
      <c r="A569" s="68" t="n">
        <v>563</v>
      </c>
      <c r="B569">
        <f>IFERROR(MATCH(A569,'Work Orders'!$AO$11:$AO$1010,0),"")</f>
        <v/>
      </c>
      <c r="C569" s="43">
        <f>IF($B569="","",IF(INDEX('Work Orders'!$A$11:$A$1010,$B569)="","",INDEX('Work Orders'!$A$11:$A$1010,$B569)))</f>
        <v/>
      </c>
      <c r="D569" s="43">
        <f>IF($B569="","",IF(INDEX('Work Orders'!$B$11:$B$1010,$B569)="","",INDEX('Work Orders'!$B$11:$B$1010,$B569)))</f>
        <v/>
      </c>
      <c r="E569" s="43">
        <f>IF($B569="","",IF(INDEX('Work Orders'!$D$11:$D$1010,$B569)="","",INDEX('Work Orders'!$D$11:$D$1010,$B569)))</f>
        <v/>
      </c>
      <c r="F569" s="43">
        <f>IF($B569="","",IF(INDEX('Work Orders'!$Q$11:$Q$1010,$B569)="","",INDEX('Work Orders'!$Q$11:$Q$1010,$B569)))</f>
        <v/>
      </c>
      <c r="G569" s="43">
        <f>IF($B569="","",IF(INDEX('Work Orders'!$V$11:$V$1010,$B569)="","",INDEX('Work Orders'!$V$11:$V$1010,$B569)))</f>
        <v/>
      </c>
      <c r="H569" s="47">
        <f>IF($B569="","",IF(INDEX('Work Orders'!$U$11:$U$1010,$B569)="","",INDEX('Work Orders'!$U$11:$U$1010,$B569)))</f>
        <v/>
      </c>
      <c r="I569" s="47">
        <f>IF($B569="","",IF(INDEX('Work Orders'!$X$11:$X$1010,$B569)="","",INDEX('Work Orders'!$X$11:$X$1010,$B569)))</f>
        <v/>
      </c>
      <c r="J569" s="44">
        <f>IF($B569="","",IF(INDEX('Work Orders'!$Z$11:$Z$1010,$B569)="","",INDEX('Work Orders'!$Z$11:$Z$1010,$B569)))</f>
        <v/>
      </c>
      <c r="K569" s="44">
        <f>IF($B569="","",IF(INDEX('Work Orders'!$AG$11:$AG$1010,$B569)="","",INDEX('Work Orders'!$AG$11:$AG$1010,$B569)))</f>
        <v/>
      </c>
      <c r="L569" s="44">
        <f>IF($B569="","",IF(INDEX('Work Orders'!$AH$11:$AH$1010,$B569)="","",INDEX('Work Orders'!$AH$11:$AH$1010,$B569)))</f>
        <v/>
      </c>
      <c r="M569" s="46">
        <f>IF($B569="","",IF(INDEX('Work Orders'!$AM$11:$AM$1010,$B569)="","",INDEX('Work Orders'!$AM$11:$AM$1010,$B569)))</f>
        <v/>
      </c>
      <c r="N569" s="43">
        <f>IF($B569="","",IF(INDEX('Work Orders'!$AL$11:$AL$1010,$B569)="","",INDEX('Work Orders'!$AL$11:$AL$1010,$B569)))</f>
        <v/>
      </c>
      <c r="O569" s="43">
        <f>IF($B569="","",IF(INDEX('Work Orders'!$N$11:$N$1010,$B569)="","",INDEX('Work Orders'!$N$11:$N$1010,$B569)))</f>
        <v/>
      </c>
    </row>
    <row r="570">
      <c r="A570" s="68" t="n">
        <v>564</v>
      </c>
      <c r="B570">
        <f>IFERROR(MATCH(A570,'Work Orders'!$AO$11:$AO$1010,0),"")</f>
        <v/>
      </c>
      <c r="C570" s="43">
        <f>IF($B570="","",IF(INDEX('Work Orders'!$A$11:$A$1010,$B570)="","",INDEX('Work Orders'!$A$11:$A$1010,$B570)))</f>
        <v/>
      </c>
      <c r="D570" s="43">
        <f>IF($B570="","",IF(INDEX('Work Orders'!$B$11:$B$1010,$B570)="","",INDEX('Work Orders'!$B$11:$B$1010,$B570)))</f>
        <v/>
      </c>
      <c r="E570" s="43">
        <f>IF($B570="","",IF(INDEX('Work Orders'!$D$11:$D$1010,$B570)="","",INDEX('Work Orders'!$D$11:$D$1010,$B570)))</f>
        <v/>
      </c>
      <c r="F570" s="43">
        <f>IF($B570="","",IF(INDEX('Work Orders'!$Q$11:$Q$1010,$B570)="","",INDEX('Work Orders'!$Q$11:$Q$1010,$B570)))</f>
        <v/>
      </c>
      <c r="G570" s="43">
        <f>IF($B570="","",IF(INDEX('Work Orders'!$V$11:$V$1010,$B570)="","",INDEX('Work Orders'!$V$11:$V$1010,$B570)))</f>
        <v/>
      </c>
      <c r="H570" s="47">
        <f>IF($B570="","",IF(INDEX('Work Orders'!$U$11:$U$1010,$B570)="","",INDEX('Work Orders'!$U$11:$U$1010,$B570)))</f>
        <v/>
      </c>
      <c r="I570" s="47">
        <f>IF($B570="","",IF(INDEX('Work Orders'!$X$11:$X$1010,$B570)="","",INDEX('Work Orders'!$X$11:$X$1010,$B570)))</f>
        <v/>
      </c>
      <c r="J570" s="44">
        <f>IF($B570="","",IF(INDEX('Work Orders'!$Z$11:$Z$1010,$B570)="","",INDEX('Work Orders'!$Z$11:$Z$1010,$B570)))</f>
        <v/>
      </c>
      <c r="K570" s="44">
        <f>IF($B570="","",IF(INDEX('Work Orders'!$AG$11:$AG$1010,$B570)="","",INDEX('Work Orders'!$AG$11:$AG$1010,$B570)))</f>
        <v/>
      </c>
      <c r="L570" s="44">
        <f>IF($B570="","",IF(INDEX('Work Orders'!$AH$11:$AH$1010,$B570)="","",INDEX('Work Orders'!$AH$11:$AH$1010,$B570)))</f>
        <v/>
      </c>
      <c r="M570" s="46">
        <f>IF($B570="","",IF(INDEX('Work Orders'!$AM$11:$AM$1010,$B570)="","",INDEX('Work Orders'!$AM$11:$AM$1010,$B570)))</f>
        <v/>
      </c>
      <c r="N570" s="43">
        <f>IF($B570="","",IF(INDEX('Work Orders'!$AL$11:$AL$1010,$B570)="","",INDEX('Work Orders'!$AL$11:$AL$1010,$B570)))</f>
        <v/>
      </c>
      <c r="O570" s="43">
        <f>IF($B570="","",IF(INDEX('Work Orders'!$N$11:$N$1010,$B570)="","",INDEX('Work Orders'!$N$11:$N$1010,$B570)))</f>
        <v/>
      </c>
    </row>
    <row r="571">
      <c r="A571" s="68" t="n">
        <v>565</v>
      </c>
      <c r="B571">
        <f>IFERROR(MATCH(A571,'Work Orders'!$AO$11:$AO$1010,0),"")</f>
        <v/>
      </c>
      <c r="C571" s="43">
        <f>IF($B571="","",IF(INDEX('Work Orders'!$A$11:$A$1010,$B571)="","",INDEX('Work Orders'!$A$11:$A$1010,$B571)))</f>
        <v/>
      </c>
      <c r="D571" s="43">
        <f>IF($B571="","",IF(INDEX('Work Orders'!$B$11:$B$1010,$B571)="","",INDEX('Work Orders'!$B$11:$B$1010,$B571)))</f>
        <v/>
      </c>
      <c r="E571" s="43">
        <f>IF($B571="","",IF(INDEX('Work Orders'!$D$11:$D$1010,$B571)="","",INDEX('Work Orders'!$D$11:$D$1010,$B571)))</f>
        <v/>
      </c>
      <c r="F571" s="43">
        <f>IF($B571="","",IF(INDEX('Work Orders'!$Q$11:$Q$1010,$B571)="","",INDEX('Work Orders'!$Q$11:$Q$1010,$B571)))</f>
        <v/>
      </c>
      <c r="G571" s="43">
        <f>IF($B571="","",IF(INDEX('Work Orders'!$V$11:$V$1010,$B571)="","",INDEX('Work Orders'!$V$11:$V$1010,$B571)))</f>
        <v/>
      </c>
      <c r="H571" s="47">
        <f>IF($B571="","",IF(INDEX('Work Orders'!$U$11:$U$1010,$B571)="","",INDEX('Work Orders'!$U$11:$U$1010,$B571)))</f>
        <v/>
      </c>
      <c r="I571" s="47">
        <f>IF($B571="","",IF(INDEX('Work Orders'!$X$11:$X$1010,$B571)="","",INDEX('Work Orders'!$X$11:$X$1010,$B571)))</f>
        <v/>
      </c>
      <c r="J571" s="44">
        <f>IF($B571="","",IF(INDEX('Work Orders'!$Z$11:$Z$1010,$B571)="","",INDEX('Work Orders'!$Z$11:$Z$1010,$B571)))</f>
        <v/>
      </c>
      <c r="K571" s="44">
        <f>IF($B571="","",IF(INDEX('Work Orders'!$AG$11:$AG$1010,$B571)="","",INDEX('Work Orders'!$AG$11:$AG$1010,$B571)))</f>
        <v/>
      </c>
      <c r="L571" s="44">
        <f>IF($B571="","",IF(INDEX('Work Orders'!$AH$11:$AH$1010,$B571)="","",INDEX('Work Orders'!$AH$11:$AH$1010,$B571)))</f>
        <v/>
      </c>
      <c r="M571" s="46">
        <f>IF($B571="","",IF(INDEX('Work Orders'!$AM$11:$AM$1010,$B571)="","",INDEX('Work Orders'!$AM$11:$AM$1010,$B571)))</f>
        <v/>
      </c>
      <c r="N571" s="43">
        <f>IF($B571="","",IF(INDEX('Work Orders'!$AL$11:$AL$1010,$B571)="","",INDEX('Work Orders'!$AL$11:$AL$1010,$B571)))</f>
        <v/>
      </c>
      <c r="O571" s="43">
        <f>IF($B571="","",IF(INDEX('Work Orders'!$N$11:$N$1010,$B571)="","",INDEX('Work Orders'!$N$11:$N$1010,$B571)))</f>
        <v/>
      </c>
    </row>
    <row r="572">
      <c r="A572" s="68" t="n">
        <v>566</v>
      </c>
      <c r="B572">
        <f>IFERROR(MATCH(A572,'Work Orders'!$AO$11:$AO$1010,0),"")</f>
        <v/>
      </c>
      <c r="C572" s="43">
        <f>IF($B572="","",IF(INDEX('Work Orders'!$A$11:$A$1010,$B572)="","",INDEX('Work Orders'!$A$11:$A$1010,$B572)))</f>
        <v/>
      </c>
      <c r="D572" s="43">
        <f>IF($B572="","",IF(INDEX('Work Orders'!$B$11:$B$1010,$B572)="","",INDEX('Work Orders'!$B$11:$B$1010,$B572)))</f>
        <v/>
      </c>
      <c r="E572" s="43">
        <f>IF($B572="","",IF(INDEX('Work Orders'!$D$11:$D$1010,$B572)="","",INDEX('Work Orders'!$D$11:$D$1010,$B572)))</f>
        <v/>
      </c>
      <c r="F572" s="43">
        <f>IF($B572="","",IF(INDEX('Work Orders'!$Q$11:$Q$1010,$B572)="","",INDEX('Work Orders'!$Q$11:$Q$1010,$B572)))</f>
        <v/>
      </c>
      <c r="G572" s="43">
        <f>IF($B572="","",IF(INDEX('Work Orders'!$V$11:$V$1010,$B572)="","",INDEX('Work Orders'!$V$11:$V$1010,$B572)))</f>
        <v/>
      </c>
      <c r="H572" s="47">
        <f>IF($B572="","",IF(INDEX('Work Orders'!$U$11:$U$1010,$B572)="","",INDEX('Work Orders'!$U$11:$U$1010,$B572)))</f>
        <v/>
      </c>
      <c r="I572" s="47">
        <f>IF($B572="","",IF(INDEX('Work Orders'!$X$11:$X$1010,$B572)="","",INDEX('Work Orders'!$X$11:$X$1010,$B572)))</f>
        <v/>
      </c>
      <c r="J572" s="44">
        <f>IF($B572="","",IF(INDEX('Work Orders'!$Z$11:$Z$1010,$B572)="","",INDEX('Work Orders'!$Z$11:$Z$1010,$B572)))</f>
        <v/>
      </c>
      <c r="K572" s="44">
        <f>IF($B572="","",IF(INDEX('Work Orders'!$AG$11:$AG$1010,$B572)="","",INDEX('Work Orders'!$AG$11:$AG$1010,$B572)))</f>
        <v/>
      </c>
      <c r="L572" s="44">
        <f>IF($B572="","",IF(INDEX('Work Orders'!$AH$11:$AH$1010,$B572)="","",INDEX('Work Orders'!$AH$11:$AH$1010,$B572)))</f>
        <v/>
      </c>
      <c r="M572" s="46">
        <f>IF($B572="","",IF(INDEX('Work Orders'!$AM$11:$AM$1010,$B572)="","",INDEX('Work Orders'!$AM$11:$AM$1010,$B572)))</f>
        <v/>
      </c>
      <c r="N572" s="43">
        <f>IF($B572="","",IF(INDEX('Work Orders'!$AL$11:$AL$1010,$B572)="","",INDEX('Work Orders'!$AL$11:$AL$1010,$B572)))</f>
        <v/>
      </c>
      <c r="O572" s="43">
        <f>IF($B572="","",IF(INDEX('Work Orders'!$N$11:$N$1010,$B572)="","",INDEX('Work Orders'!$N$11:$N$1010,$B572)))</f>
        <v/>
      </c>
    </row>
    <row r="573">
      <c r="A573" s="68" t="n">
        <v>567</v>
      </c>
      <c r="B573">
        <f>IFERROR(MATCH(A573,'Work Orders'!$AO$11:$AO$1010,0),"")</f>
        <v/>
      </c>
      <c r="C573" s="43">
        <f>IF($B573="","",IF(INDEX('Work Orders'!$A$11:$A$1010,$B573)="","",INDEX('Work Orders'!$A$11:$A$1010,$B573)))</f>
        <v/>
      </c>
      <c r="D573" s="43">
        <f>IF($B573="","",IF(INDEX('Work Orders'!$B$11:$B$1010,$B573)="","",INDEX('Work Orders'!$B$11:$B$1010,$B573)))</f>
        <v/>
      </c>
      <c r="E573" s="43">
        <f>IF($B573="","",IF(INDEX('Work Orders'!$D$11:$D$1010,$B573)="","",INDEX('Work Orders'!$D$11:$D$1010,$B573)))</f>
        <v/>
      </c>
      <c r="F573" s="43">
        <f>IF($B573="","",IF(INDEX('Work Orders'!$Q$11:$Q$1010,$B573)="","",INDEX('Work Orders'!$Q$11:$Q$1010,$B573)))</f>
        <v/>
      </c>
      <c r="G573" s="43">
        <f>IF($B573="","",IF(INDEX('Work Orders'!$V$11:$V$1010,$B573)="","",INDEX('Work Orders'!$V$11:$V$1010,$B573)))</f>
        <v/>
      </c>
      <c r="H573" s="47">
        <f>IF($B573="","",IF(INDEX('Work Orders'!$U$11:$U$1010,$B573)="","",INDEX('Work Orders'!$U$11:$U$1010,$B573)))</f>
        <v/>
      </c>
      <c r="I573" s="47">
        <f>IF($B573="","",IF(INDEX('Work Orders'!$X$11:$X$1010,$B573)="","",INDEX('Work Orders'!$X$11:$X$1010,$B573)))</f>
        <v/>
      </c>
      <c r="J573" s="44">
        <f>IF($B573="","",IF(INDEX('Work Orders'!$Z$11:$Z$1010,$B573)="","",INDEX('Work Orders'!$Z$11:$Z$1010,$B573)))</f>
        <v/>
      </c>
      <c r="K573" s="44">
        <f>IF($B573="","",IF(INDEX('Work Orders'!$AG$11:$AG$1010,$B573)="","",INDEX('Work Orders'!$AG$11:$AG$1010,$B573)))</f>
        <v/>
      </c>
      <c r="L573" s="44">
        <f>IF($B573="","",IF(INDEX('Work Orders'!$AH$11:$AH$1010,$B573)="","",INDEX('Work Orders'!$AH$11:$AH$1010,$B573)))</f>
        <v/>
      </c>
      <c r="M573" s="46">
        <f>IF($B573="","",IF(INDEX('Work Orders'!$AM$11:$AM$1010,$B573)="","",INDEX('Work Orders'!$AM$11:$AM$1010,$B573)))</f>
        <v/>
      </c>
      <c r="N573" s="43">
        <f>IF($B573="","",IF(INDEX('Work Orders'!$AL$11:$AL$1010,$B573)="","",INDEX('Work Orders'!$AL$11:$AL$1010,$B573)))</f>
        <v/>
      </c>
      <c r="O573" s="43">
        <f>IF($B573="","",IF(INDEX('Work Orders'!$N$11:$N$1010,$B573)="","",INDEX('Work Orders'!$N$11:$N$1010,$B573)))</f>
        <v/>
      </c>
    </row>
    <row r="574">
      <c r="A574" s="68" t="n">
        <v>568</v>
      </c>
      <c r="B574">
        <f>IFERROR(MATCH(A574,'Work Orders'!$AO$11:$AO$1010,0),"")</f>
        <v/>
      </c>
      <c r="C574" s="43">
        <f>IF($B574="","",IF(INDEX('Work Orders'!$A$11:$A$1010,$B574)="","",INDEX('Work Orders'!$A$11:$A$1010,$B574)))</f>
        <v/>
      </c>
      <c r="D574" s="43">
        <f>IF($B574="","",IF(INDEX('Work Orders'!$B$11:$B$1010,$B574)="","",INDEX('Work Orders'!$B$11:$B$1010,$B574)))</f>
        <v/>
      </c>
      <c r="E574" s="43">
        <f>IF($B574="","",IF(INDEX('Work Orders'!$D$11:$D$1010,$B574)="","",INDEX('Work Orders'!$D$11:$D$1010,$B574)))</f>
        <v/>
      </c>
      <c r="F574" s="43">
        <f>IF($B574="","",IF(INDEX('Work Orders'!$Q$11:$Q$1010,$B574)="","",INDEX('Work Orders'!$Q$11:$Q$1010,$B574)))</f>
        <v/>
      </c>
      <c r="G574" s="43">
        <f>IF($B574="","",IF(INDEX('Work Orders'!$V$11:$V$1010,$B574)="","",INDEX('Work Orders'!$V$11:$V$1010,$B574)))</f>
        <v/>
      </c>
      <c r="H574" s="47">
        <f>IF($B574="","",IF(INDEX('Work Orders'!$U$11:$U$1010,$B574)="","",INDEX('Work Orders'!$U$11:$U$1010,$B574)))</f>
        <v/>
      </c>
      <c r="I574" s="47">
        <f>IF($B574="","",IF(INDEX('Work Orders'!$X$11:$X$1010,$B574)="","",INDEX('Work Orders'!$X$11:$X$1010,$B574)))</f>
        <v/>
      </c>
      <c r="J574" s="44">
        <f>IF($B574="","",IF(INDEX('Work Orders'!$Z$11:$Z$1010,$B574)="","",INDEX('Work Orders'!$Z$11:$Z$1010,$B574)))</f>
        <v/>
      </c>
      <c r="K574" s="44">
        <f>IF($B574="","",IF(INDEX('Work Orders'!$AG$11:$AG$1010,$B574)="","",INDEX('Work Orders'!$AG$11:$AG$1010,$B574)))</f>
        <v/>
      </c>
      <c r="L574" s="44">
        <f>IF($B574="","",IF(INDEX('Work Orders'!$AH$11:$AH$1010,$B574)="","",INDEX('Work Orders'!$AH$11:$AH$1010,$B574)))</f>
        <v/>
      </c>
      <c r="M574" s="46">
        <f>IF($B574="","",IF(INDEX('Work Orders'!$AM$11:$AM$1010,$B574)="","",INDEX('Work Orders'!$AM$11:$AM$1010,$B574)))</f>
        <v/>
      </c>
      <c r="N574" s="43">
        <f>IF($B574="","",IF(INDEX('Work Orders'!$AL$11:$AL$1010,$B574)="","",INDEX('Work Orders'!$AL$11:$AL$1010,$B574)))</f>
        <v/>
      </c>
      <c r="O574" s="43">
        <f>IF($B574="","",IF(INDEX('Work Orders'!$N$11:$N$1010,$B574)="","",INDEX('Work Orders'!$N$11:$N$1010,$B574)))</f>
        <v/>
      </c>
    </row>
    <row r="575">
      <c r="A575" s="68" t="n">
        <v>569</v>
      </c>
      <c r="B575">
        <f>IFERROR(MATCH(A575,'Work Orders'!$AO$11:$AO$1010,0),"")</f>
        <v/>
      </c>
      <c r="C575" s="43">
        <f>IF($B575="","",IF(INDEX('Work Orders'!$A$11:$A$1010,$B575)="","",INDEX('Work Orders'!$A$11:$A$1010,$B575)))</f>
        <v/>
      </c>
      <c r="D575" s="43">
        <f>IF($B575="","",IF(INDEX('Work Orders'!$B$11:$B$1010,$B575)="","",INDEX('Work Orders'!$B$11:$B$1010,$B575)))</f>
        <v/>
      </c>
      <c r="E575" s="43">
        <f>IF($B575="","",IF(INDEX('Work Orders'!$D$11:$D$1010,$B575)="","",INDEX('Work Orders'!$D$11:$D$1010,$B575)))</f>
        <v/>
      </c>
      <c r="F575" s="43">
        <f>IF($B575="","",IF(INDEX('Work Orders'!$Q$11:$Q$1010,$B575)="","",INDEX('Work Orders'!$Q$11:$Q$1010,$B575)))</f>
        <v/>
      </c>
      <c r="G575" s="43">
        <f>IF($B575="","",IF(INDEX('Work Orders'!$V$11:$V$1010,$B575)="","",INDEX('Work Orders'!$V$11:$V$1010,$B575)))</f>
        <v/>
      </c>
      <c r="H575" s="47">
        <f>IF($B575="","",IF(INDEX('Work Orders'!$U$11:$U$1010,$B575)="","",INDEX('Work Orders'!$U$11:$U$1010,$B575)))</f>
        <v/>
      </c>
      <c r="I575" s="47">
        <f>IF($B575="","",IF(INDEX('Work Orders'!$X$11:$X$1010,$B575)="","",INDEX('Work Orders'!$X$11:$X$1010,$B575)))</f>
        <v/>
      </c>
      <c r="J575" s="44">
        <f>IF($B575="","",IF(INDEX('Work Orders'!$Z$11:$Z$1010,$B575)="","",INDEX('Work Orders'!$Z$11:$Z$1010,$B575)))</f>
        <v/>
      </c>
      <c r="K575" s="44">
        <f>IF($B575="","",IF(INDEX('Work Orders'!$AG$11:$AG$1010,$B575)="","",INDEX('Work Orders'!$AG$11:$AG$1010,$B575)))</f>
        <v/>
      </c>
      <c r="L575" s="44">
        <f>IF($B575="","",IF(INDEX('Work Orders'!$AH$11:$AH$1010,$B575)="","",INDEX('Work Orders'!$AH$11:$AH$1010,$B575)))</f>
        <v/>
      </c>
      <c r="M575" s="46">
        <f>IF($B575="","",IF(INDEX('Work Orders'!$AM$11:$AM$1010,$B575)="","",INDEX('Work Orders'!$AM$11:$AM$1010,$B575)))</f>
        <v/>
      </c>
      <c r="N575" s="43">
        <f>IF($B575="","",IF(INDEX('Work Orders'!$AL$11:$AL$1010,$B575)="","",INDEX('Work Orders'!$AL$11:$AL$1010,$B575)))</f>
        <v/>
      </c>
      <c r="O575" s="43">
        <f>IF($B575="","",IF(INDEX('Work Orders'!$N$11:$N$1010,$B575)="","",INDEX('Work Orders'!$N$11:$N$1010,$B575)))</f>
        <v/>
      </c>
    </row>
    <row r="576">
      <c r="A576" s="68" t="n">
        <v>570</v>
      </c>
      <c r="B576">
        <f>IFERROR(MATCH(A576,'Work Orders'!$AO$11:$AO$1010,0),"")</f>
        <v/>
      </c>
      <c r="C576" s="43">
        <f>IF($B576="","",IF(INDEX('Work Orders'!$A$11:$A$1010,$B576)="","",INDEX('Work Orders'!$A$11:$A$1010,$B576)))</f>
        <v/>
      </c>
      <c r="D576" s="43">
        <f>IF($B576="","",IF(INDEX('Work Orders'!$B$11:$B$1010,$B576)="","",INDEX('Work Orders'!$B$11:$B$1010,$B576)))</f>
        <v/>
      </c>
      <c r="E576" s="43">
        <f>IF($B576="","",IF(INDEX('Work Orders'!$D$11:$D$1010,$B576)="","",INDEX('Work Orders'!$D$11:$D$1010,$B576)))</f>
        <v/>
      </c>
      <c r="F576" s="43">
        <f>IF($B576="","",IF(INDEX('Work Orders'!$Q$11:$Q$1010,$B576)="","",INDEX('Work Orders'!$Q$11:$Q$1010,$B576)))</f>
        <v/>
      </c>
      <c r="G576" s="43">
        <f>IF($B576="","",IF(INDEX('Work Orders'!$V$11:$V$1010,$B576)="","",INDEX('Work Orders'!$V$11:$V$1010,$B576)))</f>
        <v/>
      </c>
      <c r="H576" s="47">
        <f>IF($B576="","",IF(INDEX('Work Orders'!$U$11:$U$1010,$B576)="","",INDEX('Work Orders'!$U$11:$U$1010,$B576)))</f>
        <v/>
      </c>
      <c r="I576" s="47">
        <f>IF($B576="","",IF(INDEX('Work Orders'!$X$11:$X$1010,$B576)="","",INDEX('Work Orders'!$X$11:$X$1010,$B576)))</f>
        <v/>
      </c>
      <c r="J576" s="44">
        <f>IF($B576="","",IF(INDEX('Work Orders'!$Z$11:$Z$1010,$B576)="","",INDEX('Work Orders'!$Z$11:$Z$1010,$B576)))</f>
        <v/>
      </c>
      <c r="K576" s="44">
        <f>IF($B576="","",IF(INDEX('Work Orders'!$AG$11:$AG$1010,$B576)="","",INDEX('Work Orders'!$AG$11:$AG$1010,$B576)))</f>
        <v/>
      </c>
      <c r="L576" s="44">
        <f>IF($B576="","",IF(INDEX('Work Orders'!$AH$11:$AH$1010,$B576)="","",INDEX('Work Orders'!$AH$11:$AH$1010,$B576)))</f>
        <v/>
      </c>
      <c r="M576" s="46">
        <f>IF($B576="","",IF(INDEX('Work Orders'!$AM$11:$AM$1010,$B576)="","",INDEX('Work Orders'!$AM$11:$AM$1010,$B576)))</f>
        <v/>
      </c>
      <c r="N576" s="43">
        <f>IF($B576="","",IF(INDEX('Work Orders'!$AL$11:$AL$1010,$B576)="","",INDEX('Work Orders'!$AL$11:$AL$1010,$B576)))</f>
        <v/>
      </c>
      <c r="O576" s="43">
        <f>IF($B576="","",IF(INDEX('Work Orders'!$N$11:$N$1010,$B576)="","",INDEX('Work Orders'!$N$11:$N$1010,$B576)))</f>
        <v/>
      </c>
    </row>
    <row r="577">
      <c r="A577" s="68" t="n">
        <v>571</v>
      </c>
      <c r="B577">
        <f>IFERROR(MATCH(A577,'Work Orders'!$AO$11:$AO$1010,0),"")</f>
        <v/>
      </c>
      <c r="C577" s="43">
        <f>IF($B577="","",IF(INDEX('Work Orders'!$A$11:$A$1010,$B577)="","",INDEX('Work Orders'!$A$11:$A$1010,$B577)))</f>
        <v/>
      </c>
      <c r="D577" s="43">
        <f>IF($B577="","",IF(INDEX('Work Orders'!$B$11:$B$1010,$B577)="","",INDEX('Work Orders'!$B$11:$B$1010,$B577)))</f>
        <v/>
      </c>
      <c r="E577" s="43">
        <f>IF($B577="","",IF(INDEX('Work Orders'!$D$11:$D$1010,$B577)="","",INDEX('Work Orders'!$D$11:$D$1010,$B577)))</f>
        <v/>
      </c>
      <c r="F577" s="43">
        <f>IF($B577="","",IF(INDEX('Work Orders'!$Q$11:$Q$1010,$B577)="","",INDEX('Work Orders'!$Q$11:$Q$1010,$B577)))</f>
        <v/>
      </c>
      <c r="G577" s="43">
        <f>IF($B577="","",IF(INDEX('Work Orders'!$V$11:$V$1010,$B577)="","",INDEX('Work Orders'!$V$11:$V$1010,$B577)))</f>
        <v/>
      </c>
      <c r="H577" s="47">
        <f>IF($B577="","",IF(INDEX('Work Orders'!$U$11:$U$1010,$B577)="","",INDEX('Work Orders'!$U$11:$U$1010,$B577)))</f>
        <v/>
      </c>
      <c r="I577" s="47">
        <f>IF($B577="","",IF(INDEX('Work Orders'!$X$11:$X$1010,$B577)="","",INDEX('Work Orders'!$X$11:$X$1010,$B577)))</f>
        <v/>
      </c>
      <c r="J577" s="44">
        <f>IF($B577="","",IF(INDEX('Work Orders'!$Z$11:$Z$1010,$B577)="","",INDEX('Work Orders'!$Z$11:$Z$1010,$B577)))</f>
        <v/>
      </c>
      <c r="K577" s="44">
        <f>IF($B577="","",IF(INDEX('Work Orders'!$AG$11:$AG$1010,$B577)="","",INDEX('Work Orders'!$AG$11:$AG$1010,$B577)))</f>
        <v/>
      </c>
      <c r="L577" s="44">
        <f>IF($B577="","",IF(INDEX('Work Orders'!$AH$11:$AH$1010,$B577)="","",INDEX('Work Orders'!$AH$11:$AH$1010,$B577)))</f>
        <v/>
      </c>
      <c r="M577" s="46">
        <f>IF($B577="","",IF(INDEX('Work Orders'!$AM$11:$AM$1010,$B577)="","",INDEX('Work Orders'!$AM$11:$AM$1010,$B577)))</f>
        <v/>
      </c>
      <c r="N577" s="43">
        <f>IF($B577="","",IF(INDEX('Work Orders'!$AL$11:$AL$1010,$B577)="","",INDEX('Work Orders'!$AL$11:$AL$1010,$B577)))</f>
        <v/>
      </c>
      <c r="O577" s="43">
        <f>IF($B577="","",IF(INDEX('Work Orders'!$N$11:$N$1010,$B577)="","",INDEX('Work Orders'!$N$11:$N$1010,$B577)))</f>
        <v/>
      </c>
    </row>
    <row r="578">
      <c r="A578" s="68" t="n">
        <v>572</v>
      </c>
      <c r="B578">
        <f>IFERROR(MATCH(A578,'Work Orders'!$AO$11:$AO$1010,0),"")</f>
        <v/>
      </c>
      <c r="C578" s="43">
        <f>IF($B578="","",IF(INDEX('Work Orders'!$A$11:$A$1010,$B578)="","",INDEX('Work Orders'!$A$11:$A$1010,$B578)))</f>
        <v/>
      </c>
      <c r="D578" s="43">
        <f>IF($B578="","",IF(INDEX('Work Orders'!$B$11:$B$1010,$B578)="","",INDEX('Work Orders'!$B$11:$B$1010,$B578)))</f>
        <v/>
      </c>
      <c r="E578" s="43">
        <f>IF($B578="","",IF(INDEX('Work Orders'!$D$11:$D$1010,$B578)="","",INDEX('Work Orders'!$D$11:$D$1010,$B578)))</f>
        <v/>
      </c>
      <c r="F578" s="43">
        <f>IF($B578="","",IF(INDEX('Work Orders'!$Q$11:$Q$1010,$B578)="","",INDEX('Work Orders'!$Q$11:$Q$1010,$B578)))</f>
        <v/>
      </c>
      <c r="G578" s="43">
        <f>IF($B578="","",IF(INDEX('Work Orders'!$V$11:$V$1010,$B578)="","",INDEX('Work Orders'!$V$11:$V$1010,$B578)))</f>
        <v/>
      </c>
      <c r="H578" s="47">
        <f>IF($B578="","",IF(INDEX('Work Orders'!$U$11:$U$1010,$B578)="","",INDEX('Work Orders'!$U$11:$U$1010,$B578)))</f>
        <v/>
      </c>
      <c r="I578" s="47">
        <f>IF($B578="","",IF(INDEX('Work Orders'!$X$11:$X$1010,$B578)="","",INDEX('Work Orders'!$X$11:$X$1010,$B578)))</f>
        <v/>
      </c>
      <c r="J578" s="44">
        <f>IF($B578="","",IF(INDEX('Work Orders'!$Z$11:$Z$1010,$B578)="","",INDEX('Work Orders'!$Z$11:$Z$1010,$B578)))</f>
        <v/>
      </c>
      <c r="K578" s="44">
        <f>IF($B578="","",IF(INDEX('Work Orders'!$AG$11:$AG$1010,$B578)="","",INDEX('Work Orders'!$AG$11:$AG$1010,$B578)))</f>
        <v/>
      </c>
      <c r="L578" s="44">
        <f>IF($B578="","",IF(INDEX('Work Orders'!$AH$11:$AH$1010,$B578)="","",INDEX('Work Orders'!$AH$11:$AH$1010,$B578)))</f>
        <v/>
      </c>
      <c r="M578" s="46">
        <f>IF($B578="","",IF(INDEX('Work Orders'!$AM$11:$AM$1010,$B578)="","",INDEX('Work Orders'!$AM$11:$AM$1010,$B578)))</f>
        <v/>
      </c>
      <c r="N578" s="43">
        <f>IF($B578="","",IF(INDEX('Work Orders'!$AL$11:$AL$1010,$B578)="","",INDEX('Work Orders'!$AL$11:$AL$1010,$B578)))</f>
        <v/>
      </c>
      <c r="O578" s="43">
        <f>IF($B578="","",IF(INDEX('Work Orders'!$N$11:$N$1010,$B578)="","",INDEX('Work Orders'!$N$11:$N$1010,$B578)))</f>
        <v/>
      </c>
    </row>
    <row r="579">
      <c r="A579" s="68" t="n">
        <v>573</v>
      </c>
      <c r="B579">
        <f>IFERROR(MATCH(A579,'Work Orders'!$AO$11:$AO$1010,0),"")</f>
        <v/>
      </c>
      <c r="C579" s="43">
        <f>IF($B579="","",IF(INDEX('Work Orders'!$A$11:$A$1010,$B579)="","",INDEX('Work Orders'!$A$11:$A$1010,$B579)))</f>
        <v/>
      </c>
      <c r="D579" s="43">
        <f>IF($B579="","",IF(INDEX('Work Orders'!$B$11:$B$1010,$B579)="","",INDEX('Work Orders'!$B$11:$B$1010,$B579)))</f>
        <v/>
      </c>
      <c r="E579" s="43">
        <f>IF($B579="","",IF(INDEX('Work Orders'!$D$11:$D$1010,$B579)="","",INDEX('Work Orders'!$D$11:$D$1010,$B579)))</f>
        <v/>
      </c>
      <c r="F579" s="43">
        <f>IF($B579="","",IF(INDEX('Work Orders'!$Q$11:$Q$1010,$B579)="","",INDEX('Work Orders'!$Q$11:$Q$1010,$B579)))</f>
        <v/>
      </c>
      <c r="G579" s="43">
        <f>IF($B579="","",IF(INDEX('Work Orders'!$V$11:$V$1010,$B579)="","",INDEX('Work Orders'!$V$11:$V$1010,$B579)))</f>
        <v/>
      </c>
      <c r="H579" s="47">
        <f>IF($B579="","",IF(INDEX('Work Orders'!$U$11:$U$1010,$B579)="","",INDEX('Work Orders'!$U$11:$U$1010,$B579)))</f>
        <v/>
      </c>
      <c r="I579" s="47">
        <f>IF($B579="","",IF(INDEX('Work Orders'!$X$11:$X$1010,$B579)="","",INDEX('Work Orders'!$X$11:$X$1010,$B579)))</f>
        <v/>
      </c>
      <c r="J579" s="44">
        <f>IF($B579="","",IF(INDEX('Work Orders'!$Z$11:$Z$1010,$B579)="","",INDEX('Work Orders'!$Z$11:$Z$1010,$B579)))</f>
        <v/>
      </c>
      <c r="K579" s="44">
        <f>IF($B579="","",IF(INDEX('Work Orders'!$AG$11:$AG$1010,$B579)="","",INDEX('Work Orders'!$AG$11:$AG$1010,$B579)))</f>
        <v/>
      </c>
      <c r="L579" s="44">
        <f>IF($B579="","",IF(INDEX('Work Orders'!$AH$11:$AH$1010,$B579)="","",INDEX('Work Orders'!$AH$11:$AH$1010,$B579)))</f>
        <v/>
      </c>
      <c r="M579" s="46">
        <f>IF($B579="","",IF(INDEX('Work Orders'!$AM$11:$AM$1010,$B579)="","",INDEX('Work Orders'!$AM$11:$AM$1010,$B579)))</f>
        <v/>
      </c>
      <c r="N579" s="43">
        <f>IF($B579="","",IF(INDEX('Work Orders'!$AL$11:$AL$1010,$B579)="","",INDEX('Work Orders'!$AL$11:$AL$1010,$B579)))</f>
        <v/>
      </c>
      <c r="O579" s="43">
        <f>IF($B579="","",IF(INDEX('Work Orders'!$N$11:$N$1010,$B579)="","",INDEX('Work Orders'!$N$11:$N$1010,$B579)))</f>
        <v/>
      </c>
    </row>
    <row r="580">
      <c r="A580" s="68" t="n">
        <v>574</v>
      </c>
      <c r="B580">
        <f>IFERROR(MATCH(A580,'Work Orders'!$AO$11:$AO$1010,0),"")</f>
        <v/>
      </c>
      <c r="C580" s="43">
        <f>IF($B580="","",IF(INDEX('Work Orders'!$A$11:$A$1010,$B580)="","",INDEX('Work Orders'!$A$11:$A$1010,$B580)))</f>
        <v/>
      </c>
      <c r="D580" s="43">
        <f>IF($B580="","",IF(INDEX('Work Orders'!$B$11:$B$1010,$B580)="","",INDEX('Work Orders'!$B$11:$B$1010,$B580)))</f>
        <v/>
      </c>
      <c r="E580" s="43">
        <f>IF($B580="","",IF(INDEX('Work Orders'!$D$11:$D$1010,$B580)="","",INDEX('Work Orders'!$D$11:$D$1010,$B580)))</f>
        <v/>
      </c>
      <c r="F580" s="43">
        <f>IF($B580="","",IF(INDEX('Work Orders'!$Q$11:$Q$1010,$B580)="","",INDEX('Work Orders'!$Q$11:$Q$1010,$B580)))</f>
        <v/>
      </c>
      <c r="G580" s="43">
        <f>IF($B580="","",IF(INDEX('Work Orders'!$V$11:$V$1010,$B580)="","",INDEX('Work Orders'!$V$11:$V$1010,$B580)))</f>
        <v/>
      </c>
      <c r="H580" s="47">
        <f>IF($B580="","",IF(INDEX('Work Orders'!$U$11:$U$1010,$B580)="","",INDEX('Work Orders'!$U$11:$U$1010,$B580)))</f>
        <v/>
      </c>
      <c r="I580" s="47">
        <f>IF($B580="","",IF(INDEX('Work Orders'!$X$11:$X$1010,$B580)="","",INDEX('Work Orders'!$X$11:$X$1010,$B580)))</f>
        <v/>
      </c>
      <c r="J580" s="44">
        <f>IF($B580="","",IF(INDEX('Work Orders'!$Z$11:$Z$1010,$B580)="","",INDEX('Work Orders'!$Z$11:$Z$1010,$B580)))</f>
        <v/>
      </c>
      <c r="K580" s="44">
        <f>IF($B580="","",IF(INDEX('Work Orders'!$AG$11:$AG$1010,$B580)="","",INDEX('Work Orders'!$AG$11:$AG$1010,$B580)))</f>
        <v/>
      </c>
      <c r="L580" s="44">
        <f>IF($B580="","",IF(INDEX('Work Orders'!$AH$11:$AH$1010,$B580)="","",INDEX('Work Orders'!$AH$11:$AH$1010,$B580)))</f>
        <v/>
      </c>
      <c r="M580" s="46">
        <f>IF($B580="","",IF(INDEX('Work Orders'!$AM$11:$AM$1010,$B580)="","",INDEX('Work Orders'!$AM$11:$AM$1010,$B580)))</f>
        <v/>
      </c>
      <c r="N580" s="43">
        <f>IF($B580="","",IF(INDEX('Work Orders'!$AL$11:$AL$1010,$B580)="","",INDEX('Work Orders'!$AL$11:$AL$1010,$B580)))</f>
        <v/>
      </c>
      <c r="O580" s="43">
        <f>IF($B580="","",IF(INDEX('Work Orders'!$N$11:$N$1010,$B580)="","",INDEX('Work Orders'!$N$11:$N$1010,$B580)))</f>
        <v/>
      </c>
    </row>
    <row r="581">
      <c r="A581" s="68" t="n">
        <v>575</v>
      </c>
      <c r="B581">
        <f>IFERROR(MATCH(A581,'Work Orders'!$AO$11:$AO$1010,0),"")</f>
        <v/>
      </c>
      <c r="C581" s="43">
        <f>IF($B581="","",IF(INDEX('Work Orders'!$A$11:$A$1010,$B581)="","",INDEX('Work Orders'!$A$11:$A$1010,$B581)))</f>
        <v/>
      </c>
      <c r="D581" s="43">
        <f>IF($B581="","",IF(INDEX('Work Orders'!$B$11:$B$1010,$B581)="","",INDEX('Work Orders'!$B$11:$B$1010,$B581)))</f>
        <v/>
      </c>
      <c r="E581" s="43">
        <f>IF($B581="","",IF(INDEX('Work Orders'!$D$11:$D$1010,$B581)="","",INDEX('Work Orders'!$D$11:$D$1010,$B581)))</f>
        <v/>
      </c>
      <c r="F581" s="43">
        <f>IF($B581="","",IF(INDEX('Work Orders'!$Q$11:$Q$1010,$B581)="","",INDEX('Work Orders'!$Q$11:$Q$1010,$B581)))</f>
        <v/>
      </c>
      <c r="G581" s="43">
        <f>IF($B581="","",IF(INDEX('Work Orders'!$V$11:$V$1010,$B581)="","",INDEX('Work Orders'!$V$11:$V$1010,$B581)))</f>
        <v/>
      </c>
      <c r="H581" s="47">
        <f>IF($B581="","",IF(INDEX('Work Orders'!$U$11:$U$1010,$B581)="","",INDEX('Work Orders'!$U$11:$U$1010,$B581)))</f>
        <v/>
      </c>
      <c r="I581" s="47">
        <f>IF($B581="","",IF(INDEX('Work Orders'!$X$11:$X$1010,$B581)="","",INDEX('Work Orders'!$X$11:$X$1010,$B581)))</f>
        <v/>
      </c>
      <c r="J581" s="44">
        <f>IF($B581="","",IF(INDEX('Work Orders'!$Z$11:$Z$1010,$B581)="","",INDEX('Work Orders'!$Z$11:$Z$1010,$B581)))</f>
        <v/>
      </c>
      <c r="K581" s="44">
        <f>IF($B581="","",IF(INDEX('Work Orders'!$AG$11:$AG$1010,$B581)="","",INDEX('Work Orders'!$AG$11:$AG$1010,$B581)))</f>
        <v/>
      </c>
      <c r="L581" s="44">
        <f>IF($B581="","",IF(INDEX('Work Orders'!$AH$11:$AH$1010,$B581)="","",INDEX('Work Orders'!$AH$11:$AH$1010,$B581)))</f>
        <v/>
      </c>
      <c r="M581" s="46">
        <f>IF($B581="","",IF(INDEX('Work Orders'!$AM$11:$AM$1010,$B581)="","",INDEX('Work Orders'!$AM$11:$AM$1010,$B581)))</f>
        <v/>
      </c>
      <c r="N581" s="43">
        <f>IF($B581="","",IF(INDEX('Work Orders'!$AL$11:$AL$1010,$B581)="","",INDEX('Work Orders'!$AL$11:$AL$1010,$B581)))</f>
        <v/>
      </c>
      <c r="O581" s="43">
        <f>IF($B581="","",IF(INDEX('Work Orders'!$N$11:$N$1010,$B581)="","",INDEX('Work Orders'!$N$11:$N$1010,$B581)))</f>
        <v/>
      </c>
    </row>
    <row r="582">
      <c r="A582" s="68" t="n">
        <v>576</v>
      </c>
      <c r="B582">
        <f>IFERROR(MATCH(A582,'Work Orders'!$AO$11:$AO$1010,0),"")</f>
        <v/>
      </c>
      <c r="C582" s="43">
        <f>IF($B582="","",IF(INDEX('Work Orders'!$A$11:$A$1010,$B582)="","",INDEX('Work Orders'!$A$11:$A$1010,$B582)))</f>
        <v/>
      </c>
      <c r="D582" s="43">
        <f>IF($B582="","",IF(INDEX('Work Orders'!$B$11:$B$1010,$B582)="","",INDEX('Work Orders'!$B$11:$B$1010,$B582)))</f>
        <v/>
      </c>
      <c r="E582" s="43">
        <f>IF($B582="","",IF(INDEX('Work Orders'!$D$11:$D$1010,$B582)="","",INDEX('Work Orders'!$D$11:$D$1010,$B582)))</f>
        <v/>
      </c>
      <c r="F582" s="43">
        <f>IF($B582="","",IF(INDEX('Work Orders'!$Q$11:$Q$1010,$B582)="","",INDEX('Work Orders'!$Q$11:$Q$1010,$B582)))</f>
        <v/>
      </c>
      <c r="G582" s="43">
        <f>IF($B582="","",IF(INDEX('Work Orders'!$V$11:$V$1010,$B582)="","",INDEX('Work Orders'!$V$11:$V$1010,$B582)))</f>
        <v/>
      </c>
      <c r="H582" s="47">
        <f>IF($B582="","",IF(INDEX('Work Orders'!$U$11:$U$1010,$B582)="","",INDEX('Work Orders'!$U$11:$U$1010,$B582)))</f>
        <v/>
      </c>
      <c r="I582" s="47">
        <f>IF($B582="","",IF(INDEX('Work Orders'!$X$11:$X$1010,$B582)="","",INDEX('Work Orders'!$X$11:$X$1010,$B582)))</f>
        <v/>
      </c>
      <c r="J582" s="44">
        <f>IF($B582="","",IF(INDEX('Work Orders'!$Z$11:$Z$1010,$B582)="","",INDEX('Work Orders'!$Z$11:$Z$1010,$B582)))</f>
        <v/>
      </c>
      <c r="K582" s="44">
        <f>IF($B582="","",IF(INDEX('Work Orders'!$AG$11:$AG$1010,$B582)="","",INDEX('Work Orders'!$AG$11:$AG$1010,$B582)))</f>
        <v/>
      </c>
      <c r="L582" s="44">
        <f>IF($B582="","",IF(INDEX('Work Orders'!$AH$11:$AH$1010,$B582)="","",INDEX('Work Orders'!$AH$11:$AH$1010,$B582)))</f>
        <v/>
      </c>
      <c r="M582" s="46">
        <f>IF($B582="","",IF(INDEX('Work Orders'!$AM$11:$AM$1010,$B582)="","",INDEX('Work Orders'!$AM$11:$AM$1010,$B582)))</f>
        <v/>
      </c>
      <c r="N582" s="43">
        <f>IF($B582="","",IF(INDEX('Work Orders'!$AL$11:$AL$1010,$B582)="","",INDEX('Work Orders'!$AL$11:$AL$1010,$B582)))</f>
        <v/>
      </c>
      <c r="O582" s="43">
        <f>IF($B582="","",IF(INDEX('Work Orders'!$N$11:$N$1010,$B582)="","",INDEX('Work Orders'!$N$11:$N$1010,$B582)))</f>
        <v/>
      </c>
    </row>
    <row r="583">
      <c r="A583" s="68" t="n">
        <v>577</v>
      </c>
      <c r="B583">
        <f>IFERROR(MATCH(A583,'Work Orders'!$AO$11:$AO$1010,0),"")</f>
        <v/>
      </c>
      <c r="C583" s="43">
        <f>IF($B583="","",IF(INDEX('Work Orders'!$A$11:$A$1010,$B583)="","",INDEX('Work Orders'!$A$11:$A$1010,$B583)))</f>
        <v/>
      </c>
      <c r="D583" s="43">
        <f>IF($B583="","",IF(INDEX('Work Orders'!$B$11:$B$1010,$B583)="","",INDEX('Work Orders'!$B$11:$B$1010,$B583)))</f>
        <v/>
      </c>
      <c r="E583" s="43">
        <f>IF($B583="","",IF(INDEX('Work Orders'!$D$11:$D$1010,$B583)="","",INDEX('Work Orders'!$D$11:$D$1010,$B583)))</f>
        <v/>
      </c>
      <c r="F583" s="43">
        <f>IF($B583="","",IF(INDEX('Work Orders'!$Q$11:$Q$1010,$B583)="","",INDEX('Work Orders'!$Q$11:$Q$1010,$B583)))</f>
        <v/>
      </c>
      <c r="G583" s="43">
        <f>IF($B583="","",IF(INDEX('Work Orders'!$V$11:$V$1010,$B583)="","",INDEX('Work Orders'!$V$11:$V$1010,$B583)))</f>
        <v/>
      </c>
      <c r="H583" s="47">
        <f>IF($B583="","",IF(INDEX('Work Orders'!$U$11:$U$1010,$B583)="","",INDEX('Work Orders'!$U$11:$U$1010,$B583)))</f>
        <v/>
      </c>
      <c r="I583" s="47">
        <f>IF($B583="","",IF(INDEX('Work Orders'!$X$11:$X$1010,$B583)="","",INDEX('Work Orders'!$X$11:$X$1010,$B583)))</f>
        <v/>
      </c>
      <c r="J583" s="44">
        <f>IF($B583="","",IF(INDEX('Work Orders'!$Z$11:$Z$1010,$B583)="","",INDEX('Work Orders'!$Z$11:$Z$1010,$B583)))</f>
        <v/>
      </c>
      <c r="K583" s="44">
        <f>IF($B583="","",IF(INDEX('Work Orders'!$AG$11:$AG$1010,$B583)="","",INDEX('Work Orders'!$AG$11:$AG$1010,$B583)))</f>
        <v/>
      </c>
      <c r="L583" s="44">
        <f>IF($B583="","",IF(INDEX('Work Orders'!$AH$11:$AH$1010,$B583)="","",INDEX('Work Orders'!$AH$11:$AH$1010,$B583)))</f>
        <v/>
      </c>
      <c r="M583" s="46">
        <f>IF($B583="","",IF(INDEX('Work Orders'!$AM$11:$AM$1010,$B583)="","",INDEX('Work Orders'!$AM$11:$AM$1010,$B583)))</f>
        <v/>
      </c>
      <c r="N583" s="43">
        <f>IF($B583="","",IF(INDEX('Work Orders'!$AL$11:$AL$1010,$B583)="","",INDEX('Work Orders'!$AL$11:$AL$1010,$B583)))</f>
        <v/>
      </c>
      <c r="O583" s="43">
        <f>IF($B583="","",IF(INDEX('Work Orders'!$N$11:$N$1010,$B583)="","",INDEX('Work Orders'!$N$11:$N$1010,$B583)))</f>
        <v/>
      </c>
    </row>
    <row r="584">
      <c r="A584" s="68" t="n">
        <v>578</v>
      </c>
      <c r="B584">
        <f>IFERROR(MATCH(A584,'Work Orders'!$AO$11:$AO$1010,0),"")</f>
        <v/>
      </c>
      <c r="C584" s="43">
        <f>IF($B584="","",IF(INDEX('Work Orders'!$A$11:$A$1010,$B584)="","",INDEX('Work Orders'!$A$11:$A$1010,$B584)))</f>
        <v/>
      </c>
      <c r="D584" s="43">
        <f>IF($B584="","",IF(INDEX('Work Orders'!$B$11:$B$1010,$B584)="","",INDEX('Work Orders'!$B$11:$B$1010,$B584)))</f>
        <v/>
      </c>
      <c r="E584" s="43">
        <f>IF($B584="","",IF(INDEX('Work Orders'!$D$11:$D$1010,$B584)="","",INDEX('Work Orders'!$D$11:$D$1010,$B584)))</f>
        <v/>
      </c>
      <c r="F584" s="43">
        <f>IF($B584="","",IF(INDEX('Work Orders'!$Q$11:$Q$1010,$B584)="","",INDEX('Work Orders'!$Q$11:$Q$1010,$B584)))</f>
        <v/>
      </c>
      <c r="G584" s="43">
        <f>IF($B584="","",IF(INDEX('Work Orders'!$V$11:$V$1010,$B584)="","",INDEX('Work Orders'!$V$11:$V$1010,$B584)))</f>
        <v/>
      </c>
      <c r="H584" s="47">
        <f>IF($B584="","",IF(INDEX('Work Orders'!$U$11:$U$1010,$B584)="","",INDEX('Work Orders'!$U$11:$U$1010,$B584)))</f>
        <v/>
      </c>
      <c r="I584" s="47">
        <f>IF($B584="","",IF(INDEX('Work Orders'!$X$11:$X$1010,$B584)="","",INDEX('Work Orders'!$X$11:$X$1010,$B584)))</f>
        <v/>
      </c>
      <c r="J584" s="44">
        <f>IF($B584="","",IF(INDEX('Work Orders'!$Z$11:$Z$1010,$B584)="","",INDEX('Work Orders'!$Z$11:$Z$1010,$B584)))</f>
        <v/>
      </c>
      <c r="K584" s="44">
        <f>IF($B584="","",IF(INDEX('Work Orders'!$AG$11:$AG$1010,$B584)="","",INDEX('Work Orders'!$AG$11:$AG$1010,$B584)))</f>
        <v/>
      </c>
      <c r="L584" s="44">
        <f>IF($B584="","",IF(INDEX('Work Orders'!$AH$11:$AH$1010,$B584)="","",INDEX('Work Orders'!$AH$11:$AH$1010,$B584)))</f>
        <v/>
      </c>
      <c r="M584" s="46">
        <f>IF($B584="","",IF(INDEX('Work Orders'!$AM$11:$AM$1010,$B584)="","",INDEX('Work Orders'!$AM$11:$AM$1010,$B584)))</f>
        <v/>
      </c>
      <c r="N584" s="43">
        <f>IF($B584="","",IF(INDEX('Work Orders'!$AL$11:$AL$1010,$B584)="","",INDEX('Work Orders'!$AL$11:$AL$1010,$B584)))</f>
        <v/>
      </c>
      <c r="O584" s="43">
        <f>IF($B584="","",IF(INDEX('Work Orders'!$N$11:$N$1010,$B584)="","",INDEX('Work Orders'!$N$11:$N$1010,$B584)))</f>
        <v/>
      </c>
    </row>
    <row r="585">
      <c r="A585" s="68" t="n">
        <v>579</v>
      </c>
      <c r="B585">
        <f>IFERROR(MATCH(A585,'Work Orders'!$AO$11:$AO$1010,0),"")</f>
        <v/>
      </c>
      <c r="C585" s="43">
        <f>IF($B585="","",IF(INDEX('Work Orders'!$A$11:$A$1010,$B585)="","",INDEX('Work Orders'!$A$11:$A$1010,$B585)))</f>
        <v/>
      </c>
      <c r="D585" s="43">
        <f>IF($B585="","",IF(INDEX('Work Orders'!$B$11:$B$1010,$B585)="","",INDEX('Work Orders'!$B$11:$B$1010,$B585)))</f>
        <v/>
      </c>
      <c r="E585" s="43">
        <f>IF($B585="","",IF(INDEX('Work Orders'!$D$11:$D$1010,$B585)="","",INDEX('Work Orders'!$D$11:$D$1010,$B585)))</f>
        <v/>
      </c>
      <c r="F585" s="43">
        <f>IF($B585="","",IF(INDEX('Work Orders'!$Q$11:$Q$1010,$B585)="","",INDEX('Work Orders'!$Q$11:$Q$1010,$B585)))</f>
        <v/>
      </c>
      <c r="G585" s="43">
        <f>IF($B585="","",IF(INDEX('Work Orders'!$V$11:$V$1010,$B585)="","",INDEX('Work Orders'!$V$11:$V$1010,$B585)))</f>
        <v/>
      </c>
      <c r="H585" s="47">
        <f>IF($B585="","",IF(INDEX('Work Orders'!$U$11:$U$1010,$B585)="","",INDEX('Work Orders'!$U$11:$U$1010,$B585)))</f>
        <v/>
      </c>
      <c r="I585" s="47">
        <f>IF($B585="","",IF(INDEX('Work Orders'!$X$11:$X$1010,$B585)="","",INDEX('Work Orders'!$X$11:$X$1010,$B585)))</f>
        <v/>
      </c>
      <c r="J585" s="44">
        <f>IF($B585="","",IF(INDEX('Work Orders'!$Z$11:$Z$1010,$B585)="","",INDEX('Work Orders'!$Z$11:$Z$1010,$B585)))</f>
        <v/>
      </c>
      <c r="K585" s="44">
        <f>IF($B585="","",IF(INDEX('Work Orders'!$AG$11:$AG$1010,$B585)="","",INDEX('Work Orders'!$AG$11:$AG$1010,$B585)))</f>
        <v/>
      </c>
      <c r="L585" s="44">
        <f>IF($B585="","",IF(INDEX('Work Orders'!$AH$11:$AH$1010,$B585)="","",INDEX('Work Orders'!$AH$11:$AH$1010,$B585)))</f>
        <v/>
      </c>
      <c r="M585" s="46">
        <f>IF($B585="","",IF(INDEX('Work Orders'!$AM$11:$AM$1010,$B585)="","",INDEX('Work Orders'!$AM$11:$AM$1010,$B585)))</f>
        <v/>
      </c>
      <c r="N585" s="43">
        <f>IF($B585="","",IF(INDEX('Work Orders'!$AL$11:$AL$1010,$B585)="","",INDEX('Work Orders'!$AL$11:$AL$1010,$B585)))</f>
        <v/>
      </c>
      <c r="O585" s="43">
        <f>IF($B585="","",IF(INDEX('Work Orders'!$N$11:$N$1010,$B585)="","",INDEX('Work Orders'!$N$11:$N$1010,$B585)))</f>
        <v/>
      </c>
    </row>
    <row r="586">
      <c r="A586" s="68" t="n">
        <v>580</v>
      </c>
      <c r="B586">
        <f>IFERROR(MATCH(A586,'Work Orders'!$AO$11:$AO$1010,0),"")</f>
        <v/>
      </c>
      <c r="C586" s="43">
        <f>IF($B586="","",IF(INDEX('Work Orders'!$A$11:$A$1010,$B586)="","",INDEX('Work Orders'!$A$11:$A$1010,$B586)))</f>
        <v/>
      </c>
      <c r="D586" s="43">
        <f>IF($B586="","",IF(INDEX('Work Orders'!$B$11:$B$1010,$B586)="","",INDEX('Work Orders'!$B$11:$B$1010,$B586)))</f>
        <v/>
      </c>
      <c r="E586" s="43">
        <f>IF($B586="","",IF(INDEX('Work Orders'!$D$11:$D$1010,$B586)="","",INDEX('Work Orders'!$D$11:$D$1010,$B586)))</f>
        <v/>
      </c>
      <c r="F586" s="43">
        <f>IF($B586="","",IF(INDEX('Work Orders'!$Q$11:$Q$1010,$B586)="","",INDEX('Work Orders'!$Q$11:$Q$1010,$B586)))</f>
        <v/>
      </c>
      <c r="G586" s="43">
        <f>IF($B586="","",IF(INDEX('Work Orders'!$V$11:$V$1010,$B586)="","",INDEX('Work Orders'!$V$11:$V$1010,$B586)))</f>
        <v/>
      </c>
      <c r="H586" s="47">
        <f>IF($B586="","",IF(INDEX('Work Orders'!$U$11:$U$1010,$B586)="","",INDEX('Work Orders'!$U$11:$U$1010,$B586)))</f>
        <v/>
      </c>
      <c r="I586" s="47">
        <f>IF($B586="","",IF(INDEX('Work Orders'!$X$11:$X$1010,$B586)="","",INDEX('Work Orders'!$X$11:$X$1010,$B586)))</f>
        <v/>
      </c>
      <c r="J586" s="44">
        <f>IF($B586="","",IF(INDEX('Work Orders'!$Z$11:$Z$1010,$B586)="","",INDEX('Work Orders'!$Z$11:$Z$1010,$B586)))</f>
        <v/>
      </c>
      <c r="K586" s="44">
        <f>IF($B586="","",IF(INDEX('Work Orders'!$AG$11:$AG$1010,$B586)="","",INDEX('Work Orders'!$AG$11:$AG$1010,$B586)))</f>
        <v/>
      </c>
      <c r="L586" s="44">
        <f>IF($B586="","",IF(INDEX('Work Orders'!$AH$11:$AH$1010,$B586)="","",INDEX('Work Orders'!$AH$11:$AH$1010,$B586)))</f>
        <v/>
      </c>
      <c r="M586" s="46">
        <f>IF($B586="","",IF(INDEX('Work Orders'!$AM$11:$AM$1010,$B586)="","",INDEX('Work Orders'!$AM$11:$AM$1010,$B586)))</f>
        <v/>
      </c>
      <c r="N586" s="43">
        <f>IF($B586="","",IF(INDEX('Work Orders'!$AL$11:$AL$1010,$B586)="","",INDEX('Work Orders'!$AL$11:$AL$1010,$B586)))</f>
        <v/>
      </c>
      <c r="O586" s="43">
        <f>IF($B586="","",IF(INDEX('Work Orders'!$N$11:$N$1010,$B586)="","",INDEX('Work Orders'!$N$11:$N$1010,$B586)))</f>
        <v/>
      </c>
    </row>
    <row r="587">
      <c r="A587" s="68" t="n">
        <v>581</v>
      </c>
      <c r="B587">
        <f>IFERROR(MATCH(A587,'Work Orders'!$AO$11:$AO$1010,0),"")</f>
        <v/>
      </c>
      <c r="C587" s="43">
        <f>IF($B587="","",IF(INDEX('Work Orders'!$A$11:$A$1010,$B587)="","",INDEX('Work Orders'!$A$11:$A$1010,$B587)))</f>
        <v/>
      </c>
      <c r="D587" s="43">
        <f>IF($B587="","",IF(INDEX('Work Orders'!$B$11:$B$1010,$B587)="","",INDEX('Work Orders'!$B$11:$B$1010,$B587)))</f>
        <v/>
      </c>
      <c r="E587" s="43">
        <f>IF($B587="","",IF(INDEX('Work Orders'!$D$11:$D$1010,$B587)="","",INDEX('Work Orders'!$D$11:$D$1010,$B587)))</f>
        <v/>
      </c>
      <c r="F587" s="43">
        <f>IF($B587="","",IF(INDEX('Work Orders'!$Q$11:$Q$1010,$B587)="","",INDEX('Work Orders'!$Q$11:$Q$1010,$B587)))</f>
        <v/>
      </c>
      <c r="G587" s="43">
        <f>IF($B587="","",IF(INDEX('Work Orders'!$V$11:$V$1010,$B587)="","",INDEX('Work Orders'!$V$11:$V$1010,$B587)))</f>
        <v/>
      </c>
      <c r="H587" s="47">
        <f>IF($B587="","",IF(INDEX('Work Orders'!$U$11:$U$1010,$B587)="","",INDEX('Work Orders'!$U$11:$U$1010,$B587)))</f>
        <v/>
      </c>
      <c r="I587" s="47">
        <f>IF($B587="","",IF(INDEX('Work Orders'!$X$11:$X$1010,$B587)="","",INDEX('Work Orders'!$X$11:$X$1010,$B587)))</f>
        <v/>
      </c>
      <c r="J587" s="44">
        <f>IF($B587="","",IF(INDEX('Work Orders'!$Z$11:$Z$1010,$B587)="","",INDEX('Work Orders'!$Z$11:$Z$1010,$B587)))</f>
        <v/>
      </c>
      <c r="K587" s="44">
        <f>IF($B587="","",IF(INDEX('Work Orders'!$AG$11:$AG$1010,$B587)="","",INDEX('Work Orders'!$AG$11:$AG$1010,$B587)))</f>
        <v/>
      </c>
      <c r="L587" s="44">
        <f>IF($B587="","",IF(INDEX('Work Orders'!$AH$11:$AH$1010,$B587)="","",INDEX('Work Orders'!$AH$11:$AH$1010,$B587)))</f>
        <v/>
      </c>
      <c r="M587" s="46">
        <f>IF($B587="","",IF(INDEX('Work Orders'!$AM$11:$AM$1010,$B587)="","",INDEX('Work Orders'!$AM$11:$AM$1010,$B587)))</f>
        <v/>
      </c>
      <c r="N587" s="43">
        <f>IF($B587="","",IF(INDEX('Work Orders'!$AL$11:$AL$1010,$B587)="","",INDEX('Work Orders'!$AL$11:$AL$1010,$B587)))</f>
        <v/>
      </c>
      <c r="O587" s="43">
        <f>IF($B587="","",IF(INDEX('Work Orders'!$N$11:$N$1010,$B587)="","",INDEX('Work Orders'!$N$11:$N$1010,$B587)))</f>
        <v/>
      </c>
    </row>
    <row r="588">
      <c r="A588" s="68" t="n">
        <v>582</v>
      </c>
      <c r="B588">
        <f>IFERROR(MATCH(A588,'Work Orders'!$AO$11:$AO$1010,0),"")</f>
        <v/>
      </c>
      <c r="C588" s="43">
        <f>IF($B588="","",IF(INDEX('Work Orders'!$A$11:$A$1010,$B588)="","",INDEX('Work Orders'!$A$11:$A$1010,$B588)))</f>
        <v/>
      </c>
      <c r="D588" s="43">
        <f>IF($B588="","",IF(INDEX('Work Orders'!$B$11:$B$1010,$B588)="","",INDEX('Work Orders'!$B$11:$B$1010,$B588)))</f>
        <v/>
      </c>
      <c r="E588" s="43">
        <f>IF($B588="","",IF(INDEX('Work Orders'!$D$11:$D$1010,$B588)="","",INDEX('Work Orders'!$D$11:$D$1010,$B588)))</f>
        <v/>
      </c>
      <c r="F588" s="43">
        <f>IF($B588="","",IF(INDEX('Work Orders'!$Q$11:$Q$1010,$B588)="","",INDEX('Work Orders'!$Q$11:$Q$1010,$B588)))</f>
        <v/>
      </c>
      <c r="G588" s="43">
        <f>IF($B588="","",IF(INDEX('Work Orders'!$V$11:$V$1010,$B588)="","",INDEX('Work Orders'!$V$11:$V$1010,$B588)))</f>
        <v/>
      </c>
      <c r="H588" s="47">
        <f>IF($B588="","",IF(INDEX('Work Orders'!$U$11:$U$1010,$B588)="","",INDEX('Work Orders'!$U$11:$U$1010,$B588)))</f>
        <v/>
      </c>
      <c r="I588" s="47">
        <f>IF($B588="","",IF(INDEX('Work Orders'!$X$11:$X$1010,$B588)="","",INDEX('Work Orders'!$X$11:$X$1010,$B588)))</f>
        <v/>
      </c>
      <c r="J588" s="44">
        <f>IF($B588="","",IF(INDEX('Work Orders'!$Z$11:$Z$1010,$B588)="","",INDEX('Work Orders'!$Z$11:$Z$1010,$B588)))</f>
        <v/>
      </c>
      <c r="K588" s="44">
        <f>IF($B588="","",IF(INDEX('Work Orders'!$AG$11:$AG$1010,$B588)="","",INDEX('Work Orders'!$AG$11:$AG$1010,$B588)))</f>
        <v/>
      </c>
      <c r="L588" s="44">
        <f>IF($B588="","",IF(INDEX('Work Orders'!$AH$11:$AH$1010,$B588)="","",INDEX('Work Orders'!$AH$11:$AH$1010,$B588)))</f>
        <v/>
      </c>
      <c r="M588" s="46">
        <f>IF($B588="","",IF(INDEX('Work Orders'!$AM$11:$AM$1010,$B588)="","",INDEX('Work Orders'!$AM$11:$AM$1010,$B588)))</f>
        <v/>
      </c>
      <c r="N588" s="43">
        <f>IF($B588="","",IF(INDEX('Work Orders'!$AL$11:$AL$1010,$B588)="","",INDEX('Work Orders'!$AL$11:$AL$1010,$B588)))</f>
        <v/>
      </c>
      <c r="O588" s="43">
        <f>IF($B588="","",IF(INDEX('Work Orders'!$N$11:$N$1010,$B588)="","",INDEX('Work Orders'!$N$11:$N$1010,$B588)))</f>
        <v/>
      </c>
    </row>
    <row r="589">
      <c r="A589" s="68" t="n">
        <v>583</v>
      </c>
      <c r="B589">
        <f>IFERROR(MATCH(A589,'Work Orders'!$AO$11:$AO$1010,0),"")</f>
        <v/>
      </c>
      <c r="C589" s="43">
        <f>IF($B589="","",IF(INDEX('Work Orders'!$A$11:$A$1010,$B589)="","",INDEX('Work Orders'!$A$11:$A$1010,$B589)))</f>
        <v/>
      </c>
      <c r="D589" s="43">
        <f>IF($B589="","",IF(INDEX('Work Orders'!$B$11:$B$1010,$B589)="","",INDEX('Work Orders'!$B$11:$B$1010,$B589)))</f>
        <v/>
      </c>
      <c r="E589" s="43">
        <f>IF($B589="","",IF(INDEX('Work Orders'!$D$11:$D$1010,$B589)="","",INDEX('Work Orders'!$D$11:$D$1010,$B589)))</f>
        <v/>
      </c>
      <c r="F589" s="43">
        <f>IF($B589="","",IF(INDEX('Work Orders'!$Q$11:$Q$1010,$B589)="","",INDEX('Work Orders'!$Q$11:$Q$1010,$B589)))</f>
        <v/>
      </c>
      <c r="G589" s="43">
        <f>IF($B589="","",IF(INDEX('Work Orders'!$V$11:$V$1010,$B589)="","",INDEX('Work Orders'!$V$11:$V$1010,$B589)))</f>
        <v/>
      </c>
      <c r="H589" s="47">
        <f>IF($B589="","",IF(INDEX('Work Orders'!$U$11:$U$1010,$B589)="","",INDEX('Work Orders'!$U$11:$U$1010,$B589)))</f>
        <v/>
      </c>
      <c r="I589" s="47">
        <f>IF($B589="","",IF(INDEX('Work Orders'!$X$11:$X$1010,$B589)="","",INDEX('Work Orders'!$X$11:$X$1010,$B589)))</f>
        <v/>
      </c>
      <c r="J589" s="44">
        <f>IF($B589="","",IF(INDEX('Work Orders'!$Z$11:$Z$1010,$B589)="","",INDEX('Work Orders'!$Z$11:$Z$1010,$B589)))</f>
        <v/>
      </c>
      <c r="K589" s="44">
        <f>IF($B589="","",IF(INDEX('Work Orders'!$AG$11:$AG$1010,$B589)="","",INDEX('Work Orders'!$AG$11:$AG$1010,$B589)))</f>
        <v/>
      </c>
      <c r="L589" s="44">
        <f>IF($B589="","",IF(INDEX('Work Orders'!$AH$11:$AH$1010,$B589)="","",INDEX('Work Orders'!$AH$11:$AH$1010,$B589)))</f>
        <v/>
      </c>
      <c r="M589" s="46">
        <f>IF($B589="","",IF(INDEX('Work Orders'!$AM$11:$AM$1010,$B589)="","",INDEX('Work Orders'!$AM$11:$AM$1010,$B589)))</f>
        <v/>
      </c>
      <c r="N589" s="43">
        <f>IF($B589="","",IF(INDEX('Work Orders'!$AL$11:$AL$1010,$B589)="","",INDEX('Work Orders'!$AL$11:$AL$1010,$B589)))</f>
        <v/>
      </c>
      <c r="O589" s="43">
        <f>IF($B589="","",IF(INDEX('Work Orders'!$N$11:$N$1010,$B589)="","",INDEX('Work Orders'!$N$11:$N$1010,$B589)))</f>
        <v/>
      </c>
    </row>
    <row r="590">
      <c r="A590" s="68" t="n">
        <v>584</v>
      </c>
      <c r="B590">
        <f>IFERROR(MATCH(A590,'Work Orders'!$AO$11:$AO$1010,0),"")</f>
        <v/>
      </c>
      <c r="C590" s="43">
        <f>IF($B590="","",IF(INDEX('Work Orders'!$A$11:$A$1010,$B590)="","",INDEX('Work Orders'!$A$11:$A$1010,$B590)))</f>
        <v/>
      </c>
      <c r="D590" s="43">
        <f>IF($B590="","",IF(INDEX('Work Orders'!$B$11:$B$1010,$B590)="","",INDEX('Work Orders'!$B$11:$B$1010,$B590)))</f>
        <v/>
      </c>
      <c r="E590" s="43">
        <f>IF($B590="","",IF(INDEX('Work Orders'!$D$11:$D$1010,$B590)="","",INDEX('Work Orders'!$D$11:$D$1010,$B590)))</f>
        <v/>
      </c>
      <c r="F590" s="43">
        <f>IF($B590="","",IF(INDEX('Work Orders'!$Q$11:$Q$1010,$B590)="","",INDEX('Work Orders'!$Q$11:$Q$1010,$B590)))</f>
        <v/>
      </c>
      <c r="G590" s="43">
        <f>IF($B590="","",IF(INDEX('Work Orders'!$V$11:$V$1010,$B590)="","",INDEX('Work Orders'!$V$11:$V$1010,$B590)))</f>
        <v/>
      </c>
      <c r="H590" s="47">
        <f>IF($B590="","",IF(INDEX('Work Orders'!$U$11:$U$1010,$B590)="","",INDEX('Work Orders'!$U$11:$U$1010,$B590)))</f>
        <v/>
      </c>
      <c r="I590" s="47">
        <f>IF($B590="","",IF(INDEX('Work Orders'!$X$11:$X$1010,$B590)="","",INDEX('Work Orders'!$X$11:$X$1010,$B590)))</f>
        <v/>
      </c>
      <c r="J590" s="44">
        <f>IF($B590="","",IF(INDEX('Work Orders'!$Z$11:$Z$1010,$B590)="","",INDEX('Work Orders'!$Z$11:$Z$1010,$B590)))</f>
        <v/>
      </c>
      <c r="K590" s="44">
        <f>IF($B590="","",IF(INDEX('Work Orders'!$AG$11:$AG$1010,$B590)="","",INDEX('Work Orders'!$AG$11:$AG$1010,$B590)))</f>
        <v/>
      </c>
      <c r="L590" s="44">
        <f>IF($B590="","",IF(INDEX('Work Orders'!$AH$11:$AH$1010,$B590)="","",INDEX('Work Orders'!$AH$11:$AH$1010,$B590)))</f>
        <v/>
      </c>
      <c r="M590" s="46">
        <f>IF($B590="","",IF(INDEX('Work Orders'!$AM$11:$AM$1010,$B590)="","",INDEX('Work Orders'!$AM$11:$AM$1010,$B590)))</f>
        <v/>
      </c>
      <c r="N590" s="43">
        <f>IF($B590="","",IF(INDEX('Work Orders'!$AL$11:$AL$1010,$B590)="","",INDEX('Work Orders'!$AL$11:$AL$1010,$B590)))</f>
        <v/>
      </c>
      <c r="O590" s="43">
        <f>IF($B590="","",IF(INDEX('Work Orders'!$N$11:$N$1010,$B590)="","",INDEX('Work Orders'!$N$11:$N$1010,$B590)))</f>
        <v/>
      </c>
    </row>
    <row r="591">
      <c r="A591" s="68" t="n">
        <v>585</v>
      </c>
      <c r="B591">
        <f>IFERROR(MATCH(A591,'Work Orders'!$AO$11:$AO$1010,0),"")</f>
        <v/>
      </c>
      <c r="C591" s="43">
        <f>IF($B591="","",IF(INDEX('Work Orders'!$A$11:$A$1010,$B591)="","",INDEX('Work Orders'!$A$11:$A$1010,$B591)))</f>
        <v/>
      </c>
      <c r="D591" s="43">
        <f>IF($B591="","",IF(INDEX('Work Orders'!$B$11:$B$1010,$B591)="","",INDEX('Work Orders'!$B$11:$B$1010,$B591)))</f>
        <v/>
      </c>
      <c r="E591" s="43">
        <f>IF($B591="","",IF(INDEX('Work Orders'!$D$11:$D$1010,$B591)="","",INDEX('Work Orders'!$D$11:$D$1010,$B591)))</f>
        <v/>
      </c>
      <c r="F591" s="43">
        <f>IF($B591="","",IF(INDEX('Work Orders'!$Q$11:$Q$1010,$B591)="","",INDEX('Work Orders'!$Q$11:$Q$1010,$B591)))</f>
        <v/>
      </c>
      <c r="G591" s="43">
        <f>IF($B591="","",IF(INDEX('Work Orders'!$V$11:$V$1010,$B591)="","",INDEX('Work Orders'!$V$11:$V$1010,$B591)))</f>
        <v/>
      </c>
      <c r="H591" s="47">
        <f>IF($B591="","",IF(INDEX('Work Orders'!$U$11:$U$1010,$B591)="","",INDEX('Work Orders'!$U$11:$U$1010,$B591)))</f>
        <v/>
      </c>
      <c r="I591" s="47">
        <f>IF($B591="","",IF(INDEX('Work Orders'!$X$11:$X$1010,$B591)="","",INDEX('Work Orders'!$X$11:$X$1010,$B591)))</f>
        <v/>
      </c>
      <c r="J591" s="44">
        <f>IF($B591="","",IF(INDEX('Work Orders'!$Z$11:$Z$1010,$B591)="","",INDEX('Work Orders'!$Z$11:$Z$1010,$B591)))</f>
        <v/>
      </c>
      <c r="K591" s="44">
        <f>IF($B591="","",IF(INDEX('Work Orders'!$AG$11:$AG$1010,$B591)="","",INDEX('Work Orders'!$AG$11:$AG$1010,$B591)))</f>
        <v/>
      </c>
      <c r="L591" s="44">
        <f>IF($B591="","",IF(INDEX('Work Orders'!$AH$11:$AH$1010,$B591)="","",INDEX('Work Orders'!$AH$11:$AH$1010,$B591)))</f>
        <v/>
      </c>
      <c r="M591" s="46">
        <f>IF($B591="","",IF(INDEX('Work Orders'!$AM$11:$AM$1010,$B591)="","",INDEX('Work Orders'!$AM$11:$AM$1010,$B591)))</f>
        <v/>
      </c>
      <c r="N591" s="43">
        <f>IF($B591="","",IF(INDEX('Work Orders'!$AL$11:$AL$1010,$B591)="","",INDEX('Work Orders'!$AL$11:$AL$1010,$B591)))</f>
        <v/>
      </c>
      <c r="O591" s="43">
        <f>IF($B591="","",IF(INDEX('Work Orders'!$N$11:$N$1010,$B591)="","",INDEX('Work Orders'!$N$11:$N$1010,$B591)))</f>
        <v/>
      </c>
    </row>
    <row r="592">
      <c r="A592" s="68" t="n">
        <v>586</v>
      </c>
      <c r="B592">
        <f>IFERROR(MATCH(A592,'Work Orders'!$AO$11:$AO$1010,0),"")</f>
        <v/>
      </c>
      <c r="C592" s="43">
        <f>IF($B592="","",IF(INDEX('Work Orders'!$A$11:$A$1010,$B592)="","",INDEX('Work Orders'!$A$11:$A$1010,$B592)))</f>
        <v/>
      </c>
      <c r="D592" s="43">
        <f>IF($B592="","",IF(INDEX('Work Orders'!$B$11:$B$1010,$B592)="","",INDEX('Work Orders'!$B$11:$B$1010,$B592)))</f>
        <v/>
      </c>
      <c r="E592" s="43">
        <f>IF($B592="","",IF(INDEX('Work Orders'!$D$11:$D$1010,$B592)="","",INDEX('Work Orders'!$D$11:$D$1010,$B592)))</f>
        <v/>
      </c>
      <c r="F592" s="43">
        <f>IF($B592="","",IF(INDEX('Work Orders'!$Q$11:$Q$1010,$B592)="","",INDEX('Work Orders'!$Q$11:$Q$1010,$B592)))</f>
        <v/>
      </c>
      <c r="G592" s="43">
        <f>IF($B592="","",IF(INDEX('Work Orders'!$V$11:$V$1010,$B592)="","",INDEX('Work Orders'!$V$11:$V$1010,$B592)))</f>
        <v/>
      </c>
      <c r="H592" s="47">
        <f>IF($B592="","",IF(INDEX('Work Orders'!$U$11:$U$1010,$B592)="","",INDEX('Work Orders'!$U$11:$U$1010,$B592)))</f>
        <v/>
      </c>
      <c r="I592" s="47">
        <f>IF($B592="","",IF(INDEX('Work Orders'!$X$11:$X$1010,$B592)="","",INDEX('Work Orders'!$X$11:$X$1010,$B592)))</f>
        <v/>
      </c>
      <c r="J592" s="44">
        <f>IF($B592="","",IF(INDEX('Work Orders'!$Z$11:$Z$1010,$B592)="","",INDEX('Work Orders'!$Z$11:$Z$1010,$B592)))</f>
        <v/>
      </c>
      <c r="K592" s="44">
        <f>IF($B592="","",IF(INDEX('Work Orders'!$AG$11:$AG$1010,$B592)="","",INDEX('Work Orders'!$AG$11:$AG$1010,$B592)))</f>
        <v/>
      </c>
      <c r="L592" s="44">
        <f>IF($B592="","",IF(INDEX('Work Orders'!$AH$11:$AH$1010,$B592)="","",INDEX('Work Orders'!$AH$11:$AH$1010,$B592)))</f>
        <v/>
      </c>
      <c r="M592" s="46">
        <f>IF($B592="","",IF(INDEX('Work Orders'!$AM$11:$AM$1010,$B592)="","",INDEX('Work Orders'!$AM$11:$AM$1010,$B592)))</f>
        <v/>
      </c>
      <c r="N592" s="43">
        <f>IF($B592="","",IF(INDEX('Work Orders'!$AL$11:$AL$1010,$B592)="","",INDEX('Work Orders'!$AL$11:$AL$1010,$B592)))</f>
        <v/>
      </c>
      <c r="O592" s="43">
        <f>IF($B592="","",IF(INDEX('Work Orders'!$N$11:$N$1010,$B592)="","",INDEX('Work Orders'!$N$11:$N$1010,$B592)))</f>
        <v/>
      </c>
    </row>
    <row r="593">
      <c r="A593" s="68" t="n">
        <v>587</v>
      </c>
      <c r="B593">
        <f>IFERROR(MATCH(A593,'Work Orders'!$AO$11:$AO$1010,0),"")</f>
        <v/>
      </c>
      <c r="C593" s="43">
        <f>IF($B593="","",IF(INDEX('Work Orders'!$A$11:$A$1010,$B593)="","",INDEX('Work Orders'!$A$11:$A$1010,$B593)))</f>
        <v/>
      </c>
      <c r="D593" s="43">
        <f>IF($B593="","",IF(INDEX('Work Orders'!$B$11:$B$1010,$B593)="","",INDEX('Work Orders'!$B$11:$B$1010,$B593)))</f>
        <v/>
      </c>
      <c r="E593" s="43">
        <f>IF($B593="","",IF(INDEX('Work Orders'!$D$11:$D$1010,$B593)="","",INDEX('Work Orders'!$D$11:$D$1010,$B593)))</f>
        <v/>
      </c>
      <c r="F593" s="43">
        <f>IF($B593="","",IF(INDEX('Work Orders'!$Q$11:$Q$1010,$B593)="","",INDEX('Work Orders'!$Q$11:$Q$1010,$B593)))</f>
        <v/>
      </c>
      <c r="G593" s="43">
        <f>IF($B593="","",IF(INDEX('Work Orders'!$V$11:$V$1010,$B593)="","",INDEX('Work Orders'!$V$11:$V$1010,$B593)))</f>
        <v/>
      </c>
      <c r="H593" s="47">
        <f>IF($B593="","",IF(INDEX('Work Orders'!$U$11:$U$1010,$B593)="","",INDEX('Work Orders'!$U$11:$U$1010,$B593)))</f>
        <v/>
      </c>
      <c r="I593" s="47">
        <f>IF($B593="","",IF(INDEX('Work Orders'!$X$11:$X$1010,$B593)="","",INDEX('Work Orders'!$X$11:$X$1010,$B593)))</f>
        <v/>
      </c>
      <c r="J593" s="44">
        <f>IF($B593="","",IF(INDEX('Work Orders'!$Z$11:$Z$1010,$B593)="","",INDEX('Work Orders'!$Z$11:$Z$1010,$B593)))</f>
        <v/>
      </c>
      <c r="K593" s="44">
        <f>IF($B593="","",IF(INDEX('Work Orders'!$AG$11:$AG$1010,$B593)="","",INDEX('Work Orders'!$AG$11:$AG$1010,$B593)))</f>
        <v/>
      </c>
      <c r="L593" s="44">
        <f>IF($B593="","",IF(INDEX('Work Orders'!$AH$11:$AH$1010,$B593)="","",INDEX('Work Orders'!$AH$11:$AH$1010,$B593)))</f>
        <v/>
      </c>
      <c r="M593" s="46">
        <f>IF($B593="","",IF(INDEX('Work Orders'!$AM$11:$AM$1010,$B593)="","",INDEX('Work Orders'!$AM$11:$AM$1010,$B593)))</f>
        <v/>
      </c>
      <c r="N593" s="43">
        <f>IF($B593="","",IF(INDEX('Work Orders'!$AL$11:$AL$1010,$B593)="","",INDEX('Work Orders'!$AL$11:$AL$1010,$B593)))</f>
        <v/>
      </c>
      <c r="O593" s="43">
        <f>IF($B593="","",IF(INDEX('Work Orders'!$N$11:$N$1010,$B593)="","",INDEX('Work Orders'!$N$11:$N$1010,$B593)))</f>
        <v/>
      </c>
    </row>
    <row r="594">
      <c r="A594" s="68" t="n">
        <v>588</v>
      </c>
      <c r="B594">
        <f>IFERROR(MATCH(A594,'Work Orders'!$AO$11:$AO$1010,0),"")</f>
        <v/>
      </c>
      <c r="C594" s="43">
        <f>IF($B594="","",IF(INDEX('Work Orders'!$A$11:$A$1010,$B594)="","",INDEX('Work Orders'!$A$11:$A$1010,$B594)))</f>
        <v/>
      </c>
      <c r="D594" s="43">
        <f>IF($B594="","",IF(INDEX('Work Orders'!$B$11:$B$1010,$B594)="","",INDEX('Work Orders'!$B$11:$B$1010,$B594)))</f>
        <v/>
      </c>
      <c r="E594" s="43">
        <f>IF($B594="","",IF(INDEX('Work Orders'!$D$11:$D$1010,$B594)="","",INDEX('Work Orders'!$D$11:$D$1010,$B594)))</f>
        <v/>
      </c>
      <c r="F594" s="43">
        <f>IF($B594="","",IF(INDEX('Work Orders'!$Q$11:$Q$1010,$B594)="","",INDEX('Work Orders'!$Q$11:$Q$1010,$B594)))</f>
        <v/>
      </c>
      <c r="G594" s="43">
        <f>IF($B594="","",IF(INDEX('Work Orders'!$V$11:$V$1010,$B594)="","",INDEX('Work Orders'!$V$11:$V$1010,$B594)))</f>
        <v/>
      </c>
      <c r="H594" s="47">
        <f>IF($B594="","",IF(INDEX('Work Orders'!$U$11:$U$1010,$B594)="","",INDEX('Work Orders'!$U$11:$U$1010,$B594)))</f>
        <v/>
      </c>
      <c r="I594" s="47">
        <f>IF($B594="","",IF(INDEX('Work Orders'!$X$11:$X$1010,$B594)="","",INDEX('Work Orders'!$X$11:$X$1010,$B594)))</f>
        <v/>
      </c>
      <c r="J594" s="44">
        <f>IF($B594="","",IF(INDEX('Work Orders'!$Z$11:$Z$1010,$B594)="","",INDEX('Work Orders'!$Z$11:$Z$1010,$B594)))</f>
        <v/>
      </c>
      <c r="K594" s="44">
        <f>IF($B594="","",IF(INDEX('Work Orders'!$AG$11:$AG$1010,$B594)="","",INDEX('Work Orders'!$AG$11:$AG$1010,$B594)))</f>
        <v/>
      </c>
      <c r="L594" s="44">
        <f>IF($B594="","",IF(INDEX('Work Orders'!$AH$11:$AH$1010,$B594)="","",INDEX('Work Orders'!$AH$11:$AH$1010,$B594)))</f>
        <v/>
      </c>
      <c r="M594" s="46">
        <f>IF($B594="","",IF(INDEX('Work Orders'!$AM$11:$AM$1010,$B594)="","",INDEX('Work Orders'!$AM$11:$AM$1010,$B594)))</f>
        <v/>
      </c>
      <c r="N594" s="43">
        <f>IF($B594="","",IF(INDEX('Work Orders'!$AL$11:$AL$1010,$B594)="","",INDEX('Work Orders'!$AL$11:$AL$1010,$B594)))</f>
        <v/>
      </c>
      <c r="O594" s="43">
        <f>IF($B594="","",IF(INDEX('Work Orders'!$N$11:$N$1010,$B594)="","",INDEX('Work Orders'!$N$11:$N$1010,$B594)))</f>
        <v/>
      </c>
    </row>
    <row r="595">
      <c r="A595" s="68" t="n">
        <v>589</v>
      </c>
      <c r="B595">
        <f>IFERROR(MATCH(A595,'Work Orders'!$AO$11:$AO$1010,0),"")</f>
        <v/>
      </c>
      <c r="C595" s="43">
        <f>IF($B595="","",IF(INDEX('Work Orders'!$A$11:$A$1010,$B595)="","",INDEX('Work Orders'!$A$11:$A$1010,$B595)))</f>
        <v/>
      </c>
      <c r="D595" s="43">
        <f>IF($B595="","",IF(INDEX('Work Orders'!$B$11:$B$1010,$B595)="","",INDEX('Work Orders'!$B$11:$B$1010,$B595)))</f>
        <v/>
      </c>
      <c r="E595" s="43">
        <f>IF($B595="","",IF(INDEX('Work Orders'!$D$11:$D$1010,$B595)="","",INDEX('Work Orders'!$D$11:$D$1010,$B595)))</f>
        <v/>
      </c>
      <c r="F595" s="43">
        <f>IF($B595="","",IF(INDEX('Work Orders'!$Q$11:$Q$1010,$B595)="","",INDEX('Work Orders'!$Q$11:$Q$1010,$B595)))</f>
        <v/>
      </c>
      <c r="G595" s="43">
        <f>IF($B595="","",IF(INDEX('Work Orders'!$V$11:$V$1010,$B595)="","",INDEX('Work Orders'!$V$11:$V$1010,$B595)))</f>
        <v/>
      </c>
      <c r="H595" s="47">
        <f>IF($B595="","",IF(INDEX('Work Orders'!$U$11:$U$1010,$B595)="","",INDEX('Work Orders'!$U$11:$U$1010,$B595)))</f>
        <v/>
      </c>
      <c r="I595" s="47">
        <f>IF($B595="","",IF(INDEX('Work Orders'!$X$11:$X$1010,$B595)="","",INDEX('Work Orders'!$X$11:$X$1010,$B595)))</f>
        <v/>
      </c>
      <c r="J595" s="44">
        <f>IF($B595="","",IF(INDEX('Work Orders'!$Z$11:$Z$1010,$B595)="","",INDEX('Work Orders'!$Z$11:$Z$1010,$B595)))</f>
        <v/>
      </c>
      <c r="K595" s="44">
        <f>IF($B595="","",IF(INDEX('Work Orders'!$AG$11:$AG$1010,$B595)="","",INDEX('Work Orders'!$AG$11:$AG$1010,$B595)))</f>
        <v/>
      </c>
      <c r="L595" s="44">
        <f>IF($B595="","",IF(INDEX('Work Orders'!$AH$11:$AH$1010,$B595)="","",INDEX('Work Orders'!$AH$11:$AH$1010,$B595)))</f>
        <v/>
      </c>
      <c r="M595" s="46">
        <f>IF($B595="","",IF(INDEX('Work Orders'!$AM$11:$AM$1010,$B595)="","",INDEX('Work Orders'!$AM$11:$AM$1010,$B595)))</f>
        <v/>
      </c>
      <c r="N595" s="43">
        <f>IF($B595="","",IF(INDEX('Work Orders'!$AL$11:$AL$1010,$B595)="","",INDEX('Work Orders'!$AL$11:$AL$1010,$B595)))</f>
        <v/>
      </c>
      <c r="O595" s="43">
        <f>IF($B595="","",IF(INDEX('Work Orders'!$N$11:$N$1010,$B595)="","",INDEX('Work Orders'!$N$11:$N$1010,$B595)))</f>
        <v/>
      </c>
    </row>
    <row r="596">
      <c r="A596" s="68" t="n">
        <v>590</v>
      </c>
      <c r="B596">
        <f>IFERROR(MATCH(A596,'Work Orders'!$AO$11:$AO$1010,0),"")</f>
        <v/>
      </c>
      <c r="C596" s="43">
        <f>IF($B596="","",IF(INDEX('Work Orders'!$A$11:$A$1010,$B596)="","",INDEX('Work Orders'!$A$11:$A$1010,$B596)))</f>
        <v/>
      </c>
      <c r="D596" s="43">
        <f>IF($B596="","",IF(INDEX('Work Orders'!$B$11:$B$1010,$B596)="","",INDEX('Work Orders'!$B$11:$B$1010,$B596)))</f>
        <v/>
      </c>
      <c r="E596" s="43">
        <f>IF($B596="","",IF(INDEX('Work Orders'!$D$11:$D$1010,$B596)="","",INDEX('Work Orders'!$D$11:$D$1010,$B596)))</f>
        <v/>
      </c>
      <c r="F596" s="43">
        <f>IF($B596="","",IF(INDEX('Work Orders'!$Q$11:$Q$1010,$B596)="","",INDEX('Work Orders'!$Q$11:$Q$1010,$B596)))</f>
        <v/>
      </c>
      <c r="G596" s="43">
        <f>IF($B596="","",IF(INDEX('Work Orders'!$V$11:$V$1010,$B596)="","",INDEX('Work Orders'!$V$11:$V$1010,$B596)))</f>
        <v/>
      </c>
      <c r="H596" s="47">
        <f>IF($B596="","",IF(INDEX('Work Orders'!$U$11:$U$1010,$B596)="","",INDEX('Work Orders'!$U$11:$U$1010,$B596)))</f>
        <v/>
      </c>
      <c r="I596" s="47">
        <f>IF($B596="","",IF(INDEX('Work Orders'!$X$11:$X$1010,$B596)="","",INDEX('Work Orders'!$X$11:$X$1010,$B596)))</f>
        <v/>
      </c>
      <c r="J596" s="44">
        <f>IF($B596="","",IF(INDEX('Work Orders'!$Z$11:$Z$1010,$B596)="","",INDEX('Work Orders'!$Z$11:$Z$1010,$B596)))</f>
        <v/>
      </c>
      <c r="K596" s="44">
        <f>IF($B596="","",IF(INDEX('Work Orders'!$AG$11:$AG$1010,$B596)="","",INDEX('Work Orders'!$AG$11:$AG$1010,$B596)))</f>
        <v/>
      </c>
      <c r="L596" s="44">
        <f>IF($B596="","",IF(INDEX('Work Orders'!$AH$11:$AH$1010,$B596)="","",INDEX('Work Orders'!$AH$11:$AH$1010,$B596)))</f>
        <v/>
      </c>
      <c r="M596" s="46">
        <f>IF($B596="","",IF(INDEX('Work Orders'!$AM$11:$AM$1010,$B596)="","",INDEX('Work Orders'!$AM$11:$AM$1010,$B596)))</f>
        <v/>
      </c>
      <c r="N596" s="43">
        <f>IF($B596="","",IF(INDEX('Work Orders'!$AL$11:$AL$1010,$B596)="","",INDEX('Work Orders'!$AL$11:$AL$1010,$B596)))</f>
        <v/>
      </c>
      <c r="O596" s="43">
        <f>IF($B596="","",IF(INDEX('Work Orders'!$N$11:$N$1010,$B596)="","",INDEX('Work Orders'!$N$11:$N$1010,$B596)))</f>
        <v/>
      </c>
    </row>
    <row r="597">
      <c r="A597" s="68" t="n">
        <v>591</v>
      </c>
      <c r="B597">
        <f>IFERROR(MATCH(A597,'Work Orders'!$AO$11:$AO$1010,0),"")</f>
        <v/>
      </c>
      <c r="C597" s="43">
        <f>IF($B597="","",IF(INDEX('Work Orders'!$A$11:$A$1010,$B597)="","",INDEX('Work Orders'!$A$11:$A$1010,$B597)))</f>
        <v/>
      </c>
      <c r="D597" s="43">
        <f>IF($B597="","",IF(INDEX('Work Orders'!$B$11:$B$1010,$B597)="","",INDEX('Work Orders'!$B$11:$B$1010,$B597)))</f>
        <v/>
      </c>
      <c r="E597" s="43">
        <f>IF($B597="","",IF(INDEX('Work Orders'!$D$11:$D$1010,$B597)="","",INDEX('Work Orders'!$D$11:$D$1010,$B597)))</f>
        <v/>
      </c>
      <c r="F597" s="43">
        <f>IF($B597="","",IF(INDEX('Work Orders'!$Q$11:$Q$1010,$B597)="","",INDEX('Work Orders'!$Q$11:$Q$1010,$B597)))</f>
        <v/>
      </c>
      <c r="G597" s="43">
        <f>IF($B597="","",IF(INDEX('Work Orders'!$V$11:$V$1010,$B597)="","",INDEX('Work Orders'!$V$11:$V$1010,$B597)))</f>
        <v/>
      </c>
      <c r="H597" s="47">
        <f>IF($B597="","",IF(INDEX('Work Orders'!$U$11:$U$1010,$B597)="","",INDEX('Work Orders'!$U$11:$U$1010,$B597)))</f>
        <v/>
      </c>
      <c r="I597" s="47">
        <f>IF($B597="","",IF(INDEX('Work Orders'!$X$11:$X$1010,$B597)="","",INDEX('Work Orders'!$X$11:$X$1010,$B597)))</f>
        <v/>
      </c>
      <c r="J597" s="44">
        <f>IF($B597="","",IF(INDEX('Work Orders'!$Z$11:$Z$1010,$B597)="","",INDEX('Work Orders'!$Z$11:$Z$1010,$B597)))</f>
        <v/>
      </c>
      <c r="K597" s="44">
        <f>IF($B597="","",IF(INDEX('Work Orders'!$AG$11:$AG$1010,$B597)="","",INDEX('Work Orders'!$AG$11:$AG$1010,$B597)))</f>
        <v/>
      </c>
      <c r="L597" s="44">
        <f>IF($B597="","",IF(INDEX('Work Orders'!$AH$11:$AH$1010,$B597)="","",INDEX('Work Orders'!$AH$11:$AH$1010,$B597)))</f>
        <v/>
      </c>
      <c r="M597" s="46">
        <f>IF($B597="","",IF(INDEX('Work Orders'!$AM$11:$AM$1010,$B597)="","",INDEX('Work Orders'!$AM$11:$AM$1010,$B597)))</f>
        <v/>
      </c>
      <c r="N597" s="43">
        <f>IF($B597="","",IF(INDEX('Work Orders'!$AL$11:$AL$1010,$B597)="","",INDEX('Work Orders'!$AL$11:$AL$1010,$B597)))</f>
        <v/>
      </c>
      <c r="O597" s="43">
        <f>IF($B597="","",IF(INDEX('Work Orders'!$N$11:$N$1010,$B597)="","",INDEX('Work Orders'!$N$11:$N$1010,$B597)))</f>
        <v/>
      </c>
    </row>
    <row r="598">
      <c r="A598" s="68" t="n">
        <v>592</v>
      </c>
      <c r="B598">
        <f>IFERROR(MATCH(A598,'Work Orders'!$AO$11:$AO$1010,0),"")</f>
        <v/>
      </c>
      <c r="C598" s="43">
        <f>IF($B598="","",IF(INDEX('Work Orders'!$A$11:$A$1010,$B598)="","",INDEX('Work Orders'!$A$11:$A$1010,$B598)))</f>
        <v/>
      </c>
      <c r="D598" s="43">
        <f>IF($B598="","",IF(INDEX('Work Orders'!$B$11:$B$1010,$B598)="","",INDEX('Work Orders'!$B$11:$B$1010,$B598)))</f>
        <v/>
      </c>
      <c r="E598" s="43">
        <f>IF($B598="","",IF(INDEX('Work Orders'!$D$11:$D$1010,$B598)="","",INDEX('Work Orders'!$D$11:$D$1010,$B598)))</f>
        <v/>
      </c>
      <c r="F598" s="43">
        <f>IF($B598="","",IF(INDEX('Work Orders'!$Q$11:$Q$1010,$B598)="","",INDEX('Work Orders'!$Q$11:$Q$1010,$B598)))</f>
        <v/>
      </c>
      <c r="G598" s="43">
        <f>IF($B598="","",IF(INDEX('Work Orders'!$V$11:$V$1010,$B598)="","",INDEX('Work Orders'!$V$11:$V$1010,$B598)))</f>
        <v/>
      </c>
      <c r="H598" s="47">
        <f>IF($B598="","",IF(INDEX('Work Orders'!$U$11:$U$1010,$B598)="","",INDEX('Work Orders'!$U$11:$U$1010,$B598)))</f>
        <v/>
      </c>
      <c r="I598" s="47">
        <f>IF($B598="","",IF(INDEX('Work Orders'!$X$11:$X$1010,$B598)="","",INDEX('Work Orders'!$X$11:$X$1010,$B598)))</f>
        <v/>
      </c>
      <c r="J598" s="44">
        <f>IF($B598="","",IF(INDEX('Work Orders'!$Z$11:$Z$1010,$B598)="","",INDEX('Work Orders'!$Z$11:$Z$1010,$B598)))</f>
        <v/>
      </c>
      <c r="K598" s="44">
        <f>IF($B598="","",IF(INDEX('Work Orders'!$AG$11:$AG$1010,$B598)="","",INDEX('Work Orders'!$AG$11:$AG$1010,$B598)))</f>
        <v/>
      </c>
      <c r="L598" s="44">
        <f>IF($B598="","",IF(INDEX('Work Orders'!$AH$11:$AH$1010,$B598)="","",INDEX('Work Orders'!$AH$11:$AH$1010,$B598)))</f>
        <v/>
      </c>
      <c r="M598" s="46">
        <f>IF($B598="","",IF(INDEX('Work Orders'!$AM$11:$AM$1010,$B598)="","",INDEX('Work Orders'!$AM$11:$AM$1010,$B598)))</f>
        <v/>
      </c>
      <c r="N598" s="43">
        <f>IF($B598="","",IF(INDEX('Work Orders'!$AL$11:$AL$1010,$B598)="","",INDEX('Work Orders'!$AL$11:$AL$1010,$B598)))</f>
        <v/>
      </c>
      <c r="O598" s="43">
        <f>IF($B598="","",IF(INDEX('Work Orders'!$N$11:$N$1010,$B598)="","",INDEX('Work Orders'!$N$11:$N$1010,$B598)))</f>
        <v/>
      </c>
    </row>
    <row r="599">
      <c r="A599" s="68" t="n">
        <v>593</v>
      </c>
      <c r="B599">
        <f>IFERROR(MATCH(A599,'Work Orders'!$AO$11:$AO$1010,0),"")</f>
        <v/>
      </c>
      <c r="C599" s="43">
        <f>IF($B599="","",IF(INDEX('Work Orders'!$A$11:$A$1010,$B599)="","",INDEX('Work Orders'!$A$11:$A$1010,$B599)))</f>
        <v/>
      </c>
      <c r="D599" s="43">
        <f>IF($B599="","",IF(INDEX('Work Orders'!$B$11:$B$1010,$B599)="","",INDEX('Work Orders'!$B$11:$B$1010,$B599)))</f>
        <v/>
      </c>
      <c r="E599" s="43">
        <f>IF($B599="","",IF(INDEX('Work Orders'!$D$11:$D$1010,$B599)="","",INDEX('Work Orders'!$D$11:$D$1010,$B599)))</f>
        <v/>
      </c>
      <c r="F599" s="43">
        <f>IF($B599="","",IF(INDEX('Work Orders'!$Q$11:$Q$1010,$B599)="","",INDEX('Work Orders'!$Q$11:$Q$1010,$B599)))</f>
        <v/>
      </c>
      <c r="G599" s="43">
        <f>IF($B599="","",IF(INDEX('Work Orders'!$V$11:$V$1010,$B599)="","",INDEX('Work Orders'!$V$11:$V$1010,$B599)))</f>
        <v/>
      </c>
      <c r="H599" s="47">
        <f>IF($B599="","",IF(INDEX('Work Orders'!$U$11:$U$1010,$B599)="","",INDEX('Work Orders'!$U$11:$U$1010,$B599)))</f>
        <v/>
      </c>
      <c r="I599" s="47">
        <f>IF($B599="","",IF(INDEX('Work Orders'!$X$11:$X$1010,$B599)="","",INDEX('Work Orders'!$X$11:$X$1010,$B599)))</f>
        <v/>
      </c>
      <c r="J599" s="44">
        <f>IF($B599="","",IF(INDEX('Work Orders'!$Z$11:$Z$1010,$B599)="","",INDEX('Work Orders'!$Z$11:$Z$1010,$B599)))</f>
        <v/>
      </c>
      <c r="K599" s="44">
        <f>IF($B599="","",IF(INDEX('Work Orders'!$AG$11:$AG$1010,$B599)="","",INDEX('Work Orders'!$AG$11:$AG$1010,$B599)))</f>
        <v/>
      </c>
      <c r="L599" s="44">
        <f>IF($B599="","",IF(INDEX('Work Orders'!$AH$11:$AH$1010,$B599)="","",INDEX('Work Orders'!$AH$11:$AH$1010,$B599)))</f>
        <v/>
      </c>
      <c r="M599" s="46">
        <f>IF($B599="","",IF(INDEX('Work Orders'!$AM$11:$AM$1010,$B599)="","",INDEX('Work Orders'!$AM$11:$AM$1010,$B599)))</f>
        <v/>
      </c>
      <c r="N599" s="43">
        <f>IF($B599="","",IF(INDEX('Work Orders'!$AL$11:$AL$1010,$B599)="","",INDEX('Work Orders'!$AL$11:$AL$1010,$B599)))</f>
        <v/>
      </c>
      <c r="O599" s="43">
        <f>IF($B599="","",IF(INDEX('Work Orders'!$N$11:$N$1010,$B599)="","",INDEX('Work Orders'!$N$11:$N$1010,$B599)))</f>
        <v/>
      </c>
    </row>
    <row r="600">
      <c r="A600" s="68" t="n">
        <v>594</v>
      </c>
      <c r="B600">
        <f>IFERROR(MATCH(A600,'Work Orders'!$AO$11:$AO$1010,0),"")</f>
        <v/>
      </c>
      <c r="C600" s="43">
        <f>IF($B600="","",IF(INDEX('Work Orders'!$A$11:$A$1010,$B600)="","",INDEX('Work Orders'!$A$11:$A$1010,$B600)))</f>
        <v/>
      </c>
      <c r="D600" s="43">
        <f>IF($B600="","",IF(INDEX('Work Orders'!$B$11:$B$1010,$B600)="","",INDEX('Work Orders'!$B$11:$B$1010,$B600)))</f>
        <v/>
      </c>
      <c r="E600" s="43">
        <f>IF($B600="","",IF(INDEX('Work Orders'!$D$11:$D$1010,$B600)="","",INDEX('Work Orders'!$D$11:$D$1010,$B600)))</f>
        <v/>
      </c>
      <c r="F600" s="43">
        <f>IF($B600="","",IF(INDEX('Work Orders'!$Q$11:$Q$1010,$B600)="","",INDEX('Work Orders'!$Q$11:$Q$1010,$B600)))</f>
        <v/>
      </c>
      <c r="G600" s="43">
        <f>IF($B600="","",IF(INDEX('Work Orders'!$V$11:$V$1010,$B600)="","",INDEX('Work Orders'!$V$11:$V$1010,$B600)))</f>
        <v/>
      </c>
      <c r="H600" s="47">
        <f>IF($B600="","",IF(INDEX('Work Orders'!$U$11:$U$1010,$B600)="","",INDEX('Work Orders'!$U$11:$U$1010,$B600)))</f>
        <v/>
      </c>
      <c r="I600" s="47">
        <f>IF($B600="","",IF(INDEX('Work Orders'!$X$11:$X$1010,$B600)="","",INDEX('Work Orders'!$X$11:$X$1010,$B600)))</f>
        <v/>
      </c>
      <c r="J600" s="44">
        <f>IF($B600="","",IF(INDEX('Work Orders'!$Z$11:$Z$1010,$B600)="","",INDEX('Work Orders'!$Z$11:$Z$1010,$B600)))</f>
        <v/>
      </c>
      <c r="K600" s="44">
        <f>IF($B600="","",IF(INDEX('Work Orders'!$AG$11:$AG$1010,$B600)="","",INDEX('Work Orders'!$AG$11:$AG$1010,$B600)))</f>
        <v/>
      </c>
      <c r="L600" s="44">
        <f>IF($B600="","",IF(INDEX('Work Orders'!$AH$11:$AH$1010,$B600)="","",INDEX('Work Orders'!$AH$11:$AH$1010,$B600)))</f>
        <v/>
      </c>
      <c r="M600" s="46">
        <f>IF($B600="","",IF(INDEX('Work Orders'!$AM$11:$AM$1010,$B600)="","",INDEX('Work Orders'!$AM$11:$AM$1010,$B600)))</f>
        <v/>
      </c>
      <c r="N600" s="43">
        <f>IF($B600="","",IF(INDEX('Work Orders'!$AL$11:$AL$1010,$B600)="","",INDEX('Work Orders'!$AL$11:$AL$1010,$B600)))</f>
        <v/>
      </c>
      <c r="O600" s="43">
        <f>IF($B600="","",IF(INDEX('Work Orders'!$N$11:$N$1010,$B600)="","",INDEX('Work Orders'!$N$11:$N$1010,$B600)))</f>
        <v/>
      </c>
    </row>
    <row r="601">
      <c r="A601" s="68" t="n">
        <v>595</v>
      </c>
      <c r="B601">
        <f>IFERROR(MATCH(A601,'Work Orders'!$AO$11:$AO$1010,0),"")</f>
        <v/>
      </c>
      <c r="C601" s="43">
        <f>IF($B601="","",IF(INDEX('Work Orders'!$A$11:$A$1010,$B601)="","",INDEX('Work Orders'!$A$11:$A$1010,$B601)))</f>
        <v/>
      </c>
      <c r="D601" s="43">
        <f>IF($B601="","",IF(INDEX('Work Orders'!$B$11:$B$1010,$B601)="","",INDEX('Work Orders'!$B$11:$B$1010,$B601)))</f>
        <v/>
      </c>
      <c r="E601" s="43">
        <f>IF($B601="","",IF(INDEX('Work Orders'!$D$11:$D$1010,$B601)="","",INDEX('Work Orders'!$D$11:$D$1010,$B601)))</f>
        <v/>
      </c>
      <c r="F601" s="43">
        <f>IF($B601="","",IF(INDEX('Work Orders'!$Q$11:$Q$1010,$B601)="","",INDEX('Work Orders'!$Q$11:$Q$1010,$B601)))</f>
        <v/>
      </c>
      <c r="G601" s="43">
        <f>IF($B601="","",IF(INDEX('Work Orders'!$V$11:$V$1010,$B601)="","",INDEX('Work Orders'!$V$11:$V$1010,$B601)))</f>
        <v/>
      </c>
      <c r="H601" s="47">
        <f>IF($B601="","",IF(INDEX('Work Orders'!$U$11:$U$1010,$B601)="","",INDEX('Work Orders'!$U$11:$U$1010,$B601)))</f>
        <v/>
      </c>
      <c r="I601" s="47">
        <f>IF($B601="","",IF(INDEX('Work Orders'!$X$11:$X$1010,$B601)="","",INDEX('Work Orders'!$X$11:$X$1010,$B601)))</f>
        <v/>
      </c>
      <c r="J601" s="44">
        <f>IF($B601="","",IF(INDEX('Work Orders'!$Z$11:$Z$1010,$B601)="","",INDEX('Work Orders'!$Z$11:$Z$1010,$B601)))</f>
        <v/>
      </c>
      <c r="K601" s="44">
        <f>IF($B601="","",IF(INDEX('Work Orders'!$AG$11:$AG$1010,$B601)="","",INDEX('Work Orders'!$AG$11:$AG$1010,$B601)))</f>
        <v/>
      </c>
      <c r="L601" s="44">
        <f>IF($B601="","",IF(INDEX('Work Orders'!$AH$11:$AH$1010,$B601)="","",INDEX('Work Orders'!$AH$11:$AH$1010,$B601)))</f>
        <v/>
      </c>
      <c r="M601" s="46">
        <f>IF($B601="","",IF(INDEX('Work Orders'!$AM$11:$AM$1010,$B601)="","",INDEX('Work Orders'!$AM$11:$AM$1010,$B601)))</f>
        <v/>
      </c>
      <c r="N601" s="43">
        <f>IF($B601="","",IF(INDEX('Work Orders'!$AL$11:$AL$1010,$B601)="","",INDEX('Work Orders'!$AL$11:$AL$1010,$B601)))</f>
        <v/>
      </c>
      <c r="O601" s="43">
        <f>IF($B601="","",IF(INDEX('Work Orders'!$N$11:$N$1010,$B601)="","",INDEX('Work Orders'!$N$11:$N$1010,$B601)))</f>
        <v/>
      </c>
    </row>
    <row r="602">
      <c r="A602" s="68" t="n">
        <v>596</v>
      </c>
      <c r="B602">
        <f>IFERROR(MATCH(A602,'Work Orders'!$AO$11:$AO$1010,0),"")</f>
        <v/>
      </c>
      <c r="C602" s="43">
        <f>IF($B602="","",IF(INDEX('Work Orders'!$A$11:$A$1010,$B602)="","",INDEX('Work Orders'!$A$11:$A$1010,$B602)))</f>
        <v/>
      </c>
      <c r="D602" s="43">
        <f>IF($B602="","",IF(INDEX('Work Orders'!$B$11:$B$1010,$B602)="","",INDEX('Work Orders'!$B$11:$B$1010,$B602)))</f>
        <v/>
      </c>
      <c r="E602" s="43">
        <f>IF($B602="","",IF(INDEX('Work Orders'!$D$11:$D$1010,$B602)="","",INDEX('Work Orders'!$D$11:$D$1010,$B602)))</f>
        <v/>
      </c>
      <c r="F602" s="43">
        <f>IF($B602="","",IF(INDEX('Work Orders'!$Q$11:$Q$1010,$B602)="","",INDEX('Work Orders'!$Q$11:$Q$1010,$B602)))</f>
        <v/>
      </c>
      <c r="G602" s="43">
        <f>IF($B602="","",IF(INDEX('Work Orders'!$V$11:$V$1010,$B602)="","",INDEX('Work Orders'!$V$11:$V$1010,$B602)))</f>
        <v/>
      </c>
      <c r="H602" s="47">
        <f>IF($B602="","",IF(INDEX('Work Orders'!$U$11:$U$1010,$B602)="","",INDEX('Work Orders'!$U$11:$U$1010,$B602)))</f>
        <v/>
      </c>
      <c r="I602" s="47">
        <f>IF($B602="","",IF(INDEX('Work Orders'!$X$11:$X$1010,$B602)="","",INDEX('Work Orders'!$X$11:$X$1010,$B602)))</f>
        <v/>
      </c>
      <c r="J602" s="44">
        <f>IF($B602="","",IF(INDEX('Work Orders'!$Z$11:$Z$1010,$B602)="","",INDEX('Work Orders'!$Z$11:$Z$1010,$B602)))</f>
        <v/>
      </c>
      <c r="K602" s="44">
        <f>IF($B602="","",IF(INDEX('Work Orders'!$AG$11:$AG$1010,$B602)="","",INDEX('Work Orders'!$AG$11:$AG$1010,$B602)))</f>
        <v/>
      </c>
      <c r="L602" s="44">
        <f>IF($B602="","",IF(INDEX('Work Orders'!$AH$11:$AH$1010,$B602)="","",INDEX('Work Orders'!$AH$11:$AH$1010,$B602)))</f>
        <v/>
      </c>
      <c r="M602" s="46">
        <f>IF($B602="","",IF(INDEX('Work Orders'!$AM$11:$AM$1010,$B602)="","",INDEX('Work Orders'!$AM$11:$AM$1010,$B602)))</f>
        <v/>
      </c>
      <c r="N602" s="43">
        <f>IF($B602="","",IF(INDEX('Work Orders'!$AL$11:$AL$1010,$B602)="","",INDEX('Work Orders'!$AL$11:$AL$1010,$B602)))</f>
        <v/>
      </c>
      <c r="O602" s="43">
        <f>IF($B602="","",IF(INDEX('Work Orders'!$N$11:$N$1010,$B602)="","",INDEX('Work Orders'!$N$11:$N$1010,$B602)))</f>
        <v/>
      </c>
    </row>
    <row r="603">
      <c r="A603" s="68" t="n">
        <v>597</v>
      </c>
      <c r="B603">
        <f>IFERROR(MATCH(A603,'Work Orders'!$AO$11:$AO$1010,0),"")</f>
        <v/>
      </c>
      <c r="C603" s="43">
        <f>IF($B603="","",IF(INDEX('Work Orders'!$A$11:$A$1010,$B603)="","",INDEX('Work Orders'!$A$11:$A$1010,$B603)))</f>
        <v/>
      </c>
      <c r="D603" s="43">
        <f>IF($B603="","",IF(INDEX('Work Orders'!$B$11:$B$1010,$B603)="","",INDEX('Work Orders'!$B$11:$B$1010,$B603)))</f>
        <v/>
      </c>
      <c r="E603" s="43">
        <f>IF($B603="","",IF(INDEX('Work Orders'!$D$11:$D$1010,$B603)="","",INDEX('Work Orders'!$D$11:$D$1010,$B603)))</f>
        <v/>
      </c>
      <c r="F603" s="43">
        <f>IF($B603="","",IF(INDEX('Work Orders'!$Q$11:$Q$1010,$B603)="","",INDEX('Work Orders'!$Q$11:$Q$1010,$B603)))</f>
        <v/>
      </c>
      <c r="G603" s="43">
        <f>IF($B603="","",IF(INDEX('Work Orders'!$V$11:$V$1010,$B603)="","",INDEX('Work Orders'!$V$11:$V$1010,$B603)))</f>
        <v/>
      </c>
      <c r="H603" s="47">
        <f>IF($B603="","",IF(INDEX('Work Orders'!$U$11:$U$1010,$B603)="","",INDEX('Work Orders'!$U$11:$U$1010,$B603)))</f>
        <v/>
      </c>
      <c r="I603" s="47">
        <f>IF($B603="","",IF(INDEX('Work Orders'!$X$11:$X$1010,$B603)="","",INDEX('Work Orders'!$X$11:$X$1010,$B603)))</f>
        <v/>
      </c>
      <c r="J603" s="44">
        <f>IF($B603="","",IF(INDEX('Work Orders'!$Z$11:$Z$1010,$B603)="","",INDEX('Work Orders'!$Z$11:$Z$1010,$B603)))</f>
        <v/>
      </c>
      <c r="K603" s="44">
        <f>IF($B603="","",IF(INDEX('Work Orders'!$AG$11:$AG$1010,$B603)="","",INDEX('Work Orders'!$AG$11:$AG$1010,$B603)))</f>
        <v/>
      </c>
      <c r="L603" s="44">
        <f>IF($B603="","",IF(INDEX('Work Orders'!$AH$11:$AH$1010,$B603)="","",INDEX('Work Orders'!$AH$11:$AH$1010,$B603)))</f>
        <v/>
      </c>
      <c r="M603" s="46">
        <f>IF($B603="","",IF(INDEX('Work Orders'!$AM$11:$AM$1010,$B603)="","",INDEX('Work Orders'!$AM$11:$AM$1010,$B603)))</f>
        <v/>
      </c>
      <c r="N603" s="43">
        <f>IF($B603="","",IF(INDEX('Work Orders'!$AL$11:$AL$1010,$B603)="","",INDEX('Work Orders'!$AL$11:$AL$1010,$B603)))</f>
        <v/>
      </c>
      <c r="O603" s="43">
        <f>IF($B603="","",IF(INDEX('Work Orders'!$N$11:$N$1010,$B603)="","",INDEX('Work Orders'!$N$11:$N$1010,$B603)))</f>
        <v/>
      </c>
    </row>
    <row r="604">
      <c r="A604" s="68" t="n">
        <v>598</v>
      </c>
      <c r="B604">
        <f>IFERROR(MATCH(A604,'Work Orders'!$AO$11:$AO$1010,0),"")</f>
        <v/>
      </c>
      <c r="C604" s="43">
        <f>IF($B604="","",IF(INDEX('Work Orders'!$A$11:$A$1010,$B604)="","",INDEX('Work Orders'!$A$11:$A$1010,$B604)))</f>
        <v/>
      </c>
      <c r="D604" s="43">
        <f>IF($B604="","",IF(INDEX('Work Orders'!$B$11:$B$1010,$B604)="","",INDEX('Work Orders'!$B$11:$B$1010,$B604)))</f>
        <v/>
      </c>
      <c r="E604" s="43">
        <f>IF($B604="","",IF(INDEX('Work Orders'!$D$11:$D$1010,$B604)="","",INDEX('Work Orders'!$D$11:$D$1010,$B604)))</f>
        <v/>
      </c>
      <c r="F604" s="43">
        <f>IF($B604="","",IF(INDEX('Work Orders'!$Q$11:$Q$1010,$B604)="","",INDEX('Work Orders'!$Q$11:$Q$1010,$B604)))</f>
        <v/>
      </c>
      <c r="G604" s="43">
        <f>IF($B604="","",IF(INDEX('Work Orders'!$V$11:$V$1010,$B604)="","",INDEX('Work Orders'!$V$11:$V$1010,$B604)))</f>
        <v/>
      </c>
      <c r="H604" s="47">
        <f>IF($B604="","",IF(INDEX('Work Orders'!$U$11:$U$1010,$B604)="","",INDEX('Work Orders'!$U$11:$U$1010,$B604)))</f>
        <v/>
      </c>
      <c r="I604" s="47">
        <f>IF($B604="","",IF(INDEX('Work Orders'!$X$11:$X$1010,$B604)="","",INDEX('Work Orders'!$X$11:$X$1010,$B604)))</f>
        <v/>
      </c>
      <c r="J604" s="44">
        <f>IF($B604="","",IF(INDEX('Work Orders'!$Z$11:$Z$1010,$B604)="","",INDEX('Work Orders'!$Z$11:$Z$1010,$B604)))</f>
        <v/>
      </c>
      <c r="K604" s="44">
        <f>IF($B604="","",IF(INDEX('Work Orders'!$AG$11:$AG$1010,$B604)="","",INDEX('Work Orders'!$AG$11:$AG$1010,$B604)))</f>
        <v/>
      </c>
      <c r="L604" s="44">
        <f>IF($B604="","",IF(INDEX('Work Orders'!$AH$11:$AH$1010,$B604)="","",INDEX('Work Orders'!$AH$11:$AH$1010,$B604)))</f>
        <v/>
      </c>
      <c r="M604" s="46">
        <f>IF($B604="","",IF(INDEX('Work Orders'!$AM$11:$AM$1010,$B604)="","",INDEX('Work Orders'!$AM$11:$AM$1010,$B604)))</f>
        <v/>
      </c>
      <c r="N604" s="43">
        <f>IF($B604="","",IF(INDEX('Work Orders'!$AL$11:$AL$1010,$B604)="","",INDEX('Work Orders'!$AL$11:$AL$1010,$B604)))</f>
        <v/>
      </c>
      <c r="O604" s="43">
        <f>IF($B604="","",IF(INDEX('Work Orders'!$N$11:$N$1010,$B604)="","",INDEX('Work Orders'!$N$11:$N$1010,$B604)))</f>
        <v/>
      </c>
    </row>
    <row r="605">
      <c r="A605" s="68" t="n">
        <v>599</v>
      </c>
      <c r="B605">
        <f>IFERROR(MATCH(A605,'Work Orders'!$AO$11:$AO$1010,0),"")</f>
        <v/>
      </c>
      <c r="C605" s="43">
        <f>IF($B605="","",IF(INDEX('Work Orders'!$A$11:$A$1010,$B605)="","",INDEX('Work Orders'!$A$11:$A$1010,$B605)))</f>
        <v/>
      </c>
      <c r="D605" s="43">
        <f>IF($B605="","",IF(INDEX('Work Orders'!$B$11:$B$1010,$B605)="","",INDEX('Work Orders'!$B$11:$B$1010,$B605)))</f>
        <v/>
      </c>
      <c r="E605" s="43">
        <f>IF($B605="","",IF(INDEX('Work Orders'!$D$11:$D$1010,$B605)="","",INDEX('Work Orders'!$D$11:$D$1010,$B605)))</f>
        <v/>
      </c>
      <c r="F605" s="43">
        <f>IF($B605="","",IF(INDEX('Work Orders'!$Q$11:$Q$1010,$B605)="","",INDEX('Work Orders'!$Q$11:$Q$1010,$B605)))</f>
        <v/>
      </c>
      <c r="G605" s="43">
        <f>IF($B605="","",IF(INDEX('Work Orders'!$V$11:$V$1010,$B605)="","",INDEX('Work Orders'!$V$11:$V$1010,$B605)))</f>
        <v/>
      </c>
      <c r="H605" s="47">
        <f>IF($B605="","",IF(INDEX('Work Orders'!$U$11:$U$1010,$B605)="","",INDEX('Work Orders'!$U$11:$U$1010,$B605)))</f>
        <v/>
      </c>
      <c r="I605" s="47">
        <f>IF($B605="","",IF(INDEX('Work Orders'!$X$11:$X$1010,$B605)="","",INDEX('Work Orders'!$X$11:$X$1010,$B605)))</f>
        <v/>
      </c>
      <c r="J605" s="44">
        <f>IF($B605="","",IF(INDEX('Work Orders'!$Z$11:$Z$1010,$B605)="","",INDEX('Work Orders'!$Z$11:$Z$1010,$B605)))</f>
        <v/>
      </c>
      <c r="K605" s="44">
        <f>IF($B605="","",IF(INDEX('Work Orders'!$AG$11:$AG$1010,$B605)="","",INDEX('Work Orders'!$AG$11:$AG$1010,$B605)))</f>
        <v/>
      </c>
      <c r="L605" s="44">
        <f>IF($B605="","",IF(INDEX('Work Orders'!$AH$11:$AH$1010,$B605)="","",INDEX('Work Orders'!$AH$11:$AH$1010,$B605)))</f>
        <v/>
      </c>
      <c r="M605" s="46">
        <f>IF($B605="","",IF(INDEX('Work Orders'!$AM$11:$AM$1010,$B605)="","",INDEX('Work Orders'!$AM$11:$AM$1010,$B605)))</f>
        <v/>
      </c>
      <c r="N605" s="43">
        <f>IF($B605="","",IF(INDEX('Work Orders'!$AL$11:$AL$1010,$B605)="","",INDEX('Work Orders'!$AL$11:$AL$1010,$B605)))</f>
        <v/>
      </c>
      <c r="O605" s="43">
        <f>IF($B605="","",IF(INDEX('Work Orders'!$N$11:$N$1010,$B605)="","",INDEX('Work Orders'!$N$11:$N$1010,$B605)))</f>
        <v/>
      </c>
    </row>
    <row r="606">
      <c r="A606" s="68" t="n">
        <v>600</v>
      </c>
      <c r="B606">
        <f>IFERROR(MATCH(A606,'Work Orders'!$AO$11:$AO$1010,0),"")</f>
        <v/>
      </c>
      <c r="C606" s="43">
        <f>IF($B606="","",IF(INDEX('Work Orders'!$A$11:$A$1010,$B606)="","",INDEX('Work Orders'!$A$11:$A$1010,$B606)))</f>
        <v/>
      </c>
      <c r="D606" s="43">
        <f>IF($B606="","",IF(INDEX('Work Orders'!$B$11:$B$1010,$B606)="","",INDEX('Work Orders'!$B$11:$B$1010,$B606)))</f>
        <v/>
      </c>
      <c r="E606" s="43">
        <f>IF($B606="","",IF(INDEX('Work Orders'!$D$11:$D$1010,$B606)="","",INDEX('Work Orders'!$D$11:$D$1010,$B606)))</f>
        <v/>
      </c>
      <c r="F606" s="43">
        <f>IF($B606="","",IF(INDEX('Work Orders'!$Q$11:$Q$1010,$B606)="","",INDEX('Work Orders'!$Q$11:$Q$1010,$B606)))</f>
        <v/>
      </c>
      <c r="G606" s="43">
        <f>IF($B606="","",IF(INDEX('Work Orders'!$V$11:$V$1010,$B606)="","",INDEX('Work Orders'!$V$11:$V$1010,$B606)))</f>
        <v/>
      </c>
      <c r="H606" s="47">
        <f>IF($B606="","",IF(INDEX('Work Orders'!$U$11:$U$1010,$B606)="","",INDEX('Work Orders'!$U$11:$U$1010,$B606)))</f>
        <v/>
      </c>
      <c r="I606" s="47">
        <f>IF($B606="","",IF(INDEX('Work Orders'!$X$11:$X$1010,$B606)="","",INDEX('Work Orders'!$X$11:$X$1010,$B606)))</f>
        <v/>
      </c>
      <c r="J606" s="44">
        <f>IF($B606="","",IF(INDEX('Work Orders'!$Z$11:$Z$1010,$B606)="","",INDEX('Work Orders'!$Z$11:$Z$1010,$B606)))</f>
        <v/>
      </c>
      <c r="K606" s="44">
        <f>IF($B606="","",IF(INDEX('Work Orders'!$AG$11:$AG$1010,$B606)="","",INDEX('Work Orders'!$AG$11:$AG$1010,$B606)))</f>
        <v/>
      </c>
      <c r="L606" s="44">
        <f>IF($B606="","",IF(INDEX('Work Orders'!$AH$11:$AH$1010,$B606)="","",INDEX('Work Orders'!$AH$11:$AH$1010,$B606)))</f>
        <v/>
      </c>
      <c r="M606" s="46">
        <f>IF($B606="","",IF(INDEX('Work Orders'!$AM$11:$AM$1010,$B606)="","",INDEX('Work Orders'!$AM$11:$AM$1010,$B606)))</f>
        <v/>
      </c>
      <c r="N606" s="43">
        <f>IF($B606="","",IF(INDEX('Work Orders'!$AL$11:$AL$1010,$B606)="","",INDEX('Work Orders'!$AL$11:$AL$1010,$B606)))</f>
        <v/>
      </c>
      <c r="O606" s="43">
        <f>IF($B606="","",IF(INDEX('Work Orders'!$N$11:$N$1010,$B606)="","",INDEX('Work Orders'!$N$11:$N$1010,$B606)))</f>
        <v/>
      </c>
    </row>
    <row r="607">
      <c r="A607" s="68" t="n">
        <v>601</v>
      </c>
      <c r="B607">
        <f>IFERROR(MATCH(A607,'Work Orders'!$AO$11:$AO$1010,0),"")</f>
        <v/>
      </c>
      <c r="C607" s="43">
        <f>IF($B607="","",IF(INDEX('Work Orders'!$A$11:$A$1010,$B607)="","",INDEX('Work Orders'!$A$11:$A$1010,$B607)))</f>
        <v/>
      </c>
      <c r="D607" s="43">
        <f>IF($B607="","",IF(INDEX('Work Orders'!$B$11:$B$1010,$B607)="","",INDEX('Work Orders'!$B$11:$B$1010,$B607)))</f>
        <v/>
      </c>
      <c r="E607" s="43">
        <f>IF($B607="","",IF(INDEX('Work Orders'!$D$11:$D$1010,$B607)="","",INDEX('Work Orders'!$D$11:$D$1010,$B607)))</f>
        <v/>
      </c>
      <c r="F607" s="43">
        <f>IF($B607="","",IF(INDEX('Work Orders'!$Q$11:$Q$1010,$B607)="","",INDEX('Work Orders'!$Q$11:$Q$1010,$B607)))</f>
        <v/>
      </c>
      <c r="G607" s="43">
        <f>IF($B607="","",IF(INDEX('Work Orders'!$V$11:$V$1010,$B607)="","",INDEX('Work Orders'!$V$11:$V$1010,$B607)))</f>
        <v/>
      </c>
      <c r="H607" s="47">
        <f>IF($B607="","",IF(INDEX('Work Orders'!$U$11:$U$1010,$B607)="","",INDEX('Work Orders'!$U$11:$U$1010,$B607)))</f>
        <v/>
      </c>
      <c r="I607" s="47">
        <f>IF($B607="","",IF(INDEX('Work Orders'!$X$11:$X$1010,$B607)="","",INDEX('Work Orders'!$X$11:$X$1010,$B607)))</f>
        <v/>
      </c>
      <c r="J607" s="44">
        <f>IF($B607="","",IF(INDEX('Work Orders'!$Z$11:$Z$1010,$B607)="","",INDEX('Work Orders'!$Z$11:$Z$1010,$B607)))</f>
        <v/>
      </c>
      <c r="K607" s="44">
        <f>IF($B607="","",IF(INDEX('Work Orders'!$AG$11:$AG$1010,$B607)="","",INDEX('Work Orders'!$AG$11:$AG$1010,$B607)))</f>
        <v/>
      </c>
      <c r="L607" s="44">
        <f>IF($B607="","",IF(INDEX('Work Orders'!$AH$11:$AH$1010,$B607)="","",INDEX('Work Orders'!$AH$11:$AH$1010,$B607)))</f>
        <v/>
      </c>
      <c r="M607" s="46">
        <f>IF($B607="","",IF(INDEX('Work Orders'!$AM$11:$AM$1010,$B607)="","",INDEX('Work Orders'!$AM$11:$AM$1010,$B607)))</f>
        <v/>
      </c>
      <c r="N607" s="43">
        <f>IF($B607="","",IF(INDEX('Work Orders'!$AL$11:$AL$1010,$B607)="","",INDEX('Work Orders'!$AL$11:$AL$1010,$B607)))</f>
        <v/>
      </c>
      <c r="O607" s="43">
        <f>IF($B607="","",IF(INDEX('Work Orders'!$N$11:$N$1010,$B607)="","",INDEX('Work Orders'!$N$11:$N$1010,$B607)))</f>
        <v/>
      </c>
    </row>
    <row r="608">
      <c r="A608" s="68" t="n">
        <v>602</v>
      </c>
      <c r="B608">
        <f>IFERROR(MATCH(A608,'Work Orders'!$AO$11:$AO$1010,0),"")</f>
        <v/>
      </c>
      <c r="C608" s="43">
        <f>IF($B608="","",IF(INDEX('Work Orders'!$A$11:$A$1010,$B608)="","",INDEX('Work Orders'!$A$11:$A$1010,$B608)))</f>
        <v/>
      </c>
      <c r="D608" s="43">
        <f>IF($B608="","",IF(INDEX('Work Orders'!$B$11:$B$1010,$B608)="","",INDEX('Work Orders'!$B$11:$B$1010,$B608)))</f>
        <v/>
      </c>
      <c r="E608" s="43">
        <f>IF($B608="","",IF(INDEX('Work Orders'!$D$11:$D$1010,$B608)="","",INDEX('Work Orders'!$D$11:$D$1010,$B608)))</f>
        <v/>
      </c>
      <c r="F608" s="43">
        <f>IF($B608="","",IF(INDEX('Work Orders'!$Q$11:$Q$1010,$B608)="","",INDEX('Work Orders'!$Q$11:$Q$1010,$B608)))</f>
        <v/>
      </c>
      <c r="G608" s="43">
        <f>IF($B608="","",IF(INDEX('Work Orders'!$V$11:$V$1010,$B608)="","",INDEX('Work Orders'!$V$11:$V$1010,$B608)))</f>
        <v/>
      </c>
      <c r="H608" s="47">
        <f>IF($B608="","",IF(INDEX('Work Orders'!$U$11:$U$1010,$B608)="","",INDEX('Work Orders'!$U$11:$U$1010,$B608)))</f>
        <v/>
      </c>
      <c r="I608" s="47">
        <f>IF($B608="","",IF(INDEX('Work Orders'!$X$11:$X$1010,$B608)="","",INDEX('Work Orders'!$X$11:$X$1010,$B608)))</f>
        <v/>
      </c>
      <c r="J608" s="44">
        <f>IF($B608="","",IF(INDEX('Work Orders'!$Z$11:$Z$1010,$B608)="","",INDEX('Work Orders'!$Z$11:$Z$1010,$B608)))</f>
        <v/>
      </c>
      <c r="K608" s="44">
        <f>IF($B608="","",IF(INDEX('Work Orders'!$AG$11:$AG$1010,$B608)="","",INDEX('Work Orders'!$AG$11:$AG$1010,$B608)))</f>
        <v/>
      </c>
      <c r="L608" s="44">
        <f>IF($B608="","",IF(INDEX('Work Orders'!$AH$11:$AH$1010,$B608)="","",INDEX('Work Orders'!$AH$11:$AH$1010,$B608)))</f>
        <v/>
      </c>
      <c r="M608" s="46">
        <f>IF($B608="","",IF(INDEX('Work Orders'!$AM$11:$AM$1010,$B608)="","",INDEX('Work Orders'!$AM$11:$AM$1010,$B608)))</f>
        <v/>
      </c>
      <c r="N608" s="43">
        <f>IF($B608="","",IF(INDEX('Work Orders'!$AL$11:$AL$1010,$B608)="","",INDEX('Work Orders'!$AL$11:$AL$1010,$B608)))</f>
        <v/>
      </c>
      <c r="O608" s="43">
        <f>IF($B608="","",IF(INDEX('Work Orders'!$N$11:$N$1010,$B608)="","",INDEX('Work Orders'!$N$11:$N$1010,$B608)))</f>
        <v/>
      </c>
    </row>
    <row r="609">
      <c r="A609" s="68" t="n">
        <v>603</v>
      </c>
      <c r="B609">
        <f>IFERROR(MATCH(A609,'Work Orders'!$AO$11:$AO$1010,0),"")</f>
        <v/>
      </c>
      <c r="C609" s="43">
        <f>IF($B609="","",IF(INDEX('Work Orders'!$A$11:$A$1010,$B609)="","",INDEX('Work Orders'!$A$11:$A$1010,$B609)))</f>
        <v/>
      </c>
      <c r="D609" s="43">
        <f>IF($B609="","",IF(INDEX('Work Orders'!$B$11:$B$1010,$B609)="","",INDEX('Work Orders'!$B$11:$B$1010,$B609)))</f>
        <v/>
      </c>
      <c r="E609" s="43">
        <f>IF($B609="","",IF(INDEX('Work Orders'!$D$11:$D$1010,$B609)="","",INDEX('Work Orders'!$D$11:$D$1010,$B609)))</f>
        <v/>
      </c>
      <c r="F609" s="43">
        <f>IF($B609="","",IF(INDEX('Work Orders'!$Q$11:$Q$1010,$B609)="","",INDEX('Work Orders'!$Q$11:$Q$1010,$B609)))</f>
        <v/>
      </c>
      <c r="G609" s="43">
        <f>IF($B609="","",IF(INDEX('Work Orders'!$V$11:$V$1010,$B609)="","",INDEX('Work Orders'!$V$11:$V$1010,$B609)))</f>
        <v/>
      </c>
      <c r="H609" s="47">
        <f>IF($B609="","",IF(INDEX('Work Orders'!$U$11:$U$1010,$B609)="","",INDEX('Work Orders'!$U$11:$U$1010,$B609)))</f>
        <v/>
      </c>
      <c r="I609" s="47">
        <f>IF($B609="","",IF(INDEX('Work Orders'!$X$11:$X$1010,$B609)="","",INDEX('Work Orders'!$X$11:$X$1010,$B609)))</f>
        <v/>
      </c>
      <c r="J609" s="44">
        <f>IF($B609="","",IF(INDEX('Work Orders'!$Z$11:$Z$1010,$B609)="","",INDEX('Work Orders'!$Z$11:$Z$1010,$B609)))</f>
        <v/>
      </c>
      <c r="K609" s="44">
        <f>IF($B609="","",IF(INDEX('Work Orders'!$AG$11:$AG$1010,$B609)="","",INDEX('Work Orders'!$AG$11:$AG$1010,$B609)))</f>
        <v/>
      </c>
      <c r="L609" s="44">
        <f>IF($B609="","",IF(INDEX('Work Orders'!$AH$11:$AH$1010,$B609)="","",INDEX('Work Orders'!$AH$11:$AH$1010,$B609)))</f>
        <v/>
      </c>
      <c r="M609" s="46">
        <f>IF($B609="","",IF(INDEX('Work Orders'!$AM$11:$AM$1010,$B609)="","",INDEX('Work Orders'!$AM$11:$AM$1010,$B609)))</f>
        <v/>
      </c>
      <c r="N609" s="43">
        <f>IF($B609="","",IF(INDEX('Work Orders'!$AL$11:$AL$1010,$B609)="","",INDEX('Work Orders'!$AL$11:$AL$1010,$B609)))</f>
        <v/>
      </c>
      <c r="O609" s="43">
        <f>IF($B609="","",IF(INDEX('Work Orders'!$N$11:$N$1010,$B609)="","",INDEX('Work Orders'!$N$11:$N$1010,$B609)))</f>
        <v/>
      </c>
    </row>
    <row r="610">
      <c r="A610" s="68" t="n">
        <v>604</v>
      </c>
      <c r="B610">
        <f>IFERROR(MATCH(A610,'Work Orders'!$AO$11:$AO$1010,0),"")</f>
        <v/>
      </c>
      <c r="C610" s="43">
        <f>IF($B610="","",IF(INDEX('Work Orders'!$A$11:$A$1010,$B610)="","",INDEX('Work Orders'!$A$11:$A$1010,$B610)))</f>
        <v/>
      </c>
      <c r="D610" s="43">
        <f>IF($B610="","",IF(INDEX('Work Orders'!$B$11:$B$1010,$B610)="","",INDEX('Work Orders'!$B$11:$B$1010,$B610)))</f>
        <v/>
      </c>
      <c r="E610" s="43">
        <f>IF($B610="","",IF(INDEX('Work Orders'!$D$11:$D$1010,$B610)="","",INDEX('Work Orders'!$D$11:$D$1010,$B610)))</f>
        <v/>
      </c>
      <c r="F610" s="43">
        <f>IF($B610="","",IF(INDEX('Work Orders'!$Q$11:$Q$1010,$B610)="","",INDEX('Work Orders'!$Q$11:$Q$1010,$B610)))</f>
        <v/>
      </c>
      <c r="G610" s="43">
        <f>IF($B610="","",IF(INDEX('Work Orders'!$V$11:$V$1010,$B610)="","",INDEX('Work Orders'!$V$11:$V$1010,$B610)))</f>
        <v/>
      </c>
      <c r="H610" s="47">
        <f>IF($B610="","",IF(INDEX('Work Orders'!$U$11:$U$1010,$B610)="","",INDEX('Work Orders'!$U$11:$U$1010,$B610)))</f>
        <v/>
      </c>
      <c r="I610" s="47">
        <f>IF($B610="","",IF(INDEX('Work Orders'!$X$11:$X$1010,$B610)="","",INDEX('Work Orders'!$X$11:$X$1010,$B610)))</f>
        <v/>
      </c>
      <c r="J610" s="44">
        <f>IF($B610="","",IF(INDEX('Work Orders'!$Z$11:$Z$1010,$B610)="","",INDEX('Work Orders'!$Z$11:$Z$1010,$B610)))</f>
        <v/>
      </c>
      <c r="K610" s="44">
        <f>IF($B610="","",IF(INDEX('Work Orders'!$AG$11:$AG$1010,$B610)="","",INDEX('Work Orders'!$AG$11:$AG$1010,$B610)))</f>
        <v/>
      </c>
      <c r="L610" s="44">
        <f>IF($B610="","",IF(INDEX('Work Orders'!$AH$11:$AH$1010,$B610)="","",INDEX('Work Orders'!$AH$11:$AH$1010,$B610)))</f>
        <v/>
      </c>
      <c r="M610" s="46">
        <f>IF($B610="","",IF(INDEX('Work Orders'!$AM$11:$AM$1010,$B610)="","",INDEX('Work Orders'!$AM$11:$AM$1010,$B610)))</f>
        <v/>
      </c>
      <c r="N610" s="43">
        <f>IF($B610="","",IF(INDEX('Work Orders'!$AL$11:$AL$1010,$B610)="","",INDEX('Work Orders'!$AL$11:$AL$1010,$B610)))</f>
        <v/>
      </c>
      <c r="O610" s="43">
        <f>IF($B610="","",IF(INDEX('Work Orders'!$N$11:$N$1010,$B610)="","",INDEX('Work Orders'!$N$11:$N$1010,$B610)))</f>
        <v/>
      </c>
    </row>
    <row r="611">
      <c r="A611" s="68" t="n">
        <v>605</v>
      </c>
      <c r="B611">
        <f>IFERROR(MATCH(A611,'Work Orders'!$AO$11:$AO$1010,0),"")</f>
        <v/>
      </c>
      <c r="C611" s="43">
        <f>IF($B611="","",IF(INDEX('Work Orders'!$A$11:$A$1010,$B611)="","",INDEX('Work Orders'!$A$11:$A$1010,$B611)))</f>
        <v/>
      </c>
      <c r="D611" s="43">
        <f>IF($B611="","",IF(INDEX('Work Orders'!$B$11:$B$1010,$B611)="","",INDEX('Work Orders'!$B$11:$B$1010,$B611)))</f>
        <v/>
      </c>
      <c r="E611" s="43">
        <f>IF($B611="","",IF(INDEX('Work Orders'!$D$11:$D$1010,$B611)="","",INDEX('Work Orders'!$D$11:$D$1010,$B611)))</f>
        <v/>
      </c>
      <c r="F611" s="43">
        <f>IF($B611="","",IF(INDEX('Work Orders'!$Q$11:$Q$1010,$B611)="","",INDEX('Work Orders'!$Q$11:$Q$1010,$B611)))</f>
        <v/>
      </c>
      <c r="G611" s="43">
        <f>IF($B611="","",IF(INDEX('Work Orders'!$V$11:$V$1010,$B611)="","",INDEX('Work Orders'!$V$11:$V$1010,$B611)))</f>
        <v/>
      </c>
      <c r="H611" s="47">
        <f>IF($B611="","",IF(INDEX('Work Orders'!$U$11:$U$1010,$B611)="","",INDEX('Work Orders'!$U$11:$U$1010,$B611)))</f>
        <v/>
      </c>
      <c r="I611" s="47">
        <f>IF($B611="","",IF(INDEX('Work Orders'!$X$11:$X$1010,$B611)="","",INDEX('Work Orders'!$X$11:$X$1010,$B611)))</f>
        <v/>
      </c>
      <c r="J611" s="44">
        <f>IF($B611="","",IF(INDEX('Work Orders'!$Z$11:$Z$1010,$B611)="","",INDEX('Work Orders'!$Z$11:$Z$1010,$B611)))</f>
        <v/>
      </c>
      <c r="K611" s="44">
        <f>IF($B611="","",IF(INDEX('Work Orders'!$AG$11:$AG$1010,$B611)="","",INDEX('Work Orders'!$AG$11:$AG$1010,$B611)))</f>
        <v/>
      </c>
      <c r="L611" s="44">
        <f>IF($B611="","",IF(INDEX('Work Orders'!$AH$11:$AH$1010,$B611)="","",INDEX('Work Orders'!$AH$11:$AH$1010,$B611)))</f>
        <v/>
      </c>
      <c r="M611" s="46">
        <f>IF($B611="","",IF(INDEX('Work Orders'!$AM$11:$AM$1010,$B611)="","",INDEX('Work Orders'!$AM$11:$AM$1010,$B611)))</f>
        <v/>
      </c>
      <c r="N611" s="43">
        <f>IF($B611="","",IF(INDEX('Work Orders'!$AL$11:$AL$1010,$B611)="","",INDEX('Work Orders'!$AL$11:$AL$1010,$B611)))</f>
        <v/>
      </c>
      <c r="O611" s="43">
        <f>IF($B611="","",IF(INDEX('Work Orders'!$N$11:$N$1010,$B611)="","",INDEX('Work Orders'!$N$11:$N$1010,$B611)))</f>
        <v/>
      </c>
    </row>
    <row r="612">
      <c r="A612" s="68" t="n">
        <v>606</v>
      </c>
      <c r="B612">
        <f>IFERROR(MATCH(A612,'Work Orders'!$AO$11:$AO$1010,0),"")</f>
        <v/>
      </c>
      <c r="C612" s="43">
        <f>IF($B612="","",IF(INDEX('Work Orders'!$A$11:$A$1010,$B612)="","",INDEX('Work Orders'!$A$11:$A$1010,$B612)))</f>
        <v/>
      </c>
      <c r="D612" s="43">
        <f>IF($B612="","",IF(INDEX('Work Orders'!$B$11:$B$1010,$B612)="","",INDEX('Work Orders'!$B$11:$B$1010,$B612)))</f>
        <v/>
      </c>
      <c r="E612" s="43">
        <f>IF($B612="","",IF(INDEX('Work Orders'!$D$11:$D$1010,$B612)="","",INDEX('Work Orders'!$D$11:$D$1010,$B612)))</f>
        <v/>
      </c>
      <c r="F612" s="43">
        <f>IF($B612="","",IF(INDEX('Work Orders'!$Q$11:$Q$1010,$B612)="","",INDEX('Work Orders'!$Q$11:$Q$1010,$B612)))</f>
        <v/>
      </c>
      <c r="G612" s="43">
        <f>IF($B612="","",IF(INDEX('Work Orders'!$V$11:$V$1010,$B612)="","",INDEX('Work Orders'!$V$11:$V$1010,$B612)))</f>
        <v/>
      </c>
      <c r="H612" s="47">
        <f>IF($B612="","",IF(INDEX('Work Orders'!$U$11:$U$1010,$B612)="","",INDEX('Work Orders'!$U$11:$U$1010,$B612)))</f>
        <v/>
      </c>
      <c r="I612" s="47">
        <f>IF($B612="","",IF(INDEX('Work Orders'!$X$11:$X$1010,$B612)="","",INDEX('Work Orders'!$X$11:$X$1010,$B612)))</f>
        <v/>
      </c>
      <c r="J612" s="44">
        <f>IF($B612="","",IF(INDEX('Work Orders'!$Z$11:$Z$1010,$B612)="","",INDEX('Work Orders'!$Z$11:$Z$1010,$B612)))</f>
        <v/>
      </c>
      <c r="K612" s="44">
        <f>IF($B612="","",IF(INDEX('Work Orders'!$AG$11:$AG$1010,$B612)="","",INDEX('Work Orders'!$AG$11:$AG$1010,$B612)))</f>
        <v/>
      </c>
      <c r="L612" s="44">
        <f>IF($B612="","",IF(INDEX('Work Orders'!$AH$11:$AH$1010,$B612)="","",INDEX('Work Orders'!$AH$11:$AH$1010,$B612)))</f>
        <v/>
      </c>
      <c r="M612" s="46">
        <f>IF($B612="","",IF(INDEX('Work Orders'!$AM$11:$AM$1010,$B612)="","",INDEX('Work Orders'!$AM$11:$AM$1010,$B612)))</f>
        <v/>
      </c>
      <c r="N612" s="43">
        <f>IF($B612="","",IF(INDEX('Work Orders'!$AL$11:$AL$1010,$B612)="","",INDEX('Work Orders'!$AL$11:$AL$1010,$B612)))</f>
        <v/>
      </c>
      <c r="O612" s="43">
        <f>IF($B612="","",IF(INDEX('Work Orders'!$N$11:$N$1010,$B612)="","",INDEX('Work Orders'!$N$11:$N$1010,$B612)))</f>
        <v/>
      </c>
    </row>
    <row r="613">
      <c r="A613" s="68" t="n">
        <v>607</v>
      </c>
      <c r="B613">
        <f>IFERROR(MATCH(A613,'Work Orders'!$AO$11:$AO$1010,0),"")</f>
        <v/>
      </c>
      <c r="C613" s="43">
        <f>IF($B613="","",IF(INDEX('Work Orders'!$A$11:$A$1010,$B613)="","",INDEX('Work Orders'!$A$11:$A$1010,$B613)))</f>
        <v/>
      </c>
      <c r="D613" s="43">
        <f>IF($B613="","",IF(INDEX('Work Orders'!$B$11:$B$1010,$B613)="","",INDEX('Work Orders'!$B$11:$B$1010,$B613)))</f>
        <v/>
      </c>
      <c r="E613" s="43">
        <f>IF($B613="","",IF(INDEX('Work Orders'!$D$11:$D$1010,$B613)="","",INDEX('Work Orders'!$D$11:$D$1010,$B613)))</f>
        <v/>
      </c>
      <c r="F613" s="43">
        <f>IF($B613="","",IF(INDEX('Work Orders'!$Q$11:$Q$1010,$B613)="","",INDEX('Work Orders'!$Q$11:$Q$1010,$B613)))</f>
        <v/>
      </c>
      <c r="G613" s="43">
        <f>IF($B613="","",IF(INDEX('Work Orders'!$V$11:$V$1010,$B613)="","",INDEX('Work Orders'!$V$11:$V$1010,$B613)))</f>
        <v/>
      </c>
      <c r="H613" s="47">
        <f>IF($B613="","",IF(INDEX('Work Orders'!$U$11:$U$1010,$B613)="","",INDEX('Work Orders'!$U$11:$U$1010,$B613)))</f>
        <v/>
      </c>
      <c r="I613" s="47">
        <f>IF($B613="","",IF(INDEX('Work Orders'!$X$11:$X$1010,$B613)="","",INDEX('Work Orders'!$X$11:$X$1010,$B613)))</f>
        <v/>
      </c>
      <c r="J613" s="44">
        <f>IF($B613="","",IF(INDEX('Work Orders'!$Z$11:$Z$1010,$B613)="","",INDEX('Work Orders'!$Z$11:$Z$1010,$B613)))</f>
        <v/>
      </c>
      <c r="K613" s="44">
        <f>IF($B613="","",IF(INDEX('Work Orders'!$AG$11:$AG$1010,$B613)="","",INDEX('Work Orders'!$AG$11:$AG$1010,$B613)))</f>
        <v/>
      </c>
      <c r="L613" s="44">
        <f>IF($B613="","",IF(INDEX('Work Orders'!$AH$11:$AH$1010,$B613)="","",INDEX('Work Orders'!$AH$11:$AH$1010,$B613)))</f>
        <v/>
      </c>
      <c r="M613" s="46">
        <f>IF($B613="","",IF(INDEX('Work Orders'!$AM$11:$AM$1010,$B613)="","",INDEX('Work Orders'!$AM$11:$AM$1010,$B613)))</f>
        <v/>
      </c>
      <c r="N613" s="43">
        <f>IF($B613="","",IF(INDEX('Work Orders'!$AL$11:$AL$1010,$B613)="","",INDEX('Work Orders'!$AL$11:$AL$1010,$B613)))</f>
        <v/>
      </c>
      <c r="O613" s="43">
        <f>IF($B613="","",IF(INDEX('Work Orders'!$N$11:$N$1010,$B613)="","",INDEX('Work Orders'!$N$11:$N$1010,$B613)))</f>
        <v/>
      </c>
    </row>
    <row r="614">
      <c r="A614" s="68" t="n">
        <v>608</v>
      </c>
      <c r="B614">
        <f>IFERROR(MATCH(A614,'Work Orders'!$AO$11:$AO$1010,0),"")</f>
        <v/>
      </c>
      <c r="C614" s="43">
        <f>IF($B614="","",IF(INDEX('Work Orders'!$A$11:$A$1010,$B614)="","",INDEX('Work Orders'!$A$11:$A$1010,$B614)))</f>
        <v/>
      </c>
      <c r="D614" s="43">
        <f>IF($B614="","",IF(INDEX('Work Orders'!$B$11:$B$1010,$B614)="","",INDEX('Work Orders'!$B$11:$B$1010,$B614)))</f>
        <v/>
      </c>
      <c r="E614" s="43">
        <f>IF($B614="","",IF(INDEX('Work Orders'!$D$11:$D$1010,$B614)="","",INDEX('Work Orders'!$D$11:$D$1010,$B614)))</f>
        <v/>
      </c>
      <c r="F614" s="43">
        <f>IF($B614="","",IF(INDEX('Work Orders'!$Q$11:$Q$1010,$B614)="","",INDEX('Work Orders'!$Q$11:$Q$1010,$B614)))</f>
        <v/>
      </c>
      <c r="G614" s="43">
        <f>IF($B614="","",IF(INDEX('Work Orders'!$V$11:$V$1010,$B614)="","",INDEX('Work Orders'!$V$11:$V$1010,$B614)))</f>
        <v/>
      </c>
      <c r="H614" s="47">
        <f>IF($B614="","",IF(INDEX('Work Orders'!$U$11:$U$1010,$B614)="","",INDEX('Work Orders'!$U$11:$U$1010,$B614)))</f>
        <v/>
      </c>
      <c r="I614" s="47">
        <f>IF($B614="","",IF(INDEX('Work Orders'!$X$11:$X$1010,$B614)="","",INDEX('Work Orders'!$X$11:$X$1010,$B614)))</f>
        <v/>
      </c>
      <c r="J614" s="44">
        <f>IF($B614="","",IF(INDEX('Work Orders'!$Z$11:$Z$1010,$B614)="","",INDEX('Work Orders'!$Z$11:$Z$1010,$B614)))</f>
        <v/>
      </c>
      <c r="K614" s="44">
        <f>IF($B614="","",IF(INDEX('Work Orders'!$AG$11:$AG$1010,$B614)="","",INDEX('Work Orders'!$AG$11:$AG$1010,$B614)))</f>
        <v/>
      </c>
      <c r="L614" s="44">
        <f>IF($B614="","",IF(INDEX('Work Orders'!$AH$11:$AH$1010,$B614)="","",INDEX('Work Orders'!$AH$11:$AH$1010,$B614)))</f>
        <v/>
      </c>
      <c r="M614" s="46">
        <f>IF($B614="","",IF(INDEX('Work Orders'!$AM$11:$AM$1010,$B614)="","",INDEX('Work Orders'!$AM$11:$AM$1010,$B614)))</f>
        <v/>
      </c>
      <c r="N614" s="43">
        <f>IF($B614="","",IF(INDEX('Work Orders'!$AL$11:$AL$1010,$B614)="","",INDEX('Work Orders'!$AL$11:$AL$1010,$B614)))</f>
        <v/>
      </c>
      <c r="O614" s="43">
        <f>IF($B614="","",IF(INDEX('Work Orders'!$N$11:$N$1010,$B614)="","",INDEX('Work Orders'!$N$11:$N$1010,$B614)))</f>
        <v/>
      </c>
    </row>
    <row r="615">
      <c r="A615" s="68" t="n">
        <v>609</v>
      </c>
      <c r="B615">
        <f>IFERROR(MATCH(A615,'Work Orders'!$AO$11:$AO$1010,0),"")</f>
        <v/>
      </c>
      <c r="C615" s="43">
        <f>IF($B615="","",IF(INDEX('Work Orders'!$A$11:$A$1010,$B615)="","",INDEX('Work Orders'!$A$11:$A$1010,$B615)))</f>
        <v/>
      </c>
      <c r="D615" s="43">
        <f>IF($B615="","",IF(INDEX('Work Orders'!$B$11:$B$1010,$B615)="","",INDEX('Work Orders'!$B$11:$B$1010,$B615)))</f>
        <v/>
      </c>
      <c r="E615" s="43">
        <f>IF($B615="","",IF(INDEX('Work Orders'!$D$11:$D$1010,$B615)="","",INDEX('Work Orders'!$D$11:$D$1010,$B615)))</f>
        <v/>
      </c>
      <c r="F615" s="43">
        <f>IF($B615="","",IF(INDEX('Work Orders'!$Q$11:$Q$1010,$B615)="","",INDEX('Work Orders'!$Q$11:$Q$1010,$B615)))</f>
        <v/>
      </c>
      <c r="G615" s="43">
        <f>IF($B615="","",IF(INDEX('Work Orders'!$V$11:$V$1010,$B615)="","",INDEX('Work Orders'!$V$11:$V$1010,$B615)))</f>
        <v/>
      </c>
      <c r="H615" s="47">
        <f>IF($B615="","",IF(INDEX('Work Orders'!$U$11:$U$1010,$B615)="","",INDEX('Work Orders'!$U$11:$U$1010,$B615)))</f>
        <v/>
      </c>
      <c r="I615" s="47">
        <f>IF($B615="","",IF(INDEX('Work Orders'!$X$11:$X$1010,$B615)="","",INDEX('Work Orders'!$X$11:$X$1010,$B615)))</f>
        <v/>
      </c>
      <c r="J615" s="44">
        <f>IF($B615="","",IF(INDEX('Work Orders'!$Z$11:$Z$1010,$B615)="","",INDEX('Work Orders'!$Z$11:$Z$1010,$B615)))</f>
        <v/>
      </c>
      <c r="K615" s="44">
        <f>IF($B615="","",IF(INDEX('Work Orders'!$AG$11:$AG$1010,$B615)="","",INDEX('Work Orders'!$AG$11:$AG$1010,$B615)))</f>
        <v/>
      </c>
      <c r="L615" s="44">
        <f>IF($B615="","",IF(INDEX('Work Orders'!$AH$11:$AH$1010,$B615)="","",INDEX('Work Orders'!$AH$11:$AH$1010,$B615)))</f>
        <v/>
      </c>
      <c r="M615" s="46">
        <f>IF($B615="","",IF(INDEX('Work Orders'!$AM$11:$AM$1010,$B615)="","",INDEX('Work Orders'!$AM$11:$AM$1010,$B615)))</f>
        <v/>
      </c>
      <c r="N615" s="43">
        <f>IF($B615="","",IF(INDEX('Work Orders'!$AL$11:$AL$1010,$B615)="","",INDEX('Work Orders'!$AL$11:$AL$1010,$B615)))</f>
        <v/>
      </c>
      <c r="O615" s="43">
        <f>IF($B615="","",IF(INDEX('Work Orders'!$N$11:$N$1010,$B615)="","",INDEX('Work Orders'!$N$11:$N$1010,$B615)))</f>
        <v/>
      </c>
    </row>
    <row r="616">
      <c r="A616" s="68" t="n">
        <v>610</v>
      </c>
      <c r="B616">
        <f>IFERROR(MATCH(A616,'Work Orders'!$AO$11:$AO$1010,0),"")</f>
        <v/>
      </c>
      <c r="C616" s="43">
        <f>IF($B616="","",IF(INDEX('Work Orders'!$A$11:$A$1010,$B616)="","",INDEX('Work Orders'!$A$11:$A$1010,$B616)))</f>
        <v/>
      </c>
      <c r="D616" s="43">
        <f>IF($B616="","",IF(INDEX('Work Orders'!$B$11:$B$1010,$B616)="","",INDEX('Work Orders'!$B$11:$B$1010,$B616)))</f>
        <v/>
      </c>
      <c r="E616" s="43">
        <f>IF($B616="","",IF(INDEX('Work Orders'!$D$11:$D$1010,$B616)="","",INDEX('Work Orders'!$D$11:$D$1010,$B616)))</f>
        <v/>
      </c>
      <c r="F616" s="43">
        <f>IF($B616="","",IF(INDEX('Work Orders'!$Q$11:$Q$1010,$B616)="","",INDEX('Work Orders'!$Q$11:$Q$1010,$B616)))</f>
        <v/>
      </c>
      <c r="G616" s="43">
        <f>IF($B616="","",IF(INDEX('Work Orders'!$V$11:$V$1010,$B616)="","",INDEX('Work Orders'!$V$11:$V$1010,$B616)))</f>
        <v/>
      </c>
      <c r="H616" s="47">
        <f>IF($B616="","",IF(INDEX('Work Orders'!$U$11:$U$1010,$B616)="","",INDEX('Work Orders'!$U$11:$U$1010,$B616)))</f>
        <v/>
      </c>
      <c r="I616" s="47">
        <f>IF($B616="","",IF(INDEX('Work Orders'!$X$11:$X$1010,$B616)="","",INDEX('Work Orders'!$X$11:$X$1010,$B616)))</f>
        <v/>
      </c>
      <c r="J616" s="44">
        <f>IF($B616="","",IF(INDEX('Work Orders'!$Z$11:$Z$1010,$B616)="","",INDEX('Work Orders'!$Z$11:$Z$1010,$B616)))</f>
        <v/>
      </c>
      <c r="K616" s="44">
        <f>IF($B616="","",IF(INDEX('Work Orders'!$AG$11:$AG$1010,$B616)="","",INDEX('Work Orders'!$AG$11:$AG$1010,$B616)))</f>
        <v/>
      </c>
      <c r="L616" s="44">
        <f>IF($B616="","",IF(INDEX('Work Orders'!$AH$11:$AH$1010,$B616)="","",INDEX('Work Orders'!$AH$11:$AH$1010,$B616)))</f>
        <v/>
      </c>
      <c r="M616" s="46">
        <f>IF($B616="","",IF(INDEX('Work Orders'!$AM$11:$AM$1010,$B616)="","",INDEX('Work Orders'!$AM$11:$AM$1010,$B616)))</f>
        <v/>
      </c>
      <c r="N616" s="43">
        <f>IF($B616="","",IF(INDEX('Work Orders'!$AL$11:$AL$1010,$B616)="","",INDEX('Work Orders'!$AL$11:$AL$1010,$B616)))</f>
        <v/>
      </c>
      <c r="O616" s="43">
        <f>IF($B616="","",IF(INDEX('Work Orders'!$N$11:$N$1010,$B616)="","",INDEX('Work Orders'!$N$11:$N$1010,$B616)))</f>
        <v/>
      </c>
    </row>
    <row r="617">
      <c r="A617" s="68" t="n">
        <v>611</v>
      </c>
      <c r="B617">
        <f>IFERROR(MATCH(A617,'Work Orders'!$AO$11:$AO$1010,0),"")</f>
        <v/>
      </c>
      <c r="C617" s="43">
        <f>IF($B617="","",IF(INDEX('Work Orders'!$A$11:$A$1010,$B617)="","",INDEX('Work Orders'!$A$11:$A$1010,$B617)))</f>
        <v/>
      </c>
      <c r="D617" s="43">
        <f>IF($B617="","",IF(INDEX('Work Orders'!$B$11:$B$1010,$B617)="","",INDEX('Work Orders'!$B$11:$B$1010,$B617)))</f>
        <v/>
      </c>
      <c r="E617" s="43">
        <f>IF($B617="","",IF(INDEX('Work Orders'!$D$11:$D$1010,$B617)="","",INDEX('Work Orders'!$D$11:$D$1010,$B617)))</f>
        <v/>
      </c>
      <c r="F617" s="43">
        <f>IF($B617="","",IF(INDEX('Work Orders'!$Q$11:$Q$1010,$B617)="","",INDEX('Work Orders'!$Q$11:$Q$1010,$B617)))</f>
        <v/>
      </c>
      <c r="G617" s="43">
        <f>IF($B617="","",IF(INDEX('Work Orders'!$V$11:$V$1010,$B617)="","",INDEX('Work Orders'!$V$11:$V$1010,$B617)))</f>
        <v/>
      </c>
      <c r="H617" s="47">
        <f>IF($B617="","",IF(INDEX('Work Orders'!$U$11:$U$1010,$B617)="","",INDEX('Work Orders'!$U$11:$U$1010,$B617)))</f>
        <v/>
      </c>
      <c r="I617" s="47">
        <f>IF($B617="","",IF(INDEX('Work Orders'!$X$11:$X$1010,$B617)="","",INDEX('Work Orders'!$X$11:$X$1010,$B617)))</f>
        <v/>
      </c>
      <c r="J617" s="44">
        <f>IF($B617="","",IF(INDEX('Work Orders'!$Z$11:$Z$1010,$B617)="","",INDEX('Work Orders'!$Z$11:$Z$1010,$B617)))</f>
        <v/>
      </c>
      <c r="K617" s="44">
        <f>IF($B617="","",IF(INDEX('Work Orders'!$AG$11:$AG$1010,$B617)="","",INDEX('Work Orders'!$AG$11:$AG$1010,$B617)))</f>
        <v/>
      </c>
      <c r="L617" s="44">
        <f>IF($B617="","",IF(INDEX('Work Orders'!$AH$11:$AH$1010,$B617)="","",INDEX('Work Orders'!$AH$11:$AH$1010,$B617)))</f>
        <v/>
      </c>
      <c r="M617" s="46">
        <f>IF($B617="","",IF(INDEX('Work Orders'!$AM$11:$AM$1010,$B617)="","",INDEX('Work Orders'!$AM$11:$AM$1010,$B617)))</f>
        <v/>
      </c>
      <c r="N617" s="43">
        <f>IF($B617="","",IF(INDEX('Work Orders'!$AL$11:$AL$1010,$B617)="","",INDEX('Work Orders'!$AL$11:$AL$1010,$B617)))</f>
        <v/>
      </c>
      <c r="O617" s="43">
        <f>IF($B617="","",IF(INDEX('Work Orders'!$N$11:$N$1010,$B617)="","",INDEX('Work Orders'!$N$11:$N$1010,$B617)))</f>
        <v/>
      </c>
    </row>
    <row r="618">
      <c r="A618" s="68" t="n">
        <v>612</v>
      </c>
      <c r="B618">
        <f>IFERROR(MATCH(A618,'Work Orders'!$AO$11:$AO$1010,0),"")</f>
        <v/>
      </c>
      <c r="C618" s="43">
        <f>IF($B618="","",IF(INDEX('Work Orders'!$A$11:$A$1010,$B618)="","",INDEX('Work Orders'!$A$11:$A$1010,$B618)))</f>
        <v/>
      </c>
      <c r="D618" s="43">
        <f>IF($B618="","",IF(INDEX('Work Orders'!$B$11:$B$1010,$B618)="","",INDEX('Work Orders'!$B$11:$B$1010,$B618)))</f>
        <v/>
      </c>
      <c r="E618" s="43">
        <f>IF($B618="","",IF(INDEX('Work Orders'!$D$11:$D$1010,$B618)="","",INDEX('Work Orders'!$D$11:$D$1010,$B618)))</f>
        <v/>
      </c>
      <c r="F618" s="43">
        <f>IF($B618="","",IF(INDEX('Work Orders'!$Q$11:$Q$1010,$B618)="","",INDEX('Work Orders'!$Q$11:$Q$1010,$B618)))</f>
        <v/>
      </c>
      <c r="G618" s="43">
        <f>IF($B618="","",IF(INDEX('Work Orders'!$V$11:$V$1010,$B618)="","",INDEX('Work Orders'!$V$11:$V$1010,$B618)))</f>
        <v/>
      </c>
      <c r="H618" s="47">
        <f>IF($B618="","",IF(INDEX('Work Orders'!$U$11:$U$1010,$B618)="","",INDEX('Work Orders'!$U$11:$U$1010,$B618)))</f>
        <v/>
      </c>
      <c r="I618" s="47">
        <f>IF($B618="","",IF(INDEX('Work Orders'!$X$11:$X$1010,$B618)="","",INDEX('Work Orders'!$X$11:$X$1010,$B618)))</f>
        <v/>
      </c>
      <c r="J618" s="44">
        <f>IF($B618="","",IF(INDEX('Work Orders'!$Z$11:$Z$1010,$B618)="","",INDEX('Work Orders'!$Z$11:$Z$1010,$B618)))</f>
        <v/>
      </c>
      <c r="K618" s="44">
        <f>IF($B618="","",IF(INDEX('Work Orders'!$AG$11:$AG$1010,$B618)="","",INDEX('Work Orders'!$AG$11:$AG$1010,$B618)))</f>
        <v/>
      </c>
      <c r="L618" s="44">
        <f>IF($B618="","",IF(INDEX('Work Orders'!$AH$11:$AH$1010,$B618)="","",INDEX('Work Orders'!$AH$11:$AH$1010,$B618)))</f>
        <v/>
      </c>
      <c r="M618" s="46">
        <f>IF($B618="","",IF(INDEX('Work Orders'!$AM$11:$AM$1010,$B618)="","",INDEX('Work Orders'!$AM$11:$AM$1010,$B618)))</f>
        <v/>
      </c>
      <c r="N618" s="43">
        <f>IF($B618="","",IF(INDEX('Work Orders'!$AL$11:$AL$1010,$B618)="","",INDEX('Work Orders'!$AL$11:$AL$1010,$B618)))</f>
        <v/>
      </c>
      <c r="O618" s="43">
        <f>IF($B618="","",IF(INDEX('Work Orders'!$N$11:$N$1010,$B618)="","",INDEX('Work Orders'!$N$11:$N$1010,$B618)))</f>
        <v/>
      </c>
    </row>
    <row r="619">
      <c r="A619" s="68" t="n">
        <v>613</v>
      </c>
      <c r="B619">
        <f>IFERROR(MATCH(A619,'Work Orders'!$AO$11:$AO$1010,0),"")</f>
        <v/>
      </c>
      <c r="C619" s="43">
        <f>IF($B619="","",IF(INDEX('Work Orders'!$A$11:$A$1010,$B619)="","",INDEX('Work Orders'!$A$11:$A$1010,$B619)))</f>
        <v/>
      </c>
      <c r="D619" s="43">
        <f>IF($B619="","",IF(INDEX('Work Orders'!$B$11:$B$1010,$B619)="","",INDEX('Work Orders'!$B$11:$B$1010,$B619)))</f>
        <v/>
      </c>
      <c r="E619" s="43">
        <f>IF($B619="","",IF(INDEX('Work Orders'!$D$11:$D$1010,$B619)="","",INDEX('Work Orders'!$D$11:$D$1010,$B619)))</f>
        <v/>
      </c>
      <c r="F619" s="43">
        <f>IF($B619="","",IF(INDEX('Work Orders'!$Q$11:$Q$1010,$B619)="","",INDEX('Work Orders'!$Q$11:$Q$1010,$B619)))</f>
        <v/>
      </c>
      <c r="G619" s="43">
        <f>IF($B619="","",IF(INDEX('Work Orders'!$V$11:$V$1010,$B619)="","",INDEX('Work Orders'!$V$11:$V$1010,$B619)))</f>
        <v/>
      </c>
      <c r="H619" s="47">
        <f>IF($B619="","",IF(INDEX('Work Orders'!$U$11:$U$1010,$B619)="","",INDEX('Work Orders'!$U$11:$U$1010,$B619)))</f>
        <v/>
      </c>
      <c r="I619" s="47">
        <f>IF($B619="","",IF(INDEX('Work Orders'!$X$11:$X$1010,$B619)="","",INDEX('Work Orders'!$X$11:$X$1010,$B619)))</f>
        <v/>
      </c>
      <c r="J619" s="44">
        <f>IF($B619="","",IF(INDEX('Work Orders'!$Z$11:$Z$1010,$B619)="","",INDEX('Work Orders'!$Z$11:$Z$1010,$B619)))</f>
        <v/>
      </c>
      <c r="K619" s="44">
        <f>IF($B619="","",IF(INDEX('Work Orders'!$AG$11:$AG$1010,$B619)="","",INDEX('Work Orders'!$AG$11:$AG$1010,$B619)))</f>
        <v/>
      </c>
      <c r="L619" s="44">
        <f>IF($B619="","",IF(INDEX('Work Orders'!$AH$11:$AH$1010,$B619)="","",INDEX('Work Orders'!$AH$11:$AH$1010,$B619)))</f>
        <v/>
      </c>
      <c r="M619" s="46">
        <f>IF($B619="","",IF(INDEX('Work Orders'!$AM$11:$AM$1010,$B619)="","",INDEX('Work Orders'!$AM$11:$AM$1010,$B619)))</f>
        <v/>
      </c>
      <c r="N619" s="43">
        <f>IF($B619="","",IF(INDEX('Work Orders'!$AL$11:$AL$1010,$B619)="","",INDEX('Work Orders'!$AL$11:$AL$1010,$B619)))</f>
        <v/>
      </c>
      <c r="O619" s="43">
        <f>IF($B619="","",IF(INDEX('Work Orders'!$N$11:$N$1010,$B619)="","",INDEX('Work Orders'!$N$11:$N$1010,$B619)))</f>
        <v/>
      </c>
    </row>
    <row r="620">
      <c r="A620" s="68" t="n">
        <v>614</v>
      </c>
      <c r="B620">
        <f>IFERROR(MATCH(A620,'Work Orders'!$AO$11:$AO$1010,0),"")</f>
        <v/>
      </c>
      <c r="C620" s="43">
        <f>IF($B620="","",IF(INDEX('Work Orders'!$A$11:$A$1010,$B620)="","",INDEX('Work Orders'!$A$11:$A$1010,$B620)))</f>
        <v/>
      </c>
      <c r="D620" s="43">
        <f>IF($B620="","",IF(INDEX('Work Orders'!$B$11:$B$1010,$B620)="","",INDEX('Work Orders'!$B$11:$B$1010,$B620)))</f>
        <v/>
      </c>
      <c r="E620" s="43">
        <f>IF($B620="","",IF(INDEX('Work Orders'!$D$11:$D$1010,$B620)="","",INDEX('Work Orders'!$D$11:$D$1010,$B620)))</f>
        <v/>
      </c>
      <c r="F620" s="43">
        <f>IF($B620="","",IF(INDEX('Work Orders'!$Q$11:$Q$1010,$B620)="","",INDEX('Work Orders'!$Q$11:$Q$1010,$B620)))</f>
        <v/>
      </c>
      <c r="G620" s="43">
        <f>IF($B620="","",IF(INDEX('Work Orders'!$V$11:$V$1010,$B620)="","",INDEX('Work Orders'!$V$11:$V$1010,$B620)))</f>
        <v/>
      </c>
      <c r="H620" s="47">
        <f>IF($B620="","",IF(INDEX('Work Orders'!$U$11:$U$1010,$B620)="","",INDEX('Work Orders'!$U$11:$U$1010,$B620)))</f>
        <v/>
      </c>
      <c r="I620" s="47">
        <f>IF($B620="","",IF(INDEX('Work Orders'!$X$11:$X$1010,$B620)="","",INDEX('Work Orders'!$X$11:$X$1010,$B620)))</f>
        <v/>
      </c>
      <c r="J620" s="44">
        <f>IF($B620="","",IF(INDEX('Work Orders'!$Z$11:$Z$1010,$B620)="","",INDEX('Work Orders'!$Z$11:$Z$1010,$B620)))</f>
        <v/>
      </c>
      <c r="K620" s="44">
        <f>IF($B620="","",IF(INDEX('Work Orders'!$AG$11:$AG$1010,$B620)="","",INDEX('Work Orders'!$AG$11:$AG$1010,$B620)))</f>
        <v/>
      </c>
      <c r="L620" s="44">
        <f>IF($B620="","",IF(INDEX('Work Orders'!$AH$11:$AH$1010,$B620)="","",INDEX('Work Orders'!$AH$11:$AH$1010,$B620)))</f>
        <v/>
      </c>
      <c r="M620" s="46">
        <f>IF($B620="","",IF(INDEX('Work Orders'!$AM$11:$AM$1010,$B620)="","",INDEX('Work Orders'!$AM$11:$AM$1010,$B620)))</f>
        <v/>
      </c>
      <c r="N620" s="43">
        <f>IF($B620="","",IF(INDEX('Work Orders'!$AL$11:$AL$1010,$B620)="","",INDEX('Work Orders'!$AL$11:$AL$1010,$B620)))</f>
        <v/>
      </c>
      <c r="O620" s="43">
        <f>IF($B620="","",IF(INDEX('Work Orders'!$N$11:$N$1010,$B620)="","",INDEX('Work Orders'!$N$11:$N$1010,$B620)))</f>
        <v/>
      </c>
    </row>
    <row r="621">
      <c r="A621" s="68" t="n">
        <v>615</v>
      </c>
      <c r="B621">
        <f>IFERROR(MATCH(A621,'Work Orders'!$AO$11:$AO$1010,0),"")</f>
        <v/>
      </c>
      <c r="C621" s="43">
        <f>IF($B621="","",IF(INDEX('Work Orders'!$A$11:$A$1010,$B621)="","",INDEX('Work Orders'!$A$11:$A$1010,$B621)))</f>
        <v/>
      </c>
      <c r="D621" s="43">
        <f>IF($B621="","",IF(INDEX('Work Orders'!$B$11:$B$1010,$B621)="","",INDEX('Work Orders'!$B$11:$B$1010,$B621)))</f>
        <v/>
      </c>
      <c r="E621" s="43">
        <f>IF($B621="","",IF(INDEX('Work Orders'!$D$11:$D$1010,$B621)="","",INDEX('Work Orders'!$D$11:$D$1010,$B621)))</f>
        <v/>
      </c>
      <c r="F621" s="43">
        <f>IF($B621="","",IF(INDEX('Work Orders'!$Q$11:$Q$1010,$B621)="","",INDEX('Work Orders'!$Q$11:$Q$1010,$B621)))</f>
        <v/>
      </c>
      <c r="G621" s="43">
        <f>IF($B621="","",IF(INDEX('Work Orders'!$V$11:$V$1010,$B621)="","",INDEX('Work Orders'!$V$11:$V$1010,$B621)))</f>
        <v/>
      </c>
      <c r="H621" s="47">
        <f>IF($B621="","",IF(INDEX('Work Orders'!$U$11:$U$1010,$B621)="","",INDEX('Work Orders'!$U$11:$U$1010,$B621)))</f>
        <v/>
      </c>
      <c r="I621" s="47">
        <f>IF($B621="","",IF(INDEX('Work Orders'!$X$11:$X$1010,$B621)="","",INDEX('Work Orders'!$X$11:$X$1010,$B621)))</f>
        <v/>
      </c>
      <c r="J621" s="44">
        <f>IF($B621="","",IF(INDEX('Work Orders'!$Z$11:$Z$1010,$B621)="","",INDEX('Work Orders'!$Z$11:$Z$1010,$B621)))</f>
        <v/>
      </c>
      <c r="K621" s="44">
        <f>IF($B621="","",IF(INDEX('Work Orders'!$AG$11:$AG$1010,$B621)="","",INDEX('Work Orders'!$AG$11:$AG$1010,$B621)))</f>
        <v/>
      </c>
      <c r="L621" s="44">
        <f>IF($B621="","",IF(INDEX('Work Orders'!$AH$11:$AH$1010,$B621)="","",INDEX('Work Orders'!$AH$11:$AH$1010,$B621)))</f>
        <v/>
      </c>
      <c r="M621" s="46">
        <f>IF($B621="","",IF(INDEX('Work Orders'!$AM$11:$AM$1010,$B621)="","",INDEX('Work Orders'!$AM$11:$AM$1010,$B621)))</f>
        <v/>
      </c>
      <c r="N621" s="43">
        <f>IF($B621="","",IF(INDEX('Work Orders'!$AL$11:$AL$1010,$B621)="","",INDEX('Work Orders'!$AL$11:$AL$1010,$B621)))</f>
        <v/>
      </c>
      <c r="O621" s="43">
        <f>IF($B621="","",IF(INDEX('Work Orders'!$N$11:$N$1010,$B621)="","",INDEX('Work Orders'!$N$11:$N$1010,$B621)))</f>
        <v/>
      </c>
    </row>
    <row r="622">
      <c r="A622" s="68" t="n">
        <v>616</v>
      </c>
      <c r="B622">
        <f>IFERROR(MATCH(A622,'Work Orders'!$AO$11:$AO$1010,0),"")</f>
        <v/>
      </c>
      <c r="C622" s="43">
        <f>IF($B622="","",IF(INDEX('Work Orders'!$A$11:$A$1010,$B622)="","",INDEX('Work Orders'!$A$11:$A$1010,$B622)))</f>
        <v/>
      </c>
      <c r="D622" s="43">
        <f>IF($B622="","",IF(INDEX('Work Orders'!$B$11:$B$1010,$B622)="","",INDEX('Work Orders'!$B$11:$B$1010,$B622)))</f>
        <v/>
      </c>
      <c r="E622" s="43">
        <f>IF($B622="","",IF(INDEX('Work Orders'!$D$11:$D$1010,$B622)="","",INDEX('Work Orders'!$D$11:$D$1010,$B622)))</f>
        <v/>
      </c>
      <c r="F622" s="43">
        <f>IF($B622="","",IF(INDEX('Work Orders'!$Q$11:$Q$1010,$B622)="","",INDEX('Work Orders'!$Q$11:$Q$1010,$B622)))</f>
        <v/>
      </c>
      <c r="G622" s="43">
        <f>IF($B622="","",IF(INDEX('Work Orders'!$V$11:$V$1010,$B622)="","",INDEX('Work Orders'!$V$11:$V$1010,$B622)))</f>
        <v/>
      </c>
      <c r="H622" s="47">
        <f>IF($B622="","",IF(INDEX('Work Orders'!$U$11:$U$1010,$B622)="","",INDEX('Work Orders'!$U$11:$U$1010,$B622)))</f>
        <v/>
      </c>
      <c r="I622" s="47">
        <f>IF($B622="","",IF(INDEX('Work Orders'!$X$11:$X$1010,$B622)="","",INDEX('Work Orders'!$X$11:$X$1010,$B622)))</f>
        <v/>
      </c>
      <c r="J622" s="44">
        <f>IF($B622="","",IF(INDEX('Work Orders'!$Z$11:$Z$1010,$B622)="","",INDEX('Work Orders'!$Z$11:$Z$1010,$B622)))</f>
        <v/>
      </c>
      <c r="K622" s="44">
        <f>IF($B622="","",IF(INDEX('Work Orders'!$AG$11:$AG$1010,$B622)="","",INDEX('Work Orders'!$AG$11:$AG$1010,$B622)))</f>
        <v/>
      </c>
      <c r="L622" s="44">
        <f>IF($B622="","",IF(INDEX('Work Orders'!$AH$11:$AH$1010,$B622)="","",INDEX('Work Orders'!$AH$11:$AH$1010,$B622)))</f>
        <v/>
      </c>
      <c r="M622" s="46">
        <f>IF($B622="","",IF(INDEX('Work Orders'!$AM$11:$AM$1010,$B622)="","",INDEX('Work Orders'!$AM$11:$AM$1010,$B622)))</f>
        <v/>
      </c>
      <c r="N622" s="43">
        <f>IF($B622="","",IF(INDEX('Work Orders'!$AL$11:$AL$1010,$B622)="","",INDEX('Work Orders'!$AL$11:$AL$1010,$B622)))</f>
        <v/>
      </c>
      <c r="O622" s="43">
        <f>IF($B622="","",IF(INDEX('Work Orders'!$N$11:$N$1010,$B622)="","",INDEX('Work Orders'!$N$11:$N$1010,$B622)))</f>
        <v/>
      </c>
    </row>
    <row r="623">
      <c r="A623" s="68" t="n">
        <v>617</v>
      </c>
      <c r="B623">
        <f>IFERROR(MATCH(A623,'Work Orders'!$AO$11:$AO$1010,0),"")</f>
        <v/>
      </c>
      <c r="C623" s="43">
        <f>IF($B623="","",IF(INDEX('Work Orders'!$A$11:$A$1010,$B623)="","",INDEX('Work Orders'!$A$11:$A$1010,$B623)))</f>
        <v/>
      </c>
      <c r="D623" s="43">
        <f>IF($B623="","",IF(INDEX('Work Orders'!$B$11:$B$1010,$B623)="","",INDEX('Work Orders'!$B$11:$B$1010,$B623)))</f>
        <v/>
      </c>
      <c r="E623" s="43">
        <f>IF($B623="","",IF(INDEX('Work Orders'!$D$11:$D$1010,$B623)="","",INDEX('Work Orders'!$D$11:$D$1010,$B623)))</f>
        <v/>
      </c>
      <c r="F623" s="43">
        <f>IF($B623="","",IF(INDEX('Work Orders'!$Q$11:$Q$1010,$B623)="","",INDEX('Work Orders'!$Q$11:$Q$1010,$B623)))</f>
        <v/>
      </c>
      <c r="G623" s="43">
        <f>IF($B623="","",IF(INDEX('Work Orders'!$V$11:$V$1010,$B623)="","",INDEX('Work Orders'!$V$11:$V$1010,$B623)))</f>
        <v/>
      </c>
      <c r="H623" s="47">
        <f>IF($B623="","",IF(INDEX('Work Orders'!$U$11:$U$1010,$B623)="","",INDEX('Work Orders'!$U$11:$U$1010,$B623)))</f>
        <v/>
      </c>
      <c r="I623" s="47">
        <f>IF($B623="","",IF(INDEX('Work Orders'!$X$11:$X$1010,$B623)="","",INDEX('Work Orders'!$X$11:$X$1010,$B623)))</f>
        <v/>
      </c>
      <c r="J623" s="44">
        <f>IF($B623="","",IF(INDEX('Work Orders'!$Z$11:$Z$1010,$B623)="","",INDEX('Work Orders'!$Z$11:$Z$1010,$B623)))</f>
        <v/>
      </c>
      <c r="K623" s="44">
        <f>IF($B623="","",IF(INDEX('Work Orders'!$AG$11:$AG$1010,$B623)="","",INDEX('Work Orders'!$AG$11:$AG$1010,$B623)))</f>
        <v/>
      </c>
      <c r="L623" s="44">
        <f>IF($B623="","",IF(INDEX('Work Orders'!$AH$11:$AH$1010,$B623)="","",INDEX('Work Orders'!$AH$11:$AH$1010,$B623)))</f>
        <v/>
      </c>
      <c r="M623" s="46">
        <f>IF($B623="","",IF(INDEX('Work Orders'!$AM$11:$AM$1010,$B623)="","",INDEX('Work Orders'!$AM$11:$AM$1010,$B623)))</f>
        <v/>
      </c>
      <c r="N623" s="43">
        <f>IF($B623="","",IF(INDEX('Work Orders'!$AL$11:$AL$1010,$B623)="","",INDEX('Work Orders'!$AL$11:$AL$1010,$B623)))</f>
        <v/>
      </c>
      <c r="O623" s="43">
        <f>IF($B623="","",IF(INDEX('Work Orders'!$N$11:$N$1010,$B623)="","",INDEX('Work Orders'!$N$11:$N$1010,$B623)))</f>
        <v/>
      </c>
    </row>
    <row r="624">
      <c r="A624" s="68" t="n">
        <v>618</v>
      </c>
      <c r="B624">
        <f>IFERROR(MATCH(A624,'Work Orders'!$AO$11:$AO$1010,0),"")</f>
        <v/>
      </c>
      <c r="C624" s="43">
        <f>IF($B624="","",IF(INDEX('Work Orders'!$A$11:$A$1010,$B624)="","",INDEX('Work Orders'!$A$11:$A$1010,$B624)))</f>
        <v/>
      </c>
      <c r="D624" s="43">
        <f>IF($B624="","",IF(INDEX('Work Orders'!$B$11:$B$1010,$B624)="","",INDEX('Work Orders'!$B$11:$B$1010,$B624)))</f>
        <v/>
      </c>
      <c r="E624" s="43">
        <f>IF($B624="","",IF(INDEX('Work Orders'!$D$11:$D$1010,$B624)="","",INDEX('Work Orders'!$D$11:$D$1010,$B624)))</f>
        <v/>
      </c>
      <c r="F624" s="43">
        <f>IF($B624="","",IF(INDEX('Work Orders'!$Q$11:$Q$1010,$B624)="","",INDEX('Work Orders'!$Q$11:$Q$1010,$B624)))</f>
        <v/>
      </c>
      <c r="G624" s="43">
        <f>IF($B624="","",IF(INDEX('Work Orders'!$V$11:$V$1010,$B624)="","",INDEX('Work Orders'!$V$11:$V$1010,$B624)))</f>
        <v/>
      </c>
      <c r="H624" s="47">
        <f>IF($B624="","",IF(INDEX('Work Orders'!$U$11:$U$1010,$B624)="","",INDEX('Work Orders'!$U$11:$U$1010,$B624)))</f>
        <v/>
      </c>
      <c r="I624" s="47">
        <f>IF($B624="","",IF(INDEX('Work Orders'!$X$11:$X$1010,$B624)="","",INDEX('Work Orders'!$X$11:$X$1010,$B624)))</f>
        <v/>
      </c>
      <c r="J624" s="44">
        <f>IF($B624="","",IF(INDEX('Work Orders'!$Z$11:$Z$1010,$B624)="","",INDEX('Work Orders'!$Z$11:$Z$1010,$B624)))</f>
        <v/>
      </c>
      <c r="K624" s="44">
        <f>IF($B624="","",IF(INDEX('Work Orders'!$AG$11:$AG$1010,$B624)="","",INDEX('Work Orders'!$AG$11:$AG$1010,$B624)))</f>
        <v/>
      </c>
      <c r="L624" s="44">
        <f>IF($B624="","",IF(INDEX('Work Orders'!$AH$11:$AH$1010,$B624)="","",INDEX('Work Orders'!$AH$11:$AH$1010,$B624)))</f>
        <v/>
      </c>
      <c r="M624" s="46">
        <f>IF($B624="","",IF(INDEX('Work Orders'!$AM$11:$AM$1010,$B624)="","",INDEX('Work Orders'!$AM$11:$AM$1010,$B624)))</f>
        <v/>
      </c>
      <c r="N624" s="43">
        <f>IF($B624="","",IF(INDEX('Work Orders'!$AL$11:$AL$1010,$B624)="","",INDEX('Work Orders'!$AL$11:$AL$1010,$B624)))</f>
        <v/>
      </c>
      <c r="O624" s="43">
        <f>IF($B624="","",IF(INDEX('Work Orders'!$N$11:$N$1010,$B624)="","",INDEX('Work Orders'!$N$11:$N$1010,$B624)))</f>
        <v/>
      </c>
    </row>
    <row r="625">
      <c r="A625" s="68" t="n">
        <v>619</v>
      </c>
      <c r="B625">
        <f>IFERROR(MATCH(A625,'Work Orders'!$AO$11:$AO$1010,0),"")</f>
        <v/>
      </c>
      <c r="C625" s="43">
        <f>IF($B625="","",IF(INDEX('Work Orders'!$A$11:$A$1010,$B625)="","",INDEX('Work Orders'!$A$11:$A$1010,$B625)))</f>
        <v/>
      </c>
      <c r="D625" s="43">
        <f>IF($B625="","",IF(INDEX('Work Orders'!$B$11:$B$1010,$B625)="","",INDEX('Work Orders'!$B$11:$B$1010,$B625)))</f>
        <v/>
      </c>
      <c r="E625" s="43">
        <f>IF($B625="","",IF(INDEX('Work Orders'!$D$11:$D$1010,$B625)="","",INDEX('Work Orders'!$D$11:$D$1010,$B625)))</f>
        <v/>
      </c>
      <c r="F625" s="43">
        <f>IF($B625="","",IF(INDEX('Work Orders'!$Q$11:$Q$1010,$B625)="","",INDEX('Work Orders'!$Q$11:$Q$1010,$B625)))</f>
        <v/>
      </c>
      <c r="G625" s="43">
        <f>IF($B625="","",IF(INDEX('Work Orders'!$V$11:$V$1010,$B625)="","",INDEX('Work Orders'!$V$11:$V$1010,$B625)))</f>
        <v/>
      </c>
      <c r="H625" s="47">
        <f>IF($B625="","",IF(INDEX('Work Orders'!$U$11:$U$1010,$B625)="","",INDEX('Work Orders'!$U$11:$U$1010,$B625)))</f>
        <v/>
      </c>
      <c r="I625" s="47">
        <f>IF($B625="","",IF(INDEX('Work Orders'!$X$11:$X$1010,$B625)="","",INDEX('Work Orders'!$X$11:$X$1010,$B625)))</f>
        <v/>
      </c>
      <c r="J625" s="44">
        <f>IF($B625="","",IF(INDEX('Work Orders'!$Z$11:$Z$1010,$B625)="","",INDEX('Work Orders'!$Z$11:$Z$1010,$B625)))</f>
        <v/>
      </c>
      <c r="K625" s="44">
        <f>IF($B625="","",IF(INDEX('Work Orders'!$AG$11:$AG$1010,$B625)="","",INDEX('Work Orders'!$AG$11:$AG$1010,$B625)))</f>
        <v/>
      </c>
      <c r="L625" s="44">
        <f>IF($B625="","",IF(INDEX('Work Orders'!$AH$11:$AH$1010,$B625)="","",INDEX('Work Orders'!$AH$11:$AH$1010,$B625)))</f>
        <v/>
      </c>
      <c r="M625" s="46">
        <f>IF($B625="","",IF(INDEX('Work Orders'!$AM$11:$AM$1010,$B625)="","",INDEX('Work Orders'!$AM$11:$AM$1010,$B625)))</f>
        <v/>
      </c>
      <c r="N625" s="43">
        <f>IF($B625="","",IF(INDEX('Work Orders'!$AL$11:$AL$1010,$B625)="","",INDEX('Work Orders'!$AL$11:$AL$1010,$B625)))</f>
        <v/>
      </c>
      <c r="O625" s="43">
        <f>IF($B625="","",IF(INDEX('Work Orders'!$N$11:$N$1010,$B625)="","",INDEX('Work Orders'!$N$11:$N$1010,$B625)))</f>
        <v/>
      </c>
    </row>
    <row r="626">
      <c r="A626" s="68" t="n">
        <v>620</v>
      </c>
      <c r="B626">
        <f>IFERROR(MATCH(A626,'Work Orders'!$AO$11:$AO$1010,0),"")</f>
        <v/>
      </c>
      <c r="C626" s="43">
        <f>IF($B626="","",IF(INDEX('Work Orders'!$A$11:$A$1010,$B626)="","",INDEX('Work Orders'!$A$11:$A$1010,$B626)))</f>
        <v/>
      </c>
      <c r="D626" s="43">
        <f>IF($B626="","",IF(INDEX('Work Orders'!$B$11:$B$1010,$B626)="","",INDEX('Work Orders'!$B$11:$B$1010,$B626)))</f>
        <v/>
      </c>
      <c r="E626" s="43">
        <f>IF($B626="","",IF(INDEX('Work Orders'!$D$11:$D$1010,$B626)="","",INDEX('Work Orders'!$D$11:$D$1010,$B626)))</f>
        <v/>
      </c>
      <c r="F626" s="43">
        <f>IF($B626="","",IF(INDEX('Work Orders'!$Q$11:$Q$1010,$B626)="","",INDEX('Work Orders'!$Q$11:$Q$1010,$B626)))</f>
        <v/>
      </c>
      <c r="G626" s="43">
        <f>IF($B626="","",IF(INDEX('Work Orders'!$V$11:$V$1010,$B626)="","",INDEX('Work Orders'!$V$11:$V$1010,$B626)))</f>
        <v/>
      </c>
      <c r="H626" s="47">
        <f>IF($B626="","",IF(INDEX('Work Orders'!$U$11:$U$1010,$B626)="","",INDEX('Work Orders'!$U$11:$U$1010,$B626)))</f>
        <v/>
      </c>
      <c r="I626" s="47">
        <f>IF($B626="","",IF(INDEX('Work Orders'!$X$11:$X$1010,$B626)="","",INDEX('Work Orders'!$X$11:$X$1010,$B626)))</f>
        <v/>
      </c>
      <c r="J626" s="44">
        <f>IF($B626="","",IF(INDEX('Work Orders'!$Z$11:$Z$1010,$B626)="","",INDEX('Work Orders'!$Z$11:$Z$1010,$B626)))</f>
        <v/>
      </c>
      <c r="K626" s="44">
        <f>IF($B626="","",IF(INDEX('Work Orders'!$AG$11:$AG$1010,$B626)="","",INDEX('Work Orders'!$AG$11:$AG$1010,$B626)))</f>
        <v/>
      </c>
      <c r="L626" s="44">
        <f>IF($B626="","",IF(INDEX('Work Orders'!$AH$11:$AH$1010,$B626)="","",INDEX('Work Orders'!$AH$11:$AH$1010,$B626)))</f>
        <v/>
      </c>
      <c r="M626" s="46">
        <f>IF($B626="","",IF(INDEX('Work Orders'!$AM$11:$AM$1010,$B626)="","",INDEX('Work Orders'!$AM$11:$AM$1010,$B626)))</f>
        <v/>
      </c>
      <c r="N626" s="43">
        <f>IF($B626="","",IF(INDEX('Work Orders'!$AL$11:$AL$1010,$B626)="","",INDEX('Work Orders'!$AL$11:$AL$1010,$B626)))</f>
        <v/>
      </c>
      <c r="O626" s="43">
        <f>IF($B626="","",IF(INDEX('Work Orders'!$N$11:$N$1010,$B626)="","",INDEX('Work Orders'!$N$11:$N$1010,$B626)))</f>
        <v/>
      </c>
    </row>
    <row r="627">
      <c r="A627" s="68" t="n">
        <v>621</v>
      </c>
      <c r="B627">
        <f>IFERROR(MATCH(A627,'Work Orders'!$AO$11:$AO$1010,0),"")</f>
        <v/>
      </c>
      <c r="C627" s="43">
        <f>IF($B627="","",IF(INDEX('Work Orders'!$A$11:$A$1010,$B627)="","",INDEX('Work Orders'!$A$11:$A$1010,$B627)))</f>
        <v/>
      </c>
      <c r="D627" s="43">
        <f>IF($B627="","",IF(INDEX('Work Orders'!$B$11:$B$1010,$B627)="","",INDEX('Work Orders'!$B$11:$B$1010,$B627)))</f>
        <v/>
      </c>
      <c r="E627" s="43">
        <f>IF($B627="","",IF(INDEX('Work Orders'!$D$11:$D$1010,$B627)="","",INDEX('Work Orders'!$D$11:$D$1010,$B627)))</f>
        <v/>
      </c>
      <c r="F627" s="43">
        <f>IF($B627="","",IF(INDEX('Work Orders'!$Q$11:$Q$1010,$B627)="","",INDEX('Work Orders'!$Q$11:$Q$1010,$B627)))</f>
        <v/>
      </c>
      <c r="G627" s="43">
        <f>IF($B627="","",IF(INDEX('Work Orders'!$V$11:$V$1010,$B627)="","",INDEX('Work Orders'!$V$11:$V$1010,$B627)))</f>
        <v/>
      </c>
      <c r="H627" s="47">
        <f>IF($B627="","",IF(INDEX('Work Orders'!$U$11:$U$1010,$B627)="","",INDEX('Work Orders'!$U$11:$U$1010,$B627)))</f>
        <v/>
      </c>
      <c r="I627" s="47">
        <f>IF($B627="","",IF(INDEX('Work Orders'!$X$11:$X$1010,$B627)="","",INDEX('Work Orders'!$X$11:$X$1010,$B627)))</f>
        <v/>
      </c>
      <c r="J627" s="44">
        <f>IF($B627="","",IF(INDEX('Work Orders'!$Z$11:$Z$1010,$B627)="","",INDEX('Work Orders'!$Z$11:$Z$1010,$B627)))</f>
        <v/>
      </c>
      <c r="K627" s="44">
        <f>IF($B627="","",IF(INDEX('Work Orders'!$AG$11:$AG$1010,$B627)="","",INDEX('Work Orders'!$AG$11:$AG$1010,$B627)))</f>
        <v/>
      </c>
      <c r="L627" s="44">
        <f>IF($B627="","",IF(INDEX('Work Orders'!$AH$11:$AH$1010,$B627)="","",INDEX('Work Orders'!$AH$11:$AH$1010,$B627)))</f>
        <v/>
      </c>
      <c r="M627" s="46">
        <f>IF($B627="","",IF(INDEX('Work Orders'!$AM$11:$AM$1010,$B627)="","",INDEX('Work Orders'!$AM$11:$AM$1010,$B627)))</f>
        <v/>
      </c>
      <c r="N627" s="43">
        <f>IF($B627="","",IF(INDEX('Work Orders'!$AL$11:$AL$1010,$B627)="","",INDEX('Work Orders'!$AL$11:$AL$1010,$B627)))</f>
        <v/>
      </c>
      <c r="O627" s="43">
        <f>IF($B627="","",IF(INDEX('Work Orders'!$N$11:$N$1010,$B627)="","",INDEX('Work Orders'!$N$11:$N$1010,$B627)))</f>
        <v/>
      </c>
    </row>
    <row r="628">
      <c r="A628" s="68" t="n">
        <v>622</v>
      </c>
      <c r="B628">
        <f>IFERROR(MATCH(A628,'Work Orders'!$AO$11:$AO$1010,0),"")</f>
        <v/>
      </c>
      <c r="C628" s="43">
        <f>IF($B628="","",IF(INDEX('Work Orders'!$A$11:$A$1010,$B628)="","",INDEX('Work Orders'!$A$11:$A$1010,$B628)))</f>
        <v/>
      </c>
      <c r="D628" s="43">
        <f>IF($B628="","",IF(INDEX('Work Orders'!$B$11:$B$1010,$B628)="","",INDEX('Work Orders'!$B$11:$B$1010,$B628)))</f>
        <v/>
      </c>
      <c r="E628" s="43">
        <f>IF($B628="","",IF(INDEX('Work Orders'!$D$11:$D$1010,$B628)="","",INDEX('Work Orders'!$D$11:$D$1010,$B628)))</f>
        <v/>
      </c>
      <c r="F628" s="43">
        <f>IF($B628="","",IF(INDEX('Work Orders'!$Q$11:$Q$1010,$B628)="","",INDEX('Work Orders'!$Q$11:$Q$1010,$B628)))</f>
        <v/>
      </c>
      <c r="G628" s="43">
        <f>IF($B628="","",IF(INDEX('Work Orders'!$V$11:$V$1010,$B628)="","",INDEX('Work Orders'!$V$11:$V$1010,$B628)))</f>
        <v/>
      </c>
      <c r="H628" s="47">
        <f>IF($B628="","",IF(INDEX('Work Orders'!$U$11:$U$1010,$B628)="","",INDEX('Work Orders'!$U$11:$U$1010,$B628)))</f>
        <v/>
      </c>
      <c r="I628" s="47">
        <f>IF($B628="","",IF(INDEX('Work Orders'!$X$11:$X$1010,$B628)="","",INDEX('Work Orders'!$X$11:$X$1010,$B628)))</f>
        <v/>
      </c>
      <c r="J628" s="44">
        <f>IF($B628="","",IF(INDEX('Work Orders'!$Z$11:$Z$1010,$B628)="","",INDEX('Work Orders'!$Z$11:$Z$1010,$B628)))</f>
        <v/>
      </c>
      <c r="K628" s="44">
        <f>IF($B628="","",IF(INDEX('Work Orders'!$AG$11:$AG$1010,$B628)="","",INDEX('Work Orders'!$AG$11:$AG$1010,$B628)))</f>
        <v/>
      </c>
      <c r="L628" s="44">
        <f>IF($B628="","",IF(INDEX('Work Orders'!$AH$11:$AH$1010,$B628)="","",INDEX('Work Orders'!$AH$11:$AH$1010,$B628)))</f>
        <v/>
      </c>
      <c r="M628" s="46">
        <f>IF($B628="","",IF(INDEX('Work Orders'!$AM$11:$AM$1010,$B628)="","",INDEX('Work Orders'!$AM$11:$AM$1010,$B628)))</f>
        <v/>
      </c>
      <c r="N628" s="43">
        <f>IF($B628="","",IF(INDEX('Work Orders'!$AL$11:$AL$1010,$B628)="","",INDEX('Work Orders'!$AL$11:$AL$1010,$B628)))</f>
        <v/>
      </c>
      <c r="O628" s="43">
        <f>IF($B628="","",IF(INDEX('Work Orders'!$N$11:$N$1010,$B628)="","",INDEX('Work Orders'!$N$11:$N$1010,$B628)))</f>
        <v/>
      </c>
    </row>
    <row r="629">
      <c r="A629" s="68" t="n">
        <v>623</v>
      </c>
      <c r="B629">
        <f>IFERROR(MATCH(A629,'Work Orders'!$AO$11:$AO$1010,0),"")</f>
        <v/>
      </c>
      <c r="C629" s="43">
        <f>IF($B629="","",IF(INDEX('Work Orders'!$A$11:$A$1010,$B629)="","",INDEX('Work Orders'!$A$11:$A$1010,$B629)))</f>
        <v/>
      </c>
      <c r="D629" s="43">
        <f>IF($B629="","",IF(INDEX('Work Orders'!$B$11:$B$1010,$B629)="","",INDEX('Work Orders'!$B$11:$B$1010,$B629)))</f>
        <v/>
      </c>
      <c r="E629" s="43">
        <f>IF($B629="","",IF(INDEX('Work Orders'!$D$11:$D$1010,$B629)="","",INDEX('Work Orders'!$D$11:$D$1010,$B629)))</f>
        <v/>
      </c>
      <c r="F629" s="43">
        <f>IF($B629="","",IF(INDEX('Work Orders'!$Q$11:$Q$1010,$B629)="","",INDEX('Work Orders'!$Q$11:$Q$1010,$B629)))</f>
        <v/>
      </c>
      <c r="G629" s="43">
        <f>IF($B629="","",IF(INDEX('Work Orders'!$V$11:$V$1010,$B629)="","",INDEX('Work Orders'!$V$11:$V$1010,$B629)))</f>
        <v/>
      </c>
      <c r="H629" s="47">
        <f>IF($B629="","",IF(INDEX('Work Orders'!$U$11:$U$1010,$B629)="","",INDEX('Work Orders'!$U$11:$U$1010,$B629)))</f>
        <v/>
      </c>
      <c r="I629" s="47">
        <f>IF($B629="","",IF(INDEX('Work Orders'!$X$11:$X$1010,$B629)="","",INDEX('Work Orders'!$X$11:$X$1010,$B629)))</f>
        <v/>
      </c>
      <c r="J629" s="44">
        <f>IF($B629="","",IF(INDEX('Work Orders'!$Z$11:$Z$1010,$B629)="","",INDEX('Work Orders'!$Z$11:$Z$1010,$B629)))</f>
        <v/>
      </c>
      <c r="K629" s="44">
        <f>IF($B629="","",IF(INDEX('Work Orders'!$AG$11:$AG$1010,$B629)="","",INDEX('Work Orders'!$AG$11:$AG$1010,$B629)))</f>
        <v/>
      </c>
      <c r="L629" s="44">
        <f>IF($B629="","",IF(INDEX('Work Orders'!$AH$11:$AH$1010,$B629)="","",INDEX('Work Orders'!$AH$11:$AH$1010,$B629)))</f>
        <v/>
      </c>
      <c r="M629" s="46">
        <f>IF($B629="","",IF(INDEX('Work Orders'!$AM$11:$AM$1010,$B629)="","",INDEX('Work Orders'!$AM$11:$AM$1010,$B629)))</f>
        <v/>
      </c>
      <c r="N629" s="43">
        <f>IF($B629="","",IF(INDEX('Work Orders'!$AL$11:$AL$1010,$B629)="","",INDEX('Work Orders'!$AL$11:$AL$1010,$B629)))</f>
        <v/>
      </c>
      <c r="O629" s="43">
        <f>IF($B629="","",IF(INDEX('Work Orders'!$N$11:$N$1010,$B629)="","",INDEX('Work Orders'!$N$11:$N$1010,$B629)))</f>
        <v/>
      </c>
    </row>
    <row r="630">
      <c r="A630" s="68" t="n">
        <v>624</v>
      </c>
      <c r="B630">
        <f>IFERROR(MATCH(A630,'Work Orders'!$AO$11:$AO$1010,0),"")</f>
        <v/>
      </c>
      <c r="C630" s="43">
        <f>IF($B630="","",IF(INDEX('Work Orders'!$A$11:$A$1010,$B630)="","",INDEX('Work Orders'!$A$11:$A$1010,$B630)))</f>
        <v/>
      </c>
      <c r="D630" s="43">
        <f>IF($B630="","",IF(INDEX('Work Orders'!$B$11:$B$1010,$B630)="","",INDEX('Work Orders'!$B$11:$B$1010,$B630)))</f>
        <v/>
      </c>
      <c r="E630" s="43">
        <f>IF($B630="","",IF(INDEX('Work Orders'!$D$11:$D$1010,$B630)="","",INDEX('Work Orders'!$D$11:$D$1010,$B630)))</f>
        <v/>
      </c>
      <c r="F630" s="43">
        <f>IF($B630="","",IF(INDEX('Work Orders'!$Q$11:$Q$1010,$B630)="","",INDEX('Work Orders'!$Q$11:$Q$1010,$B630)))</f>
        <v/>
      </c>
      <c r="G630" s="43">
        <f>IF($B630="","",IF(INDEX('Work Orders'!$V$11:$V$1010,$B630)="","",INDEX('Work Orders'!$V$11:$V$1010,$B630)))</f>
        <v/>
      </c>
      <c r="H630" s="47">
        <f>IF($B630="","",IF(INDEX('Work Orders'!$U$11:$U$1010,$B630)="","",INDEX('Work Orders'!$U$11:$U$1010,$B630)))</f>
        <v/>
      </c>
      <c r="I630" s="47">
        <f>IF($B630="","",IF(INDEX('Work Orders'!$X$11:$X$1010,$B630)="","",INDEX('Work Orders'!$X$11:$X$1010,$B630)))</f>
        <v/>
      </c>
      <c r="J630" s="44">
        <f>IF($B630="","",IF(INDEX('Work Orders'!$Z$11:$Z$1010,$B630)="","",INDEX('Work Orders'!$Z$11:$Z$1010,$B630)))</f>
        <v/>
      </c>
      <c r="K630" s="44">
        <f>IF($B630="","",IF(INDEX('Work Orders'!$AG$11:$AG$1010,$B630)="","",INDEX('Work Orders'!$AG$11:$AG$1010,$B630)))</f>
        <v/>
      </c>
      <c r="L630" s="44">
        <f>IF($B630="","",IF(INDEX('Work Orders'!$AH$11:$AH$1010,$B630)="","",INDEX('Work Orders'!$AH$11:$AH$1010,$B630)))</f>
        <v/>
      </c>
      <c r="M630" s="46">
        <f>IF($B630="","",IF(INDEX('Work Orders'!$AM$11:$AM$1010,$B630)="","",INDEX('Work Orders'!$AM$11:$AM$1010,$B630)))</f>
        <v/>
      </c>
      <c r="N630" s="43">
        <f>IF($B630="","",IF(INDEX('Work Orders'!$AL$11:$AL$1010,$B630)="","",INDEX('Work Orders'!$AL$11:$AL$1010,$B630)))</f>
        <v/>
      </c>
      <c r="O630" s="43">
        <f>IF($B630="","",IF(INDEX('Work Orders'!$N$11:$N$1010,$B630)="","",INDEX('Work Orders'!$N$11:$N$1010,$B630)))</f>
        <v/>
      </c>
    </row>
    <row r="631">
      <c r="A631" s="68" t="n">
        <v>625</v>
      </c>
      <c r="B631">
        <f>IFERROR(MATCH(A631,'Work Orders'!$AO$11:$AO$1010,0),"")</f>
        <v/>
      </c>
      <c r="C631" s="43">
        <f>IF($B631="","",IF(INDEX('Work Orders'!$A$11:$A$1010,$B631)="","",INDEX('Work Orders'!$A$11:$A$1010,$B631)))</f>
        <v/>
      </c>
      <c r="D631" s="43">
        <f>IF($B631="","",IF(INDEX('Work Orders'!$B$11:$B$1010,$B631)="","",INDEX('Work Orders'!$B$11:$B$1010,$B631)))</f>
        <v/>
      </c>
      <c r="E631" s="43">
        <f>IF($B631="","",IF(INDEX('Work Orders'!$D$11:$D$1010,$B631)="","",INDEX('Work Orders'!$D$11:$D$1010,$B631)))</f>
        <v/>
      </c>
      <c r="F631" s="43">
        <f>IF($B631="","",IF(INDEX('Work Orders'!$Q$11:$Q$1010,$B631)="","",INDEX('Work Orders'!$Q$11:$Q$1010,$B631)))</f>
        <v/>
      </c>
      <c r="G631" s="43">
        <f>IF($B631="","",IF(INDEX('Work Orders'!$V$11:$V$1010,$B631)="","",INDEX('Work Orders'!$V$11:$V$1010,$B631)))</f>
        <v/>
      </c>
      <c r="H631" s="47">
        <f>IF($B631="","",IF(INDEX('Work Orders'!$U$11:$U$1010,$B631)="","",INDEX('Work Orders'!$U$11:$U$1010,$B631)))</f>
        <v/>
      </c>
      <c r="I631" s="47">
        <f>IF($B631="","",IF(INDEX('Work Orders'!$X$11:$X$1010,$B631)="","",INDEX('Work Orders'!$X$11:$X$1010,$B631)))</f>
        <v/>
      </c>
      <c r="J631" s="44">
        <f>IF($B631="","",IF(INDEX('Work Orders'!$Z$11:$Z$1010,$B631)="","",INDEX('Work Orders'!$Z$11:$Z$1010,$B631)))</f>
        <v/>
      </c>
      <c r="K631" s="44">
        <f>IF($B631="","",IF(INDEX('Work Orders'!$AG$11:$AG$1010,$B631)="","",INDEX('Work Orders'!$AG$11:$AG$1010,$B631)))</f>
        <v/>
      </c>
      <c r="L631" s="44">
        <f>IF($B631="","",IF(INDEX('Work Orders'!$AH$11:$AH$1010,$B631)="","",INDEX('Work Orders'!$AH$11:$AH$1010,$B631)))</f>
        <v/>
      </c>
      <c r="M631" s="46">
        <f>IF($B631="","",IF(INDEX('Work Orders'!$AM$11:$AM$1010,$B631)="","",INDEX('Work Orders'!$AM$11:$AM$1010,$B631)))</f>
        <v/>
      </c>
      <c r="N631" s="43">
        <f>IF($B631="","",IF(INDEX('Work Orders'!$AL$11:$AL$1010,$B631)="","",INDEX('Work Orders'!$AL$11:$AL$1010,$B631)))</f>
        <v/>
      </c>
      <c r="O631" s="43">
        <f>IF($B631="","",IF(INDEX('Work Orders'!$N$11:$N$1010,$B631)="","",INDEX('Work Orders'!$N$11:$N$1010,$B631)))</f>
        <v/>
      </c>
    </row>
    <row r="632">
      <c r="A632" s="68" t="n">
        <v>626</v>
      </c>
      <c r="B632">
        <f>IFERROR(MATCH(A632,'Work Orders'!$AO$11:$AO$1010,0),"")</f>
        <v/>
      </c>
      <c r="C632" s="43">
        <f>IF($B632="","",IF(INDEX('Work Orders'!$A$11:$A$1010,$B632)="","",INDEX('Work Orders'!$A$11:$A$1010,$B632)))</f>
        <v/>
      </c>
      <c r="D632" s="43">
        <f>IF($B632="","",IF(INDEX('Work Orders'!$B$11:$B$1010,$B632)="","",INDEX('Work Orders'!$B$11:$B$1010,$B632)))</f>
        <v/>
      </c>
      <c r="E632" s="43">
        <f>IF($B632="","",IF(INDEX('Work Orders'!$D$11:$D$1010,$B632)="","",INDEX('Work Orders'!$D$11:$D$1010,$B632)))</f>
        <v/>
      </c>
      <c r="F632" s="43">
        <f>IF($B632="","",IF(INDEX('Work Orders'!$Q$11:$Q$1010,$B632)="","",INDEX('Work Orders'!$Q$11:$Q$1010,$B632)))</f>
        <v/>
      </c>
      <c r="G632" s="43">
        <f>IF($B632="","",IF(INDEX('Work Orders'!$V$11:$V$1010,$B632)="","",INDEX('Work Orders'!$V$11:$V$1010,$B632)))</f>
        <v/>
      </c>
      <c r="H632" s="47">
        <f>IF($B632="","",IF(INDEX('Work Orders'!$U$11:$U$1010,$B632)="","",INDEX('Work Orders'!$U$11:$U$1010,$B632)))</f>
        <v/>
      </c>
      <c r="I632" s="47">
        <f>IF($B632="","",IF(INDEX('Work Orders'!$X$11:$X$1010,$B632)="","",INDEX('Work Orders'!$X$11:$X$1010,$B632)))</f>
        <v/>
      </c>
      <c r="J632" s="44">
        <f>IF($B632="","",IF(INDEX('Work Orders'!$Z$11:$Z$1010,$B632)="","",INDEX('Work Orders'!$Z$11:$Z$1010,$B632)))</f>
        <v/>
      </c>
      <c r="K632" s="44">
        <f>IF($B632="","",IF(INDEX('Work Orders'!$AG$11:$AG$1010,$B632)="","",INDEX('Work Orders'!$AG$11:$AG$1010,$B632)))</f>
        <v/>
      </c>
      <c r="L632" s="44">
        <f>IF($B632="","",IF(INDEX('Work Orders'!$AH$11:$AH$1010,$B632)="","",INDEX('Work Orders'!$AH$11:$AH$1010,$B632)))</f>
        <v/>
      </c>
      <c r="M632" s="46">
        <f>IF($B632="","",IF(INDEX('Work Orders'!$AM$11:$AM$1010,$B632)="","",INDEX('Work Orders'!$AM$11:$AM$1010,$B632)))</f>
        <v/>
      </c>
      <c r="N632" s="43">
        <f>IF($B632="","",IF(INDEX('Work Orders'!$AL$11:$AL$1010,$B632)="","",INDEX('Work Orders'!$AL$11:$AL$1010,$B632)))</f>
        <v/>
      </c>
      <c r="O632" s="43">
        <f>IF($B632="","",IF(INDEX('Work Orders'!$N$11:$N$1010,$B632)="","",INDEX('Work Orders'!$N$11:$N$1010,$B632)))</f>
        <v/>
      </c>
    </row>
    <row r="633">
      <c r="A633" s="68" t="n">
        <v>627</v>
      </c>
      <c r="B633">
        <f>IFERROR(MATCH(A633,'Work Orders'!$AO$11:$AO$1010,0),"")</f>
        <v/>
      </c>
      <c r="C633" s="43">
        <f>IF($B633="","",IF(INDEX('Work Orders'!$A$11:$A$1010,$B633)="","",INDEX('Work Orders'!$A$11:$A$1010,$B633)))</f>
        <v/>
      </c>
      <c r="D633" s="43">
        <f>IF($B633="","",IF(INDEX('Work Orders'!$B$11:$B$1010,$B633)="","",INDEX('Work Orders'!$B$11:$B$1010,$B633)))</f>
        <v/>
      </c>
      <c r="E633" s="43">
        <f>IF($B633="","",IF(INDEX('Work Orders'!$D$11:$D$1010,$B633)="","",INDEX('Work Orders'!$D$11:$D$1010,$B633)))</f>
        <v/>
      </c>
      <c r="F633" s="43">
        <f>IF($B633="","",IF(INDEX('Work Orders'!$Q$11:$Q$1010,$B633)="","",INDEX('Work Orders'!$Q$11:$Q$1010,$B633)))</f>
        <v/>
      </c>
      <c r="G633" s="43">
        <f>IF($B633="","",IF(INDEX('Work Orders'!$V$11:$V$1010,$B633)="","",INDEX('Work Orders'!$V$11:$V$1010,$B633)))</f>
        <v/>
      </c>
      <c r="H633" s="47">
        <f>IF($B633="","",IF(INDEX('Work Orders'!$U$11:$U$1010,$B633)="","",INDEX('Work Orders'!$U$11:$U$1010,$B633)))</f>
        <v/>
      </c>
      <c r="I633" s="47">
        <f>IF($B633="","",IF(INDEX('Work Orders'!$X$11:$X$1010,$B633)="","",INDEX('Work Orders'!$X$11:$X$1010,$B633)))</f>
        <v/>
      </c>
      <c r="J633" s="44">
        <f>IF($B633="","",IF(INDEX('Work Orders'!$Z$11:$Z$1010,$B633)="","",INDEX('Work Orders'!$Z$11:$Z$1010,$B633)))</f>
        <v/>
      </c>
      <c r="K633" s="44">
        <f>IF($B633="","",IF(INDEX('Work Orders'!$AG$11:$AG$1010,$B633)="","",INDEX('Work Orders'!$AG$11:$AG$1010,$B633)))</f>
        <v/>
      </c>
      <c r="L633" s="44">
        <f>IF($B633="","",IF(INDEX('Work Orders'!$AH$11:$AH$1010,$B633)="","",INDEX('Work Orders'!$AH$11:$AH$1010,$B633)))</f>
        <v/>
      </c>
      <c r="M633" s="46">
        <f>IF($B633="","",IF(INDEX('Work Orders'!$AM$11:$AM$1010,$B633)="","",INDEX('Work Orders'!$AM$11:$AM$1010,$B633)))</f>
        <v/>
      </c>
      <c r="N633" s="43">
        <f>IF($B633="","",IF(INDEX('Work Orders'!$AL$11:$AL$1010,$B633)="","",INDEX('Work Orders'!$AL$11:$AL$1010,$B633)))</f>
        <v/>
      </c>
      <c r="O633" s="43">
        <f>IF($B633="","",IF(INDEX('Work Orders'!$N$11:$N$1010,$B633)="","",INDEX('Work Orders'!$N$11:$N$1010,$B633)))</f>
        <v/>
      </c>
    </row>
    <row r="634">
      <c r="A634" s="68" t="n">
        <v>628</v>
      </c>
      <c r="B634">
        <f>IFERROR(MATCH(A634,'Work Orders'!$AO$11:$AO$1010,0),"")</f>
        <v/>
      </c>
      <c r="C634" s="43">
        <f>IF($B634="","",IF(INDEX('Work Orders'!$A$11:$A$1010,$B634)="","",INDEX('Work Orders'!$A$11:$A$1010,$B634)))</f>
        <v/>
      </c>
      <c r="D634" s="43">
        <f>IF($B634="","",IF(INDEX('Work Orders'!$B$11:$B$1010,$B634)="","",INDEX('Work Orders'!$B$11:$B$1010,$B634)))</f>
        <v/>
      </c>
      <c r="E634" s="43">
        <f>IF($B634="","",IF(INDEX('Work Orders'!$D$11:$D$1010,$B634)="","",INDEX('Work Orders'!$D$11:$D$1010,$B634)))</f>
        <v/>
      </c>
      <c r="F634" s="43">
        <f>IF($B634="","",IF(INDEX('Work Orders'!$Q$11:$Q$1010,$B634)="","",INDEX('Work Orders'!$Q$11:$Q$1010,$B634)))</f>
        <v/>
      </c>
      <c r="G634" s="43">
        <f>IF($B634="","",IF(INDEX('Work Orders'!$V$11:$V$1010,$B634)="","",INDEX('Work Orders'!$V$11:$V$1010,$B634)))</f>
        <v/>
      </c>
      <c r="H634" s="47">
        <f>IF($B634="","",IF(INDEX('Work Orders'!$U$11:$U$1010,$B634)="","",INDEX('Work Orders'!$U$11:$U$1010,$B634)))</f>
        <v/>
      </c>
      <c r="I634" s="47">
        <f>IF($B634="","",IF(INDEX('Work Orders'!$X$11:$X$1010,$B634)="","",INDEX('Work Orders'!$X$11:$X$1010,$B634)))</f>
        <v/>
      </c>
      <c r="J634" s="44">
        <f>IF($B634="","",IF(INDEX('Work Orders'!$Z$11:$Z$1010,$B634)="","",INDEX('Work Orders'!$Z$11:$Z$1010,$B634)))</f>
        <v/>
      </c>
      <c r="K634" s="44">
        <f>IF($B634="","",IF(INDEX('Work Orders'!$AG$11:$AG$1010,$B634)="","",INDEX('Work Orders'!$AG$11:$AG$1010,$B634)))</f>
        <v/>
      </c>
      <c r="L634" s="44">
        <f>IF($B634="","",IF(INDEX('Work Orders'!$AH$11:$AH$1010,$B634)="","",INDEX('Work Orders'!$AH$11:$AH$1010,$B634)))</f>
        <v/>
      </c>
      <c r="M634" s="46">
        <f>IF($B634="","",IF(INDEX('Work Orders'!$AM$11:$AM$1010,$B634)="","",INDEX('Work Orders'!$AM$11:$AM$1010,$B634)))</f>
        <v/>
      </c>
      <c r="N634" s="43">
        <f>IF($B634="","",IF(INDEX('Work Orders'!$AL$11:$AL$1010,$B634)="","",INDEX('Work Orders'!$AL$11:$AL$1010,$B634)))</f>
        <v/>
      </c>
      <c r="O634" s="43">
        <f>IF($B634="","",IF(INDEX('Work Orders'!$N$11:$N$1010,$B634)="","",INDEX('Work Orders'!$N$11:$N$1010,$B634)))</f>
        <v/>
      </c>
    </row>
    <row r="635">
      <c r="A635" s="68" t="n">
        <v>629</v>
      </c>
      <c r="B635">
        <f>IFERROR(MATCH(A635,'Work Orders'!$AO$11:$AO$1010,0),"")</f>
        <v/>
      </c>
      <c r="C635" s="43">
        <f>IF($B635="","",IF(INDEX('Work Orders'!$A$11:$A$1010,$B635)="","",INDEX('Work Orders'!$A$11:$A$1010,$B635)))</f>
        <v/>
      </c>
      <c r="D635" s="43">
        <f>IF($B635="","",IF(INDEX('Work Orders'!$B$11:$B$1010,$B635)="","",INDEX('Work Orders'!$B$11:$B$1010,$B635)))</f>
        <v/>
      </c>
      <c r="E635" s="43">
        <f>IF($B635="","",IF(INDEX('Work Orders'!$D$11:$D$1010,$B635)="","",INDEX('Work Orders'!$D$11:$D$1010,$B635)))</f>
        <v/>
      </c>
      <c r="F635" s="43">
        <f>IF($B635="","",IF(INDEX('Work Orders'!$Q$11:$Q$1010,$B635)="","",INDEX('Work Orders'!$Q$11:$Q$1010,$B635)))</f>
        <v/>
      </c>
      <c r="G635" s="43">
        <f>IF($B635="","",IF(INDEX('Work Orders'!$V$11:$V$1010,$B635)="","",INDEX('Work Orders'!$V$11:$V$1010,$B635)))</f>
        <v/>
      </c>
      <c r="H635" s="47">
        <f>IF($B635="","",IF(INDEX('Work Orders'!$U$11:$U$1010,$B635)="","",INDEX('Work Orders'!$U$11:$U$1010,$B635)))</f>
        <v/>
      </c>
      <c r="I635" s="47">
        <f>IF($B635="","",IF(INDEX('Work Orders'!$X$11:$X$1010,$B635)="","",INDEX('Work Orders'!$X$11:$X$1010,$B635)))</f>
        <v/>
      </c>
      <c r="J635" s="44">
        <f>IF($B635="","",IF(INDEX('Work Orders'!$Z$11:$Z$1010,$B635)="","",INDEX('Work Orders'!$Z$11:$Z$1010,$B635)))</f>
        <v/>
      </c>
      <c r="K635" s="44">
        <f>IF($B635="","",IF(INDEX('Work Orders'!$AG$11:$AG$1010,$B635)="","",INDEX('Work Orders'!$AG$11:$AG$1010,$B635)))</f>
        <v/>
      </c>
      <c r="L635" s="44">
        <f>IF($B635="","",IF(INDEX('Work Orders'!$AH$11:$AH$1010,$B635)="","",INDEX('Work Orders'!$AH$11:$AH$1010,$B635)))</f>
        <v/>
      </c>
      <c r="M635" s="46">
        <f>IF($B635="","",IF(INDEX('Work Orders'!$AM$11:$AM$1010,$B635)="","",INDEX('Work Orders'!$AM$11:$AM$1010,$B635)))</f>
        <v/>
      </c>
      <c r="N635" s="43">
        <f>IF($B635="","",IF(INDEX('Work Orders'!$AL$11:$AL$1010,$B635)="","",INDEX('Work Orders'!$AL$11:$AL$1010,$B635)))</f>
        <v/>
      </c>
      <c r="O635" s="43">
        <f>IF($B635="","",IF(INDEX('Work Orders'!$N$11:$N$1010,$B635)="","",INDEX('Work Orders'!$N$11:$N$1010,$B635)))</f>
        <v/>
      </c>
    </row>
    <row r="636">
      <c r="A636" s="68" t="n">
        <v>630</v>
      </c>
      <c r="B636">
        <f>IFERROR(MATCH(A636,'Work Orders'!$AO$11:$AO$1010,0),"")</f>
        <v/>
      </c>
      <c r="C636" s="43">
        <f>IF($B636="","",IF(INDEX('Work Orders'!$A$11:$A$1010,$B636)="","",INDEX('Work Orders'!$A$11:$A$1010,$B636)))</f>
        <v/>
      </c>
      <c r="D636" s="43">
        <f>IF($B636="","",IF(INDEX('Work Orders'!$B$11:$B$1010,$B636)="","",INDEX('Work Orders'!$B$11:$B$1010,$B636)))</f>
        <v/>
      </c>
      <c r="E636" s="43">
        <f>IF($B636="","",IF(INDEX('Work Orders'!$D$11:$D$1010,$B636)="","",INDEX('Work Orders'!$D$11:$D$1010,$B636)))</f>
        <v/>
      </c>
      <c r="F636" s="43">
        <f>IF($B636="","",IF(INDEX('Work Orders'!$Q$11:$Q$1010,$B636)="","",INDEX('Work Orders'!$Q$11:$Q$1010,$B636)))</f>
        <v/>
      </c>
      <c r="G636" s="43">
        <f>IF($B636="","",IF(INDEX('Work Orders'!$V$11:$V$1010,$B636)="","",INDEX('Work Orders'!$V$11:$V$1010,$B636)))</f>
        <v/>
      </c>
      <c r="H636" s="47">
        <f>IF($B636="","",IF(INDEX('Work Orders'!$U$11:$U$1010,$B636)="","",INDEX('Work Orders'!$U$11:$U$1010,$B636)))</f>
        <v/>
      </c>
      <c r="I636" s="47">
        <f>IF($B636="","",IF(INDEX('Work Orders'!$X$11:$X$1010,$B636)="","",INDEX('Work Orders'!$X$11:$X$1010,$B636)))</f>
        <v/>
      </c>
      <c r="J636" s="44">
        <f>IF($B636="","",IF(INDEX('Work Orders'!$Z$11:$Z$1010,$B636)="","",INDEX('Work Orders'!$Z$11:$Z$1010,$B636)))</f>
        <v/>
      </c>
      <c r="K636" s="44">
        <f>IF($B636="","",IF(INDEX('Work Orders'!$AG$11:$AG$1010,$B636)="","",INDEX('Work Orders'!$AG$11:$AG$1010,$B636)))</f>
        <v/>
      </c>
      <c r="L636" s="44">
        <f>IF($B636="","",IF(INDEX('Work Orders'!$AH$11:$AH$1010,$B636)="","",INDEX('Work Orders'!$AH$11:$AH$1010,$B636)))</f>
        <v/>
      </c>
      <c r="M636" s="46">
        <f>IF($B636="","",IF(INDEX('Work Orders'!$AM$11:$AM$1010,$B636)="","",INDEX('Work Orders'!$AM$11:$AM$1010,$B636)))</f>
        <v/>
      </c>
      <c r="N636" s="43">
        <f>IF($B636="","",IF(INDEX('Work Orders'!$AL$11:$AL$1010,$B636)="","",INDEX('Work Orders'!$AL$11:$AL$1010,$B636)))</f>
        <v/>
      </c>
      <c r="O636" s="43">
        <f>IF($B636="","",IF(INDEX('Work Orders'!$N$11:$N$1010,$B636)="","",INDEX('Work Orders'!$N$11:$N$1010,$B636)))</f>
        <v/>
      </c>
    </row>
    <row r="637">
      <c r="A637" s="68" t="n">
        <v>631</v>
      </c>
      <c r="B637">
        <f>IFERROR(MATCH(A637,'Work Orders'!$AO$11:$AO$1010,0),"")</f>
        <v/>
      </c>
      <c r="C637" s="43">
        <f>IF($B637="","",IF(INDEX('Work Orders'!$A$11:$A$1010,$B637)="","",INDEX('Work Orders'!$A$11:$A$1010,$B637)))</f>
        <v/>
      </c>
      <c r="D637" s="43">
        <f>IF($B637="","",IF(INDEX('Work Orders'!$B$11:$B$1010,$B637)="","",INDEX('Work Orders'!$B$11:$B$1010,$B637)))</f>
        <v/>
      </c>
      <c r="E637" s="43">
        <f>IF($B637="","",IF(INDEX('Work Orders'!$D$11:$D$1010,$B637)="","",INDEX('Work Orders'!$D$11:$D$1010,$B637)))</f>
        <v/>
      </c>
      <c r="F637" s="43">
        <f>IF($B637="","",IF(INDEX('Work Orders'!$Q$11:$Q$1010,$B637)="","",INDEX('Work Orders'!$Q$11:$Q$1010,$B637)))</f>
        <v/>
      </c>
      <c r="G637" s="43">
        <f>IF($B637="","",IF(INDEX('Work Orders'!$V$11:$V$1010,$B637)="","",INDEX('Work Orders'!$V$11:$V$1010,$B637)))</f>
        <v/>
      </c>
      <c r="H637" s="47">
        <f>IF($B637="","",IF(INDEX('Work Orders'!$U$11:$U$1010,$B637)="","",INDEX('Work Orders'!$U$11:$U$1010,$B637)))</f>
        <v/>
      </c>
      <c r="I637" s="47">
        <f>IF($B637="","",IF(INDEX('Work Orders'!$X$11:$X$1010,$B637)="","",INDEX('Work Orders'!$X$11:$X$1010,$B637)))</f>
        <v/>
      </c>
      <c r="J637" s="44">
        <f>IF($B637="","",IF(INDEX('Work Orders'!$Z$11:$Z$1010,$B637)="","",INDEX('Work Orders'!$Z$11:$Z$1010,$B637)))</f>
        <v/>
      </c>
      <c r="K637" s="44">
        <f>IF($B637="","",IF(INDEX('Work Orders'!$AG$11:$AG$1010,$B637)="","",INDEX('Work Orders'!$AG$11:$AG$1010,$B637)))</f>
        <v/>
      </c>
      <c r="L637" s="44">
        <f>IF($B637="","",IF(INDEX('Work Orders'!$AH$11:$AH$1010,$B637)="","",INDEX('Work Orders'!$AH$11:$AH$1010,$B637)))</f>
        <v/>
      </c>
      <c r="M637" s="46">
        <f>IF($B637="","",IF(INDEX('Work Orders'!$AM$11:$AM$1010,$B637)="","",INDEX('Work Orders'!$AM$11:$AM$1010,$B637)))</f>
        <v/>
      </c>
      <c r="N637" s="43">
        <f>IF($B637="","",IF(INDEX('Work Orders'!$AL$11:$AL$1010,$B637)="","",INDEX('Work Orders'!$AL$11:$AL$1010,$B637)))</f>
        <v/>
      </c>
      <c r="O637" s="43">
        <f>IF($B637="","",IF(INDEX('Work Orders'!$N$11:$N$1010,$B637)="","",INDEX('Work Orders'!$N$11:$N$1010,$B637)))</f>
        <v/>
      </c>
    </row>
    <row r="638">
      <c r="A638" s="68" t="n">
        <v>632</v>
      </c>
      <c r="B638">
        <f>IFERROR(MATCH(A638,'Work Orders'!$AO$11:$AO$1010,0),"")</f>
        <v/>
      </c>
      <c r="C638" s="43">
        <f>IF($B638="","",IF(INDEX('Work Orders'!$A$11:$A$1010,$B638)="","",INDEX('Work Orders'!$A$11:$A$1010,$B638)))</f>
        <v/>
      </c>
      <c r="D638" s="43">
        <f>IF($B638="","",IF(INDEX('Work Orders'!$B$11:$B$1010,$B638)="","",INDEX('Work Orders'!$B$11:$B$1010,$B638)))</f>
        <v/>
      </c>
      <c r="E638" s="43">
        <f>IF($B638="","",IF(INDEX('Work Orders'!$D$11:$D$1010,$B638)="","",INDEX('Work Orders'!$D$11:$D$1010,$B638)))</f>
        <v/>
      </c>
      <c r="F638" s="43">
        <f>IF($B638="","",IF(INDEX('Work Orders'!$Q$11:$Q$1010,$B638)="","",INDEX('Work Orders'!$Q$11:$Q$1010,$B638)))</f>
        <v/>
      </c>
      <c r="G638" s="43">
        <f>IF($B638="","",IF(INDEX('Work Orders'!$V$11:$V$1010,$B638)="","",INDEX('Work Orders'!$V$11:$V$1010,$B638)))</f>
        <v/>
      </c>
      <c r="H638" s="47">
        <f>IF($B638="","",IF(INDEX('Work Orders'!$U$11:$U$1010,$B638)="","",INDEX('Work Orders'!$U$11:$U$1010,$B638)))</f>
        <v/>
      </c>
      <c r="I638" s="47">
        <f>IF($B638="","",IF(INDEX('Work Orders'!$X$11:$X$1010,$B638)="","",INDEX('Work Orders'!$X$11:$X$1010,$B638)))</f>
        <v/>
      </c>
      <c r="J638" s="44">
        <f>IF($B638="","",IF(INDEX('Work Orders'!$Z$11:$Z$1010,$B638)="","",INDEX('Work Orders'!$Z$11:$Z$1010,$B638)))</f>
        <v/>
      </c>
      <c r="K638" s="44">
        <f>IF($B638="","",IF(INDEX('Work Orders'!$AG$11:$AG$1010,$B638)="","",INDEX('Work Orders'!$AG$11:$AG$1010,$B638)))</f>
        <v/>
      </c>
      <c r="L638" s="44">
        <f>IF($B638="","",IF(INDEX('Work Orders'!$AH$11:$AH$1010,$B638)="","",INDEX('Work Orders'!$AH$11:$AH$1010,$B638)))</f>
        <v/>
      </c>
      <c r="M638" s="46">
        <f>IF($B638="","",IF(INDEX('Work Orders'!$AM$11:$AM$1010,$B638)="","",INDEX('Work Orders'!$AM$11:$AM$1010,$B638)))</f>
        <v/>
      </c>
      <c r="N638" s="43">
        <f>IF($B638="","",IF(INDEX('Work Orders'!$AL$11:$AL$1010,$B638)="","",INDEX('Work Orders'!$AL$11:$AL$1010,$B638)))</f>
        <v/>
      </c>
      <c r="O638" s="43">
        <f>IF($B638="","",IF(INDEX('Work Orders'!$N$11:$N$1010,$B638)="","",INDEX('Work Orders'!$N$11:$N$1010,$B638)))</f>
        <v/>
      </c>
    </row>
    <row r="639">
      <c r="A639" s="68" t="n">
        <v>633</v>
      </c>
      <c r="B639">
        <f>IFERROR(MATCH(A639,'Work Orders'!$AO$11:$AO$1010,0),"")</f>
        <v/>
      </c>
      <c r="C639" s="43">
        <f>IF($B639="","",IF(INDEX('Work Orders'!$A$11:$A$1010,$B639)="","",INDEX('Work Orders'!$A$11:$A$1010,$B639)))</f>
        <v/>
      </c>
      <c r="D639" s="43">
        <f>IF($B639="","",IF(INDEX('Work Orders'!$B$11:$B$1010,$B639)="","",INDEX('Work Orders'!$B$11:$B$1010,$B639)))</f>
        <v/>
      </c>
      <c r="E639" s="43">
        <f>IF($B639="","",IF(INDEX('Work Orders'!$D$11:$D$1010,$B639)="","",INDEX('Work Orders'!$D$11:$D$1010,$B639)))</f>
        <v/>
      </c>
      <c r="F639" s="43">
        <f>IF($B639="","",IF(INDEX('Work Orders'!$Q$11:$Q$1010,$B639)="","",INDEX('Work Orders'!$Q$11:$Q$1010,$B639)))</f>
        <v/>
      </c>
      <c r="G639" s="43">
        <f>IF($B639="","",IF(INDEX('Work Orders'!$V$11:$V$1010,$B639)="","",INDEX('Work Orders'!$V$11:$V$1010,$B639)))</f>
        <v/>
      </c>
      <c r="H639" s="47">
        <f>IF($B639="","",IF(INDEX('Work Orders'!$U$11:$U$1010,$B639)="","",INDEX('Work Orders'!$U$11:$U$1010,$B639)))</f>
        <v/>
      </c>
      <c r="I639" s="47">
        <f>IF($B639="","",IF(INDEX('Work Orders'!$X$11:$X$1010,$B639)="","",INDEX('Work Orders'!$X$11:$X$1010,$B639)))</f>
        <v/>
      </c>
      <c r="J639" s="44">
        <f>IF($B639="","",IF(INDEX('Work Orders'!$Z$11:$Z$1010,$B639)="","",INDEX('Work Orders'!$Z$11:$Z$1010,$B639)))</f>
        <v/>
      </c>
      <c r="K639" s="44">
        <f>IF($B639="","",IF(INDEX('Work Orders'!$AG$11:$AG$1010,$B639)="","",INDEX('Work Orders'!$AG$11:$AG$1010,$B639)))</f>
        <v/>
      </c>
      <c r="L639" s="44">
        <f>IF($B639="","",IF(INDEX('Work Orders'!$AH$11:$AH$1010,$B639)="","",INDEX('Work Orders'!$AH$11:$AH$1010,$B639)))</f>
        <v/>
      </c>
      <c r="M639" s="46">
        <f>IF($B639="","",IF(INDEX('Work Orders'!$AM$11:$AM$1010,$B639)="","",INDEX('Work Orders'!$AM$11:$AM$1010,$B639)))</f>
        <v/>
      </c>
      <c r="N639" s="43">
        <f>IF($B639="","",IF(INDEX('Work Orders'!$AL$11:$AL$1010,$B639)="","",INDEX('Work Orders'!$AL$11:$AL$1010,$B639)))</f>
        <v/>
      </c>
      <c r="O639" s="43">
        <f>IF($B639="","",IF(INDEX('Work Orders'!$N$11:$N$1010,$B639)="","",INDEX('Work Orders'!$N$11:$N$1010,$B639)))</f>
        <v/>
      </c>
    </row>
    <row r="640">
      <c r="A640" s="68" t="n">
        <v>634</v>
      </c>
      <c r="B640">
        <f>IFERROR(MATCH(A640,'Work Orders'!$AO$11:$AO$1010,0),"")</f>
        <v/>
      </c>
      <c r="C640" s="43">
        <f>IF($B640="","",IF(INDEX('Work Orders'!$A$11:$A$1010,$B640)="","",INDEX('Work Orders'!$A$11:$A$1010,$B640)))</f>
        <v/>
      </c>
      <c r="D640" s="43">
        <f>IF($B640="","",IF(INDEX('Work Orders'!$B$11:$B$1010,$B640)="","",INDEX('Work Orders'!$B$11:$B$1010,$B640)))</f>
        <v/>
      </c>
      <c r="E640" s="43">
        <f>IF($B640="","",IF(INDEX('Work Orders'!$D$11:$D$1010,$B640)="","",INDEX('Work Orders'!$D$11:$D$1010,$B640)))</f>
        <v/>
      </c>
      <c r="F640" s="43">
        <f>IF($B640="","",IF(INDEX('Work Orders'!$Q$11:$Q$1010,$B640)="","",INDEX('Work Orders'!$Q$11:$Q$1010,$B640)))</f>
        <v/>
      </c>
      <c r="G640" s="43">
        <f>IF($B640="","",IF(INDEX('Work Orders'!$V$11:$V$1010,$B640)="","",INDEX('Work Orders'!$V$11:$V$1010,$B640)))</f>
        <v/>
      </c>
      <c r="H640" s="47">
        <f>IF($B640="","",IF(INDEX('Work Orders'!$U$11:$U$1010,$B640)="","",INDEX('Work Orders'!$U$11:$U$1010,$B640)))</f>
        <v/>
      </c>
      <c r="I640" s="47">
        <f>IF($B640="","",IF(INDEX('Work Orders'!$X$11:$X$1010,$B640)="","",INDEX('Work Orders'!$X$11:$X$1010,$B640)))</f>
        <v/>
      </c>
      <c r="J640" s="44">
        <f>IF($B640="","",IF(INDEX('Work Orders'!$Z$11:$Z$1010,$B640)="","",INDEX('Work Orders'!$Z$11:$Z$1010,$B640)))</f>
        <v/>
      </c>
      <c r="K640" s="44">
        <f>IF($B640="","",IF(INDEX('Work Orders'!$AG$11:$AG$1010,$B640)="","",INDEX('Work Orders'!$AG$11:$AG$1010,$B640)))</f>
        <v/>
      </c>
      <c r="L640" s="44">
        <f>IF($B640="","",IF(INDEX('Work Orders'!$AH$11:$AH$1010,$B640)="","",INDEX('Work Orders'!$AH$11:$AH$1010,$B640)))</f>
        <v/>
      </c>
      <c r="M640" s="46">
        <f>IF($B640="","",IF(INDEX('Work Orders'!$AM$11:$AM$1010,$B640)="","",INDEX('Work Orders'!$AM$11:$AM$1010,$B640)))</f>
        <v/>
      </c>
      <c r="N640" s="43">
        <f>IF($B640="","",IF(INDEX('Work Orders'!$AL$11:$AL$1010,$B640)="","",INDEX('Work Orders'!$AL$11:$AL$1010,$B640)))</f>
        <v/>
      </c>
      <c r="O640" s="43">
        <f>IF($B640="","",IF(INDEX('Work Orders'!$N$11:$N$1010,$B640)="","",INDEX('Work Orders'!$N$11:$N$1010,$B640)))</f>
        <v/>
      </c>
    </row>
    <row r="641">
      <c r="A641" s="68" t="n">
        <v>635</v>
      </c>
      <c r="B641">
        <f>IFERROR(MATCH(A641,'Work Orders'!$AO$11:$AO$1010,0),"")</f>
        <v/>
      </c>
      <c r="C641" s="43">
        <f>IF($B641="","",IF(INDEX('Work Orders'!$A$11:$A$1010,$B641)="","",INDEX('Work Orders'!$A$11:$A$1010,$B641)))</f>
        <v/>
      </c>
      <c r="D641" s="43">
        <f>IF($B641="","",IF(INDEX('Work Orders'!$B$11:$B$1010,$B641)="","",INDEX('Work Orders'!$B$11:$B$1010,$B641)))</f>
        <v/>
      </c>
      <c r="E641" s="43">
        <f>IF($B641="","",IF(INDEX('Work Orders'!$D$11:$D$1010,$B641)="","",INDEX('Work Orders'!$D$11:$D$1010,$B641)))</f>
        <v/>
      </c>
      <c r="F641" s="43">
        <f>IF($B641="","",IF(INDEX('Work Orders'!$Q$11:$Q$1010,$B641)="","",INDEX('Work Orders'!$Q$11:$Q$1010,$B641)))</f>
        <v/>
      </c>
      <c r="G641" s="43">
        <f>IF($B641="","",IF(INDEX('Work Orders'!$V$11:$V$1010,$B641)="","",INDEX('Work Orders'!$V$11:$V$1010,$B641)))</f>
        <v/>
      </c>
      <c r="H641" s="47">
        <f>IF($B641="","",IF(INDEX('Work Orders'!$U$11:$U$1010,$B641)="","",INDEX('Work Orders'!$U$11:$U$1010,$B641)))</f>
        <v/>
      </c>
      <c r="I641" s="47">
        <f>IF($B641="","",IF(INDEX('Work Orders'!$X$11:$X$1010,$B641)="","",INDEX('Work Orders'!$X$11:$X$1010,$B641)))</f>
        <v/>
      </c>
      <c r="J641" s="44">
        <f>IF($B641="","",IF(INDEX('Work Orders'!$Z$11:$Z$1010,$B641)="","",INDEX('Work Orders'!$Z$11:$Z$1010,$B641)))</f>
        <v/>
      </c>
      <c r="K641" s="44">
        <f>IF($B641="","",IF(INDEX('Work Orders'!$AG$11:$AG$1010,$B641)="","",INDEX('Work Orders'!$AG$11:$AG$1010,$B641)))</f>
        <v/>
      </c>
      <c r="L641" s="44">
        <f>IF($B641="","",IF(INDEX('Work Orders'!$AH$11:$AH$1010,$B641)="","",INDEX('Work Orders'!$AH$11:$AH$1010,$B641)))</f>
        <v/>
      </c>
      <c r="M641" s="46">
        <f>IF($B641="","",IF(INDEX('Work Orders'!$AM$11:$AM$1010,$B641)="","",INDEX('Work Orders'!$AM$11:$AM$1010,$B641)))</f>
        <v/>
      </c>
      <c r="N641" s="43">
        <f>IF($B641="","",IF(INDEX('Work Orders'!$AL$11:$AL$1010,$B641)="","",INDEX('Work Orders'!$AL$11:$AL$1010,$B641)))</f>
        <v/>
      </c>
      <c r="O641" s="43">
        <f>IF($B641="","",IF(INDEX('Work Orders'!$N$11:$N$1010,$B641)="","",INDEX('Work Orders'!$N$11:$N$1010,$B641)))</f>
        <v/>
      </c>
    </row>
    <row r="642">
      <c r="A642" s="68" t="n">
        <v>636</v>
      </c>
      <c r="B642">
        <f>IFERROR(MATCH(A642,'Work Orders'!$AO$11:$AO$1010,0),"")</f>
        <v/>
      </c>
      <c r="C642" s="43">
        <f>IF($B642="","",IF(INDEX('Work Orders'!$A$11:$A$1010,$B642)="","",INDEX('Work Orders'!$A$11:$A$1010,$B642)))</f>
        <v/>
      </c>
      <c r="D642" s="43">
        <f>IF($B642="","",IF(INDEX('Work Orders'!$B$11:$B$1010,$B642)="","",INDEX('Work Orders'!$B$11:$B$1010,$B642)))</f>
        <v/>
      </c>
      <c r="E642" s="43">
        <f>IF($B642="","",IF(INDEX('Work Orders'!$D$11:$D$1010,$B642)="","",INDEX('Work Orders'!$D$11:$D$1010,$B642)))</f>
        <v/>
      </c>
      <c r="F642" s="43">
        <f>IF($B642="","",IF(INDEX('Work Orders'!$Q$11:$Q$1010,$B642)="","",INDEX('Work Orders'!$Q$11:$Q$1010,$B642)))</f>
        <v/>
      </c>
      <c r="G642" s="43">
        <f>IF($B642="","",IF(INDEX('Work Orders'!$V$11:$V$1010,$B642)="","",INDEX('Work Orders'!$V$11:$V$1010,$B642)))</f>
        <v/>
      </c>
      <c r="H642" s="47">
        <f>IF($B642="","",IF(INDEX('Work Orders'!$U$11:$U$1010,$B642)="","",INDEX('Work Orders'!$U$11:$U$1010,$B642)))</f>
        <v/>
      </c>
      <c r="I642" s="47">
        <f>IF($B642="","",IF(INDEX('Work Orders'!$X$11:$X$1010,$B642)="","",INDEX('Work Orders'!$X$11:$X$1010,$B642)))</f>
        <v/>
      </c>
      <c r="J642" s="44">
        <f>IF($B642="","",IF(INDEX('Work Orders'!$Z$11:$Z$1010,$B642)="","",INDEX('Work Orders'!$Z$11:$Z$1010,$B642)))</f>
        <v/>
      </c>
      <c r="K642" s="44">
        <f>IF($B642="","",IF(INDEX('Work Orders'!$AG$11:$AG$1010,$B642)="","",INDEX('Work Orders'!$AG$11:$AG$1010,$B642)))</f>
        <v/>
      </c>
      <c r="L642" s="44">
        <f>IF($B642="","",IF(INDEX('Work Orders'!$AH$11:$AH$1010,$B642)="","",INDEX('Work Orders'!$AH$11:$AH$1010,$B642)))</f>
        <v/>
      </c>
      <c r="M642" s="46">
        <f>IF($B642="","",IF(INDEX('Work Orders'!$AM$11:$AM$1010,$B642)="","",INDEX('Work Orders'!$AM$11:$AM$1010,$B642)))</f>
        <v/>
      </c>
      <c r="N642" s="43">
        <f>IF($B642="","",IF(INDEX('Work Orders'!$AL$11:$AL$1010,$B642)="","",INDEX('Work Orders'!$AL$11:$AL$1010,$B642)))</f>
        <v/>
      </c>
      <c r="O642" s="43">
        <f>IF($B642="","",IF(INDEX('Work Orders'!$N$11:$N$1010,$B642)="","",INDEX('Work Orders'!$N$11:$N$1010,$B642)))</f>
        <v/>
      </c>
    </row>
    <row r="643">
      <c r="A643" s="68" t="n">
        <v>637</v>
      </c>
      <c r="B643">
        <f>IFERROR(MATCH(A643,'Work Orders'!$AO$11:$AO$1010,0),"")</f>
        <v/>
      </c>
      <c r="C643" s="43">
        <f>IF($B643="","",IF(INDEX('Work Orders'!$A$11:$A$1010,$B643)="","",INDEX('Work Orders'!$A$11:$A$1010,$B643)))</f>
        <v/>
      </c>
      <c r="D643" s="43">
        <f>IF($B643="","",IF(INDEX('Work Orders'!$B$11:$B$1010,$B643)="","",INDEX('Work Orders'!$B$11:$B$1010,$B643)))</f>
        <v/>
      </c>
      <c r="E643" s="43">
        <f>IF($B643="","",IF(INDEX('Work Orders'!$D$11:$D$1010,$B643)="","",INDEX('Work Orders'!$D$11:$D$1010,$B643)))</f>
        <v/>
      </c>
      <c r="F643" s="43">
        <f>IF($B643="","",IF(INDEX('Work Orders'!$Q$11:$Q$1010,$B643)="","",INDEX('Work Orders'!$Q$11:$Q$1010,$B643)))</f>
        <v/>
      </c>
      <c r="G643" s="43">
        <f>IF($B643="","",IF(INDEX('Work Orders'!$V$11:$V$1010,$B643)="","",INDEX('Work Orders'!$V$11:$V$1010,$B643)))</f>
        <v/>
      </c>
      <c r="H643" s="47">
        <f>IF($B643="","",IF(INDEX('Work Orders'!$U$11:$U$1010,$B643)="","",INDEX('Work Orders'!$U$11:$U$1010,$B643)))</f>
        <v/>
      </c>
      <c r="I643" s="47">
        <f>IF($B643="","",IF(INDEX('Work Orders'!$X$11:$X$1010,$B643)="","",INDEX('Work Orders'!$X$11:$X$1010,$B643)))</f>
        <v/>
      </c>
      <c r="J643" s="44">
        <f>IF($B643="","",IF(INDEX('Work Orders'!$Z$11:$Z$1010,$B643)="","",INDEX('Work Orders'!$Z$11:$Z$1010,$B643)))</f>
        <v/>
      </c>
      <c r="K643" s="44">
        <f>IF($B643="","",IF(INDEX('Work Orders'!$AG$11:$AG$1010,$B643)="","",INDEX('Work Orders'!$AG$11:$AG$1010,$B643)))</f>
        <v/>
      </c>
      <c r="L643" s="44">
        <f>IF($B643="","",IF(INDEX('Work Orders'!$AH$11:$AH$1010,$B643)="","",INDEX('Work Orders'!$AH$11:$AH$1010,$B643)))</f>
        <v/>
      </c>
      <c r="M643" s="46">
        <f>IF($B643="","",IF(INDEX('Work Orders'!$AM$11:$AM$1010,$B643)="","",INDEX('Work Orders'!$AM$11:$AM$1010,$B643)))</f>
        <v/>
      </c>
      <c r="N643" s="43">
        <f>IF($B643="","",IF(INDEX('Work Orders'!$AL$11:$AL$1010,$B643)="","",INDEX('Work Orders'!$AL$11:$AL$1010,$B643)))</f>
        <v/>
      </c>
      <c r="O643" s="43">
        <f>IF($B643="","",IF(INDEX('Work Orders'!$N$11:$N$1010,$B643)="","",INDEX('Work Orders'!$N$11:$N$1010,$B643)))</f>
        <v/>
      </c>
    </row>
    <row r="644">
      <c r="A644" s="68" t="n">
        <v>638</v>
      </c>
      <c r="B644">
        <f>IFERROR(MATCH(A644,'Work Orders'!$AO$11:$AO$1010,0),"")</f>
        <v/>
      </c>
      <c r="C644" s="43">
        <f>IF($B644="","",IF(INDEX('Work Orders'!$A$11:$A$1010,$B644)="","",INDEX('Work Orders'!$A$11:$A$1010,$B644)))</f>
        <v/>
      </c>
      <c r="D644" s="43">
        <f>IF($B644="","",IF(INDEX('Work Orders'!$B$11:$B$1010,$B644)="","",INDEX('Work Orders'!$B$11:$B$1010,$B644)))</f>
        <v/>
      </c>
      <c r="E644" s="43">
        <f>IF($B644="","",IF(INDEX('Work Orders'!$D$11:$D$1010,$B644)="","",INDEX('Work Orders'!$D$11:$D$1010,$B644)))</f>
        <v/>
      </c>
      <c r="F644" s="43">
        <f>IF($B644="","",IF(INDEX('Work Orders'!$Q$11:$Q$1010,$B644)="","",INDEX('Work Orders'!$Q$11:$Q$1010,$B644)))</f>
        <v/>
      </c>
      <c r="G644" s="43">
        <f>IF($B644="","",IF(INDEX('Work Orders'!$V$11:$V$1010,$B644)="","",INDEX('Work Orders'!$V$11:$V$1010,$B644)))</f>
        <v/>
      </c>
      <c r="H644" s="47">
        <f>IF($B644="","",IF(INDEX('Work Orders'!$U$11:$U$1010,$B644)="","",INDEX('Work Orders'!$U$11:$U$1010,$B644)))</f>
        <v/>
      </c>
      <c r="I644" s="47">
        <f>IF($B644="","",IF(INDEX('Work Orders'!$X$11:$X$1010,$B644)="","",INDEX('Work Orders'!$X$11:$X$1010,$B644)))</f>
        <v/>
      </c>
      <c r="J644" s="44">
        <f>IF($B644="","",IF(INDEX('Work Orders'!$Z$11:$Z$1010,$B644)="","",INDEX('Work Orders'!$Z$11:$Z$1010,$B644)))</f>
        <v/>
      </c>
      <c r="K644" s="44">
        <f>IF($B644="","",IF(INDEX('Work Orders'!$AG$11:$AG$1010,$B644)="","",INDEX('Work Orders'!$AG$11:$AG$1010,$B644)))</f>
        <v/>
      </c>
      <c r="L644" s="44">
        <f>IF($B644="","",IF(INDEX('Work Orders'!$AH$11:$AH$1010,$B644)="","",INDEX('Work Orders'!$AH$11:$AH$1010,$B644)))</f>
        <v/>
      </c>
      <c r="M644" s="46">
        <f>IF($B644="","",IF(INDEX('Work Orders'!$AM$11:$AM$1010,$B644)="","",INDEX('Work Orders'!$AM$11:$AM$1010,$B644)))</f>
        <v/>
      </c>
      <c r="N644" s="43">
        <f>IF($B644="","",IF(INDEX('Work Orders'!$AL$11:$AL$1010,$B644)="","",INDEX('Work Orders'!$AL$11:$AL$1010,$B644)))</f>
        <v/>
      </c>
      <c r="O644" s="43">
        <f>IF($B644="","",IF(INDEX('Work Orders'!$N$11:$N$1010,$B644)="","",INDEX('Work Orders'!$N$11:$N$1010,$B644)))</f>
        <v/>
      </c>
    </row>
    <row r="645">
      <c r="A645" s="68" t="n">
        <v>639</v>
      </c>
      <c r="B645">
        <f>IFERROR(MATCH(A645,'Work Orders'!$AO$11:$AO$1010,0),"")</f>
        <v/>
      </c>
      <c r="C645" s="43">
        <f>IF($B645="","",IF(INDEX('Work Orders'!$A$11:$A$1010,$B645)="","",INDEX('Work Orders'!$A$11:$A$1010,$B645)))</f>
        <v/>
      </c>
      <c r="D645" s="43">
        <f>IF($B645="","",IF(INDEX('Work Orders'!$B$11:$B$1010,$B645)="","",INDEX('Work Orders'!$B$11:$B$1010,$B645)))</f>
        <v/>
      </c>
      <c r="E645" s="43">
        <f>IF($B645="","",IF(INDEX('Work Orders'!$D$11:$D$1010,$B645)="","",INDEX('Work Orders'!$D$11:$D$1010,$B645)))</f>
        <v/>
      </c>
      <c r="F645" s="43">
        <f>IF($B645="","",IF(INDEX('Work Orders'!$Q$11:$Q$1010,$B645)="","",INDEX('Work Orders'!$Q$11:$Q$1010,$B645)))</f>
        <v/>
      </c>
      <c r="G645" s="43">
        <f>IF($B645="","",IF(INDEX('Work Orders'!$V$11:$V$1010,$B645)="","",INDEX('Work Orders'!$V$11:$V$1010,$B645)))</f>
        <v/>
      </c>
      <c r="H645" s="47">
        <f>IF($B645="","",IF(INDEX('Work Orders'!$U$11:$U$1010,$B645)="","",INDEX('Work Orders'!$U$11:$U$1010,$B645)))</f>
        <v/>
      </c>
      <c r="I645" s="47">
        <f>IF($B645="","",IF(INDEX('Work Orders'!$X$11:$X$1010,$B645)="","",INDEX('Work Orders'!$X$11:$X$1010,$B645)))</f>
        <v/>
      </c>
      <c r="J645" s="44">
        <f>IF($B645="","",IF(INDEX('Work Orders'!$Z$11:$Z$1010,$B645)="","",INDEX('Work Orders'!$Z$11:$Z$1010,$B645)))</f>
        <v/>
      </c>
      <c r="K645" s="44">
        <f>IF($B645="","",IF(INDEX('Work Orders'!$AG$11:$AG$1010,$B645)="","",INDEX('Work Orders'!$AG$11:$AG$1010,$B645)))</f>
        <v/>
      </c>
      <c r="L645" s="44">
        <f>IF($B645="","",IF(INDEX('Work Orders'!$AH$11:$AH$1010,$B645)="","",INDEX('Work Orders'!$AH$11:$AH$1010,$B645)))</f>
        <v/>
      </c>
      <c r="M645" s="46">
        <f>IF($B645="","",IF(INDEX('Work Orders'!$AM$11:$AM$1010,$B645)="","",INDEX('Work Orders'!$AM$11:$AM$1010,$B645)))</f>
        <v/>
      </c>
      <c r="N645" s="43">
        <f>IF($B645="","",IF(INDEX('Work Orders'!$AL$11:$AL$1010,$B645)="","",INDEX('Work Orders'!$AL$11:$AL$1010,$B645)))</f>
        <v/>
      </c>
      <c r="O645" s="43">
        <f>IF($B645="","",IF(INDEX('Work Orders'!$N$11:$N$1010,$B645)="","",INDEX('Work Orders'!$N$11:$N$1010,$B645)))</f>
        <v/>
      </c>
    </row>
    <row r="646">
      <c r="A646" s="68" t="n">
        <v>640</v>
      </c>
      <c r="B646">
        <f>IFERROR(MATCH(A646,'Work Orders'!$AO$11:$AO$1010,0),"")</f>
        <v/>
      </c>
      <c r="C646" s="43">
        <f>IF($B646="","",IF(INDEX('Work Orders'!$A$11:$A$1010,$B646)="","",INDEX('Work Orders'!$A$11:$A$1010,$B646)))</f>
        <v/>
      </c>
      <c r="D646" s="43">
        <f>IF($B646="","",IF(INDEX('Work Orders'!$B$11:$B$1010,$B646)="","",INDEX('Work Orders'!$B$11:$B$1010,$B646)))</f>
        <v/>
      </c>
      <c r="E646" s="43">
        <f>IF($B646="","",IF(INDEX('Work Orders'!$D$11:$D$1010,$B646)="","",INDEX('Work Orders'!$D$11:$D$1010,$B646)))</f>
        <v/>
      </c>
      <c r="F646" s="43">
        <f>IF($B646="","",IF(INDEX('Work Orders'!$Q$11:$Q$1010,$B646)="","",INDEX('Work Orders'!$Q$11:$Q$1010,$B646)))</f>
        <v/>
      </c>
      <c r="G646" s="43">
        <f>IF($B646="","",IF(INDEX('Work Orders'!$V$11:$V$1010,$B646)="","",INDEX('Work Orders'!$V$11:$V$1010,$B646)))</f>
        <v/>
      </c>
      <c r="H646" s="47">
        <f>IF($B646="","",IF(INDEX('Work Orders'!$U$11:$U$1010,$B646)="","",INDEX('Work Orders'!$U$11:$U$1010,$B646)))</f>
        <v/>
      </c>
      <c r="I646" s="47">
        <f>IF($B646="","",IF(INDEX('Work Orders'!$X$11:$X$1010,$B646)="","",INDEX('Work Orders'!$X$11:$X$1010,$B646)))</f>
        <v/>
      </c>
      <c r="J646" s="44">
        <f>IF($B646="","",IF(INDEX('Work Orders'!$Z$11:$Z$1010,$B646)="","",INDEX('Work Orders'!$Z$11:$Z$1010,$B646)))</f>
        <v/>
      </c>
      <c r="K646" s="44">
        <f>IF($B646="","",IF(INDEX('Work Orders'!$AG$11:$AG$1010,$B646)="","",INDEX('Work Orders'!$AG$11:$AG$1010,$B646)))</f>
        <v/>
      </c>
      <c r="L646" s="44">
        <f>IF($B646="","",IF(INDEX('Work Orders'!$AH$11:$AH$1010,$B646)="","",INDEX('Work Orders'!$AH$11:$AH$1010,$B646)))</f>
        <v/>
      </c>
      <c r="M646" s="46">
        <f>IF($B646="","",IF(INDEX('Work Orders'!$AM$11:$AM$1010,$B646)="","",INDEX('Work Orders'!$AM$11:$AM$1010,$B646)))</f>
        <v/>
      </c>
      <c r="N646" s="43">
        <f>IF($B646="","",IF(INDEX('Work Orders'!$AL$11:$AL$1010,$B646)="","",INDEX('Work Orders'!$AL$11:$AL$1010,$B646)))</f>
        <v/>
      </c>
      <c r="O646" s="43">
        <f>IF($B646="","",IF(INDEX('Work Orders'!$N$11:$N$1010,$B646)="","",INDEX('Work Orders'!$N$11:$N$1010,$B646)))</f>
        <v/>
      </c>
    </row>
    <row r="647">
      <c r="A647" s="68" t="n">
        <v>641</v>
      </c>
      <c r="B647">
        <f>IFERROR(MATCH(A647,'Work Orders'!$AO$11:$AO$1010,0),"")</f>
        <v/>
      </c>
      <c r="C647" s="43">
        <f>IF($B647="","",IF(INDEX('Work Orders'!$A$11:$A$1010,$B647)="","",INDEX('Work Orders'!$A$11:$A$1010,$B647)))</f>
        <v/>
      </c>
      <c r="D647" s="43">
        <f>IF($B647="","",IF(INDEX('Work Orders'!$B$11:$B$1010,$B647)="","",INDEX('Work Orders'!$B$11:$B$1010,$B647)))</f>
        <v/>
      </c>
      <c r="E647" s="43">
        <f>IF($B647="","",IF(INDEX('Work Orders'!$D$11:$D$1010,$B647)="","",INDEX('Work Orders'!$D$11:$D$1010,$B647)))</f>
        <v/>
      </c>
      <c r="F647" s="43">
        <f>IF($B647="","",IF(INDEX('Work Orders'!$Q$11:$Q$1010,$B647)="","",INDEX('Work Orders'!$Q$11:$Q$1010,$B647)))</f>
        <v/>
      </c>
      <c r="G647" s="43">
        <f>IF($B647="","",IF(INDEX('Work Orders'!$V$11:$V$1010,$B647)="","",INDEX('Work Orders'!$V$11:$V$1010,$B647)))</f>
        <v/>
      </c>
      <c r="H647" s="47">
        <f>IF($B647="","",IF(INDEX('Work Orders'!$U$11:$U$1010,$B647)="","",INDEX('Work Orders'!$U$11:$U$1010,$B647)))</f>
        <v/>
      </c>
      <c r="I647" s="47">
        <f>IF($B647="","",IF(INDEX('Work Orders'!$X$11:$X$1010,$B647)="","",INDEX('Work Orders'!$X$11:$X$1010,$B647)))</f>
        <v/>
      </c>
      <c r="J647" s="44">
        <f>IF($B647="","",IF(INDEX('Work Orders'!$Z$11:$Z$1010,$B647)="","",INDEX('Work Orders'!$Z$11:$Z$1010,$B647)))</f>
        <v/>
      </c>
      <c r="K647" s="44">
        <f>IF($B647="","",IF(INDEX('Work Orders'!$AG$11:$AG$1010,$B647)="","",INDEX('Work Orders'!$AG$11:$AG$1010,$B647)))</f>
        <v/>
      </c>
      <c r="L647" s="44">
        <f>IF($B647="","",IF(INDEX('Work Orders'!$AH$11:$AH$1010,$B647)="","",INDEX('Work Orders'!$AH$11:$AH$1010,$B647)))</f>
        <v/>
      </c>
      <c r="M647" s="46">
        <f>IF($B647="","",IF(INDEX('Work Orders'!$AM$11:$AM$1010,$B647)="","",INDEX('Work Orders'!$AM$11:$AM$1010,$B647)))</f>
        <v/>
      </c>
      <c r="N647" s="43">
        <f>IF($B647="","",IF(INDEX('Work Orders'!$AL$11:$AL$1010,$B647)="","",INDEX('Work Orders'!$AL$11:$AL$1010,$B647)))</f>
        <v/>
      </c>
      <c r="O647" s="43">
        <f>IF($B647="","",IF(INDEX('Work Orders'!$N$11:$N$1010,$B647)="","",INDEX('Work Orders'!$N$11:$N$1010,$B647)))</f>
        <v/>
      </c>
    </row>
    <row r="648">
      <c r="A648" s="68" t="n">
        <v>642</v>
      </c>
      <c r="B648">
        <f>IFERROR(MATCH(A648,'Work Orders'!$AO$11:$AO$1010,0),"")</f>
        <v/>
      </c>
      <c r="C648" s="43">
        <f>IF($B648="","",IF(INDEX('Work Orders'!$A$11:$A$1010,$B648)="","",INDEX('Work Orders'!$A$11:$A$1010,$B648)))</f>
        <v/>
      </c>
      <c r="D648" s="43">
        <f>IF($B648="","",IF(INDEX('Work Orders'!$B$11:$B$1010,$B648)="","",INDEX('Work Orders'!$B$11:$B$1010,$B648)))</f>
        <v/>
      </c>
      <c r="E648" s="43">
        <f>IF($B648="","",IF(INDEX('Work Orders'!$D$11:$D$1010,$B648)="","",INDEX('Work Orders'!$D$11:$D$1010,$B648)))</f>
        <v/>
      </c>
      <c r="F648" s="43">
        <f>IF($B648="","",IF(INDEX('Work Orders'!$Q$11:$Q$1010,$B648)="","",INDEX('Work Orders'!$Q$11:$Q$1010,$B648)))</f>
        <v/>
      </c>
      <c r="G648" s="43">
        <f>IF($B648="","",IF(INDEX('Work Orders'!$V$11:$V$1010,$B648)="","",INDEX('Work Orders'!$V$11:$V$1010,$B648)))</f>
        <v/>
      </c>
      <c r="H648" s="47">
        <f>IF($B648="","",IF(INDEX('Work Orders'!$U$11:$U$1010,$B648)="","",INDEX('Work Orders'!$U$11:$U$1010,$B648)))</f>
        <v/>
      </c>
      <c r="I648" s="47">
        <f>IF($B648="","",IF(INDEX('Work Orders'!$X$11:$X$1010,$B648)="","",INDEX('Work Orders'!$X$11:$X$1010,$B648)))</f>
        <v/>
      </c>
      <c r="J648" s="44">
        <f>IF($B648="","",IF(INDEX('Work Orders'!$Z$11:$Z$1010,$B648)="","",INDEX('Work Orders'!$Z$11:$Z$1010,$B648)))</f>
        <v/>
      </c>
      <c r="K648" s="44">
        <f>IF($B648="","",IF(INDEX('Work Orders'!$AG$11:$AG$1010,$B648)="","",INDEX('Work Orders'!$AG$11:$AG$1010,$B648)))</f>
        <v/>
      </c>
      <c r="L648" s="44">
        <f>IF($B648="","",IF(INDEX('Work Orders'!$AH$11:$AH$1010,$B648)="","",INDEX('Work Orders'!$AH$11:$AH$1010,$B648)))</f>
        <v/>
      </c>
      <c r="M648" s="46">
        <f>IF($B648="","",IF(INDEX('Work Orders'!$AM$11:$AM$1010,$B648)="","",INDEX('Work Orders'!$AM$11:$AM$1010,$B648)))</f>
        <v/>
      </c>
      <c r="N648" s="43">
        <f>IF($B648="","",IF(INDEX('Work Orders'!$AL$11:$AL$1010,$B648)="","",INDEX('Work Orders'!$AL$11:$AL$1010,$B648)))</f>
        <v/>
      </c>
      <c r="O648" s="43">
        <f>IF($B648="","",IF(INDEX('Work Orders'!$N$11:$N$1010,$B648)="","",INDEX('Work Orders'!$N$11:$N$1010,$B648)))</f>
        <v/>
      </c>
    </row>
    <row r="649">
      <c r="A649" s="68" t="n">
        <v>643</v>
      </c>
      <c r="B649">
        <f>IFERROR(MATCH(A649,'Work Orders'!$AO$11:$AO$1010,0),"")</f>
        <v/>
      </c>
      <c r="C649" s="43">
        <f>IF($B649="","",IF(INDEX('Work Orders'!$A$11:$A$1010,$B649)="","",INDEX('Work Orders'!$A$11:$A$1010,$B649)))</f>
        <v/>
      </c>
      <c r="D649" s="43">
        <f>IF($B649="","",IF(INDEX('Work Orders'!$B$11:$B$1010,$B649)="","",INDEX('Work Orders'!$B$11:$B$1010,$B649)))</f>
        <v/>
      </c>
      <c r="E649" s="43">
        <f>IF($B649="","",IF(INDEX('Work Orders'!$D$11:$D$1010,$B649)="","",INDEX('Work Orders'!$D$11:$D$1010,$B649)))</f>
        <v/>
      </c>
      <c r="F649" s="43">
        <f>IF($B649="","",IF(INDEX('Work Orders'!$Q$11:$Q$1010,$B649)="","",INDEX('Work Orders'!$Q$11:$Q$1010,$B649)))</f>
        <v/>
      </c>
      <c r="G649" s="43">
        <f>IF($B649="","",IF(INDEX('Work Orders'!$V$11:$V$1010,$B649)="","",INDEX('Work Orders'!$V$11:$V$1010,$B649)))</f>
        <v/>
      </c>
      <c r="H649" s="47">
        <f>IF($B649="","",IF(INDEX('Work Orders'!$U$11:$U$1010,$B649)="","",INDEX('Work Orders'!$U$11:$U$1010,$B649)))</f>
        <v/>
      </c>
      <c r="I649" s="47">
        <f>IF($B649="","",IF(INDEX('Work Orders'!$X$11:$X$1010,$B649)="","",INDEX('Work Orders'!$X$11:$X$1010,$B649)))</f>
        <v/>
      </c>
      <c r="J649" s="44">
        <f>IF($B649="","",IF(INDEX('Work Orders'!$Z$11:$Z$1010,$B649)="","",INDEX('Work Orders'!$Z$11:$Z$1010,$B649)))</f>
        <v/>
      </c>
      <c r="K649" s="44">
        <f>IF($B649="","",IF(INDEX('Work Orders'!$AG$11:$AG$1010,$B649)="","",INDEX('Work Orders'!$AG$11:$AG$1010,$B649)))</f>
        <v/>
      </c>
      <c r="L649" s="44">
        <f>IF($B649="","",IF(INDEX('Work Orders'!$AH$11:$AH$1010,$B649)="","",INDEX('Work Orders'!$AH$11:$AH$1010,$B649)))</f>
        <v/>
      </c>
      <c r="M649" s="46">
        <f>IF($B649="","",IF(INDEX('Work Orders'!$AM$11:$AM$1010,$B649)="","",INDEX('Work Orders'!$AM$11:$AM$1010,$B649)))</f>
        <v/>
      </c>
      <c r="N649" s="43">
        <f>IF($B649="","",IF(INDEX('Work Orders'!$AL$11:$AL$1010,$B649)="","",INDEX('Work Orders'!$AL$11:$AL$1010,$B649)))</f>
        <v/>
      </c>
      <c r="O649" s="43">
        <f>IF($B649="","",IF(INDEX('Work Orders'!$N$11:$N$1010,$B649)="","",INDEX('Work Orders'!$N$11:$N$1010,$B649)))</f>
        <v/>
      </c>
    </row>
    <row r="650">
      <c r="A650" s="68" t="n">
        <v>644</v>
      </c>
      <c r="B650">
        <f>IFERROR(MATCH(A650,'Work Orders'!$AO$11:$AO$1010,0),"")</f>
        <v/>
      </c>
      <c r="C650" s="43">
        <f>IF($B650="","",IF(INDEX('Work Orders'!$A$11:$A$1010,$B650)="","",INDEX('Work Orders'!$A$11:$A$1010,$B650)))</f>
        <v/>
      </c>
      <c r="D650" s="43">
        <f>IF($B650="","",IF(INDEX('Work Orders'!$B$11:$B$1010,$B650)="","",INDEX('Work Orders'!$B$11:$B$1010,$B650)))</f>
        <v/>
      </c>
      <c r="E650" s="43">
        <f>IF($B650="","",IF(INDEX('Work Orders'!$D$11:$D$1010,$B650)="","",INDEX('Work Orders'!$D$11:$D$1010,$B650)))</f>
        <v/>
      </c>
      <c r="F650" s="43">
        <f>IF($B650="","",IF(INDEX('Work Orders'!$Q$11:$Q$1010,$B650)="","",INDEX('Work Orders'!$Q$11:$Q$1010,$B650)))</f>
        <v/>
      </c>
      <c r="G650" s="43">
        <f>IF($B650="","",IF(INDEX('Work Orders'!$V$11:$V$1010,$B650)="","",INDEX('Work Orders'!$V$11:$V$1010,$B650)))</f>
        <v/>
      </c>
      <c r="H650" s="47">
        <f>IF($B650="","",IF(INDEX('Work Orders'!$U$11:$U$1010,$B650)="","",INDEX('Work Orders'!$U$11:$U$1010,$B650)))</f>
        <v/>
      </c>
      <c r="I650" s="47">
        <f>IF($B650="","",IF(INDEX('Work Orders'!$X$11:$X$1010,$B650)="","",INDEX('Work Orders'!$X$11:$X$1010,$B650)))</f>
        <v/>
      </c>
      <c r="J650" s="44">
        <f>IF($B650="","",IF(INDEX('Work Orders'!$Z$11:$Z$1010,$B650)="","",INDEX('Work Orders'!$Z$11:$Z$1010,$B650)))</f>
        <v/>
      </c>
      <c r="K650" s="44">
        <f>IF($B650="","",IF(INDEX('Work Orders'!$AG$11:$AG$1010,$B650)="","",INDEX('Work Orders'!$AG$11:$AG$1010,$B650)))</f>
        <v/>
      </c>
      <c r="L650" s="44">
        <f>IF($B650="","",IF(INDEX('Work Orders'!$AH$11:$AH$1010,$B650)="","",INDEX('Work Orders'!$AH$11:$AH$1010,$B650)))</f>
        <v/>
      </c>
      <c r="M650" s="46">
        <f>IF($B650="","",IF(INDEX('Work Orders'!$AM$11:$AM$1010,$B650)="","",INDEX('Work Orders'!$AM$11:$AM$1010,$B650)))</f>
        <v/>
      </c>
      <c r="N650" s="43">
        <f>IF($B650="","",IF(INDEX('Work Orders'!$AL$11:$AL$1010,$B650)="","",INDEX('Work Orders'!$AL$11:$AL$1010,$B650)))</f>
        <v/>
      </c>
      <c r="O650" s="43">
        <f>IF($B650="","",IF(INDEX('Work Orders'!$N$11:$N$1010,$B650)="","",INDEX('Work Orders'!$N$11:$N$1010,$B650)))</f>
        <v/>
      </c>
    </row>
    <row r="651">
      <c r="A651" s="68" t="n">
        <v>645</v>
      </c>
      <c r="B651">
        <f>IFERROR(MATCH(A651,'Work Orders'!$AO$11:$AO$1010,0),"")</f>
        <v/>
      </c>
      <c r="C651" s="43">
        <f>IF($B651="","",IF(INDEX('Work Orders'!$A$11:$A$1010,$B651)="","",INDEX('Work Orders'!$A$11:$A$1010,$B651)))</f>
        <v/>
      </c>
      <c r="D651" s="43">
        <f>IF($B651="","",IF(INDEX('Work Orders'!$B$11:$B$1010,$B651)="","",INDEX('Work Orders'!$B$11:$B$1010,$B651)))</f>
        <v/>
      </c>
      <c r="E651" s="43">
        <f>IF($B651="","",IF(INDEX('Work Orders'!$D$11:$D$1010,$B651)="","",INDEX('Work Orders'!$D$11:$D$1010,$B651)))</f>
        <v/>
      </c>
      <c r="F651" s="43">
        <f>IF($B651="","",IF(INDEX('Work Orders'!$Q$11:$Q$1010,$B651)="","",INDEX('Work Orders'!$Q$11:$Q$1010,$B651)))</f>
        <v/>
      </c>
      <c r="G651" s="43">
        <f>IF($B651="","",IF(INDEX('Work Orders'!$V$11:$V$1010,$B651)="","",INDEX('Work Orders'!$V$11:$V$1010,$B651)))</f>
        <v/>
      </c>
      <c r="H651" s="47">
        <f>IF($B651="","",IF(INDEX('Work Orders'!$U$11:$U$1010,$B651)="","",INDEX('Work Orders'!$U$11:$U$1010,$B651)))</f>
        <v/>
      </c>
      <c r="I651" s="47">
        <f>IF($B651="","",IF(INDEX('Work Orders'!$X$11:$X$1010,$B651)="","",INDEX('Work Orders'!$X$11:$X$1010,$B651)))</f>
        <v/>
      </c>
      <c r="J651" s="44">
        <f>IF($B651="","",IF(INDEX('Work Orders'!$Z$11:$Z$1010,$B651)="","",INDEX('Work Orders'!$Z$11:$Z$1010,$B651)))</f>
        <v/>
      </c>
      <c r="K651" s="44">
        <f>IF($B651="","",IF(INDEX('Work Orders'!$AG$11:$AG$1010,$B651)="","",INDEX('Work Orders'!$AG$11:$AG$1010,$B651)))</f>
        <v/>
      </c>
      <c r="L651" s="44">
        <f>IF($B651="","",IF(INDEX('Work Orders'!$AH$11:$AH$1010,$B651)="","",INDEX('Work Orders'!$AH$11:$AH$1010,$B651)))</f>
        <v/>
      </c>
      <c r="M651" s="46">
        <f>IF($B651="","",IF(INDEX('Work Orders'!$AM$11:$AM$1010,$B651)="","",INDEX('Work Orders'!$AM$11:$AM$1010,$B651)))</f>
        <v/>
      </c>
      <c r="N651" s="43">
        <f>IF($B651="","",IF(INDEX('Work Orders'!$AL$11:$AL$1010,$B651)="","",INDEX('Work Orders'!$AL$11:$AL$1010,$B651)))</f>
        <v/>
      </c>
      <c r="O651" s="43">
        <f>IF($B651="","",IF(INDEX('Work Orders'!$N$11:$N$1010,$B651)="","",INDEX('Work Orders'!$N$11:$N$1010,$B651)))</f>
        <v/>
      </c>
    </row>
    <row r="652">
      <c r="A652" s="68" t="n">
        <v>646</v>
      </c>
      <c r="B652">
        <f>IFERROR(MATCH(A652,'Work Orders'!$AO$11:$AO$1010,0),"")</f>
        <v/>
      </c>
      <c r="C652" s="43">
        <f>IF($B652="","",IF(INDEX('Work Orders'!$A$11:$A$1010,$B652)="","",INDEX('Work Orders'!$A$11:$A$1010,$B652)))</f>
        <v/>
      </c>
      <c r="D652" s="43">
        <f>IF($B652="","",IF(INDEX('Work Orders'!$B$11:$B$1010,$B652)="","",INDEX('Work Orders'!$B$11:$B$1010,$B652)))</f>
        <v/>
      </c>
      <c r="E652" s="43">
        <f>IF($B652="","",IF(INDEX('Work Orders'!$D$11:$D$1010,$B652)="","",INDEX('Work Orders'!$D$11:$D$1010,$B652)))</f>
        <v/>
      </c>
      <c r="F652" s="43">
        <f>IF($B652="","",IF(INDEX('Work Orders'!$Q$11:$Q$1010,$B652)="","",INDEX('Work Orders'!$Q$11:$Q$1010,$B652)))</f>
        <v/>
      </c>
      <c r="G652" s="43">
        <f>IF($B652="","",IF(INDEX('Work Orders'!$V$11:$V$1010,$B652)="","",INDEX('Work Orders'!$V$11:$V$1010,$B652)))</f>
        <v/>
      </c>
      <c r="H652" s="47">
        <f>IF($B652="","",IF(INDEX('Work Orders'!$U$11:$U$1010,$B652)="","",INDEX('Work Orders'!$U$11:$U$1010,$B652)))</f>
        <v/>
      </c>
      <c r="I652" s="47">
        <f>IF($B652="","",IF(INDEX('Work Orders'!$X$11:$X$1010,$B652)="","",INDEX('Work Orders'!$X$11:$X$1010,$B652)))</f>
        <v/>
      </c>
      <c r="J652" s="44">
        <f>IF($B652="","",IF(INDEX('Work Orders'!$Z$11:$Z$1010,$B652)="","",INDEX('Work Orders'!$Z$11:$Z$1010,$B652)))</f>
        <v/>
      </c>
      <c r="K652" s="44">
        <f>IF($B652="","",IF(INDEX('Work Orders'!$AG$11:$AG$1010,$B652)="","",INDEX('Work Orders'!$AG$11:$AG$1010,$B652)))</f>
        <v/>
      </c>
      <c r="L652" s="44">
        <f>IF($B652="","",IF(INDEX('Work Orders'!$AH$11:$AH$1010,$B652)="","",INDEX('Work Orders'!$AH$11:$AH$1010,$B652)))</f>
        <v/>
      </c>
      <c r="M652" s="46">
        <f>IF($B652="","",IF(INDEX('Work Orders'!$AM$11:$AM$1010,$B652)="","",INDEX('Work Orders'!$AM$11:$AM$1010,$B652)))</f>
        <v/>
      </c>
      <c r="N652" s="43">
        <f>IF($B652="","",IF(INDEX('Work Orders'!$AL$11:$AL$1010,$B652)="","",INDEX('Work Orders'!$AL$11:$AL$1010,$B652)))</f>
        <v/>
      </c>
      <c r="O652" s="43">
        <f>IF($B652="","",IF(INDEX('Work Orders'!$N$11:$N$1010,$B652)="","",INDEX('Work Orders'!$N$11:$N$1010,$B652)))</f>
        <v/>
      </c>
    </row>
    <row r="653">
      <c r="A653" s="68" t="n">
        <v>647</v>
      </c>
      <c r="B653">
        <f>IFERROR(MATCH(A653,'Work Orders'!$AO$11:$AO$1010,0),"")</f>
        <v/>
      </c>
      <c r="C653" s="43">
        <f>IF($B653="","",IF(INDEX('Work Orders'!$A$11:$A$1010,$B653)="","",INDEX('Work Orders'!$A$11:$A$1010,$B653)))</f>
        <v/>
      </c>
      <c r="D653" s="43">
        <f>IF($B653="","",IF(INDEX('Work Orders'!$B$11:$B$1010,$B653)="","",INDEX('Work Orders'!$B$11:$B$1010,$B653)))</f>
        <v/>
      </c>
      <c r="E653" s="43">
        <f>IF($B653="","",IF(INDEX('Work Orders'!$D$11:$D$1010,$B653)="","",INDEX('Work Orders'!$D$11:$D$1010,$B653)))</f>
        <v/>
      </c>
      <c r="F653" s="43">
        <f>IF($B653="","",IF(INDEX('Work Orders'!$Q$11:$Q$1010,$B653)="","",INDEX('Work Orders'!$Q$11:$Q$1010,$B653)))</f>
        <v/>
      </c>
      <c r="G653" s="43">
        <f>IF($B653="","",IF(INDEX('Work Orders'!$V$11:$V$1010,$B653)="","",INDEX('Work Orders'!$V$11:$V$1010,$B653)))</f>
        <v/>
      </c>
      <c r="H653" s="47">
        <f>IF($B653="","",IF(INDEX('Work Orders'!$U$11:$U$1010,$B653)="","",INDEX('Work Orders'!$U$11:$U$1010,$B653)))</f>
        <v/>
      </c>
      <c r="I653" s="47">
        <f>IF($B653="","",IF(INDEX('Work Orders'!$X$11:$X$1010,$B653)="","",INDEX('Work Orders'!$X$11:$X$1010,$B653)))</f>
        <v/>
      </c>
      <c r="J653" s="44">
        <f>IF($B653="","",IF(INDEX('Work Orders'!$Z$11:$Z$1010,$B653)="","",INDEX('Work Orders'!$Z$11:$Z$1010,$B653)))</f>
        <v/>
      </c>
      <c r="K653" s="44">
        <f>IF($B653="","",IF(INDEX('Work Orders'!$AG$11:$AG$1010,$B653)="","",INDEX('Work Orders'!$AG$11:$AG$1010,$B653)))</f>
        <v/>
      </c>
      <c r="L653" s="44">
        <f>IF($B653="","",IF(INDEX('Work Orders'!$AH$11:$AH$1010,$B653)="","",INDEX('Work Orders'!$AH$11:$AH$1010,$B653)))</f>
        <v/>
      </c>
      <c r="M653" s="46">
        <f>IF($B653="","",IF(INDEX('Work Orders'!$AM$11:$AM$1010,$B653)="","",INDEX('Work Orders'!$AM$11:$AM$1010,$B653)))</f>
        <v/>
      </c>
      <c r="N653" s="43">
        <f>IF($B653="","",IF(INDEX('Work Orders'!$AL$11:$AL$1010,$B653)="","",INDEX('Work Orders'!$AL$11:$AL$1010,$B653)))</f>
        <v/>
      </c>
      <c r="O653" s="43">
        <f>IF($B653="","",IF(INDEX('Work Orders'!$N$11:$N$1010,$B653)="","",INDEX('Work Orders'!$N$11:$N$1010,$B653)))</f>
        <v/>
      </c>
    </row>
    <row r="654">
      <c r="A654" s="68" t="n">
        <v>648</v>
      </c>
      <c r="B654">
        <f>IFERROR(MATCH(A654,'Work Orders'!$AO$11:$AO$1010,0),"")</f>
        <v/>
      </c>
      <c r="C654" s="43">
        <f>IF($B654="","",IF(INDEX('Work Orders'!$A$11:$A$1010,$B654)="","",INDEX('Work Orders'!$A$11:$A$1010,$B654)))</f>
        <v/>
      </c>
      <c r="D654" s="43">
        <f>IF($B654="","",IF(INDEX('Work Orders'!$B$11:$B$1010,$B654)="","",INDEX('Work Orders'!$B$11:$B$1010,$B654)))</f>
        <v/>
      </c>
      <c r="E654" s="43">
        <f>IF($B654="","",IF(INDEX('Work Orders'!$D$11:$D$1010,$B654)="","",INDEX('Work Orders'!$D$11:$D$1010,$B654)))</f>
        <v/>
      </c>
      <c r="F654" s="43">
        <f>IF($B654="","",IF(INDEX('Work Orders'!$Q$11:$Q$1010,$B654)="","",INDEX('Work Orders'!$Q$11:$Q$1010,$B654)))</f>
        <v/>
      </c>
      <c r="G654" s="43">
        <f>IF($B654="","",IF(INDEX('Work Orders'!$V$11:$V$1010,$B654)="","",INDEX('Work Orders'!$V$11:$V$1010,$B654)))</f>
        <v/>
      </c>
      <c r="H654" s="47">
        <f>IF($B654="","",IF(INDEX('Work Orders'!$U$11:$U$1010,$B654)="","",INDEX('Work Orders'!$U$11:$U$1010,$B654)))</f>
        <v/>
      </c>
      <c r="I654" s="47">
        <f>IF($B654="","",IF(INDEX('Work Orders'!$X$11:$X$1010,$B654)="","",INDEX('Work Orders'!$X$11:$X$1010,$B654)))</f>
        <v/>
      </c>
      <c r="J654" s="44">
        <f>IF($B654="","",IF(INDEX('Work Orders'!$Z$11:$Z$1010,$B654)="","",INDEX('Work Orders'!$Z$11:$Z$1010,$B654)))</f>
        <v/>
      </c>
      <c r="K654" s="44">
        <f>IF($B654="","",IF(INDEX('Work Orders'!$AG$11:$AG$1010,$B654)="","",INDEX('Work Orders'!$AG$11:$AG$1010,$B654)))</f>
        <v/>
      </c>
      <c r="L654" s="44">
        <f>IF($B654="","",IF(INDEX('Work Orders'!$AH$11:$AH$1010,$B654)="","",INDEX('Work Orders'!$AH$11:$AH$1010,$B654)))</f>
        <v/>
      </c>
      <c r="M654" s="46">
        <f>IF($B654="","",IF(INDEX('Work Orders'!$AM$11:$AM$1010,$B654)="","",INDEX('Work Orders'!$AM$11:$AM$1010,$B654)))</f>
        <v/>
      </c>
      <c r="N654" s="43">
        <f>IF($B654="","",IF(INDEX('Work Orders'!$AL$11:$AL$1010,$B654)="","",INDEX('Work Orders'!$AL$11:$AL$1010,$B654)))</f>
        <v/>
      </c>
      <c r="O654" s="43">
        <f>IF($B654="","",IF(INDEX('Work Orders'!$N$11:$N$1010,$B654)="","",INDEX('Work Orders'!$N$11:$N$1010,$B654)))</f>
        <v/>
      </c>
    </row>
    <row r="655">
      <c r="A655" s="68" t="n">
        <v>649</v>
      </c>
      <c r="B655">
        <f>IFERROR(MATCH(A655,'Work Orders'!$AO$11:$AO$1010,0),"")</f>
        <v/>
      </c>
      <c r="C655" s="43">
        <f>IF($B655="","",IF(INDEX('Work Orders'!$A$11:$A$1010,$B655)="","",INDEX('Work Orders'!$A$11:$A$1010,$B655)))</f>
        <v/>
      </c>
      <c r="D655" s="43">
        <f>IF($B655="","",IF(INDEX('Work Orders'!$B$11:$B$1010,$B655)="","",INDEX('Work Orders'!$B$11:$B$1010,$B655)))</f>
        <v/>
      </c>
      <c r="E655" s="43">
        <f>IF($B655="","",IF(INDEX('Work Orders'!$D$11:$D$1010,$B655)="","",INDEX('Work Orders'!$D$11:$D$1010,$B655)))</f>
        <v/>
      </c>
      <c r="F655" s="43">
        <f>IF($B655="","",IF(INDEX('Work Orders'!$Q$11:$Q$1010,$B655)="","",INDEX('Work Orders'!$Q$11:$Q$1010,$B655)))</f>
        <v/>
      </c>
      <c r="G655" s="43">
        <f>IF($B655="","",IF(INDEX('Work Orders'!$V$11:$V$1010,$B655)="","",INDEX('Work Orders'!$V$11:$V$1010,$B655)))</f>
        <v/>
      </c>
      <c r="H655" s="47">
        <f>IF($B655="","",IF(INDEX('Work Orders'!$U$11:$U$1010,$B655)="","",INDEX('Work Orders'!$U$11:$U$1010,$B655)))</f>
        <v/>
      </c>
      <c r="I655" s="47">
        <f>IF($B655="","",IF(INDEX('Work Orders'!$X$11:$X$1010,$B655)="","",INDEX('Work Orders'!$X$11:$X$1010,$B655)))</f>
        <v/>
      </c>
      <c r="J655" s="44">
        <f>IF($B655="","",IF(INDEX('Work Orders'!$Z$11:$Z$1010,$B655)="","",INDEX('Work Orders'!$Z$11:$Z$1010,$B655)))</f>
        <v/>
      </c>
      <c r="K655" s="44">
        <f>IF($B655="","",IF(INDEX('Work Orders'!$AG$11:$AG$1010,$B655)="","",INDEX('Work Orders'!$AG$11:$AG$1010,$B655)))</f>
        <v/>
      </c>
      <c r="L655" s="44">
        <f>IF($B655="","",IF(INDEX('Work Orders'!$AH$11:$AH$1010,$B655)="","",INDEX('Work Orders'!$AH$11:$AH$1010,$B655)))</f>
        <v/>
      </c>
      <c r="M655" s="46">
        <f>IF($B655="","",IF(INDEX('Work Orders'!$AM$11:$AM$1010,$B655)="","",INDEX('Work Orders'!$AM$11:$AM$1010,$B655)))</f>
        <v/>
      </c>
      <c r="N655" s="43">
        <f>IF($B655="","",IF(INDEX('Work Orders'!$AL$11:$AL$1010,$B655)="","",INDEX('Work Orders'!$AL$11:$AL$1010,$B655)))</f>
        <v/>
      </c>
      <c r="O655" s="43">
        <f>IF($B655="","",IF(INDEX('Work Orders'!$N$11:$N$1010,$B655)="","",INDEX('Work Orders'!$N$11:$N$1010,$B655)))</f>
        <v/>
      </c>
    </row>
    <row r="656">
      <c r="A656" s="68" t="n">
        <v>650</v>
      </c>
      <c r="B656">
        <f>IFERROR(MATCH(A656,'Work Orders'!$AO$11:$AO$1010,0),"")</f>
        <v/>
      </c>
      <c r="C656" s="43">
        <f>IF($B656="","",IF(INDEX('Work Orders'!$A$11:$A$1010,$B656)="","",INDEX('Work Orders'!$A$11:$A$1010,$B656)))</f>
        <v/>
      </c>
      <c r="D656" s="43">
        <f>IF($B656="","",IF(INDEX('Work Orders'!$B$11:$B$1010,$B656)="","",INDEX('Work Orders'!$B$11:$B$1010,$B656)))</f>
        <v/>
      </c>
      <c r="E656" s="43">
        <f>IF($B656="","",IF(INDEX('Work Orders'!$D$11:$D$1010,$B656)="","",INDEX('Work Orders'!$D$11:$D$1010,$B656)))</f>
        <v/>
      </c>
      <c r="F656" s="43">
        <f>IF($B656="","",IF(INDEX('Work Orders'!$Q$11:$Q$1010,$B656)="","",INDEX('Work Orders'!$Q$11:$Q$1010,$B656)))</f>
        <v/>
      </c>
      <c r="G656" s="43">
        <f>IF($B656="","",IF(INDEX('Work Orders'!$V$11:$V$1010,$B656)="","",INDEX('Work Orders'!$V$11:$V$1010,$B656)))</f>
        <v/>
      </c>
      <c r="H656" s="47">
        <f>IF($B656="","",IF(INDEX('Work Orders'!$U$11:$U$1010,$B656)="","",INDEX('Work Orders'!$U$11:$U$1010,$B656)))</f>
        <v/>
      </c>
      <c r="I656" s="47">
        <f>IF($B656="","",IF(INDEX('Work Orders'!$X$11:$X$1010,$B656)="","",INDEX('Work Orders'!$X$11:$X$1010,$B656)))</f>
        <v/>
      </c>
      <c r="J656" s="44">
        <f>IF($B656="","",IF(INDEX('Work Orders'!$Z$11:$Z$1010,$B656)="","",INDEX('Work Orders'!$Z$11:$Z$1010,$B656)))</f>
        <v/>
      </c>
      <c r="K656" s="44">
        <f>IF($B656="","",IF(INDEX('Work Orders'!$AG$11:$AG$1010,$B656)="","",INDEX('Work Orders'!$AG$11:$AG$1010,$B656)))</f>
        <v/>
      </c>
      <c r="L656" s="44">
        <f>IF($B656="","",IF(INDEX('Work Orders'!$AH$11:$AH$1010,$B656)="","",INDEX('Work Orders'!$AH$11:$AH$1010,$B656)))</f>
        <v/>
      </c>
      <c r="M656" s="46">
        <f>IF($B656="","",IF(INDEX('Work Orders'!$AM$11:$AM$1010,$B656)="","",INDEX('Work Orders'!$AM$11:$AM$1010,$B656)))</f>
        <v/>
      </c>
      <c r="N656" s="43">
        <f>IF($B656="","",IF(INDEX('Work Orders'!$AL$11:$AL$1010,$B656)="","",INDEX('Work Orders'!$AL$11:$AL$1010,$B656)))</f>
        <v/>
      </c>
      <c r="O656" s="43">
        <f>IF($B656="","",IF(INDEX('Work Orders'!$N$11:$N$1010,$B656)="","",INDEX('Work Orders'!$N$11:$N$1010,$B656)))</f>
        <v/>
      </c>
    </row>
    <row r="657">
      <c r="A657" s="68" t="n">
        <v>651</v>
      </c>
      <c r="B657">
        <f>IFERROR(MATCH(A657,'Work Orders'!$AO$11:$AO$1010,0),"")</f>
        <v/>
      </c>
      <c r="C657" s="43">
        <f>IF($B657="","",IF(INDEX('Work Orders'!$A$11:$A$1010,$B657)="","",INDEX('Work Orders'!$A$11:$A$1010,$B657)))</f>
        <v/>
      </c>
      <c r="D657" s="43">
        <f>IF($B657="","",IF(INDEX('Work Orders'!$B$11:$B$1010,$B657)="","",INDEX('Work Orders'!$B$11:$B$1010,$B657)))</f>
        <v/>
      </c>
      <c r="E657" s="43">
        <f>IF($B657="","",IF(INDEX('Work Orders'!$D$11:$D$1010,$B657)="","",INDEX('Work Orders'!$D$11:$D$1010,$B657)))</f>
        <v/>
      </c>
      <c r="F657" s="43">
        <f>IF($B657="","",IF(INDEX('Work Orders'!$Q$11:$Q$1010,$B657)="","",INDEX('Work Orders'!$Q$11:$Q$1010,$B657)))</f>
        <v/>
      </c>
      <c r="G657" s="43">
        <f>IF($B657="","",IF(INDEX('Work Orders'!$V$11:$V$1010,$B657)="","",INDEX('Work Orders'!$V$11:$V$1010,$B657)))</f>
        <v/>
      </c>
      <c r="H657" s="47">
        <f>IF($B657="","",IF(INDEX('Work Orders'!$U$11:$U$1010,$B657)="","",INDEX('Work Orders'!$U$11:$U$1010,$B657)))</f>
        <v/>
      </c>
      <c r="I657" s="47">
        <f>IF($B657="","",IF(INDEX('Work Orders'!$X$11:$X$1010,$B657)="","",INDEX('Work Orders'!$X$11:$X$1010,$B657)))</f>
        <v/>
      </c>
      <c r="J657" s="44">
        <f>IF($B657="","",IF(INDEX('Work Orders'!$Z$11:$Z$1010,$B657)="","",INDEX('Work Orders'!$Z$11:$Z$1010,$B657)))</f>
        <v/>
      </c>
      <c r="K657" s="44">
        <f>IF($B657="","",IF(INDEX('Work Orders'!$AG$11:$AG$1010,$B657)="","",INDEX('Work Orders'!$AG$11:$AG$1010,$B657)))</f>
        <v/>
      </c>
      <c r="L657" s="44">
        <f>IF($B657="","",IF(INDEX('Work Orders'!$AH$11:$AH$1010,$B657)="","",INDEX('Work Orders'!$AH$11:$AH$1010,$B657)))</f>
        <v/>
      </c>
      <c r="M657" s="46">
        <f>IF($B657="","",IF(INDEX('Work Orders'!$AM$11:$AM$1010,$B657)="","",INDEX('Work Orders'!$AM$11:$AM$1010,$B657)))</f>
        <v/>
      </c>
      <c r="N657" s="43">
        <f>IF($B657="","",IF(INDEX('Work Orders'!$AL$11:$AL$1010,$B657)="","",INDEX('Work Orders'!$AL$11:$AL$1010,$B657)))</f>
        <v/>
      </c>
      <c r="O657" s="43">
        <f>IF($B657="","",IF(INDEX('Work Orders'!$N$11:$N$1010,$B657)="","",INDEX('Work Orders'!$N$11:$N$1010,$B657)))</f>
        <v/>
      </c>
    </row>
    <row r="658">
      <c r="A658" s="68" t="n">
        <v>652</v>
      </c>
      <c r="B658">
        <f>IFERROR(MATCH(A658,'Work Orders'!$AO$11:$AO$1010,0),"")</f>
        <v/>
      </c>
      <c r="C658" s="43">
        <f>IF($B658="","",IF(INDEX('Work Orders'!$A$11:$A$1010,$B658)="","",INDEX('Work Orders'!$A$11:$A$1010,$B658)))</f>
        <v/>
      </c>
      <c r="D658" s="43">
        <f>IF($B658="","",IF(INDEX('Work Orders'!$B$11:$B$1010,$B658)="","",INDEX('Work Orders'!$B$11:$B$1010,$B658)))</f>
        <v/>
      </c>
      <c r="E658" s="43">
        <f>IF($B658="","",IF(INDEX('Work Orders'!$D$11:$D$1010,$B658)="","",INDEX('Work Orders'!$D$11:$D$1010,$B658)))</f>
        <v/>
      </c>
      <c r="F658" s="43">
        <f>IF($B658="","",IF(INDEX('Work Orders'!$Q$11:$Q$1010,$B658)="","",INDEX('Work Orders'!$Q$11:$Q$1010,$B658)))</f>
        <v/>
      </c>
      <c r="G658" s="43">
        <f>IF($B658="","",IF(INDEX('Work Orders'!$V$11:$V$1010,$B658)="","",INDEX('Work Orders'!$V$11:$V$1010,$B658)))</f>
        <v/>
      </c>
      <c r="H658" s="47">
        <f>IF($B658="","",IF(INDEX('Work Orders'!$U$11:$U$1010,$B658)="","",INDEX('Work Orders'!$U$11:$U$1010,$B658)))</f>
        <v/>
      </c>
      <c r="I658" s="47">
        <f>IF($B658="","",IF(INDEX('Work Orders'!$X$11:$X$1010,$B658)="","",INDEX('Work Orders'!$X$11:$X$1010,$B658)))</f>
        <v/>
      </c>
      <c r="J658" s="44">
        <f>IF($B658="","",IF(INDEX('Work Orders'!$Z$11:$Z$1010,$B658)="","",INDEX('Work Orders'!$Z$11:$Z$1010,$B658)))</f>
        <v/>
      </c>
      <c r="K658" s="44">
        <f>IF($B658="","",IF(INDEX('Work Orders'!$AG$11:$AG$1010,$B658)="","",INDEX('Work Orders'!$AG$11:$AG$1010,$B658)))</f>
        <v/>
      </c>
      <c r="L658" s="44">
        <f>IF($B658="","",IF(INDEX('Work Orders'!$AH$11:$AH$1010,$B658)="","",INDEX('Work Orders'!$AH$11:$AH$1010,$B658)))</f>
        <v/>
      </c>
      <c r="M658" s="46">
        <f>IF($B658="","",IF(INDEX('Work Orders'!$AM$11:$AM$1010,$B658)="","",INDEX('Work Orders'!$AM$11:$AM$1010,$B658)))</f>
        <v/>
      </c>
      <c r="N658" s="43">
        <f>IF($B658="","",IF(INDEX('Work Orders'!$AL$11:$AL$1010,$B658)="","",INDEX('Work Orders'!$AL$11:$AL$1010,$B658)))</f>
        <v/>
      </c>
      <c r="O658" s="43">
        <f>IF($B658="","",IF(INDEX('Work Orders'!$N$11:$N$1010,$B658)="","",INDEX('Work Orders'!$N$11:$N$1010,$B658)))</f>
        <v/>
      </c>
    </row>
    <row r="659">
      <c r="A659" s="68" t="n">
        <v>653</v>
      </c>
      <c r="B659">
        <f>IFERROR(MATCH(A659,'Work Orders'!$AO$11:$AO$1010,0),"")</f>
        <v/>
      </c>
      <c r="C659" s="43">
        <f>IF($B659="","",IF(INDEX('Work Orders'!$A$11:$A$1010,$B659)="","",INDEX('Work Orders'!$A$11:$A$1010,$B659)))</f>
        <v/>
      </c>
      <c r="D659" s="43">
        <f>IF($B659="","",IF(INDEX('Work Orders'!$B$11:$B$1010,$B659)="","",INDEX('Work Orders'!$B$11:$B$1010,$B659)))</f>
        <v/>
      </c>
      <c r="E659" s="43">
        <f>IF($B659="","",IF(INDEX('Work Orders'!$D$11:$D$1010,$B659)="","",INDEX('Work Orders'!$D$11:$D$1010,$B659)))</f>
        <v/>
      </c>
      <c r="F659" s="43">
        <f>IF($B659="","",IF(INDEX('Work Orders'!$Q$11:$Q$1010,$B659)="","",INDEX('Work Orders'!$Q$11:$Q$1010,$B659)))</f>
        <v/>
      </c>
      <c r="G659" s="43">
        <f>IF($B659="","",IF(INDEX('Work Orders'!$V$11:$V$1010,$B659)="","",INDEX('Work Orders'!$V$11:$V$1010,$B659)))</f>
        <v/>
      </c>
      <c r="H659" s="47">
        <f>IF($B659="","",IF(INDEX('Work Orders'!$U$11:$U$1010,$B659)="","",INDEX('Work Orders'!$U$11:$U$1010,$B659)))</f>
        <v/>
      </c>
      <c r="I659" s="47">
        <f>IF($B659="","",IF(INDEX('Work Orders'!$X$11:$X$1010,$B659)="","",INDEX('Work Orders'!$X$11:$X$1010,$B659)))</f>
        <v/>
      </c>
      <c r="J659" s="44">
        <f>IF($B659="","",IF(INDEX('Work Orders'!$Z$11:$Z$1010,$B659)="","",INDEX('Work Orders'!$Z$11:$Z$1010,$B659)))</f>
        <v/>
      </c>
      <c r="K659" s="44">
        <f>IF($B659="","",IF(INDEX('Work Orders'!$AG$11:$AG$1010,$B659)="","",INDEX('Work Orders'!$AG$11:$AG$1010,$B659)))</f>
        <v/>
      </c>
      <c r="L659" s="44">
        <f>IF($B659="","",IF(INDEX('Work Orders'!$AH$11:$AH$1010,$B659)="","",INDEX('Work Orders'!$AH$11:$AH$1010,$B659)))</f>
        <v/>
      </c>
      <c r="M659" s="46">
        <f>IF($B659="","",IF(INDEX('Work Orders'!$AM$11:$AM$1010,$B659)="","",INDEX('Work Orders'!$AM$11:$AM$1010,$B659)))</f>
        <v/>
      </c>
      <c r="N659" s="43">
        <f>IF($B659="","",IF(INDEX('Work Orders'!$AL$11:$AL$1010,$B659)="","",INDEX('Work Orders'!$AL$11:$AL$1010,$B659)))</f>
        <v/>
      </c>
      <c r="O659" s="43">
        <f>IF($B659="","",IF(INDEX('Work Orders'!$N$11:$N$1010,$B659)="","",INDEX('Work Orders'!$N$11:$N$1010,$B659)))</f>
        <v/>
      </c>
    </row>
    <row r="660">
      <c r="A660" s="68" t="n">
        <v>654</v>
      </c>
      <c r="B660">
        <f>IFERROR(MATCH(A660,'Work Orders'!$AO$11:$AO$1010,0),"")</f>
        <v/>
      </c>
      <c r="C660" s="43">
        <f>IF($B660="","",IF(INDEX('Work Orders'!$A$11:$A$1010,$B660)="","",INDEX('Work Orders'!$A$11:$A$1010,$B660)))</f>
        <v/>
      </c>
      <c r="D660" s="43">
        <f>IF($B660="","",IF(INDEX('Work Orders'!$B$11:$B$1010,$B660)="","",INDEX('Work Orders'!$B$11:$B$1010,$B660)))</f>
        <v/>
      </c>
      <c r="E660" s="43">
        <f>IF($B660="","",IF(INDEX('Work Orders'!$D$11:$D$1010,$B660)="","",INDEX('Work Orders'!$D$11:$D$1010,$B660)))</f>
        <v/>
      </c>
      <c r="F660" s="43">
        <f>IF($B660="","",IF(INDEX('Work Orders'!$Q$11:$Q$1010,$B660)="","",INDEX('Work Orders'!$Q$11:$Q$1010,$B660)))</f>
        <v/>
      </c>
      <c r="G660" s="43">
        <f>IF($B660="","",IF(INDEX('Work Orders'!$V$11:$V$1010,$B660)="","",INDEX('Work Orders'!$V$11:$V$1010,$B660)))</f>
        <v/>
      </c>
      <c r="H660" s="47">
        <f>IF($B660="","",IF(INDEX('Work Orders'!$U$11:$U$1010,$B660)="","",INDEX('Work Orders'!$U$11:$U$1010,$B660)))</f>
        <v/>
      </c>
      <c r="I660" s="47">
        <f>IF($B660="","",IF(INDEX('Work Orders'!$X$11:$X$1010,$B660)="","",INDEX('Work Orders'!$X$11:$X$1010,$B660)))</f>
        <v/>
      </c>
      <c r="J660" s="44">
        <f>IF($B660="","",IF(INDEX('Work Orders'!$Z$11:$Z$1010,$B660)="","",INDEX('Work Orders'!$Z$11:$Z$1010,$B660)))</f>
        <v/>
      </c>
      <c r="K660" s="44">
        <f>IF($B660="","",IF(INDEX('Work Orders'!$AG$11:$AG$1010,$B660)="","",INDEX('Work Orders'!$AG$11:$AG$1010,$B660)))</f>
        <v/>
      </c>
      <c r="L660" s="44">
        <f>IF($B660="","",IF(INDEX('Work Orders'!$AH$11:$AH$1010,$B660)="","",INDEX('Work Orders'!$AH$11:$AH$1010,$B660)))</f>
        <v/>
      </c>
      <c r="M660" s="46">
        <f>IF($B660="","",IF(INDEX('Work Orders'!$AM$11:$AM$1010,$B660)="","",INDEX('Work Orders'!$AM$11:$AM$1010,$B660)))</f>
        <v/>
      </c>
      <c r="N660" s="43">
        <f>IF($B660="","",IF(INDEX('Work Orders'!$AL$11:$AL$1010,$B660)="","",INDEX('Work Orders'!$AL$11:$AL$1010,$B660)))</f>
        <v/>
      </c>
      <c r="O660" s="43">
        <f>IF($B660="","",IF(INDEX('Work Orders'!$N$11:$N$1010,$B660)="","",INDEX('Work Orders'!$N$11:$N$1010,$B660)))</f>
        <v/>
      </c>
    </row>
    <row r="661">
      <c r="A661" s="68" t="n">
        <v>655</v>
      </c>
      <c r="B661">
        <f>IFERROR(MATCH(A661,'Work Orders'!$AO$11:$AO$1010,0),"")</f>
        <v/>
      </c>
      <c r="C661" s="43">
        <f>IF($B661="","",IF(INDEX('Work Orders'!$A$11:$A$1010,$B661)="","",INDEX('Work Orders'!$A$11:$A$1010,$B661)))</f>
        <v/>
      </c>
      <c r="D661" s="43">
        <f>IF($B661="","",IF(INDEX('Work Orders'!$B$11:$B$1010,$B661)="","",INDEX('Work Orders'!$B$11:$B$1010,$B661)))</f>
        <v/>
      </c>
      <c r="E661" s="43">
        <f>IF($B661="","",IF(INDEX('Work Orders'!$D$11:$D$1010,$B661)="","",INDEX('Work Orders'!$D$11:$D$1010,$B661)))</f>
        <v/>
      </c>
      <c r="F661" s="43">
        <f>IF($B661="","",IF(INDEX('Work Orders'!$Q$11:$Q$1010,$B661)="","",INDEX('Work Orders'!$Q$11:$Q$1010,$B661)))</f>
        <v/>
      </c>
      <c r="G661" s="43">
        <f>IF($B661="","",IF(INDEX('Work Orders'!$V$11:$V$1010,$B661)="","",INDEX('Work Orders'!$V$11:$V$1010,$B661)))</f>
        <v/>
      </c>
      <c r="H661" s="47">
        <f>IF($B661="","",IF(INDEX('Work Orders'!$U$11:$U$1010,$B661)="","",INDEX('Work Orders'!$U$11:$U$1010,$B661)))</f>
        <v/>
      </c>
      <c r="I661" s="47">
        <f>IF($B661="","",IF(INDEX('Work Orders'!$X$11:$X$1010,$B661)="","",INDEX('Work Orders'!$X$11:$X$1010,$B661)))</f>
        <v/>
      </c>
      <c r="J661" s="44">
        <f>IF($B661="","",IF(INDEX('Work Orders'!$Z$11:$Z$1010,$B661)="","",INDEX('Work Orders'!$Z$11:$Z$1010,$B661)))</f>
        <v/>
      </c>
      <c r="K661" s="44">
        <f>IF($B661="","",IF(INDEX('Work Orders'!$AG$11:$AG$1010,$B661)="","",INDEX('Work Orders'!$AG$11:$AG$1010,$B661)))</f>
        <v/>
      </c>
      <c r="L661" s="44">
        <f>IF($B661="","",IF(INDEX('Work Orders'!$AH$11:$AH$1010,$B661)="","",INDEX('Work Orders'!$AH$11:$AH$1010,$B661)))</f>
        <v/>
      </c>
      <c r="M661" s="46">
        <f>IF($B661="","",IF(INDEX('Work Orders'!$AM$11:$AM$1010,$B661)="","",INDEX('Work Orders'!$AM$11:$AM$1010,$B661)))</f>
        <v/>
      </c>
      <c r="N661" s="43">
        <f>IF($B661="","",IF(INDEX('Work Orders'!$AL$11:$AL$1010,$B661)="","",INDEX('Work Orders'!$AL$11:$AL$1010,$B661)))</f>
        <v/>
      </c>
      <c r="O661" s="43">
        <f>IF($B661="","",IF(INDEX('Work Orders'!$N$11:$N$1010,$B661)="","",INDEX('Work Orders'!$N$11:$N$1010,$B661)))</f>
        <v/>
      </c>
    </row>
    <row r="662">
      <c r="A662" s="68" t="n">
        <v>656</v>
      </c>
      <c r="B662">
        <f>IFERROR(MATCH(A662,'Work Orders'!$AO$11:$AO$1010,0),"")</f>
        <v/>
      </c>
      <c r="C662" s="43">
        <f>IF($B662="","",IF(INDEX('Work Orders'!$A$11:$A$1010,$B662)="","",INDEX('Work Orders'!$A$11:$A$1010,$B662)))</f>
        <v/>
      </c>
      <c r="D662" s="43">
        <f>IF($B662="","",IF(INDEX('Work Orders'!$B$11:$B$1010,$B662)="","",INDEX('Work Orders'!$B$11:$B$1010,$B662)))</f>
        <v/>
      </c>
      <c r="E662" s="43">
        <f>IF($B662="","",IF(INDEX('Work Orders'!$D$11:$D$1010,$B662)="","",INDEX('Work Orders'!$D$11:$D$1010,$B662)))</f>
        <v/>
      </c>
      <c r="F662" s="43">
        <f>IF($B662="","",IF(INDEX('Work Orders'!$Q$11:$Q$1010,$B662)="","",INDEX('Work Orders'!$Q$11:$Q$1010,$B662)))</f>
        <v/>
      </c>
      <c r="G662" s="43">
        <f>IF($B662="","",IF(INDEX('Work Orders'!$V$11:$V$1010,$B662)="","",INDEX('Work Orders'!$V$11:$V$1010,$B662)))</f>
        <v/>
      </c>
      <c r="H662" s="47">
        <f>IF($B662="","",IF(INDEX('Work Orders'!$U$11:$U$1010,$B662)="","",INDEX('Work Orders'!$U$11:$U$1010,$B662)))</f>
        <v/>
      </c>
      <c r="I662" s="47">
        <f>IF($B662="","",IF(INDEX('Work Orders'!$X$11:$X$1010,$B662)="","",INDEX('Work Orders'!$X$11:$X$1010,$B662)))</f>
        <v/>
      </c>
      <c r="J662" s="44">
        <f>IF($B662="","",IF(INDEX('Work Orders'!$Z$11:$Z$1010,$B662)="","",INDEX('Work Orders'!$Z$11:$Z$1010,$B662)))</f>
        <v/>
      </c>
      <c r="K662" s="44">
        <f>IF($B662="","",IF(INDEX('Work Orders'!$AG$11:$AG$1010,$B662)="","",INDEX('Work Orders'!$AG$11:$AG$1010,$B662)))</f>
        <v/>
      </c>
      <c r="L662" s="44">
        <f>IF($B662="","",IF(INDEX('Work Orders'!$AH$11:$AH$1010,$B662)="","",INDEX('Work Orders'!$AH$11:$AH$1010,$B662)))</f>
        <v/>
      </c>
      <c r="M662" s="46">
        <f>IF($B662="","",IF(INDEX('Work Orders'!$AM$11:$AM$1010,$B662)="","",INDEX('Work Orders'!$AM$11:$AM$1010,$B662)))</f>
        <v/>
      </c>
      <c r="N662" s="43">
        <f>IF($B662="","",IF(INDEX('Work Orders'!$AL$11:$AL$1010,$B662)="","",INDEX('Work Orders'!$AL$11:$AL$1010,$B662)))</f>
        <v/>
      </c>
      <c r="O662" s="43">
        <f>IF($B662="","",IF(INDEX('Work Orders'!$N$11:$N$1010,$B662)="","",INDEX('Work Orders'!$N$11:$N$1010,$B662)))</f>
        <v/>
      </c>
    </row>
    <row r="663">
      <c r="A663" s="68" t="n">
        <v>657</v>
      </c>
      <c r="B663">
        <f>IFERROR(MATCH(A663,'Work Orders'!$AO$11:$AO$1010,0),"")</f>
        <v/>
      </c>
      <c r="C663" s="43">
        <f>IF($B663="","",IF(INDEX('Work Orders'!$A$11:$A$1010,$B663)="","",INDEX('Work Orders'!$A$11:$A$1010,$B663)))</f>
        <v/>
      </c>
      <c r="D663" s="43">
        <f>IF($B663="","",IF(INDEX('Work Orders'!$B$11:$B$1010,$B663)="","",INDEX('Work Orders'!$B$11:$B$1010,$B663)))</f>
        <v/>
      </c>
      <c r="E663" s="43">
        <f>IF($B663="","",IF(INDEX('Work Orders'!$D$11:$D$1010,$B663)="","",INDEX('Work Orders'!$D$11:$D$1010,$B663)))</f>
        <v/>
      </c>
      <c r="F663" s="43">
        <f>IF($B663="","",IF(INDEX('Work Orders'!$Q$11:$Q$1010,$B663)="","",INDEX('Work Orders'!$Q$11:$Q$1010,$B663)))</f>
        <v/>
      </c>
      <c r="G663" s="43">
        <f>IF($B663="","",IF(INDEX('Work Orders'!$V$11:$V$1010,$B663)="","",INDEX('Work Orders'!$V$11:$V$1010,$B663)))</f>
        <v/>
      </c>
      <c r="H663" s="47">
        <f>IF($B663="","",IF(INDEX('Work Orders'!$U$11:$U$1010,$B663)="","",INDEX('Work Orders'!$U$11:$U$1010,$B663)))</f>
        <v/>
      </c>
      <c r="I663" s="47">
        <f>IF($B663="","",IF(INDEX('Work Orders'!$X$11:$X$1010,$B663)="","",INDEX('Work Orders'!$X$11:$X$1010,$B663)))</f>
        <v/>
      </c>
      <c r="J663" s="44">
        <f>IF($B663="","",IF(INDEX('Work Orders'!$Z$11:$Z$1010,$B663)="","",INDEX('Work Orders'!$Z$11:$Z$1010,$B663)))</f>
        <v/>
      </c>
      <c r="K663" s="44">
        <f>IF($B663="","",IF(INDEX('Work Orders'!$AG$11:$AG$1010,$B663)="","",INDEX('Work Orders'!$AG$11:$AG$1010,$B663)))</f>
        <v/>
      </c>
      <c r="L663" s="44">
        <f>IF($B663="","",IF(INDEX('Work Orders'!$AH$11:$AH$1010,$B663)="","",INDEX('Work Orders'!$AH$11:$AH$1010,$B663)))</f>
        <v/>
      </c>
      <c r="M663" s="46">
        <f>IF($B663="","",IF(INDEX('Work Orders'!$AM$11:$AM$1010,$B663)="","",INDEX('Work Orders'!$AM$11:$AM$1010,$B663)))</f>
        <v/>
      </c>
      <c r="N663" s="43">
        <f>IF($B663="","",IF(INDEX('Work Orders'!$AL$11:$AL$1010,$B663)="","",INDEX('Work Orders'!$AL$11:$AL$1010,$B663)))</f>
        <v/>
      </c>
      <c r="O663" s="43">
        <f>IF($B663="","",IF(INDEX('Work Orders'!$N$11:$N$1010,$B663)="","",INDEX('Work Orders'!$N$11:$N$1010,$B663)))</f>
        <v/>
      </c>
    </row>
    <row r="664">
      <c r="A664" s="68" t="n">
        <v>658</v>
      </c>
      <c r="B664">
        <f>IFERROR(MATCH(A664,'Work Orders'!$AO$11:$AO$1010,0),"")</f>
        <v/>
      </c>
      <c r="C664" s="43">
        <f>IF($B664="","",IF(INDEX('Work Orders'!$A$11:$A$1010,$B664)="","",INDEX('Work Orders'!$A$11:$A$1010,$B664)))</f>
        <v/>
      </c>
      <c r="D664" s="43">
        <f>IF($B664="","",IF(INDEX('Work Orders'!$B$11:$B$1010,$B664)="","",INDEX('Work Orders'!$B$11:$B$1010,$B664)))</f>
        <v/>
      </c>
      <c r="E664" s="43">
        <f>IF($B664="","",IF(INDEX('Work Orders'!$D$11:$D$1010,$B664)="","",INDEX('Work Orders'!$D$11:$D$1010,$B664)))</f>
        <v/>
      </c>
      <c r="F664" s="43">
        <f>IF($B664="","",IF(INDEX('Work Orders'!$Q$11:$Q$1010,$B664)="","",INDEX('Work Orders'!$Q$11:$Q$1010,$B664)))</f>
        <v/>
      </c>
      <c r="G664" s="43">
        <f>IF($B664="","",IF(INDEX('Work Orders'!$V$11:$V$1010,$B664)="","",INDEX('Work Orders'!$V$11:$V$1010,$B664)))</f>
        <v/>
      </c>
      <c r="H664" s="47">
        <f>IF($B664="","",IF(INDEX('Work Orders'!$U$11:$U$1010,$B664)="","",INDEX('Work Orders'!$U$11:$U$1010,$B664)))</f>
        <v/>
      </c>
      <c r="I664" s="47">
        <f>IF($B664="","",IF(INDEX('Work Orders'!$X$11:$X$1010,$B664)="","",INDEX('Work Orders'!$X$11:$X$1010,$B664)))</f>
        <v/>
      </c>
      <c r="J664" s="44">
        <f>IF($B664="","",IF(INDEX('Work Orders'!$Z$11:$Z$1010,$B664)="","",INDEX('Work Orders'!$Z$11:$Z$1010,$B664)))</f>
        <v/>
      </c>
      <c r="K664" s="44">
        <f>IF($B664="","",IF(INDEX('Work Orders'!$AG$11:$AG$1010,$B664)="","",INDEX('Work Orders'!$AG$11:$AG$1010,$B664)))</f>
        <v/>
      </c>
      <c r="L664" s="44">
        <f>IF($B664="","",IF(INDEX('Work Orders'!$AH$11:$AH$1010,$B664)="","",INDEX('Work Orders'!$AH$11:$AH$1010,$B664)))</f>
        <v/>
      </c>
      <c r="M664" s="46">
        <f>IF($B664="","",IF(INDEX('Work Orders'!$AM$11:$AM$1010,$B664)="","",INDEX('Work Orders'!$AM$11:$AM$1010,$B664)))</f>
        <v/>
      </c>
      <c r="N664" s="43">
        <f>IF($B664="","",IF(INDEX('Work Orders'!$AL$11:$AL$1010,$B664)="","",INDEX('Work Orders'!$AL$11:$AL$1010,$B664)))</f>
        <v/>
      </c>
      <c r="O664" s="43">
        <f>IF($B664="","",IF(INDEX('Work Orders'!$N$11:$N$1010,$B664)="","",INDEX('Work Orders'!$N$11:$N$1010,$B664)))</f>
        <v/>
      </c>
    </row>
    <row r="665">
      <c r="A665" s="68" t="n">
        <v>659</v>
      </c>
      <c r="B665">
        <f>IFERROR(MATCH(A665,'Work Orders'!$AO$11:$AO$1010,0),"")</f>
        <v/>
      </c>
      <c r="C665" s="43">
        <f>IF($B665="","",IF(INDEX('Work Orders'!$A$11:$A$1010,$B665)="","",INDEX('Work Orders'!$A$11:$A$1010,$B665)))</f>
        <v/>
      </c>
      <c r="D665" s="43">
        <f>IF($B665="","",IF(INDEX('Work Orders'!$B$11:$B$1010,$B665)="","",INDEX('Work Orders'!$B$11:$B$1010,$B665)))</f>
        <v/>
      </c>
      <c r="E665" s="43">
        <f>IF($B665="","",IF(INDEX('Work Orders'!$D$11:$D$1010,$B665)="","",INDEX('Work Orders'!$D$11:$D$1010,$B665)))</f>
        <v/>
      </c>
      <c r="F665" s="43">
        <f>IF($B665="","",IF(INDEX('Work Orders'!$Q$11:$Q$1010,$B665)="","",INDEX('Work Orders'!$Q$11:$Q$1010,$B665)))</f>
        <v/>
      </c>
      <c r="G665" s="43">
        <f>IF($B665="","",IF(INDEX('Work Orders'!$V$11:$V$1010,$B665)="","",INDEX('Work Orders'!$V$11:$V$1010,$B665)))</f>
        <v/>
      </c>
      <c r="H665" s="47">
        <f>IF($B665="","",IF(INDEX('Work Orders'!$U$11:$U$1010,$B665)="","",INDEX('Work Orders'!$U$11:$U$1010,$B665)))</f>
        <v/>
      </c>
      <c r="I665" s="47">
        <f>IF($B665="","",IF(INDEX('Work Orders'!$X$11:$X$1010,$B665)="","",INDEX('Work Orders'!$X$11:$X$1010,$B665)))</f>
        <v/>
      </c>
      <c r="J665" s="44">
        <f>IF($B665="","",IF(INDEX('Work Orders'!$Z$11:$Z$1010,$B665)="","",INDEX('Work Orders'!$Z$11:$Z$1010,$B665)))</f>
        <v/>
      </c>
      <c r="K665" s="44">
        <f>IF($B665="","",IF(INDEX('Work Orders'!$AG$11:$AG$1010,$B665)="","",INDEX('Work Orders'!$AG$11:$AG$1010,$B665)))</f>
        <v/>
      </c>
      <c r="L665" s="44">
        <f>IF($B665="","",IF(INDEX('Work Orders'!$AH$11:$AH$1010,$B665)="","",INDEX('Work Orders'!$AH$11:$AH$1010,$B665)))</f>
        <v/>
      </c>
      <c r="M665" s="46">
        <f>IF($B665="","",IF(INDEX('Work Orders'!$AM$11:$AM$1010,$B665)="","",INDEX('Work Orders'!$AM$11:$AM$1010,$B665)))</f>
        <v/>
      </c>
      <c r="N665" s="43">
        <f>IF($B665="","",IF(INDEX('Work Orders'!$AL$11:$AL$1010,$B665)="","",INDEX('Work Orders'!$AL$11:$AL$1010,$B665)))</f>
        <v/>
      </c>
      <c r="O665" s="43">
        <f>IF($B665="","",IF(INDEX('Work Orders'!$N$11:$N$1010,$B665)="","",INDEX('Work Orders'!$N$11:$N$1010,$B665)))</f>
        <v/>
      </c>
    </row>
    <row r="666">
      <c r="A666" s="68" t="n">
        <v>660</v>
      </c>
      <c r="B666">
        <f>IFERROR(MATCH(A666,'Work Orders'!$AO$11:$AO$1010,0),"")</f>
        <v/>
      </c>
      <c r="C666" s="43">
        <f>IF($B666="","",IF(INDEX('Work Orders'!$A$11:$A$1010,$B666)="","",INDEX('Work Orders'!$A$11:$A$1010,$B666)))</f>
        <v/>
      </c>
      <c r="D666" s="43">
        <f>IF($B666="","",IF(INDEX('Work Orders'!$B$11:$B$1010,$B666)="","",INDEX('Work Orders'!$B$11:$B$1010,$B666)))</f>
        <v/>
      </c>
      <c r="E666" s="43">
        <f>IF($B666="","",IF(INDEX('Work Orders'!$D$11:$D$1010,$B666)="","",INDEX('Work Orders'!$D$11:$D$1010,$B666)))</f>
        <v/>
      </c>
      <c r="F666" s="43">
        <f>IF($B666="","",IF(INDEX('Work Orders'!$Q$11:$Q$1010,$B666)="","",INDEX('Work Orders'!$Q$11:$Q$1010,$B666)))</f>
        <v/>
      </c>
      <c r="G666" s="43">
        <f>IF($B666="","",IF(INDEX('Work Orders'!$V$11:$V$1010,$B666)="","",INDEX('Work Orders'!$V$11:$V$1010,$B666)))</f>
        <v/>
      </c>
      <c r="H666" s="47">
        <f>IF($B666="","",IF(INDEX('Work Orders'!$U$11:$U$1010,$B666)="","",INDEX('Work Orders'!$U$11:$U$1010,$B666)))</f>
        <v/>
      </c>
      <c r="I666" s="47">
        <f>IF($B666="","",IF(INDEX('Work Orders'!$X$11:$X$1010,$B666)="","",INDEX('Work Orders'!$X$11:$X$1010,$B666)))</f>
        <v/>
      </c>
      <c r="J666" s="44">
        <f>IF($B666="","",IF(INDEX('Work Orders'!$Z$11:$Z$1010,$B666)="","",INDEX('Work Orders'!$Z$11:$Z$1010,$B666)))</f>
        <v/>
      </c>
      <c r="K666" s="44">
        <f>IF($B666="","",IF(INDEX('Work Orders'!$AG$11:$AG$1010,$B666)="","",INDEX('Work Orders'!$AG$11:$AG$1010,$B666)))</f>
        <v/>
      </c>
      <c r="L666" s="44">
        <f>IF($B666="","",IF(INDEX('Work Orders'!$AH$11:$AH$1010,$B666)="","",INDEX('Work Orders'!$AH$11:$AH$1010,$B666)))</f>
        <v/>
      </c>
      <c r="M666" s="46">
        <f>IF($B666="","",IF(INDEX('Work Orders'!$AM$11:$AM$1010,$B666)="","",INDEX('Work Orders'!$AM$11:$AM$1010,$B666)))</f>
        <v/>
      </c>
      <c r="N666" s="43">
        <f>IF($B666="","",IF(INDEX('Work Orders'!$AL$11:$AL$1010,$B666)="","",INDEX('Work Orders'!$AL$11:$AL$1010,$B666)))</f>
        <v/>
      </c>
      <c r="O666" s="43">
        <f>IF($B666="","",IF(INDEX('Work Orders'!$N$11:$N$1010,$B666)="","",INDEX('Work Orders'!$N$11:$N$1010,$B666)))</f>
        <v/>
      </c>
    </row>
    <row r="667">
      <c r="A667" s="68" t="n">
        <v>661</v>
      </c>
      <c r="B667">
        <f>IFERROR(MATCH(A667,'Work Orders'!$AO$11:$AO$1010,0),"")</f>
        <v/>
      </c>
      <c r="C667" s="43">
        <f>IF($B667="","",IF(INDEX('Work Orders'!$A$11:$A$1010,$B667)="","",INDEX('Work Orders'!$A$11:$A$1010,$B667)))</f>
        <v/>
      </c>
      <c r="D667" s="43">
        <f>IF($B667="","",IF(INDEX('Work Orders'!$B$11:$B$1010,$B667)="","",INDEX('Work Orders'!$B$11:$B$1010,$B667)))</f>
        <v/>
      </c>
      <c r="E667" s="43">
        <f>IF($B667="","",IF(INDEX('Work Orders'!$D$11:$D$1010,$B667)="","",INDEX('Work Orders'!$D$11:$D$1010,$B667)))</f>
        <v/>
      </c>
      <c r="F667" s="43">
        <f>IF($B667="","",IF(INDEX('Work Orders'!$Q$11:$Q$1010,$B667)="","",INDEX('Work Orders'!$Q$11:$Q$1010,$B667)))</f>
        <v/>
      </c>
      <c r="G667" s="43">
        <f>IF($B667="","",IF(INDEX('Work Orders'!$V$11:$V$1010,$B667)="","",INDEX('Work Orders'!$V$11:$V$1010,$B667)))</f>
        <v/>
      </c>
      <c r="H667" s="47">
        <f>IF($B667="","",IF(INDEX('Work Orders'!$U$11:$U$1010,$B667)="","",INDEX('Work Orders'!$U$11:$U$1010,$B667)))</f>
        <v/>
      </c>
      <c r="I667" s="47">
        <f>IF($B667="","",IF(INDEX('Work Orders'!$X$11:$X$1010,$B667)="","",INDEX('Work Orders'!$X$11:$X$1010,$B667)))</f>
        <v/>
      </c>
      <c r="J667" s="44">
        <f>IF($B667="","",IF(INDEX('Work Orders'!$Z$11:$Z$1010,$B667)="","",INDEX('Work Orders'!$Z$11:$Z$1010,$B667)))</f>
        <v/>
      </c>
      <c r="K667" s="44">
        <f>IF($B667="","",IF(INDEX('Work Orders'!$AG$11:$AG$1010,$B667)="","",INDEX('Work Orders'!$AG$11:$AG$1010,$B667)))</f>
        <v/>
      </c>
      <c r="L667" s="44">
        <f>IF($B667="","",IF(INDEX('Work Orders'!$AH$11:$AH$1010,$B667)="","",INDEX('Work Orders'!$AH$11:$AH$1010,$B667)))</f>
        <v/>
      </c>
      <c r="M667" s="46">
        <f>IF($B667="","",IF(INDEX('Work Orders'!$AM$11:$AM$1010,$B667)="","",INDEX('Work Orders'!$AM$11:$AM$1010,$B667)))</f>
        <v/>
      </c>
      <c r="N667" s="43">
        <f>IF($B667="","",IF(INDEX('Work Orders'!$AL$11:$AL$1010,$B667)="","",INDEX('Work Orders'!$AL$11:$AL$1010,$B667)))</f>
        <v/>
      </c>
      <c r="O667" s="43">
        <f>IF($B667="","",IF(INDEX('Work Orders'!$N$11:$N$1010,$B667)="","",INDEX('Work Orders'!$N$11:$N$1010,$B667)))</f>
        <v/>
      </c>
    </row>
    <row r="668">
      <c r="A668" s="68" t="n">
        <v>662</v>
      </c>
      <c r="B668">
        <f>IFERROR(MATCH(A668,'Work Orders'!$AO$11:$AO$1010,0),"")</f>
        <v/>
      </c>
      <c r="C668" s="43">
        <f>IF($B668="","",IF(INDEX('Work Orders'!$A$11:$A$1010,$B668)="","",INDEX('Work Orders'!$A$11:$A$1010,$B668)))</f>
        <v/>
      </c>
      <c r="D668" s="43">
        <f>IF($B668="","",IF(INDEX('Work Orders'!$B$11:$B$1010,$B668)="","",INDEX('Work Orders'!$B$11:$B$1010,$B668)))</f>
        <v/>
      </c>
      <c r="E668" s="43">
        <f>IF($B668="","",IF(INDEX('Work Orders'!$D$11:$D$1010,$B668)="","",INDEX('Work Orders'!$D$11:$D$1010,$B668)))</f>
        <v/>
      </c>
      <c r="F668" s="43">
        <f>IF($B668="","",IF(INDEX('Work Orders'!$Q$11:$Q$1010,$B668)="","",INDEX('Work Orders'!$Q$11:$Q$1010,$B668)))</f>
        <v/>
      </c>
      <c r="G668" s="43">
        <f>IF($B668="","",IF(INDEX('Work Orders'!$V$11:$V$1010,$B668)="","",INDEX('Work Orders'!$V$11:$V$1010,$B668)))</f>
        <v/>
      </c>
      <c r="H668" s="47">
        <f>IF($B668="","",IF(INDEX('Work Orders'!$U$11:$U$1010,$B668)="","",INDEX('Work Orders'!$U$11:$U$1010,$B668)))</f>
        <v/>
      </c>
      <c r="I668" s="47">
        <f>IF($B668="","",IF(INDEX('Work Orders'!$X$11:$X$1010,$B668)="","",INDEX('Work Orders'!$X$11:$X$1010,$B668)))</f>
        <v/>
      </c>
      <c r="J668" s="44">
        <f>IF($B668="","",IF(INDEX('Work Orders'!$Z$11:$Z$1010,$B668)="","",INDEX('Work Orders'!$Z$11:$Z$1010,$B668)))</f>
        <v/>
      </c>
      <c r="K668" s="44">
        <f>IF($B668="","",IF(INDEX('Work Orders'!$AG$11:$AG$1010,$B668)="","",INDEX('Work Orders'!$AG$11:$AG$1010,$B668)))</f>
        <v/>
      </c>
      <c r="L668" s="44">
        <f>IF($B668="","",IF(INDEX('Work Orders'!$AH$11:$AH$1010,$B668)="","",INDEX('Work Orders'!$AH$11:$AH$1010,$B668)))</f>
        <v/>
      </c>
      <c r="M668" s="46">
        <f>IF($B668="","",IF(INDEX('Work Orders'!$AM$11:$AM$1010,$B668)="","",INDEX('Work Orders'!$AM$11:$AM$1010,$B668)))</f>
        <v/>
      </c>
      <c r="N668" s="43">
        <f>IF($B668="","",IF(INDEX('Work Orders'!$AL$11:$AL$1010,$B668)="","",INDEX('Work Orders'!$AL$11:$AL$1010,$B668)))</f>
        <v/>
      </c>
      <c r="O668" s="43">
        <f>IF($B668="","",IF(INDEX('Work Orders'!$N$11:$N$1010,$B668)="","",INDEX('Work Orders'!$N$11:$N$1010,$B668)))</f>
        <v/>
      </c>
    </row>
    <row r="669">
      <c r="A669" s="68" t="n">
        <v>663</v>
      </c>
      <c r="B669">
        <f>IFERROR(MATCH(A669,'Work Orders'!$AO$11:$AO$1010,0),"")</f>
        <v/>
      </c>
      <c r="C669" s="43">
        <f>IF($B669="","",IF(INDEX('Work Orders'!$A$11:$A$1010,$B669)="","",INDEX('Work Orders'!$A$11:$A$1010,$B669)))</f>
        <v/>
      </c>
      <c r="D669" s="43">
        <f>IF($B669="","",IF(INDEX('Work Orders'!$B$11:$B$1010,$B669)="","",INDEX('Work Orders'!$B$11:$B$1010,$B669)))</f>
        <v/>
      </c>
      <c r="E669" s="43">
        <f>IF($B669="","",IF(INDEX('Work Orders'!$D$11:$D$1010,$B669)="","",INDEX('Work Orders'!$D$11:$D$1010,$B669)))</f>
        <v/>
      </c>
      <c r="F669" s="43">
        <f>IF($B669="","",IF(INDEX('Work Orders'!$Q$11:$Q$1010,$B669)="","",INDEX('Work Orders'!$Q$11:$Q$1010,$B669)))</f>
        <v/>
      </c>
      <c r="G669" s="43">
        <f>IF($B669="","",IF(INDEX('Work Orders'!$V$11:$V$1010,$B669)="","",INDEX('Work Orders'!$V$11:$V$1010,$B669)))</f>
        <v/>
      </c>
      <c r="H669" s="47">
        <f>IF($B669="","",IF(INDEX('Work Orders'!$U$11:$U$1010,$B669)="","",INDEX('Work Orders'!$U$11:$U$1010,$B669)))</f>
        <v/>
      </c>
      <c r="I669" s="47">
        <f>IF($B669="","",IF(INDEX('Work Orders'!$X$11:$X$1010,$B669)="","",INDEX('Work Orders'!$X$11:$X$1010,$B669)))</f>
        <v/>
      </c>
      <c r="J669" s="44">
        <f>IF($B669="","",IF(INDEX('Work Orders'!$Z$11:$Z$1010,$B669)="","",INDEX('Work Orders'!$Z$11:$Z$1010,$B669)))</f>
        <v/>
      </c>
      <c r="K669" s="44">
        <f>IF($B669="","",IF(INDEX('Work Orders'!$AG$11:$AG$1010,$B669)="","",INDEX('Work Orders'!$AG$11:$AG$1010,$B669)))</f>
        <v/>
      </c>
      <c r="L669" s="44">
        <f>IF($B669="","",IF(INDEX('Work Orders'!$AH$11:$AH$1010,$B669)="","",INDEX('Work Orders'!$AH$11:$AH$1010,$B669)))</f>
        <v/>
      </c>
      <c r="M669" s="46">
        <f>IF($B669="","",IF(INDEX('Work Orders'!$AM$11:$AM$1010,$B669)="","",INDEX('Work Orders'!$AM$11:$AM$1010,$B669)))</f>
        <v/>
      </c>
      <c r="N669" s="43">
        <f>IF($B669="","",IF(INDEX('Work Orders'!$AL$11:$AL$1010,$B669)="","",INDEX('Work Orders'!$AL$11:$AL$1010,$B669)))</f>
        <v/>
      </c>
      <c r="O669" s="43">
        <f>IF($B669="","",IF(INDEX('Work Orders'!$N$11:$N$1010,$B669)="","",INDEX('Work Orders'!$N$11:$N$1010,$B669)))</f>
        <v/>
      </c>
    </row>
    <row r="670">
      <c r="A670" s="68" t="n">
        <v>664</v>
      </c>
      <c r="B670">
        <f>IFERROR(MATCH(A670,'Work Orders'!$AO$11:$AO$1010,0),"")</f>
        <v/>
      </c>
      <c r="C670" s="43">
        <f>IF($B670="","",IF(INDEX('Work Orders'!$A$11:$A$1010,$B670)="","",INDEX('Work Orders'!$A$11:$A$1010,$B670)))</f>
        <v/>
      </c>
      <c r="D670" s="43">
        <f>IF($B670="","",IF(INDEX('Work Orders'!$B$11:$B$1010,$B670)="","",INDEX('Work Orders'!$B$11:$B$1010,$B670)))</f>
        <v/>
      </c>
      <c r="E670" s="43">
        <f>IF($B670="","",IF(INDEX('Work Orders'!$D$11:$D$1010,$B670)="","",INDEX('Work Orders'!$D$11:$D$1010,$B670)))</f>
        <v/>
      </c>
      <c r="F670" s="43">
        <f>IF($B670="","",IF(INDEX('Work Orders'!$Q$11:$Q$1010,$B670)="","",INDEX('Work Orders'!$Q$11:$Q$1010,$B670)))</f>
        <v/>
      </c>
      <c r="G670" s="43">
        <f>IF($B670="","",IF(INDEX('Work Orders'!$V$11:$V$1010,$B670)="","",INDEX('Work Orders'!$V$11:$V$1010,$B670)))</f>
        <v/>
      </c>
      <c r="H670" s="47">
        <f>IF($B670="","",IF(INDEX('Work Orders'!$U$11:$U$1010,$B670)="","",INDEX('Work Orders'!$U$11:$U$1010,$B670)))</f>
        <v/>
      </c>
      <c r="I670" s="47">
        <f>IF($B670="","",IF(INDEX('Work Orders'!$X$11:$X$1010,$B670)="","",INDEX('Work Orders'!$X$11:$X$1010,$B670)))</f>
        <v/>
      </c>
      <c r="J670" s="44">
        <f>IF($B670="","",IF(INDEX('Work Orders'!$Z$11:$Z$1010,$B670)="","",INDEX('Work Orders'!$Z$11:$Z$1010,$B670)))</f>
        <v/>
      </c>
      <c r="K670" s="44">
        <f>IF($B670="","",IF(INDEX('Work Orders'!$AG$11:$AG$1010,$B670)="","",INDEX('Work Orders'!$AG$11:$AG$1010,$B670)))</f>
        <v/>
      </c>
      <c r="L670" s="44">
        <f>IF($B670="","",IF(INDEX('Work Orders'!$AH$11:$AH$1010,$B670)="","",INDEX('Work Orders'!$AH$11:$AH$1010,$B670)))</f>
        <v/>
      </c>
      <c r="M670" s="46">
        <f>IF($B670="","",IF(INDEX('Work Orders'!$AM$11:$AM$1010,$B670)="","",INDEX('Work Orders'!$AM$11:$AM$1010,$B670)))</f>
        <v/>
      </c>
      <c r="N670" s="43">
        <f>IF($B670="","",IF(INDEX('Work Orders'!$AL$11:$AL$1010,$B670)="","",INDEX('Work Orders'!$AL$11:$AL$1010,$B670)))</f>
        <v/>
      </c>
      <c r="O670" s="43">
        <f>IF($B670="","",IF(INDEX('Work Orders'!$N$11:$N$1010,$B670)="","",INDEX('Work Orders'!$N$11:$N$1010,$B670)))</f>
        <v/>
      </c>
    </row>
    <row r="671">
      <c r="A671" s="68" t="n">
        <v>665</v>
      </c>
      <c r="B671">
        <f>IFERROR(MATCH(A671,'Work Orders'!$AO$11:$AO$1010,0),"")</f>
        <v/>
      </c>
      <c r="C671" s="43">
        <f>IF($B671="","",IF(INDEX('Work Orders'!$A$11:$A$1010,$B671)="","",INDEX('Work Orders'!$A$11:$A$1010,$B671)))</f>
        <v/>
      </c>
      <c r="D671" s="43">
        <f>IF($B671="","",IF(INDEX('Work Orders'!$B$11:$B$1010,$B671)="","",INDEX('Work Orders'!$B$11:$B$1010,$B671)))</f>
        <v/>
      </c>
      <c r="E671" s="43">
        <f>IF($B671="","",IF(INDEX('Work Orders'!$D$11:$D$1010,$B671)="","",INDEX('Work Orders'!$D$11:$D$1010,$B671)))</f>
        <v/>
      </c>
      <c r="F671" s="43">
        <f>IF($B671="","",IF(INDEX('Work Orders'!$Q$11:$Q$1010,$B671)="","",INDEX('Work Orders'!$Q$11:$Q$1010,$B671)))</f>
        <v/>
      </c>
      <c r="G671" s="43">
        <f>IF($B671="","",IF(INDEX('Work Orders'!$V$11:$V$1010,$B671)="","",INDEX('Work Orders'!$V$11:$V$1010,$B671)))</f>
        <v/>
      </c>
      <c r="H671" s="47">
        <f>IF($B671="","",IF(INDEX('Work Orders'!$U$11:$U$1010,$B671)="","",INDEX('Work Orders'!$U$11:$U$1010,$B671)))</f>
        <v/>
      </c>
      <c r="I671" s="47">
        <f>IF($B671="","",IF(INDEX('Work Orders'!$X$11:$X$1010,$B671)="","",INDEX('Work Orders'!$X$11:$X$1010,$B671)))</f>
        <v/>
      </c>
      <c r="J671" s="44">
        <f>IF($B671="","",IF(INDEX('Work Orders'!$Z$11:$Z$1010,$B671)="","",INDEX('Work Orders'!$Z$11:$Z$1010,$B671)))</f>
        <v/>
      </c>
      <c r="K671" s="44">
        <f>IF($B671="","",IF(INDEX('Work Orders'!$AG$11:$AG$1010,$B671)="","",INDEX('Work Orders'!$AG$11:$AG$1010,$B671)))</f>
        <v/>
      </c>
      <c r="L671" s="44">
        <f>IF($B671="","",IF(INDEX('Work Orders'!$AH$11:$AH$1010,$B671)="","",INDEX('Work Orders'!$AH$11:$AH$1010,$B671)))</f>
        <v/>
      </c>
      <c r="M671" s="46">
        <f>IF($B671="","",IF(INDEX('Work Orders'!$AM$11:$AM$1010,$B671)="","",INDEX('Work Orders'!$AM$11:$AM$1010,$B671)))</f>
        <v/>
      </c>
      <c r="N671" s="43">
        <f>IF($B671="","",IF(INDEX('Work Orders'!$AL$11:$AL$1010,$B671)="","",INDEX('Work Orders'!$AL$11:$AL$1010,$B671)))</f>
        <v/>
      </c>
      <c r="O671" s="43">
        <f>IF($B671="","",IF(INDEX('Work Orders'!$N$11:$N$1010,$B671)="","",INDEX('Work Orders'!$N$11:$N$1010,$B671)))</f>
        <v/>
      </c>
    </row>
    <row r="672">
      <c r="A672" s="68" t="n">
        <v>666</v>
      </c>
      <c r="B672">
        <f>IFERROR(MATCH(A672,'Work Orders'!$AO$11:$AO$1010,0),"")</f>
        <v/>
      </c>
      <c r="C672" s="43">
        <f>IF($B672="","",IF(INDEX('Work Orders'!$A$11:$A$1010,$B672)="","",INDEX('Work Orders'!$A$11:$A$1010,$B672)))</f>
        <v/>
      </c>
      <c r="D672" s="43">
        <f>IF($B672="","",IF(INDEX('Work Orders'!$B$11:$B$1010,$B672)="","",INDEX('Work Orders'!$B$11:$B$1010,$B672)))</f>
        <v/>
      </c>
      <c r="E672" s="43">
        <f>IF($B672="","",IF(INDEX('Work Orders'!$D$11:$D$1010,$B672)="","",INDEX('Work Orders'!$D$11:$D$1010,$B672)))</f>
        <v/>
      </c>
      <c r="F672" s="43">
        <f>IF($B672="","",IF(INDEX('Work Orders'!$Q$11:$Q$1010,$B672)="","",INDEX('Work Orders'!$Q$11:$Q$1010,$B672)))</f>
        <v/>
      </c>
      <c r="G672" s="43">
        <f>IF($B672="","",IF(INDEX('Work Orders'!$V$11:$V$1010,$B672)="","",INDEX('Work Orders'!$V$11:$V$1010,$B672)))</f>
        <v/>
      </c>
      <c r="H672" s="47">
        <f>IF($B672="","",IF(INDEX('Work Orders'!$U$11:$U$1010,$B672)="","",INDEX('Work Orders'!$U$11:$U$1010,$B672)))</f>
        <v/>
      </c>
      <c r="I672" s="47">
        <f>IF($B672="","",IF(INDEX('Work Orders'!$X$11:$X$1010,$B672)="","",INDEX('Work Orders'!$X$11:$X$1010,$B672)))</f>
        <v/>
      </c>
      <c r="J672" s="44">
        <f>IF($B672="","",IF(INDEX('Work Orders'!$Z$11:$Z$1010,$B672)="","",INDEX('Work Orders'!$Z$11:$Z$1010,$B672)))</f>
        <v/>
      </c>
      <c r="K672" s="44">
        <f>IF($B672="","",IF(INDEX('Work Orders'!$AG$11:$AG$1010,$B672)="","",INDEX('Work Orders'!$AG$11:$AG$1010,$B672)))</f>
        <v/>
      </c>
      <c r="L672" s="44">
        <f>IF($B672="","",IF(INDEX('Work Orders'!$AH$11:$AH$1010,$B672)="","",INDEX('Work Orders'!$AH$11:$AH$1010,$B672)))</f>
        <v/>
      </c>
      <c r="M672" s="46">
        <f>IF($B672="","",IF(INDEX('Work Orders'!$AM$11:$AM$1010,$B672)="","",INDEX('Work Orders'!$AM$11:$AM$1010,$B672)))</f>
        <v/>
      </c>
      <c r="N672" s="43">
        <f>IF($B672="","",IF(INDEX('Work Orders'!$AL$11:$AL$1010,$B672)="","",INDEX('Work Orders'!$AL$11:$AL$1010,$B672)))</f>
        <v/>
      </c>
      <c r="O672" s="43">
        <f>IF($B672="","",IF(INDEX('Work Orders'!$N$11:$N$1010,$B672)="","",INDEX('Work Orders'!$N$11:$N$1010,$B672)))</f>
        <v/>
      </c>
    </row>
    <row r="673">
      <c r="A673" s="68" t="n">
        <v>667</v>
      </c>
      <c r="B673">
        <f>IFERROR(MATCH(A673,'Work Orders'!$AO$11:$AO$1010,0),"")</f>
        <v/>
      </c>
      <c r="C673" s="43">
        <f>IF($B673="","",IF(INDEX('Work Orders'!$A$11:$A$1010,$B673)="","",INDEX('Work Orders'!$A$11:$A$1010,$B673)))</f>
        <v/>
      </c>
      <c r="D673" s="43">
        <f>IF($B673="","",IF(INDEX('Work Orders'!$B$11:$B$1010,$B673)="","",INDEX('Work Orders'!$B$11:$B$1010,$B673)))</f>
        <v/>
      </c>
      <c r="E673" s="43">
        <f>IF($B673="","",IF(INDEX('Work Orders'!$D$11:$D$1010,$B673)="","",INDEX('Work Orders'!$D$11:$D$1010,$B673)))</f>
        <v/>
      </c>
      <c r="F673" s="43">
        <f>IF($B673="","",IF(INDEX('Work Orders'!$Q$11:$Q$1010,$B673)="","",INDEX('Work Orders'!$Q$11:$Q$1010,$B673)))</f>
        <v/>
      </c>
      <c r="G673" s="43">
        <f>IF($B673="","",IF(INDEX('Work Orders'!$V$11:$V$1010,$B673)="","",INDEX('Work Orders'!$V$11:$V$1010,$B673)))</f>
        <v/>
      </c>
      <c r="H673" s="47">
        <f>IF($B673="","",IF(INDEX('Work Orders'!$U$11:$U$1010,$B673)="","",INDEX('Work Orders'!$U$11:$U$1010,$B673)))</f>
        <v/>
      </c>
      <c r="I673" s="47">
        <f>IF($B673="","",IF(INDEX('Work Orders'!$X$11:$X$1010,$B673)="","",INDEX('Work Orders'!$X$11:$X$1010,$B673)))</f>
        <v/>
      </c>
      <c r="J673" s="44">
        <f>IF($B673="","",IF(INDEX('Work Orders'!$Z$11:$Z$1010,$B673)="","",INDEX('Work Orders'!$Z$11:$Z$1010,$B673)))</f>
        <v/>
      </c>
      <c r="K673" s="44">
        <f>IF($B673="","",IF(INDEX('Work Orders'!$AG$11:$AG$1010,$B673)="","",INDEX('Work Orders'!$AG$11:$AG$1010,$B673)))</f>
        <v/>
      </c>
      <c r="L673" s="44">
        <f>IF($B673="","",IF(INDEX('Work Orders'!$AH$11:$AH$1010,$B673)="","",INDEX('Work Orders'!$AH$11:$AH$1010,$B673)))</f>
        <v/>
      </c>
      <c r="M673" s="46">
        <f>IF($B673="","",IF(INDEX('Work Orders'!$AM$11:$AM$1010,$B673)="","",INDEX('Work Orders'!$AM$11:$AM$1010,$B673)))</f>
        <v/>
      </c>
      <c r="N673" s="43">
        <f>IF($B673="","",IF(INDEX('Work Orders'!$AL$11:$AL$1010,$B673)="","",INDEX('Work Orders'!$AL$11:$AL$1010,$B673)))</f>
        <v/>
      </c>
      <c r="O673" s="43">
        <f>IF($B673="","",IF(INDEX('Work Orders'!$N$11:$N$1010,$B673)="","",INDEX('Work Orders'!$N$11:$N$1010,$B673)))</f>
        <v/>
      </c>
    </row>
    <row r="674">
      <c r="A674" s="68" t="n">
        <v>668</v>
      </c>
      <c r="B674">
        <f>IFERROR(MATCH(A674,'Work Orders'!$AO$11:$AO$1010,0),"")</f>
        <v/>
      </c>
      <c r="C674" s="43">
        <f>IF($B674="","",IF(INDEX('Work Orders'!$A$11:$A$1010,$B674)="","",INDEX('Work Orders'!$A$11:$A$1010,$B674)))</f>
        <v/>
      </c>
      <c r="D674" s="43">
        <f>IF($B674="","",IF(INDEX('Work Orders'!$B$11:$B$1010,$B674)="","",INDEX('Work Orders'!$B$11:$B$1010,$B674)))</f>
        <v/>
      </c>
      <c r="E674" s="43">
        <f>IF($B674="","",IF(INDEX('Work Orders'!$D$11:$D$1010,$B674)="","",INDEX('Work Orders'!$D$11:$D$1010,$B674)))</f>
        <v/>
      </c>
      <c r="F674" s="43">
        <f>IF($B674="","",IF(INDEX('Work Orders'!$Q$11:$Q$1010,$B674)="","",INDEX('Work Orders'!$Q$11:$Q$1010,$B674)))</f>
        <v/>
      </c>
      <c r="G674" s="43">
        <f>IF($B674="","",IF(INDEX('Work Orders'!$V$11:$V$1010,$B674)="","",INDEX('Work Orders'!$V$11:$V$1010,$B674)))</f>
        <v/>
      </c>
      <c r="H674" s="47">
        <f>IF($B674="","",IF(INDEX('Work Orders'!$U$11:$U$1010,$B674)="","",INDEX('Work Orders'!$U$11:$U$1010,$B674)))</f>
        <v/>
      </c>
      <c r="I674" s="47">
        <f>IF($B674="","",IF(INDEX('Work Orders'!$X$11:$X$1010,$B674)="","",INDEX('Work Orders'!$X$11:$X$1010,$B674)))</f>
        <v/>
      </c>
      <c r="J674" s="44">
        <f>IF($B674="","",IF(INDEX('Work Orders'!$Z$11:$Z$1010,$B674)="","",INDEX('Work Orders'!$Z$11:$Z$1010,$B674)))</f>
        <v/>
      </c>
      <c r="K674" s="44">
        <f>IF($B674="","",IF(INDEX('Work Orders'!$AG$11:$AG$1010,$B674)="","",INDEX('Work Orders'!$AG$11:$AG$1010,$B674)))</f>
        <v/>
      </c>
      <c r="L674" s="44">
        <f>IF($B674="","",IF(INDEX('Work Orders'!$AH$11:$AH$1010,$B674)="","",INDEX('Work Orders'!$AH$11:$AH$1010,$B674)))</f>
        <v/>
      </c>
      <c r="M674" s="46">
        <f>IF($B674="","",IF(INDEX('Work Orders'!$AM$11:$AM$1010,$B674)="","",INDEX('Work Orders'!$AM$11:$AM$1010,$B674)))</f>
        <v/>
      </c>
      <c r="N674" s="43">
        <f>IF($B674="","",IF(INDEX('Work Orders'!$AL$11:$AL$1010,$B674)="","",INDEX('Work Orders'!$AL$11:$AL$1010,$B674)))</f>
        <v/>
      </c>
      <c r="O674" s="43">
        <f>IF($B674="","",IF(INDEX('Work Orders'!$N$11:$N$1010,$B674)="","",INDEX('Work Orders'!$N$11:$N$1010,$B674)))</f>
        <v/>
      </c>
    </row>
    <row r="675">
      <c r="A675" s="68" t="n">
        <v>669</v>
      </c>
      <c r="B675">
        <f>IFERROR(MATCH(A675,'Work Orders'!$AO$11:$AO$1010,0),"")</f>
        <v/>
      </c>
      <c r="C675" s="43">
        <f>IF($B675="","",IF(INDEX('Work Orders'!$A$11:$A$1010,$B675)="","",INDEX('Work Orders'!$A$11:$A$1010,$B675)))</f>
        <v/>
      </c>
      <c r="D675" s="43">
        <f>IF($B675="","",IF(INDEX('Work Orders'!$B$11:$B$1010,$B675)="","",INDEX('Work Orders'!$B$11:$B$1010,$B675)))</f>
        <v/>
      </c>
      <c r="E675" s="43">
        <f>IF($B675="","",IF(INDEX('Work Orders'!$D$11:$D$1010,$B675)="","",INDEX('Work Orders'!$D$11:$D$1010,$B675)))</f>
        <v/>
      </c>
      <c r="F675" s="43">
        <f>IF($B675="","",IF(INDEX('Work Orders'!$Q$11:$Q$1010,$B675)="","",INDEX('Work Orders'!$Q$11:$Q$1010,$B675)))</f>
        <v/>
      </c>
      <c r="G675" s="43">
        <f>IF($B675="","",IF(INDEX('Work Orders'!$V$11:$V$1010,$B675)="","",INDEX('Work Orders'!$V$11:$V$1010,$B675)))</f>
        <v/>
      </c>
      <c r="H675" s="47">
        <f>IF($B675="","",IF(INDEX('Work Orders'!$U$11:$U$1010,$B675)="","",INDEX('Work Orders'!$U$11:$U$1010,$B675)))</f>
        <v/>
      </c>
      <c r="I675" s="47">
        <f>IF($B675="","",IF(INDEX('Work Orders'!$X$11:$X$1010,$B675)="","",INDEX('Work Orders'!$X$11:$X$1010,$B675)))</f>
        <v/>
      </c>
      <c r="J675" s="44">
        <f>IF($B675="","",IF(INDEX('Work Orders'!$Z$11:$Z$1010,$B675)="","",INDEX('Work Orders'!$Z$11:$Z$1010,$B675)))</f>
        <v/>
      </c>
      <c r="K675" s="44">
        <f>IF($B675="","",IF(INDEX('Work Orders'!$AG$11:$AG$1010,$B675)="","",INDEX('Work Orders'!$AG$11:$AG$1010,$B675)))</f>
        <v/>
      </c>
      <c r="L675" s="44">
        <f>IF($B675="","",IF(INDEX('Work Orders'!$AH$11:$AH$1010,$B675)="","",INDEX('Work Orders'!$AH$11:$AH$1010,$B675)))</f>
        <v/>
      </c>
      <c r="M675" s="46">
        <f>IF($B675="","",IF(INDEX('Work Orders'!$AM$11:$AM$1010,$B675)="","",INDEX('Work Orders'!$AM$11:$AM$1010,$B675)))</f>
        <v/>
      </c>
      <c r="N675" s="43">
        <f>IF($B675="","",IF(INDEX('Work Orders'!$AL$11:$AL$1010,$B675)="","",INDEX('Work Orders'!$AL$11:$AL$1010,$B675)))</f>
        <v/>
      </c>
      <c r="O675" s="43">
        <f>IF($B675="","",IF(INDEX('Work Orders'!$N$11:$N$1010,$B675)="","",INDEX('Work Orders'!$N$11:$N$1010,$B675)))</f>
        <v/>
      </c>
    </row>
    <row r="676">
      <c r="A676" s="68" t="n">
        <v>670</v>
      </c>
      <c r="B676">
        <f>IFERROR(MATCH(A676,'Work Orders'!$AO$11:$AO$1010,0),"")</f>
        <v/>
      </c>
      <c r="C676" s="43">
        <f>IF($B676="","",IF(INDEX('Work Orders'!$A$11:$A$1010,$B676)="","",INDEX('Work Orders'!$A$11:$A$1010,$B676)))</f>
        <v/>
      </c>
      <c r="D676" s="43">
        <f>IF($B676="","",IF(INDEX('Work Orders'!$B$11:$B$1010,$B676)="","",INDEX('Work Orders'!$B$11:$B$1010,$B676)))</f>
        <v/>
      </c>
      <c r="E676" s="43">
        <f>IF($B676="","",IF(INDEX('Work Orders'!$D$11:$D$1010,$B676)="","",INDEX('Work Orders'!$D$11:$D$1010,$B676)))</f>
        <v/>
      </c>
      <c r="F676" s="43">
        <f>IF($B676="","",IF(INDEX('Work Orders'!$Q$11:$Q$1010,$B676)="","",INDEX('Work Orders'!$Q$11:$Q$1010,$B676)))</f>
        <v/>
      </c>
      <c r="G676" s="43">
        <f>IF($B676="","",IF(INDEX('Work Orders'!$V$11:$V$1010,$B676)="","",INDEX('Work Orders'!$V$11:$V$1010,$B676)))</f>
        <v/>
      </c>
      <c r="H676" s="47">
        <f>IF($B676="","",IF(INDEX('Work Orders'!$U$11:$U$1010,$B676)="","",INDEX('Work Orders'!$U$11:$U$1010,$B676)))</f>
        <v/>
      </c>
      <c r="I676" s="47">
        <f>IF($B676="","",IF(INDEX('Work Orders'!$X$11:$X$1010,$B676)="","",INDEX('Work Orders'!$X$11:$X$1010,$B676)))</f>
        <v/>
      </c>
      <c r="J676" s="44">
        <f>IF($B676="","",IF(INDEX('Work Orders'!$Z$11:$Z$1010,$B676)="","",INDEX('Work Orders'!$Z$11:$Z$1010,$B676)))</f>
        <v/>
      </c>
      <c r="K676" s="44">
        <f>IF($B676="","",IF(INDEX('Work Orders'!$AG$11:$AG$1010,$B676)="","",INDEX('Work Orders'!$AG$11:$AG$1010,$B676)))</f>
        <v/>
      </c>
      <c r="L676" s="44">
        <f>IF($B676="","",IF(INDEX('Work Orders'!$AH$11:$AH$1010,$B676)="","",INDEX('Work Orders'!$AH$11:$AH$1010,$B676)))</f>
        <v/>
      </c>
      <c r="M676" s="46">
        <f>IF($B676="","",IF(INDEX('Work Orders'!$AM$11:$AM$1010,$B676)="","",INDEX('Work Orders'!$AM$11:$AM$1010,$B676)))</f>
        <v/>
      </c>
      <c r="N676" s="43">
        <f>IF($B676="","",IF(INDEX('Work Orders'!$AL$11:$AL$1010,$B676)="","",INDEX('Work Orders'!$AL$11:$AL$1010,$B676)))</f>
        <v/>
      </c>
      <c r="O676" s="43">
        <f>IF($B676="","",IF(INDEX('Work Orders'!$N$11:$N$1010,$B676)="","",INDEX('Work Orders'!$N$11:$N$1010,$B676)))</f>
        <v/>
      </c>
    </row>
    <row r="677">
      <c r="A677" s="68" t="n">
        <v>671</v>
      </c>
      <c r="B677">
        <f>IFERROR(MATCH(A677,'Work Orders'!$AO$11:$AO$1010,0),"")</f>
        <v/>
      </c>
      <c r="C677" s="43">
        <f>IF($B677="","",IF(INDEX('Work Orders'!$A$11:$A$1010,$B677)="","",INDEX('Work Orders'!$A$11:$A$1010,$B677)))</f>
        <v/>
      </c>
      <c r="D677" s="43">
        <f>IF($B677="","",IF(INDEX('Work Orders'!$B$11:$B$1010,$B677)="","",INDEX('Work Orders'!$B$11:$B$1010,$B677)))</f>
        <v/>
      </c>
      <c r="E677" s="43">
        <f>IF($B677="","",IF(INDEX('Work Orders'!$D$11:$D$1010,$B677)="","",INDEX('Work Orders'!$D$11:$D$1010,$B677)))</f>
        <v/>
      </c>
      <c r="F677" s="43">
        <f>IF($B677="","",IF(INDEX('Work Orders'!$Q$11:$Q$1010,$B677)="","",INDEX('Work Orders'!$Q$11:$Q$1010,$B677)))</f>
        <v/>
      </c>
      <c r="G677" s="43">
        <f>IF($B677="","",IF(INDEX('Work Orders'!$V$11:$V$1010,$B677)="","",INDEX('Work Orders'!$V$11:$V$1010,$B677)))</f>
        <v/>
      </c>
      <c r="H677" s="47">
        <f>IF($B677="","",IF(INDEX('Work Orders'!$U$11:$U$1010,$B677)="","",INDEX('Work Orders'!$U$11:$U$1010,$B677)))</f>
        <v/>
      </c>
      <c r="I677" s="47">
        <f>IF($B677="","",IF(INDEX('Work Orders'!$X$11:$X$1010,$B677)="","",INDEX('Work Orders'!$X$11:$X$1010,$B677)))</f>
        <v/>
      </c>
      <c r="J677" s="44">
        <f>IF($B677="","",IF(INDEX('Work Orders'!$Z$11:$Z$1010,$B677)="","",INDEX('Work Orders'!$Z$11:$Z$1010,$B677)))</f>
        <v/>
      </c>
      <c r="K677" s="44">
        <f>IF($B677="","",IF(INDEX('Work Orders'!$AG$11:$AG$1010,$B677)="","",INDEX('Work Orders'!$AG$11:$AG$1010,$B677)))</f>
        <v/>
      </c>
      <c r="L677" s="44">
        <f>IF($B677="","",IF(INDEX('Work Orders'!$AH$11:$AH$1010,$B677)="","",INDEX('Work Orders'!$AH$11:$AH$1010,$B677)))</f>
        <v/>
      </c>
      <c r="M677" s="46">
        <f>IF($B677="","",IF(INDEX('Work Orders'!$AM$11:$AM$1010,$B677)="","",INDEX('Work Orders'!$AM$11:$AM$1010,$B677)))</f>
        <v/>
      </c>
      <c r="N677" s="43">
        <f>IF($B677="","",IF(INDEX('Work Orders'!$AL$11:$AL$1010,$B677)="","",INDEX('Work Orders'!$AL$11:$AL$1010,$B677)))</f>
        <v/>
      </c>
      <c r="O677" s="43">
        <f>IF($B677="","",IF(INDEX('Work Orders'!$N$11:$N$1010,$B677)="","",INDEX('Work Orders'!$N$11:$N$1010,$B677)))</f>
        <v/>
      </c>
    </row>
    <row r="678">
      <c r="A678" s="68" t="n">
        <v>672</v>
      </c>
      <c r="B678">
        <f>IFERROR(MATCH(A678,'Work Orders'!$AO$11:$AO$1010,0),"")</f>
        <v/>
      </c>
      <c r="C678" s="43">
        <f>IF($B678="","",IF(INDEX('Work Orders'!$A$11:$A$1010,$B678)="","",INDEX('Work Orders'!$A$11:$A$1010,$B678)))</f>
        <v/>
      </c>
      <c r="D678" s="43">
        <f>IF($B678="","",IF(INDEX('Work Orders'!$B$11:$B$1010,$B678)="","",INDEX('Work Orders'!$B$11:$B$1010,$B678)))</f>
        <v/>
      </c>
      <c r="E678" s="43">
        <f>IF($B678="","",IF(INDEX('Work Orders'!$D$11:$D$1010,$B678)="","",INDEX('Work Orders'!$D$11:$D$1010,$B678)))</f>
        <v/>
      </c>
      <c r="F678" s="43">
        <f>IF($B678="","",IF(INDEX('Work Orders'!$Q$11:$Q$1010,$B678)="","",INDEX('Work Orders'!$Q$11:$Q$1010,$B678)))</f>
        <v/>
      </c>
      <c r="G678" s="43">
        <f>IF($B678="","",IF(INDEX('Work Orders'!$V$11:$V$1010,$B678)="","",INDEX('Work Orders'!$V$11:$V$1010,$B678)))</f>
        <v/>
      </c>
      <c r="H678" s="47">
        <f>IF($B678="","",IF(INDEX('Work Orders'!$U$11:$U$1010,$B678)="","",INDEX('Work Orders'!$U$11:$U$1010,$B678)))</f>
        <v/>
      </c>
      <c r="I678" s="47">
        <f>IF($B678="","",IF(INDEX('Work Orders'!$X$11:$X$1010,$B678)="","",INDEX('Work Orders'!$X$11:$X$1010,$B678)))</f>
        <v/>
      </c>
      <c r="J678" s="44">
        <f>IF($B678="","",IF(INDEX('Work Orders'!$Z$11:$Z$1010,$B678)="","",INDEX('Work Orders'!$Z$11:$Z$1010,$B678)))</f>
        <v/>
      </c>
      <c r="K678" s="44">
        <f>IF($B678="","",IF(INDEX('Work Orders'!$AG$11:$AG$1010,$B678)="","",INDEX('Work Orders'!$AG$11:$AG$1010,$B678)))</f>
        <v/>
      </c>
      <c r="L678" s="44">
        <f>IF($B678="","",IF(INDEX('Work Orders'!$AH$11:$AH$1010,$B678)="","",INDEX('Work Orders'!$AH$11:$AH$1010,$B678)))</f>
        <v/>
      </c>
      <c r="M678" s="46">
        <f>IF($B678="","",IF(INDEX('Work Orders'!$AM$11:$AM$1010,$B678)="","",INDEX('Work Orders'!$AM$11:$AM$1010,$B678)))</f>
        <v/>
      </c>
      <c r="N678" s="43">
        <f>IF($B678="","",IF(INDEX('Work Orders'!$AL$11:$AL$1010,$B678)="","",INDEX('Work Orders'!$AL$11:$AL$1010,$B678)))</f>
        <v/>
      </c>
      <c r="O678" s="43">
        <f>IF($B678="","",IF(INDEX('Work Orders'!$N$11:$N$1010,$B678)="","",INDEX('Work Orders'!$N$11:$N$1010,$B678)))</f>
        <v/>
      </c>
    </row>
    <row r="679">
      <c r="A679" s="68" t="n">
        <v>673</v>
      </c>
      <c r="B679">
        <f>IFERROR(MATCH(A679,'Work Orders'!$AO$11:$AO$1010,0),"")</f>
        <v/>
      </c>
      <c r="C679" s="43">
        <f>IF($B679="","",IF(INDEX('Work Orders'!$A$11:$A$1010,$B679)="","",INDEX('Work Orders'!$A$11:$A$1010,$B679)))</f>
        <v/>
      </c>
      <c r="D679" s="43">
        <f>IF($B679="","",IF(INDEX('Work Orders'!$B$11:$B$1010,$B679)="","",INDEX('Work Orders'!$B$11:$B$1010,$B679)))</f>
        <v/>
      </c>
      <c r="E679" s="43">
        <f>IF($B679="","",IF(INDEX('Work Orders'!$D$11:$D$1010,$B679)="","",INDEX('Work Orders'!$D$11:$D$1010,$B679)))</f>
        <v/>
      </c>
      <c r="F679" s="43">
        <f>IF($B679="","",IF(INDEX('Work Orders'!$Q$11:$Q$1010,$B679)="","",INDEX('Work Orders'!$Q$11:$Q$1010,$B679)))</f>
        <v/>
      </c>
      <c r="G679" s="43">
        <f>IF($B679="","",IF(INDEX('Work Orders'!$V$11:$V$1010,$B679)="","",INDEX('Work Orders'!$V$11:$V$1010,$B679)))</f>
        <v/>
      </c>
      <c r="H679" s="47">
        <f>IF($B679="","",IF(INDEX('Work Orders'!$U$11:$U$1010,$B679)="","",INDEX('Work Orders'!$U$11:$U$1010,$B679)))</f>
        <v/>
      </c>
      <c r="I679" s="47">
        <f>IF($B679="","",IF(INDEX('Work Orders'!$X$11:$X$1010,$B679)="","",INDEX('Work Orders'!$X$11:$X$1010,$B679)))</f>
        <v/>
      </c>
      <c r="J679" s="44">
        <f>IF($B679="","",IF(INDEX('Work Orders'!$Z$11:$Z$1010,$B679)="","",INDEX('Work Orders'!$Z$11:$Z$1010,$B679)))</f>
        <v/>
      </c>
      <c r="K679" s="44">
        <f>IF($B679="","",IF(INDEX('Work Orders'!$AG$11:$AG$1010,$B679)="","",INDEX('Work Orders'!$AG$11:$AG$1010,$B679)))</f>
        <v/>
      </c>
      <c r="L679" s="44">
        <f>IF($B679="","",IF(INDEX('Work Orders'!$AH$11:$AH$1010,$B679)="","",INDEX('Work Orders'!$AH$11:$AH$1010,$B679)))</f>
        <v/>
      </c>
      <c r="M679" s="46">
        <f>IF($B679="","",IF(INDEX('Work Orders'!$AM$11:$AM$1010,$B679)="","",INDEX('Work Orders'!$AM$11:$AM$1010,$B679)))</f>
        <v/>
      </c>
      <c r="N679" s="43">
        <f>IF($B679="","",IF(INDEX('Work Orders'!$AL$11:$AL$1010,$B679)="","",INDEX('Work Orders'!$AL$11:$AL$1010,$B679)))</f>
        <v/>
      </c>
      <c r="O679" s="43">
        <f>IF($B679="","",IF(INDEX('Work Orders'!$N$11:$N$1010,$B679)="","",INDEX('Work Orders'!$N$11:$N$1010,$B679)))</f>
        <v/>
      </c>
    </row>
    <row r="680">
      <c r="A680" s="68" t="n">
        <v>674</v>
      </c>
      <c r="B680">
        <f>IFERROR(MATCH(A680,'Work Orders'!$AO$11:$AO$1010,0),"")</f>
        <v/>
      </c>
      <c r="C680" s="43">
        <f>IF($B680="","",IF(INDEX('Work Orders'!$A$11:$A$1010,$B680)="","",INDEX('Work Orders'!$A$11:$A$1010,$B680)))</f>
        <v/>
      </c>
      <c r="D680" s="43">
        <f>IF($B680="","",IF(INDEX('Work Orders'!$B$11:$B$1010,$B680)="","",INDEX('Work Orders'!$B$11:$B$1010,$B680)))</f>
        <v/>
      </c>
      <c r="E680" s="43">
        <f>IF($B680="","",IF(INDEX('Work Orders'!$D$11:$D$1010,$B680)="","",INDEX('Work Orders'!$D$11:$D$1010,$B680)))</f>
        <v/>
      </c>
      <c r="F680" s="43">
        <f>IF($B680="","",IF(INDEX('Work Orders'!$Q$11:$Q$1010,$B680)="","",INDEX('Work Orders'!$Q$11:$Q$1010,$B680)))</f>
        <v/>
      </c>
      <c r="G680" s="43">
        <f>IF($B680="","",IF(INDEX('Work Orders'!$V$11:$V$1010,$B680)="","",INDEX('Work Orders'!$V$11:$V$1010,$B680)))</f>
        <v/>
      </c>
      <c r="H680" s="47">
        <f>IF($B680="","",IF(INDEX('Work Orders'!$U$11:$U$1010,$B680)="","",INDEX('Work Orders'!$U$11:$U$1010,$B680)))</f>
        <v/>
      </c>
      <c r="I680" s="47">
        <f>IF($B680="","",IF(INDEX('Work Orders'!$X$11:$X$1010,$B680)="","",INDEX('Work Orders'!$X$11:$X$1010,$B680)))</f>
        <v/>
      </c>
      <c r="J680" s="44">
        <f>IF($B680="","",IF(INDEX('Work Orders'!$Z$11:$Z$1010,$B680)="","",INDEX('Work Orders'!$Z$11:$Z$1010,$B680)))</f>
        <v/>
      </c>
      <c r="K680" s="44">
        <f>IF($B680="","",IF(INDEX('Work Orders'!$AG$11:$AG$1010,$B680)="","",INDEX('Work Orders'!$AG$11:$AG$1010,$B680)))</f>
        <v/>
      </c>
      <c r="L680" s="44">
        <f>IF($B680="","",IF(INDEX('Work Orders'!$AH$11:$AH$1010,$B680)="","",INDEX('Work Orders'!$AH$11:$AH$1010,$B680)))</f>
        <v/>
      </c>
      <c r="M680" s="46">
        <f>IF($B680="","",IF(INDEX('Work Orders'!$AM$11:$AM$1010,$B680)="","",INDEX('Work Orders'!$AM$11:$AM$1010,$B680)))</f>
        <v/>
      </c>
      <c r="N680" s="43">
        <f>IF($B680="","",IF(INDEX('Work Orders'!$AL$11:$AL$1010,$B680)="","",INDEX('Work Orders'!$AL$11:$AL$1010,$B680)))</f>
        <v/>
      </c>
      <c r="O680" s="43">
        <f>IF($B680="","",IF(INDEX('Work Orders'!$N$11:$N$1010,$B680)="","",INDEX('Work Orders'!$N$11:$N$1010,$B680)))</f>
        <v/>
      </c>
    </row>
    <row r="681">
      <c r="A681" s="68" t="n">
        <v>675</v>
      </c>
      <c r="B681">
        <f>IFERROR(MATCH(A681,'Work Orders'!$AO$11:$AO$1010,0),"")</f>
        <v/>
      </c>
      <c r="C681" s="43">
        <f>IF($B681="","",IF(INDEX('Work Orders'!$A$11:$A$1010,$B681)="","",INDEX('Work Orders'!$A$11:$A$1010,$B681)))</f>
        <v/>
      </c>
      <c r="D681" s="43">
        <f>IF($B681="","",IF(INDEX('Work Orders'!$B$11:$B$1010,$B681)="","",INDEX('Work Orders'!$B$11:$B$1010,$B681)))</f>
        <v/>
      </c>
      <c r="E681" s="43">
        <f>IF($B681="","",IF(INDEX('Work Orders'!$D$11:$D$1010,$B681)="","",INDEX('Work Orders'!$D$11:$D$1010,$B681)))</f>
        <v/>
      </c>
      <c r="F681" s="43">
        <f>IF($B681="","",IF(INDEX('Work Orders'!$Q$11:$Q$1010,$B681)="","",INDEX('Work Orders'!$Q$11:$Q$1010,$B681)))</f>
        <v/>
      </c>
      <c r="G681" s="43">
        <f>IF($B681="","",IF(INDEX('Work Orders'!$V$11:$V$1010,$B681)="","",INDEX('Work Orders'!$V$11:$V$1010,$B681)))</f>
        <v/>
      </c>
      <c r="H681" s="47">
        <f>IF($B681="","",IF(INDEX('Work Orders'!$U$11:$U$1010,$B681)="","",INDEX('Work Orders'!$U$11:$U$1010,$B681)))</f>
        <v/>
      </c>
      <c r="I681" s="47">
        <f>IF($B681="","",IF(INDEX('Work Orders'!$X$11:$X$1010,$B681)="","",INDEX('Work Orders'!$X$11:$X$1010,$B681)))</f>
        <v/>
      </c>
      <c r="J681" s="44">
        <f>IF($B681="","",IF(INDEX('Work Orders'!$Z$11:$Z$1010,$B681)="","",INDEX('Work Orders'!$Z$11:$Z$1010,$B681)))</f>
        <v/>
      </c>
      <c r="K681" s="44">
        <f>IF($B681="","",IF(INDEX('Work Orders'!$AG$11:$AG$1010,$B681)="","",INDEX('Work Orders'!$AG$11:$AG$1010,$B681)))</f>
        <v/>
      </c>
      <c r="L681" s="44">
        <f>IF($B681="","",IF(INDEX('Work Orders'!$AH$11:$AH$1010,$B681)="","",INDEX('Work Orders'!$AH$11:$AH$1010,$B681)))</f>
        <v/>
      </c>
      <c r="M681" s="46">
        <f>IF($B681="","",IF(INDEX('Work Orders'!$AM$11:$AM$1010,$B681)="","",INDEX('Work Orders'!$AM$11:$AM$1010,$B681)))</f>
        <v/>
      </c>
      <c r="N681" s="43">
        <f>IF($B681="","",IF(INDEX('Work Orders'!$AL$11:$AL$1010,$B681)="","",INDEX('Work Orders'!$AL$11:$AL$1010,$B681)))</f>
        <v/>
      </c>
      <c r="O681" s="43">
        <f>IF($B681="","",IF(INDEX('Work Orders'!$N$11:$N$1010,$B681)="","",INDEX('Work Orders'!$N$11:$N$1010,$B681)))</f>
        <v/>
      </c>
    </row>
    <row r="682">
      <c r="A682" s="68" t="n">
        <v>676</v>
      </c>
      <c r="B682">
        <f>IFERROR(MATCH(A682,'Work Orders'!$AO$11:$AO$1010,0),"")</f>
        <v/>
      </c>
      <c r="C682" s="43">
        <f>IF($B682="","",IF(INDEX('Work Orders'!$A$11:$A$1010,$B682)="","",INDEX('Work Orders'!$A$11:$A$1010,$B682)))</f>
        <v/>
      </c>
      <c r="D682" s="43">
        <f>IF($B682="","",IF(INDEX('Work Orders'!$B$11:$B$1010,$B682)="","",INDEX('Work Orders'!$B$11:$B$1010,$B682)))</f>
        <v/>
      </c>
      <c r="E682" s="43">
        <f>IF($B682="","",IF(INDEX('Work Orders'!$D$11:$D$1010,$B682)="","",INDEX('Work Orders'!$D$11:$D$1010,$B682)))</f>
        <v/>
      </c>
      <c r="F682" s="43">
        <f>IF($B682="","",IF(INDEX('Work Orders'!$Q$11:$Q$1010,$B682)="","",INDEX('Work Orders'!$Q$11:$Q$1010,$B682)))</f>
        <v/>
      </c>
      <c r="G682" s="43">
        <f>IF($B682="","",IF(INDEX('Work Orders'!$V$11:$V$1010,$B682)="","",INDEX('Work Orders'!$V$11:$V$1010,$B682)))</f>
        <v/>
      </c>
      <c r="H682" s="47">
        <f>IF($B682="","",IF(INDEX('Work Orders'!$U$11:$U$1010,$B682)="","",INDEX('Work Orders'!$U$11:$U$1010,$B682)))</f>
        <v/>
      </c>
      <c r="I682" s="47">
        <f>IF($B682="","",IF(INDEX('Work Orders'!$X$11:$X$1010,$B682)="","",INDEX('Work Orders'!$X$11:$X$1010,$B682)))</f>
        <v/>
      </c>
      <c r="J682" s="44">
        <f>IF($B682="","",IF(INDEX('Work Orders'!$Z$11:$Z$1010,$B682)="","",INDEX('Work Orders'!$Z$11:$Z$1010,$B682)))</f>
        <v/>
      </c>
      <c r="K682" s="44">
        <f>IF($B682="","",IF(INDEX('Work Orders'!$AG$11:$AG$1010,$B682)="","",INDEX('Work Orders'!$AG$11:$AG$1010,$B682)))</f>
        <v/>
      </c>
      <c r="L682" s="44">
        <f>IF($B682="","",IF(INDEX('Work Orders'!$AH$11:$AH$1010,$B682)="","",INDEX('Work Orders'!$AH$11:$AH$1010,$B682)))</f>
        <v/>
      </c>
      <c r="M682" s="46">
        <f>IF($B682="","",IF(INDEX('Work Orders'!$AM$11:$AM$1010,$B682)="","",INDEX('Work Orders'!$AM$11:$AM$1010,$B682)))</f>
        <v/>
      </c>
      <c r="N682" s="43">
        <f>IF($B682="","",IF(INDEX('Work Orders'!$AL$11:$AL$1010,$B682)="","",INDEX('Work Orders'!$AL$11:$AL$1010,$B682)))</f>
        <v/>
      </c>
      <c r="O682" s="43">
        <f>IF($B682="","",IF(INDEX('Work Orders'!$N$11:$N$1010,$B682)="","",INDEX('Work Orders'!$N$11:$N$1010,$B682)))</f>
        <v/>
      </c>
    </row>
    <row r="683">
      <c r="A683" s="68" t="n">
        <v>677</v>
      </c>
      <c r="B683">
        <f>IFERROR(MATCH(A683,'Work Orders'!$AO$11:$AO$1010,0),"")</f>
        <v/>
      </c>
      <c r="C683" s="43">
        <f>IF($B683="","",IF(INDEX('Work Orders'!$A$11:$A$1010,$B683)="","",INDEX('Work Orders'!$A$11:$A$1010,$B683)))</f>
        <v/>
      </c>
      <c r="D683" s="43">
        <f>IF($B683="","",IF(INDEX('Work Orders'!$B$11:$B$1010,$B683)="","",INDEX('Work Orders'!$B$11:$B$1010,$B683)))</f>
        <v/>
      </c>
      <c r="E683" s="43">
        <f>IF($B683="","",IF(INDEX('Work Orders'!$D$11:$D$1010,$B683)="","",INDEX('Work Orders'!$D$11:$D$1010,$B683)))</f>
        <v/>
      </c>
      <c r="F683" s="43">
        <f>IF($B683="","",IF(INDEX('Work Orders'!$Q$11:$Q$1010,$B683)="","",INDEX('Work Orders'!$Q$11:$Q$1010,$B683)))</f>
        <v/>
      </c>
      <c r="G683" s="43">
        <f>IF($B683="","",IF(INDEX('Work Orders'!$V$11:$V$1010,$B683)="","",INDEX('Work Orders'!$V$11:$V$1010,$B683)))</f>
        <v/>
      </c>
      <c r="H683" s="47">
        <f>IF($B683="","",IF(INDEX('Work Orders'!$U$11:$U$1010,$B683)="","",INDEX('Work Orders'!$U$11:$U$1010,$B683)))</f>
        <v/>
      </c>
      <c r="I683" s="47">
        <f>IF($B683="","",IF(INDEX('Work Orders'!$X$11:$X$1010,$B683)="","",INDEX('Work Orders'!$X$11:$X$1010,$B683)))</f>
        <v/>
      </c>
      <c r="J683" s="44">
        <f>IF($B683="","",IF(INDEX('Work Orders'!$Z$11:$Z$1010,$B683)="","",INDEX('Work Orders'!$Z$11:$Z$1010,$B683)))</f>
        <v/>
      </c>
      <c r="K683" s="44">
        <f>IF($B683="","",IF(INDEX('Work Orders'!$AG$11:$AG$1010,$B683)="","",INDEX('Work Orders'!$AG$11:$AG$1010,$B683)))</f>
        <v/>
      </c>
      <c r="L683" s="44">
        <f>IF($B683="","",IF(INDEX('Work Orders'!$AH$11:$AH$1010,$B683)="","",INDEX('Work Orders'!$AH$11:$AH$1010,$B683)))</f>
        <v/>
      </c>
      <c r="M683" s="46">
        <f>IF($B683="","",IF(INDEX('Work Orders'!$AM$11:$AM$1010,$B683)="","",INDEX('Work Orders'!$AM$11:$AM$1010,$B683)))</f>
        <v/>
      </c>
      <c r="N683" s="43">
        <f>IF($B683="","",IF(INDEX('Work Orders'!$AL$11:$AL$1010,$B683)="","",INDEX('Work Orders'!$AL$11:$AL$1010,$B683)))</f>
        <v/>
      </c>
      <c r="O683" s="43">
        <f>IF($B683="","",IF(INDEX('Work Orders'!$N$11:$N$1010,$B683)="","",INDEX('Work Orders'!$N$11:$N$1010,$B683)))</f>
        <v/>
      </c>
    </row>
    <row r="684">
      <c r="A684" s="68" t="n">
        <v>678</v>
      </c>
      <c r="B684">
        <f>IFERROR(MATCH(A684,'Work Orders'!$AO$11:$AO$1010,0),"")</f>
        <v/>
      </c>
      <c r="C684" s="43">
        <f>IF($B684="","",IF(INDEX('Work Orders'!$A$11:$A$1010,$B684)="","",INDEX('Work Orders'!$A$11:$A$1010,$B684)))</f>
        <v/>
      </c>
      <c r="D684" s="43">
        <f>IF($B684="","",IF(INDEX('Work Orders'!$B$11:$B$1010,$B684)="","",INDEX('Work Orders'!$B$11:$B$1010,$B684)))</f>
        <v/>
      </c>
      <c r="E684" s="43">
        <f>IF($B684="","",IF(INDEX('Work Orders'!$D$11:$D$1010,$B684)="","",INDEX('Work Orders'!$D$11:$D$1010,$B684)))</f>
        <v/>
      </c>
      <c r="F684" s="43">
        <f>IF($B684="","",IF(INDEX('Work Orders'!$Q$11:$Q$1010,$B684)="","",INDEX('Work Orders'!$Q$11:$Q$1010,$B684)))</f>
        <v/>
      </c>
      <c r="G684" s="43">
        <f>IF($B684="","",IF(INDEX('Work Orders'!$V$11:$V$1010,$B684)="","",INDEX('Work Orders'!$V$11:$V$1010,$B684)))</f>
        <v/>
      </c>
      <c r="H684" s="47">
        <f>IF($B684="","",IF(INDEX('Work Orders'!$U$11:$U$1010,$B684)="","",INDEX('Work Orders'!$U$11:$U$1010,$B684)))</f>
        <v/>
      </c>
      <c r="I684" s="47">
        <f>IF($B684="","",IF(INDEX('Work Orders'!$X$11:$X$1010,$B684)="","",INDEX('Work Orders'!$X$11:$X$1010,$B684)))</f>
        <v/>
      </c>
      <c r="J684" s="44">
        <f>IF($B684="","",IF(INDEX('Work Orders'!$Z$11:$Z$1010,$B684)="","",INDEX('Work Orders'!$Z$11:$Z$1010,$B684)))</f>
        <v/>
      </c>
      <c r="K684" s="44">
        <f>IF($B684="","",IF(INDEX('Work Orders'!$AG$11:$AG$1010,$B684)="","",INDEX('Work Orders'!$AG$11:$AG$1010,$B684)))</f>
        <v/>
      </c>
      <c r="L684" s="44">
        <f>IF($B684="","",IF(INDEX('Work Orders'!$AH$11:$AH$1010,$B684)="","",INDEX('Work Orders'!$AH$11:$AH$1010,$B684)))</f>
        <v/>
      </c>
      <c r="M684" s="46">
        <f>IF($B684="","",IF(INDEX('Work Orders'!$AM$11:$AM$1010,$B684)="","",INDEX('Work Orders'!$AM$11:$AM$1010,$B684)))</f>
        <v/>
      </c>
      <c r="N684" s="43">
        <f>IF($B684="","",IF(INDEX('Work Orders'!$AL$11:$AL$1010,$B684)="","",INDEX('Work Orders'!$AL$11:$AL$1010,$B684)))</f>
        <v/>
      </c>
      <c r="O684" s="43">
        <f>IF($B684="","",IF(INDEX('Work Orders'!$N$11:$N$1010,$B684)="","",INDEX('Work Orders'!$N$11:$N$1010,$B684)))</f>
        <v/>
      </c>
    </row>
    <row r="685">
      <c r="A685" s="68" t="n">
        <v>679</v>
      </c>
      <c r="B685">
        <f>IFERROR(MATCH(A685,'Work Orders'!$AO$11:$AO$1010,0),"")</f>
        <v/>
      </c>
      <c r="C685" s="43">
        <f>IF($B685="","",IF(INDEX('Work Orders'!$A$11:$A$1010,$B685)="","",INDEX('Work Orders'!$A$11:$A$1010,$B685)))</f>
        <v/>
      </c>
      <c r="D685" s="43">
        <f>IF($B685="","",IF(INDEX('Work Orders'!$B$11:$B$1010,$B685)="","",INDEX('Work Orders'!$B$11:$B$1010,$B685)))</f>
        <v/>
      </c>
      <c r="E685" s="43">
        <f>IF($B685="","",IF(INDEX('Work Orders'!$D$11:$D$1010,$B685)="","",INDEX('Work Orders'!$D$11:$D$1010,$B685)))</f>
        <v/>
      </c>
      <c r="F685" s="43">
        <f>IF($B685="","",IF(INDEX('Work Orders'!$Q$11:$Q$1010,$B685)="","",INDEX('Work Orders'!$Q$11:$Q$1010,$B685)))</f>
        <v/>
      </c>
      <c r="G685" s="43">
        <f>IF($B685="","",IF(INDEX('Work Orders'!$V$11:$V$1010,$B685)="","",INDEX('Work Orders'!$V$11:$V$1010,$B685)))</f>
        <v/>
      </c>
      <c r="H685" s="47">
        <f>IF($B685="","",IF(INDEX('Work Orders'!$U$11:$U$1010,$B685)="","",INDEX('Work Orders'!$U$11:$U$1010,$B685)))</f>
        <v/>
      </c>
      <c r="I685" s="47">
        <f>IF($B685="","",IF(INDEX('Work Orders'!$X$11:$X$1010,$B685)="","",INDEX('Work Orders'!$X$11:$X$1010,$B685)))</f>
        <v/>
      </c>
      <c r="J685" s="44">
        <f>IF($B685="","",IF(INDEX('Work Orders'!$Z$11:$Z$1010,$B685)="","",INDEX('Work Orders'!$Z$11:$Z$1010,$B685)))</f>
        <v/>
      </c>
      <c r="K685" s="44">
        <f>IF($B685="","",IF(INDEX('Work Orders'!$AG$11:$AG$1010,$B685)="","",INDEX('Work Orders'!$AG$11:$AG$1010,$B685)))</f>
        <v/>
      </c>
      <c r="L685" s="44">
        <f>IF($B685="","",IF(INDEX('Work Orders'!$AH$11:$AH$1010,$B685)="","",INDEX('Work Orders'!$AH$11:$AH$1010,$B685)))</f>
        <v/>
      </c>
      <c r="M685" s="46">
        <f>IF($B685="","",IF(INDEX('Work Orders'!$AM$11:$AM$1010,$B685)="","",INDEX('Work Orders'!$AM$11:$AM$1010,$B685)))</f>
        <v/>
      </c>
      <c r="N685" s="43">
        <f>IF($B685="","",IF(INDEX('Work Orders'!$AL$11:$AL$1010,$B685)="","",INDEX('Work Orders'!$AL$11:$AL$1010,$B685)))</f>
        <v/>
      </c>
      <c r="O685" s="43">
        <f>IF($B685="","",IF(INDEX('Work Orders'!$N$11:$N$1010,$B685)="","",INDEX('Work Orders'!$N$11:$N$1010,$B685)))</f>
        <v/>
      </c>
    </row>
    <row r="686">
      <c r="A686" s="68" t="n">
        <v>680</v>
      </c>
      <c r="B686">
        <f>IFERROR(MATCH(A686,'Work Orders'!$AO$11:$AO$1010,0),"")</f>
        <v/>
      </c>
      <c r="C686" s="43">
        <f>IF($B686="","",IF(INDEX('Work Orders'!$A$11:$A$1010,$B686)="","",INDEX('Work Orders'!$A$11:$A$1010,$B686)))</f>
        <v/>
      </c>
      <c r="D686" s="43">
        <f>IF($B686="","",IF(INDEX('Work Orders'!$B$11:$B$1010,$B686)="","",INDEX('Work Orders'!$B$11:$B$1010,$B686)))</f>
        <v/>
      </c>
      <c r="E686" s="43">
        <f>IF($B686="","",IF(INDEX('Work Orders'!$D$11:$D$1010,$B686)="","",INDEX('Work Orders'!$D$11:$D$1010,$B686)))</f>
        <v/>
      </c>
      <c r="F686" s="43">
        <f>IF($B686="","",IF(INDEX('Work Orders'!$Q$11:$Q$1010,$B686)="","",INDEX('Work Orders'!$Q$11:$Q$1010,$B686)))</f>
        <v/>
      </c>
      <c r="G686" s="43">
        <f>IF($B686="","",IF(INDEX('Work Orders'!$V$11:$V$1010,$B686)="","",INDEX('Work Orders'!$V$11:$V$1010,$B686)))</f>
        <v/>
      </c>
      <c r="H686" s="47">
        <f>IF($B686="","",IF(INDEX('Work Orders'!$U$11:$U$1010,$B686)="","",INDEX('Work Orders'!$U$11:$U$1010,$B686)))</f>
        <v/>
      </c>
      <c r="I686" s="47">
        <f>IF($B686="","",IF(INDEX('Work Orders'!$X$11:$X$1010,$B686)="","",INDEX('Work Orders'!$X$11:$X$1010,$B686)))</f>
        <v/>
      </c>
      <c r="J686" s="44">
        <f>IF($B686="","",IF(INDEX('Work Orders'!$Z$11:$Z$1010,$B686)="","",INDEX('Work Orders'!$Z$11:$Z$1010,$B686)))</f>
        <v/>
      </c>
      <c r="K686" s="44">
        <f>IF($B686="","",IF(INDEX('Work Orders'!$AG$11:$AG$1010,$B686)="","",INDEX('Work Orders'!$AG$11:$AG$1010,$B686)))</f>
        <v/>
      </c>
      <c r="L686" s="44">
        <f>IF($B686="","",IF(INDEX('Work Orders'!$AH$11:$AH$1010,$B686)="","",INDEX('Work Orders'!$AH$11:$AH$1010,$B686)))</f>
        <v/>
      </c>
      <c r="M686" s="46">
        <f>IF($B686="","",IF(INDEX('Work Orders'!$AM$11:$AM$1010,$B686)="","",INDEX('Work Orders'!$AM$11:$AM$1010,$B686)))</f>
        <v/>
      </c>
      <c r="N686" s="43">
        <f>IF($B686="","",IF(INDEX('Work Orders'!$AL$11:$AL$1010,$B686)="","",INDEX('Work Orders'!$AL$11:$AL$1010,$B686)))</f>
        <v/>
      </c>
      <c r="O686" s="43">
        <f>IF($B686="","",IF(INDEX('Work Orders'!$N$11:$N$1010,$B686)="","",INDEX('Work Orders'!$N$11:$N$1010,$B686)))</f>
        <v/>
      </c>
    </row>
    <row r="687">
      <c r="A687" s="68" t="n">
        <v>681</v>
      </c>
      <c r="B687">
        <f>IFERROR(MATCH(A687,'Work Orders'!$AO$11:$AO$1010,0),"")</f>
        <v/>
      </c>
      <c r="C687" s="43">
        <f>IF($B687="","",IF(INDEX('Work Orders'!$A$11:$A$1010,$B687)="","",INDEX('Work Orders'!$A$11:$A$1010,$B687)))</f>
        <v/>
      </c>
      <c r="D687" s="43">
        <f>IF($B687="","",IF(INDEX('Work Orders'!$B$11:$B$1010,$B687)="","",INDEX('Work Orders'!$B$11:$B$1010,$B687)))</f>
        <v/>
      </c>
      <c r="E687" s="43">
        <f>IF($B687="","",IF(INDEX('Work Orders'!$D$11:$D$1010,$B687)="","",INDEX('Work Orders'!$D$11:$D$1010,$B687)))</f>
        <v/>
      </c>
      <c r="F687" s="43">
        <f>IF($B687="","",IF(INDEX('Work Orders'!$Q$11:$Q$1010,$B687)="","",INDEX('Work Orders'!$Q$11:$Q$1010,$B687)))</f>
        <v/>
      </c>
      <c r="G687" s="43">
        <f>IF($B687="","",IF(INDEX('Work Orders'!$V$11:$V$1010,$B687)="","",INDEX('Work Orders'!$V$11:$V$1010,$B687)))</f>
        <v/>
      </c>
      <c r="H687" s="47">
        <f>IF($B687="","",IF(INDEX('Work Orders'!$U$11:$U$1010,$B687)="","",INDEX('Work Orders'!$U$11:$U$1010,$B687)))</f>
        <v/>
      </c>
      <c r="I687" s="47">
        <f>IF($B687="","",IF(INDEX('Work Orders'!$X$11:$X$1010,$B687)="","",INDEX('Work Orders'!$X$11:$X$1010,$B687)))</f>
        <v/>
      </c>
      <c r="J687" s="44">
        <f>IF($B687="","",IF(INDEX('Work Orders'!$Z$11:$Z$1010,$B687)="","",INDEX('Work Orders'!$Z$11:$Z$1010,$B687)))</f>
        <v/>
      </c>
      <c r="K687" s="44">
        <f>IF($B687="","",IF(INDEX('Work Orders'!$AG$11:$AG$1010,$B687)="","",INDEX('Work Orders'!$AG$11:$AG$1010,$B687)))</f>
        <v/>
      </c>
      <c r="L687" s="44">
        <f>IF($B687="","",IF(INDEX('Work Orders'!$AH$11:$AH$1010,$B687)="","",INDEX('Work Orders'!$AH$11:$AH$1010,$B687)))</f>
        <v/>
      </c>
      <c r="M687" s="46">
        <f>IF($B687="","",IF(INDEX('Work Orders'!$AM$11:$AM$1010,$B687)="","",INDEX('Work Orders'!$AM$11:$AM$1010,$B687)))</f>
        <v/>
      </c>
      <c r="N687" s="43">
        <f>IF($B687="","",IF(INDEX('Work Orders'!$AL$11:$AL$1010,$B687)="","",INDEX('Work Orders'!$AL$11:$AL$1010,$B687)))</f>
        <v/>
      </c>
      <c r="O687" s="43">
        <f>IF($B687="","",IF(INDEX('Work Orders'!$N$11:$N$1010,$B687)="","",INDEX('Work Orders'!$N$11:$N$1010,$B687)))</f>
        <v/>
      </c>
    </row>
    <row r="688">
      <c r="A688" s="68" t="n">
        <v>682</v>
      </c>
      <c r="B688">
        <f>IFERROR(MATCH(A688,'Work Orders'!$AO$11:$AO$1010,0),"")</f>
        <v/>
      </c>
      <c r="C688" s="43">
        <f>IF($B688="","",IF(INDEX('Work Orders'!$A$11:$A$1010,$B688)="","",INDEX('Work Orders'!$A$11:$A$1010,$B688)))</f>
        <v/>
      </c>
      <c r="D688" s="43">
        <f>IF($B688="","",IF(INDEX('Work Orders'!$B$11:$B$1010,$B688)="","",INDEX('Work Orders'!$B$11:$B$1010,$B688)))</f>
        <v/>
      </c>
      <c r="E688" s="43">
        <f>IF($B688="","",IF(INDEX('Work Orders'!$D$11:$D$1010,$B688)="","",INDEX('Work Orders'!$D$11:$D$1010,$B688)))</f>
        <v/>
      </c>
      <c r="F688" s="43">
        <f>IF($B688="","",IF(INDEX('Work Orders'!$Q$11:$Q$1010,$B688)="","",INDEX('Work Orders'!$Q$11:$Q$1010,$B688)))</f>
        <v/>
      </c>
      <c r="G688" s="43">
        <f>IF($B688="","",IF(INDEX('Work Orders'!$V$11:$V$1010,$B688)="","",INDEX('Work Orders'!$V$11:$V$1010,$B688)))</f>
        <v/>
      </c>
      <c r="H688" s="47">
        <f>IF($B688="","",IF(INDEX('Work Orders'!$U$11:$U$1010,$B688)="","",INDEX('Work Orders'!$U$11:$U$1010,$B688)))</f>
        <v/>
      </c>
      <c r="I688" s="47">
        <f>IF($B688="","",IF(INDEX('Work Orders'!$X$11:$X$1010,$B688)="","",INDEX('Work Orders'!$X$11:$X$1010,$B688)))</f>
        <v/>
      </c>
      <c r="J688" s="44">
        <f>IF($B688="","",IF(INDEX('Work Orders'!$Z$11:$Z$1010,$B688)="","",INDEX('Work Orders'!$Z$11:$Z$1010,$B688)))</f>
        <v/>
      </c>
      <c r="K688" s="44">
        <f>IF($B688="","",IF(INDEX('Work Orders'!$AG$11:$AG$1010,$B688)="","",INDEX('Work Orders'!$AG$11:$AG$1010,$B688)))</f>
        <v/>
      </c>
      <c r="L688" s="44">
        <f>IF($B688="","",IF(INDEX('Work Orders'!$AH$11:$AH$1010,$B688)="","",INDEX('Work Orders'!$AH$11:$AH$1010,$B688)))</f>
        <v/>
      </c>
      <c r="M688" s="46">
        <f>IF($B688="","",IF(INDEX('Work Orders'!$AM$11:$AM$1010,$B688)="","",INDEX('Work Orders'!$AM$11:$AM$1010,$B688)))</f>
        <v/>
      </c>
      <c r="N688" s="43">
        <f>IF($B688="","",IF(INDEX('Work Orders'!$AL$11:$AL$1010,$B688)="","",INDEX('Work Orders'!$AL$11:$AL$1010,$B688)))</f>
        <v/>
      </c>
      <c r="O688" s="43">
        <f>IF($B688="","",IF(INDEX('Work Orders'!$N$11:$N$1010,$B688)="","",INDEX('Work Orders'!$N$11:$N$1010,$B688)))</f>
        <v/>
      </c>
    </row>
    <row r="689">
      <c r="A689" s="68" t="n">
        <v>683</v>
      </c>
      <c r="B689">
        <f>IFERROR(MATCH(A689,'Work Orders'!$AO$11:$AO$1010,0),"")</f>
        <v/>
      </c>
      <c r="C689" s="43">
        <f>IF($B689="","",IF(INDEX('Work Orders'!$A$11:$A$1010,$B689)="","",INDEX('Work Orders'!$A$11:$A$1010,$B689)))</f>
        <v/>
      </c>
      <c r="D689" s="43">
        <f>IF($B689="","",IF(INDEX('Work Orders'!$B$11:$B$1010,$B689)="","",INDEX('Work Orders'!$B$11:$B$1010,$B689)))</f>
        <v/>
      </c>
      <c r="E689" s="43">
        <f>IF($B689="","",IF(INDEX('Work Orders'!$D$11:$D$1010,$B689)="","",INDEX('Work Orders'!$D$11:$D$1010,$B689)))</f>
        <v/>
      </c>
      <c r="F689" s="43">
        <f>IF($B689="","",IF(INDEX('Work Orders'!$Q$11:$Q$1010,$B689)="","",INDEX('Work Orders'!$Q$11:$Q$1010,$B689)))</f>
        <v/>
      </c>
      <c r="G689" s="43">
        <f>IF($B689="","",IF(INDEX('Work Orders'!$V$11:$V$1010,$B689)="","",INDEX('Work Orders'!$V$11:$V$1010,$B689)))</f>
        <v/>
      </c>
      <c r="H689" s="47">
        <f>IF($B689="","",IF(INDEX('Work Orders'!$U$11:$U$1010,$B689)="","",INDEX('Work Orders'!$U$11:$U$1010,$B689)))</f>
        <v/>
      </c>
      <c r="I689" s="47">
        <f>IF($B689="","",IF(INDEX('Work Orders'!$X$11:$X$1010,$B689)="","",INDEX('Work Orders'!$X$11:$X$1010,$B689)))</f>
        <v/>
      </c>
      <c r="J689" s="44">
        <f>IF($B689="","",IF(INDEX('Work Orders'!$Z$11:$Z$1010,$B689)="","",INDEX('Work Orders'!$Z$11:$Z$1010,$B689)))</f>
        <v/>
      </c>
      <c r="K689" s="44">
        <f>IF($B689="","",IF(INDEX('Work Orders'!$AG$11:$AG$1010,$B689)="","",INDEX('Work Orders'!$AG$11:$AG$1010,$B689)))</f>
        <v/>
      </c>
      <c r="L689" s="44">
        <f>IF($B689="","",IF(INDEX('Work Orders'!$AH$11:$AH$1010,$B689)="","",INDEX('Work Orders'!$AH$11:$AH$1010,$B689)))</f>
        <v/>
      </c>
      <c r="M689" s="46">
        <f>IF($B689="","",IF(INDEX('Work Orders'!$AM$11:$AM$1010,$B689)="","",INDEX('Work Orders'!$AM$11:$AM$1010,$B689)))</f>
        <v/>
      </c>
      <c r="N689" s="43">
        <f>IF($B689="","",IF(INDEX('Work Orders'!$AL$11:$AL$1010,$B689)="","",INDEX('Work Orders'!$AL$11:$AL$1010,$B689)))</f>
        <v/>
      </c>
      <c r="O689" s="43">
        <f>IF($B689="","",IF(INDEX('Work Orders'!$N$11:$N$1010,$B689)="","",INDEX('Work Orders'!$N$11:$N$1010,$B689)))</f>
        <v/>
      </c>
    </row>
    <row r="690">
      <c r="A690" s="68" t="n">
        <v>684</v>
      </c>
      <c r="B690">
        <f>IFERROR(MATCH(A690,'Work Orders'!$AO$11:$AO$1010,0),"")</f>
        <v/>
      </c>
      <c r="C690" s="43">
        <f>IF($B690="","",IF(INDEX('Work Orders'!$A$11:$A$1010,$B690)="","",INDEX('Work Orders'!$A$11:$A$1010,$B690)))</f>
        <v/>
      </c>
      <c r="D690" s="43">
        <f>IF($B690="","",IF(INDEX('Work Orders'!$B$11:$B$1010,$B690)="","",INDEX('Work Orders'!$B$11:$B$1010,$B690)))</f>
        <v/>
      </c>
      <c r="E690" s="43">
        <f>IF($B690="","",IF(INDEX('Work Orders'!$D$11:$D$1010,$B690)="","",INDEX('Work Orders'!$D$11:$D$1010,$B690)))</f>
        <v/>
      </c>
      <c r="F690" s="43">
        <f>IF($B690="","",IF(INDEX('Work Orders'!$Q$11:$Q$1010,$B690)="","",INDEX('Work Orders'!$Q$11:$Q$1010,$B690)))</f>
        <v/>
      </c>
      <c r="G690" s="43">
        <f>IF($B690="","",IF(INDEX('Work Orders'!$V$11:$V$1010,$B690)="","",INDEX('Work Orders'!$V$11:$V$1010,$B690)))</f>
        <v/>
      </c>
      <c r="H690" s="47">
        <f>IF($B690="","",IF(INDEX('Work Orders'!$U$11:$U$1010,$B690)="","",INDEX('Work Orders'!$U$11:$U$1010,$B690)))</f>
        <v/>
      </c>
      <c r="I690" s="47">
        <f>IF($B690="","",IF(INDEX('Work Orders'!$X$11:$X$1010,$B690)="","",INDEX('Work Orders'!$X$11:$X$1010,$B690)))</f>
        <v/>
      </c>
      <c r="J690" s="44">
        <f>IF($B690="","",IF(INDEX('Work Orders'!$Z$11:$Z$1010,$B690)="","",INDEX('Work Orders'!$Z$11:$Z$1010,$B690)))</f>
        <v/>
      </c>
      <c r="K690" s="44">
        <f>IF($B690="","",IF(INDEX('Work Orders'!$AG$11:$AG$1010,$B690)="","",INDEX('Work Orders'!$AG$11:$AG$1010,$B690)))</f>
        <v/>
      </c>
      <c r="L690" s="44">
        <f>IF($B690="","",IF(INDEX('Work Orders'!$AH$11:$AH$1010,$B690)="","",INDEX('Work Orders'!$AH$11:$AH$1010,$B690)))</f>
        <v/>
      </c>
      <c r="M690" s="46">
        <f>IF($B690="","",IF(INDEX('Work Orders'!$AM$11:$AM$1010,$B690)="","",INDEX('Work Orders'!$AM$11:$AM$1010,$B690)))</f>
        <v/>
      </c>
      <c r="N690" s="43">
        <f>IF($B690="","",IF(INDEX('Work Orders'!$AL$11:$AL$1010,$B690)="","",INDEX('Work Orders'!$AL$11:$AL$1010,$B690)))</f>
        <v/>
      </c>
      <c r="O690" s="43">
        <f>IF($B690="","",IF(INDEX('Work Orders'!$N$11:$N$1010,$B690)="","",INDEX('Work Orders'!$N$11:$N$1010,$B690)))</f>
        <v/>
      </c>
    </row>
    <row r="691">
      <c r="A691" s="68" t="n">
        <v>685</v>
      </c>
      <c r="B691">
        <f>IFERROR(MATCH(A691,'Work Orders'!$AO$11:$AO$1010,0),"")</f>
        <v/>
      </c>
      <c r="C691" s="43">
        <f>IF($B691="","",IF(INDEX('Work Orders'!$A$11:$A$1010,$B691)="","",INDEX('Work Orders'!$A$11:$A$1010,$B691)))</f>
        <v/>
      </c>
      <c r="D691" s="43">
        <f>IF($B691="","",IF(INDEX('Work Orders'!$B$11:$B$1010,$B691)="","",INDEX('Work Orders'!$B$11:$B$1010,$B691)))</f>
        <v/>
      </c>
      <c r="E691" s="43">
        <f>IF($B691="","",IF(INDEX('Work Orders'!$D$11:$D$1010,$B691)="","",INDEX('Work Orders'!$D$11:$D$1010,$B691)))</f>
        <v/>
      </c>
      <c r="F691" s="43">
        <f>IF($B691="","",IF(INDEX('Work Orders'!$Q$11:$Q$1010,$B691)="","",INDEX('Work Orders'!$Q$11:$Q$1010,$B691)))</f>
        <v/>
      </c>
      <c r="G691" s="43">
        <f>IF($B691="","",IF(INDEX('Work Orders'!$V$11:$V$1010,$B691)="","",INDEX('Work Orders'!$V$11:$V$1010,$B691)))</f>
        <v/>
      </c>
      <c r="H691" s="47">
        <f>IF($B691="","",IF(INDEX('Work Orders'!$U$11:$U$1010,$B691)="","",INDEX('Work Orders'!$U$11:$U$1010,$B691)))</f>
        <v/>
      </c>
      <c r="I691" s="47">
        <f>IF($B691="","",IF(INDEX('Work Orders'!$X$11:$X$1010,$B691)="","",INDEX('Work Orders'!$X$11:$X$1010,$B691)))</f>
        <v/>
      </c>
      <c r="J691" s="44">
        <f>IF($B691="","",IF(INDEX('Work Orders'!$Z$11:$Z$1010,$B691)="","",INDEX('Work Orders'!$Z$11:$Z$1010,$B691)))</f>
        <v/>
      </c>
      <c r="K691" s="44">
        <f>IF($B691="","",IF(INDEX('Work Orders'!$AG$11:$AG$1010,$B691)="","",INDEX('Work Orders'!$AG$11:$AG$1010,$B691)))</f>
        <v/>
      </c>
      <c r="L691" s="44">
        <f>IF($B691="","",IF(INDEX('Work Orders'!$AH$11:$AH$1010,$B691)="","",INDEX('Work Orders'!$AH$11:$AH$1010,$B691)))</f>
        <v/>
      </c>
      <c r="M691" s="46">
        <f>IF($B691="","",IF(INDEX('Work Orders'!$AM$11:$AM$1010,$B691)="","",INDEX('Work Orders'!$AM$11:$AM$1010,$B691)))</f>
        <v/>
      </c>
      <c r="N691" s="43">
        <f>IF($B691="","",IF(INDEX('Work Orders'!$AL$11:$AL$1010,$B691)="","",INDEX('Work Orders'!$AL$11:$AL$1010,$B691)))</f>
        <v/>
      </c>
      <c r="O691" s="43">
        <f>IF($B691="","",IF(INDEX('Work Orders'!$N$11:$N$1010,$B691)="","",INDEX('Work Orders'!$N$11:$N$1010,$B691)))</f>
        <v/>
      </c>
    </row>
    <row r="692">
      <c r="A692" s="68" t="n">
        <v>686</v>
      </c>
      <c r="B692">
        <f>IFERROR(MATCH(A692,'Work Orders'!$AO$11:$AO$1010,0),"")</f>
        <v/>
      </c>
      <c r="C692" s="43">
        <f>IF($B692="","",IF(INDEX('Work Orders'!$A$11:$A$1010,$B692)="","",INDEX('Work Orders'!$A$11:$A$1010,$B692)))</f>
        <v/>
      </c>
      <c r="D692" s="43">
        <f>IF($B692="","",IF(INDEX('Work Orders'!$B$11:$B$1010,$B692)="","",INDEX('Work Orders'!$B$11:$B$1010,$B692)))</f>
        <v/>
      </c>
      <c r="E692" s="43">
        <f>IF($B692="","",IF(INDEX('Work Orders'!$D$11:$D$1010,$B692)="","",INDEX('Work Orders'!$D$11:$D$1010,$B692)))</f>
        <v/>
      </c>
      <c r="F692" s="43">
        <f>IF($B692="","",IF(INDEX('Work Orders'!$Q$11:$Q$1010,$B692)="","",INDEX('Work Orders'!$Q$11:$Q$1010,$B692)))</f>
        <v/>
      </c>
      <c r="G692" s="43">
        <f>IF($B692="","",IF(INDEX('Work Orders'!$V$11:$V$1010,$B692)="","",INDEX('Work Orders'!$V$11:$V$1010,$B692)))</f>
        <v/>
      </c>
      <c r="H692" s="47">
        <f>IF($B692="","",IF(INDEX('Work Orders'!$U$11:$U$1010,$B692)="","",INDEX('Work Orders'!$U$11:$U$1010,$B692)))</f>
        <v/>
      </c>
      <c r="I692" s="47">
        <f>IF($B692="","",IF(INDEX('Work Orders'!$X$11:$X$1010,$B692)="","",INDEX('Work Orders'!$X$11:$X$1010,$B692)))</f>
        <v/>
      </c>
      <c r="J692" s="44">
        <f>IF($B692="","",IF(INDEX('Work Orders'!$Z$11:$Z$1010,$B692)="","",INDEX('Work Orders'!$Z$11:$Z$1010,$B692)))</f>
        <v/>
      </c>
      <c r="K692" s="44">
        <f>IF($B692="","",IF(INDEX('Work Orders'!$AG$11:$AG$1010,$B692)="","",INDEX('Work Orders'!$AG$11:$AG$1010,$B692)))</f>
        <v/>
      </c>
      <c r="L692" s="44">
        <f>IF($B692="","",IF(INDEX('Work Orders'!$AH$11:$AH$1010,$B692)="","",INDEX('Work Orders'!$AH$11:$AH$1010,$B692)))</f>
        <v/>
      </c>
      <c r="M692" s="46">
        <f>IF($B692="","",IF(INDEX('Work Orders'!$AM$11:$AM$1010,$B692)="","",INDEX('Work Orders'!$AM$11:$AM$1010,$B692)))</f>
        <v/>
      </c>
      <c r="N692" s="43">
        <f>IF($B692="","",IF(INDEX('Work Orders'!$AL$11:$AL$1010,$B692)="","",INDEX('Work Orders'!$AL$11:$AL$1010,$B692)))</f>
        <v/>
      </c>
      <c r="O692" s="43">
        <f>IF($B692="","",IF(INDEX('Work Orders'!$N$11:$N$1010,$B692)="","",INDEX('Work Orders'!$N$11:$N$1010,$B692)))</f>
        <v/>
      </c>
    </row>
    <row r="693">
      <c r="A693" s="68" t="n">
        <v>687</v>
      </c>
      <c r="B693">
        <f>IFERROR(MATCH(A693,'Work Orders'!$AO$11:$AO$1010,0),"")</f>
        <v/>
      </c>
      <c r="C693" s="43">
        <f>IF($B693="","",IF(INDEX('Work Orders'!$A$11:$A$1010,$B693)="","",INDEX('Work Orders'!$A$11:$A$1010,$B693)))</f>
        <v/>
      </c>
      <c r="D693" s="43">
        <f>IF($B693="","",IF(INDEX('Work Orders'!$B$11:$B$1010,$B693)="","",INDEX('Work Orders'!$B$11:$B$1010,$B693)))</f>
        <v/>
      </c>
      <c r="E693" s="43">
        <f>IF($B693="","",IF(INDEX('Work Orders'!$D$11:$D$1010,$B693)="","",INDEX('Work Orders'!$D$11:$D$1010,$B693)))</f>
        <v/>
      </c>
      <c r="F693" s="43">
        <f>IF($B693="","",IF(INDEX('Work Orders'!$Q$11:$Q$1010,$B693)="","",INDEX('Work Orders'!$Q$11:$Q$1010,$B693)))</f>
        <v/>
      </c>
      <c r="G693" s="43">
        <f>IF($B693="","",IF(INDEX('Work Orders'!$V$11:$V$1010,$B693)="","",INDEX('Work Orders'!$V$11:$V$1010,$B693)))</f>
        <v/>
      </c>
      <c r="H693" s="47">
        <f>IF($B693="","",IF(INDEX('Work Orders'!$U$11:$U$1010,$B693)="","",INDEX('Work Orders'!$U$11:$U$1010,$B693)))</f>
        <v/>
      </c>
      <c r="I693" s="47">
        <f>IF($B693="","",IF(INDEX('Work Orders'!$X$11:$X$1010,$B693)="","",INDEX('Work Orders'!$X$11:$X$1010,$B693)))</f>
        <v/>
      </c>
      <c r="J693" s="44">
        <f>IF($B693="","",IF(INDEX('Work Orders'!$Z$11:$Z$1010,$B693)="","",INDEX('Work Orders'!$Z$11:$Z$1010,$B693)))</f>
        <v/>
      </c>
      <c r="K693" s="44">
        <f>IF($B693="","",IF(INDEX('Work Orders'!$AG$11:$AG$1010,$B693)="","",INDEX('Work Orders'!$AG$11:$AG$1010,$B693)))</f>
        <v/>
      </c>
      <c r="L693" s="44">
        <f>IF($B693="","",IF(INDEX('Work Orders'!$AH$11:$AH$1010,$B693)="","",INDEX('Work Orders'!$AH$11:$AH$1010,$B693)))</f>
        <v/>
      </c>
      <c r="M693" s="46">
        <f>IF($B693="","",IF(INDEX('Work Orders'!$AM$11:$AM$1010,$B693)="","",INDEX('Work Orders'!$AM$11:$AM$1010,$B693)))</f>
        <v/>
      </c>
      <c r="N693" s="43">
        <f>IF($B693="","",IF(INDEX('Work Orders'!$AL$11:$AL$1010,$B693)="","",INDEX('Work Orders'!$AL$11:$AL$1010,$B693)))</f>
        <v/>
      </c>
      <c r="O693" s="43">
        <f>IF($B693="","",IF(INDEX('Work Orders'!$N$11:$N$1010,$B693)="","",INDEX('Work Orders'!$N$11:$N$1010,$B693)))</f>
        <v/>
      </c>
    </row>
    <row r="694">
      <c r="A694" s="68" t="n">
        <v>688</v>
      </c>
      <c r="B694">
        <f>IFERROR(MATCH(A694,'Work Orders'!$AO$11:$AO$1010,0),"")</f>
        <v/>
      </c>
      <c r="C694" s="43">
        <f>IF($B694="","",IF(INDEX('Work Orders'!$A$11:$A$1010,$B694)="","",INDEX('Work Orders'!$A$11:$A$1010,$B694)))</f>
        <v/>
      </c>
      <c r="D694" s="43">
        <f>IF($B694="","",IF(INDEX('Work Orders'!$B$11:$B$1010,$B694)="","",INDEX('Work Orders'!$B$11:$B$1010,$B694)))</f>
        <v/>
      </c>
      <c r="E694" s="43">
        <f>IF($B694="","",IF(INDEX('Work Orders'!$D$11:$D$1010,$B694)="","",INDEX('Work Orders'!$D$11:$D$1010,$B694)))</f>
        <v/>
      </c>
      <c r="F694" s="43">
        <f>IF($B694="","",IF(INDEX('Work Orders'!$Q$11:$Q$1010,$B694)="","",INDEX('Work Orders'!$Q$11:$Q$1010,$B694)))</f>
        <v/>
      </c>
      <c r="G694" s="43">
        <f>IF($B694="","",IF(INDEX('Work Orders'!$V$11:$V$1010,$B694)="","",INDEX('Work Orders'!$V$11:$V$1010,$B694)))</f>
        <v/>
      </c>
      <c r="H694" s="47">
        <f>IF($B694="","",IF(INDEX('Work Orders'!$U$11:$U$1010,$B694)="","",INDEX('Work Orders'!$U$11:$U$1010,$B694)))</f>
        <v/>
      </c>
      <c r="I694" s="47">
        <f>IF($B694="","",IF(INDEX('Work Orders'!$X$11:$X$1010,$B694)="","",INDEX('Work Orders'!$X$11:$X$1010,$B694)))</f>
        <v/>
      </c>
      <c r="J694" s="44">
        <f>IF($B694="","",IF(INDEX('Work Orders'!$Z$11:$Z$1010,$B694)="","",INDEX('Work Orders'!$Z$11:$Z$1010,$B694)))</f>
        <v/>
      </c>
      <c r="K694" s="44">
        <f>IF($B694="","",IF(INDEX('Work Orders'!$AG$11:$AG$1010,$B694)="","",INDEX('Work Orders'!$AG$11:$AG$1010,$B694)))</f>
        <v/>
      </c>
      <c r="L694" s="44">
        <f>IF($B694="","",IF(INDEX('Work Orders'!$AH$11:$AH$1010,$B694)="","",INDEX('Work Orders'!$AH$11:$AH$1010,$B694)))</f>
        <v/>
      </c>
      <c r="M694" s="46">
        <f>IF($B694="","",IF(INDEX('Work Orders'!$AM$11:$AM$1010,$B694)="","",INDEX('Work Orders'!$AM$11:$AM$1010,$B694)))</f>
        <v/>
      </c>
      <c r="N694" s="43">
        <f>IF($B694="","",IF(INDEX('Work Orders'!$AL$11:$AL$1010,$B694)="","",INDEX('Work Orders'!$AL$11:$AL$1010,$B694)))</f>
        <v/>
      </c>
      <c r="O694" s="43">
        <f>IF($B694="","",IF(INDEX('Work Orders'!$N$11:$N$1010,$B694)="","",INDEX('Work Orders'!$N$11:$N$1010,$B694)))</f>
        <v/>
      </c>
    </row>
    <row r="695">
      <c r="A695" s="68" t="n">
        <v>689</v>
      </c>
      <c r="B695">
        <f>IFERROR(MATCH(A695,'Work Orders'!$AO$11:$AO$1010,0),"")</f>
        <v/>
      </c>
      <c r="C695" s="43">
        <f>IF($B695="","",IF(INDEX('Work Orders'!$A$11:$A$1010,$B695)="","",INDEX('Work Orders'!$A$11:$A$1010,$B695)))</f>
        <v/>
      </c>
      <c r="D695" s="43">
        <f>IF($B695="","",IF(INDEX('Work Orders'!$B$11:$B$1010,$B695)="","",INDEX('Work Orders'!$B$11:$B$1010,$B695)))</f>
        <v/>
      </c>
      <c r="E695" s="43">
        <f>IF($B695="","",IF(INDEX('Work Orders'!$D$11:$D$1010,$B695)="","",INDEX('Work Orders'!$D$11:$D$1010,$B695)))</f>
        <v/>
      </c>
      <c r="F695" s="43">
        <f>IF($B695="","",IF(INDEX('Work Orders'!$Q$11:$Q$1010,$B695)="","",INDEX('Work Orders'!$Q$11:$Q$1010,$B695)))</f>
        <v/>
      </c>
      <c r="G695" s="43">
        <f>IF($B695="","",IF(INDEX('Work Orders'!$V$11:$V$1010,$B695)="","",INDEX('Work Orders'!$V$11:$V$1010,$B695)))</f>
        <v/>
      </c>
      <c r="H695" s="47">
        <f>IF($B695="","",IF(INDEX('Work Orders'!$U$11:$U$1010,$B695)="","",INDEX('Work Orders'!$U$11:$U$1010,$B695)))</f>
        <v/>
      </c>
      <c r="I695" s="47">
        <f>IF($B695="","",IF(INDEX('Work Orders'!$X$11:$X$1010,$B695)="","",INDEX('Work Orders'!$X$11:$X$1010,$B695)))</f>
        <v/>
      </c>
      <c r="J695" s="44">
        <f>IF($B695="","",IF(INDEX('Work Orders'!$Z$11:$Z$1010,$B695)="","",INDEX('Work Orders'!$Z$11:$Z$1010,$B695)))</f>
        <v/>
      </c>
      <c r="K695" s="44">
        <f>IF($B695="","",IF(INDEX('Work Orders'!$AG$11:$AG$1010,$B695)="","",INDEX('Work Orders'!$AG$11:$AG$1010,$B695)))</f>
        <v/>
      </c>
      <c r="L695" s="44">
        <f>IF($B695="","",IF(INDEX('Work Orders'!$AH$11:$AH$1010,$B695)="","",INDEX('Work Orders'!$AH$11:$AH$1010,$B695)))</f>
        <v/>
      </c>
      <c r="M695" s="46">
        <f>IF($B695="","",IF(INDEX('Work Orders'!$AM$11:$AM$1010,$B695)="","",INDEX('Work Orders'!$AM$11:$AM$1010,$B695)))</f>
        <v/>
      </c>
      <c r="N695" s="43">
        <f>IF($B695="","",IF(INDEX('Work Orders'!$AL$11:$AL$1010,$B695)="","",INDEX('Work Orders'!$AL$11:$AL$1010,$B695)))</f>
        <v/>
      </c>
      <c r="O695" s="43">
        <f>IF($B695="","",IF(INDEX('Work Orders'!$N$11:$N$1010,$B695)="","",INDEX('Work Orders'!$N$11:$N$1010,$B695)))</f>
        <v/>
      </c>
    </row>
    <row r="696">
      <c r="A696" s="68" t="n">
        <v>690</v>
      </c>
      <c r="B696">
        <f>IFERROR(MATCH(A696,'Work Orders'!$AO$11:$AO$1010,0),"")</f>
        <v/>
      </c>
      <c r="C696" s="43">
        <f>IF($B696="","",IF(INDEX('Work Orders'!$A$11:$A$1010,$B696)="","",INDEX('Work Orders'!$A$11:$A$1010,$B696)))</f>
        <v/>
      </c>
      <c r="D696" s="43">
        <f>IF($B696="","",IF(INDEX('Work Orders'!$B$11:$B$1010,$B696)="","",INDEX('Work Orders'!$B$11:$B$1010,$B696)))</f>
        <v/>
      </c>
      <c r="E696" s="43">
        <f>IF($B696="","",IF(INDEX('Work Orders'!$D$11:$D$1010,$B696)="","",INDEX('Work Orders'!$D$11:$D$1010,$B696)))</f>
        <v/>
      </c>
      <c r="F696" s="43">
        <f>IF($B696="","",IF(INDEX('Work Orders'!$Q$11:$Q$1010,$B696)="","",INDEX('Work Orders'!$Q$11:$Q$1010,$B696)))</f>
        <v/>
      </c>
      <c r="G696" s="43">
        <f>IF($B696="","",IF(INDEX('Work Orders'!$V$11:$V$1010,$B696)="","",INDEX('Work Orders'!$V$11:$V$1010,$B696)))</f>
        <v/>
      </c>
      <c r="H696" s="47">
        <f>IF($B696="","",IF(INDEX('Work Orders'!$U$11:$U$1010,$B696)="","",INDEX('Work Orders'!$U$11:$U$1010,$B696)))</f>
        <v/>
      </c>
      <c r="I696" s="47">
        <f>IF($B696="","",IF(INDEX('Work Orders'!$X$11:$X$1010,$B696)="","",INDEX('Work Orders'!$X$11:$X$1010,$B696)))</f>
        <v/>
      </c>
      <c r="J696" s="44">
        <f>IF($B696="","",IF(INDEX('Work Orders'!$Z$11:$Z$1010,$B696)="","",INDEX('Work Orders'!$Z$11:$Z$1010,$B696)))</f>
        <v/>
      </c>
      <c r="K696" s="44">
        <f>IF($B696="","",IF(INDEX('Work Orders'!$AG$11:$AG$1010,$B696)="","",INDEX('Work Orders'!$AG$11:$AG$1010,$B696)))</f>
        <v/>
      </c>
      <c r="L696" s="44">
        <f>IF($B696="","",IF(INDEX('Work Orders'!$AH$11:$AH$1010,$B696)="","",INDEX('Work Orders'!$AH$11:$AH$1010,$B696)))</f>
        <v/>
      </c>
      <c r="M696" s="46">
        <f>IF($B696="","",IF(INDEX('Work Orders'!$AM$11:$AM$1010,$B696)="","",INDEX('Work Orders'!$AM$11:$AM$1010,$B696)))</f>
        <v/>
      </c>
      <c r="N696" s="43">
        <f>IF($B696="","",IF(INDEX('Work Orders'!$AL$11:$AL$1010,$B696)="","",INDEX('Work Orders'!$AL$11:$AL$1010,$B696)))</f>
        <v/>
      </c>
      <c r="O696" s="43">
        <f>IF($B696="","",IF(INDEX('Work Orders'!$N$11:$N$1010,$B696)="","",INDEX('Work Orders'!$N$11:$N$1010,$B696)))</f>
        <v/>
      </c>
    </row>
    <row r="697">
      <c r="A697" s="68" t="n">
        <v>691</v>
      </c>
      <c r="B697">
        <f>IFERROR(MATCH(A697,'Work Orders'!$AO$11:$AO$1010,0),"")</f>
        <v/>
      </c>
      <c r="C697" s="43">
        <f>IF($B697="","",IF(INDEX('Work Orders'!$A$11:$A$1010,$B697)="","",INDEX('Work Orders'!$A$11:$A$1010,$B697)))</f>
        <v/>
      </c>
      <c r="D697" s="43">
        <f>IF($B697="","",IF(INDEX('Work Orders'!$B$11:$B$1010,$B697)="","",INDEX('Work Orders'!$B$11:$B$1010,$B697)))</f>
        <v/>
      </c>
      <c r="E697" s="43">
        <f>IF($B697="","",IF(INDEX('Work Orders'!$D$11:$D$1010,$B697)="","",INDEX('Work Orders'!$D$11:$D$1010,$B697)))</f>
        <v/>
      </c>
      <c r="F697" s="43">
        <f>IF($B697="","",IF(INDEX('Work Orders'!$Q$11:$Q$1010,$B697)="","",INDEX('Work Orders'!$Q$11:$Q$1010,$B697)))</f>
        <v/>
      </c>
      <c r="G697" s="43">
        <f>IF($B697="","",IF(INDEX('Work Orders'!$V$11:$V$1010,$B697)="","",INDEX('Work Orders'!$V$11:$V$1010,$B697)))</f>
        <v/>
      </c>
      <c r="H697" s="47">
        <f>IF($B697="","",IF(INDEX('Work Orders'!$U$11:$U$1010,$B697)="","",INDEX('Work Orders'!$U$11:$U$1010,$B697)))</f>
        <v/>
      </c>
      <c r="I697" s="47">
        <f>IF($B697="","",IF(INDEX('Work Orders'!$X$11:$X$1010,$B697)="","",INDEX('Work Orders'!$X$11:$X$1010,$B697)))</f>
        <v/>
      </c>
      <c r="J697" s="44">
        <f>IF($B697="","",IF(INDEX('Work Orders'!$Z$11:$Z$1010,$B697)="","",INDEX('Work Orders'!$Z$11:$Z$1010,$B697)))</f>
        <v/>
      </c>
      <c r="K697" s="44">
        <f>IF($B697="","",IF(INDEX('Work Orders'!$AG$11:$AG$1010,$B697)="","",INDEX('Work Orders'!$AG$11:$AG$1010,$B697)))</f>
        <v/>
      </c>
      <c r="L697" s="44">
        <f>IF($B697="","",IF(INDEX('Work Orders'!$AH$11:$AH$1010,$B697)="","",INDEX('Work Orders'!$AH$11:$AH$1010,$B697)))</f>
        <v/>
      </c>
      <c r="M697" s="46">
        <f>IF($B697="","",IF(INDEX('Work Orders'!$AM$11:$AM$1010,$B697)="","",INDEX('Work Orders'!$AM$11:$AM$1010,$B697)))</f>
        <v/>
      </c>
      <c r="N697" s="43">
        <f>IF($B697="","",IF(INDEX('Work Orders'!$AL$11:$AL$1010,$B697)="","",INDEX('Work Orders'!$AL$11:$AL$1010,$B697)))</f>
        <v/>
      </c>
      <c r="O697" s="43">
        <f>IF($B697="","",IF(INDEX('Work Orders'!$N$11:$N$1010,$B697)="","",INDEX('Work Orders'!$N$11:$N$1010,$B697)))</f>
        <v/>
      </c>
    </row>
    <row r="698">
      <c r="A698" s="68" t="n">
        <v>692</v>
      </c>
      <c r="B698">
        <f>IFERROR(MATCH(A698,'Work Orders'!$AO$11:$AO$1010,0),"")</f>
        <v/>
      </c>
      <c r="C698" s="43">
        <f>IF($B698="","",IF(INDEX('Work Orders'!$A$11:$A$1010,$B698)="","",INDEX('Work Orders'!$A$11:$A$1010,$B698)))</f>
        <v/>
      </c>
      <c r="D698" s="43">
        <f>IF($B698="","",IF(INDEX('Work Orders'!$B$11:$B$1010,$B698)="","",INDEX('Work Orders'!$B$11:$B$1010,$B698)))</f>
        <v/>
      </c>
      <c r="E698" s="43">
        <f>IF($B698="","",IF(INDEX('Work Orders'!$D$11:$D$1010,$B698)="","",INDEX('Work Orders'!$D$11:$D$1010,$B698)))</f>
        <v/>
      </c>
      <c r="F698" s="43">
        <f>IF($B698="","",IF(INDEX('Work Orders'!$Q$11:$Q$1010,$B698)="","",INDEX('Work Orders'!$Q$11:$Q$1010,$B698)))</f>
        <v/>
      </c>
      <c r="G698" s="43">
        <f>IF($B698="","",IF(INDEX('Work Orders'!$V$11:$V$1010,$B698)="","",INDEX('Work Orders'!$V$11:$V$1010,$B698)))</f>
        <v/>
      </c>
      <c r="H698" s="47">
        <f>IF($B698="","",IF(INDEX('Work Orders'!$U$11:$U$1010,$B698)="","",INDEX('Work Orders'!$U$11:$U$1010,$B698)))</f>
        <v/>
      </c>
      <c r="I698" s="47">
        <f>IF($B698="","",IF(INDEX('Work Orders'!$X$11:$X$1010,$B698)="","",INDEX('Work Orders'!$X$11:$X$1010,$B698)))</f>
        <v/>
      </c>
      <c r="J698" s="44">
        <f>IF($B698="","",IF(INDEX('Work Orders'!$Z$11:$Z$1010,$B698)="","",INDEX('Work Orders'!$Z$11:$Z$1010,$B698)))</f>
        <v/>
      </c>
      <c r="K698" s="44">
        <f>IF($B698="","",IF(INDEX('Work Orders'!$AG$11:$AG$1010,$B698)="","",INDEX('Work Orders'!$AG$11:$AG$1010,$B698)))</f>
        <v/>
      </c>
      <c r="L698" s="44">
        <f>IF($B698="","",IF(INDEX('Work Orders'!$AH$11:$AH$1010,$B698)="","",INDEX('Work Orders'!$AH$11:$AH$1010,$B698)))</f>
        <v/>
      </c>
      <c r="M698" s="46">
        <f>IF($B698="","",IF(INDEX('Work Orders'!$AM$11:$AM$1010,$B698)="","",INDEX('Work Orders'!$AM$11:$AM$1010,$B698)))</f>
        <v/>
      </c>
      <c r="N698" s="43">
        <f>IF($B698="","",IF(INDEX('Work Orders'!$AL$11:$AL$1010,$B698)="","",INDEX('Work Orders'!$AL$11:$AL$1010,$B698)))</f>
        <v/>
      </c>
      <c r="O698" s="43">
        <f>IF($B698="","",IF(INDEX('Work Orders'!$N$11:$N$1010,$B698)="","",INDEX('Work Orders'!$N$11:$N$1010,$B698)))</f>
        <v/>
      </c>
    </row>
    <row r="699">
      <c r="A699" s="68" t="n">
        <v>693</v>
      </c>
      <c r="B699">
        <f>IFERROR(MATCH(A699,'Work Orders'!$AO$11:$AO$1010,0),"")</f>
        <v/>
      </c>
      <c r="C699" s="43">
        <f>IF($B699="","",IF(INDEX('Work Orders'!$A$11:$A$1010,$B699)="","",INDEX('Work Orders'!$A$11:$A$1010,$B699)))</f>
        <v/>
      </c>
      <c r="D699" s="43">
        <f>IF($B699="","",IF(INDEX('Work Orders'!$B$11:$B$1010,$B699)="","",INDEX('Work Orders'!$B$11:$B$1010,$B699)))</f>
        <v/>
      </c>
      <c r="E699" s="43">
        <f>IF($B699="","",IF(INDEX('Work Orders'!$D$11:$D$1010,$B699)="","",INDEX('Work Orders'!$D$11:$D$1010,$B699)))</f>
        <v/>
      </c>
      <c r="F699" s="43">
        <f>IF($B699="","",IF(INDEX('Work Orders'!$Q$11:$Q$1010,$B699)="","",INDEX('Work Orders'!$Q$11:$Q$1010,$B699)))</f>
        <v/>
      </c>
      <c r="G699" s="43">
        <f>IF($B699="","",IF(INDEX('Work Orders'!$V$11:$V$1010,$B699)="","",INDEX('Work Orders'!$V$11:$V$1010,$B699)))</f>
        <v/>
      </c>
      <c r="H699" s="47">
        <f>IF($B699="","",IF(INDEX('Work Orders'!$U$11:$U$1010,$B699)="","",INDEX('Work Orders'!$U$11:$U$1010,$B699)))</f>
        <v/>
      </c>
      <c r="I699" s="47">
        <f>IF($B699="","",IF(INDEX('Work Orders'!$X$11:$X$1010,$B699)="","",INDEX('Work Orders'!$X$11:$X$1010,$B699)))</f>
        <v/>
      </c>
      <c r="J699" s="44">
        <f>IF($B699="","",IF(INDEX('Work Orders'!$Z$11:$Z$1010,$B699)="","",INDEX('Work Orders'!$Z$11:$Z$1010,$B699)))</f>
        <v/>
      </c>
      <c r="K699" s="44">
        <f>IF($B699="","",IF(INDEX('Work Orders'!$AG$11:$AG$1010,$B699)="","",INDEX('Work Orders'!$AG$11:$AG$1010,$B699)))</f>
        <v/>
      </c>
      <c r="L699" s="44">
        <f>IF($B699="","",IF(INDEX('Work Orders'!$AH$11:$AH$1010,$B699)="","",INDEX('Work Orders'!$AH$11:$AH$1010,$B699)))</f>
        <v/>
      </c>
      <c r="M699" s="46">
        <f>IF($B699="","",IF(INDEX('Work Orders'!$AM$11:$AM$1010,$B699)="","",INDEX('Work Orders'!$AM$11:$AM$1010,$B699)))</f>
        <v/>
      </c>
      <c r="N699" s="43">
        <f>IF($B699="","",IF(INDEX('Work Orders'!$AL$11:$AL$1010,$B699)="","",INDEX('Work Orders'!$AL$11:$AL$1010,$B699)))</f>
        <v/>
      </c>
      <c r="O699" s="43">
        <f>IF($B699="","",IF(INDEX('Work Orders'!$N$11:$N$1010,$B699)="","",INDEX('Work Orders'!$N$11:$N$1010,$B699)))</f>
        <v/>
      </c>
    </row>
    <row r="700">
      <c r="A700" s="68" t="n">
        <v>694</v>
      </c>
      <c r="B700">
        <f>IFERROR(MATCH(A700,'Work Orders'!$AO$11:$AO$1010,0),"")</f>
        <v/>
      </c>
      <c r="C700" s="43">
        <f>IF($B700="","",IF(INDEX('Work Orders'!$A$11:$A$1010,$B700)="","",INDEX('Work Orders'!$A$11:$A$1010,$B700)))</f>
        <v/>
      </c>
      <c r="D700" s="43">
        <f>IF($B700="","",IF(INDEX('Work Orders'!$B$11:$B$1010,$B700)="","",INDEX('Work Orders'!$B$11:$B$1010,$B700)))</f>
        <v/>
      </c>
      <c r="E700" s="43">
        <f>IF($B700="","",IF(INDEX('Work Orders'!$D$11:$D$1010,$B700)="","",INDEX('Work Orders'!$D$11:$D$1010,$B700)))</f>
        <v/>
      </c>
      <c r="F700" s="43">
        <f>IF($B700="","",IF(INDEX('Work Orders'!$Q$11:$Q$1010,$B700)="","",INDEX('Work Orders'!$Q$11:$Q$1010,$B700)))</f>
        <v/>
      </c>
      <c r="G700" s="43">
        <f>IF($B700="","",IF(INDEX('Work Orders'!$V$11:$V$1010,$B700)="","",INDEX('Work Orders'!$V$11:$V$1010,$B700)))</f>
        <v/>
      </c>
      <c r="H700" s="47">
        <f>IF($B700="","",IF(INDEX('Work Orders'!$U$11:$U$1010,$B700)="","",INDEX('Work Orders'!$U$11:$U$1010,$B700)))</f>
        <v/>
      </c>
      <c r="I700" s="47">
        <f>IF($B700="","",IF(INDEX('Work Orders'!$X$11:$X$1010,$B700)="","",INDEX('Work Orders'!$X$11:$X$1010,$B700)))</f>
        <v/>
      </c>
      <c r="J700" s="44">
        <f>IF($B700="","",IF(INDEX('Work Orders'!$Z$11:$Z$1010,$B700)="","",INDEX('Work Orders'!$Z$11:$Z$1010,$B700)))</f>
        <v/>
      </c>
      <c r="K700" s="44">
        <f>IF($B700="","",IF(INDEX('Work Orders'!$AG$11:$AG$1010,$B700)="","",INDEX('Work Orders'!$AG$11:$AG$1010,$B700)))</f>
        <v/>
      </c>
      <c r="L700" s="44">
        <f>IF($B700="","",IF(INDEX('Work Orders'!$AH$11:$AH$1010,$B700)="","",INDEX('Work Orders'!$AH$11:$AH$1010,$B700)))</f>
        <v/>
      </c>
      <c r="M700" s="46">
        <f>IF($B700="","",IF(INDEX('Work Orders'!$AM$11:$AM$1010,$B700)="","",INDEX('Work Orders'!$AM$11:$AM$1010,$B700)))</f>
        <v/>
      </c>
      <c r="N700" s="43">
        <f>IF($B700="","",IF(INDEX('Work Orders'!$AL$11:$AL$1010,$B700)="","",INDEX('Work Orders'!$AL$11:$AL$1010,$B700)))</f>
        <v/>
      </c>
      <c r="O700" s="43">
        <f>IF($B700="","",IF(INDEX('Work Orders'!$N$11:$N$1010,$B700)="","",INDEX('Work Orders'!$N$11:$N$1010,$B700)))</f>
        <v/>
      </c>
    </row>
    <row r="701">
      <c r="A701" s="68" t="n">
        <v>695</v>
      </c>
      <c r="B701">
        <f>IFERROR(MATCH(A701,'Work Orders'!$AO$11:$AO$1010,0),"")</f>
        <v/>
      </c>
      <c r="C701" s="43">
        <f>IF($B701="","",IF(INDEX('Work Orders'!$A$11:$A$1010,$B701)="","",INDEX('Work Orders'!$A$11:$A$1010,$B701)))</f>
        <v/>
      </c>
      <c r="D701" s="43">
        <f>IF($B701="","",IF(INDEX('Work Orders'!$B$11:$B$1010,$B701)="","",INDEX('Work Orders'!$B$11:$B$1010,$B701)))</f>
        <v/>
      </c>
      <c r="E701" s="43">
        <f>IF($B701="","",IF(INDEX('Work Orders'!$D$11:$D$1010,$B701)="","",INDEX('Work Orders'!$D$11:$D$1010,$B701)))</f>
        <v/>
      </c>
      <c r="F701" s="43">
        <f>IF($B701="","",IF(INDEX('Work Orders'!$Q$11:$Q$1010,$B701)="","",INDEX('Work Orders'!$Q$11:$Q$1010,$B701)))</f>
        <v/>
      </c>
      <c r="G701" s="43">
        <f>IF($B701="","",IF(INDEX('Work Orders'!$V$11:$V$1010,$B701)="","",INDEX('Work Orders'!$V$11:$V$1010,$B701)))</f>
        <v/>
      </c>
      <c r="H701" s="47">
        <f>IF($B701="","",IF(INDEX('Work Orders'!$U$11:$U$1010,$B701)="","",INDEX('Work Orders'!$U$11:$U$1010,$B701)))</f>
        <v/>
      </c>
      <c r="I701" s="47">
        <f>IF($B701="","",IF(INDEX('Work Orders'!$X$11:$X$1010,$B701)="","",INDEX('Work Orders'!$X$11:$X$1010,$B701)))</f>
        <v/>
      </c>
      <c r="J701" s="44">
        <f>IF($B701="","",IF(INDEX('Work Orders'!$Z$11:$Z$1010,$B701)="","",INDEX('Work Orders'!$Z$11:$Z$1010,$B701)))</f>
        <v/>
      </c>
      <c r="K701" s="44">
        <f>IF($B701="","",IF(INDEX('Work Orders'!$AG$11:$AG$1010,$B701)="","",INDEX('Work Orders'!$AG$11:$AG$1010,$B701)))</f>
        <v/>
      </c>
      <c r="L701" s="44">
        <f>IF($B701="","",IF(INDEX('Work Orders'!$AH$11:$AH$1010,$B701)="","",INDEX('Work Orders'!$AH$11:$AH$1010,$B701)))</f>
        <v/>
      </c>
      <c r="M701" s="46">
        <f>IF($B701="","",IF(INDEX('Work Orders'!$AM$11:$AM$1010,$B701)="","",INDEX('Work Orders'!$AM$11:$AM$1010,$B701)))</f>
        <v/>
      </c>
      <c r="N701" s="43">
        <f>IF($B701="","",IF(INDEX('Work Orders'!$AL$11:$AL$1010,$B701)="","",INDEX('Work Orders'!$AL$11:$AL$1010,$B701)))</f>
        <v/>
      </c>
      <c r="O701" s="43">
        <f>IF($B701="","",IF(INDEX('Work Orders'!$N$11:$N$1010,$B701)="","",INDEX('Work Orders'!$N$11:$N$1010,$B701)))</f>
        <v/>
      </c>
    </row>
    <row r="702">
      <c r="A702" s="68" t="n">
        <v>696</v>
      </c>
      <c r="B702">
        <f>IFERROR(MATCH(A702,'Work Orders'!$AO$11:$AO$1010,0),"")</f>
        <v/>
      </c>
      <c r="C702" s="43">
        <f>IF($B702="","",IF(INDEX('Work Orders'!$A$11:$A$1010,$B702)="","",INDEX('Work Orders'!$A$11:$A$1010,$B702)))</f>
        <v/>
      </c>
      <c r="D702" s="43">
        <f>IF($B702="","",IF(INDEX('Work Orders'!$B$11:$B$1010,$B702)="","",INDEX('Work Orders'!$B$11:$B$1010,$B702)))</f>
        <v/>
      </c>
      <c r="E702" s="43">
        <f>IF($B702="","",IF(INDEX('Work Orders'!$D$11:$D$1010,$B702)="","",INDEX('Work Orders'!$D$11:$D$1010,$B702)))</f>
        <v/>
      </c>
      <c r="F702" s="43">
        <f>IF($B702="","",IF(INDEX('Work Orders'!$Q$11:$Q$1010,$B702)="","",INDEX('Work Orders'!$Q$11:$Q$1010,$B702)))</f>
        <v/>
      </c>
      <c r="G702" s="43">
        <f>IF($B702="","",IF(INDEX('Work Orders'!$V$11:$V$1010,$B702)="","",INDEX('Work Orders'!$V$11:$V$1010,$B702)))</f>
        <v/>
      </c>
      <c r="H702" s="47">
        <f>IF($B702="","",IF(INDEX('Work Orders'!$U$11:$U$1010,$B702)="","",INDEX('Work Orders'!$U$11:$U$1010,$B702)))</f>
        <v/>
      </c>
      <c r="I702" s="47">
        <f>IF($B702="","",IF(INDEX('Work Orders'!$X$11:$X$1010,$B702)="","",INDEX('Work Orders'!$X$11:$X$1010,$B702)))</f>
        <v/>
      </c>
      <c r="J702" s="44">
        <f>IF($B702="","",IF(INDEX('Work Orders'!$Z$11:$Z$1010,$B702)="","",INDEX('Work Orders'!$Z$11:$Z$1010,$B702)))</f>
        <v/>
      </c>
      <c r="K702" s="44">
        <f>IF($B702="","",IF(INDEX('Work Orders'!$AG$11:$AG$1010,$B702)="","",INDEX('Work Orders'!$AG$11:$AG$1010,$B702)))</f>
        <v/>
      </c>
      <c r="L702" s="44">
        <f>IF($B702="","",IF(INDEX('Work Orders'!$AH$11:$AH$1010,$B702)="","",INDEX('Work Orders'!$AH$11:$AH$1010,$B702)))</f>
        <v/>
      </c>
      <c r="M702" s="46">
        <f>IF($B702="","",IF(INDEX('Work Orders'!$AM$11:$AM$1010,$B702)="","",INDEX('Work Orders'!$AM$11:$AM$1010,$B702)))</f>
        <v/>
      </c>
      <c r="N702" s="43">
        <f>IF($B702="","",IF(INDEX('Work Orders'!$AL$11:$AL$1010,$B702)="","",INDEX('Work Orders'!$AL$11:$AL$1010,$B702)))</f>
        <v/>
      </c>
      <c r="O702" s="43">
        <f>IF($B702="","",IF(INDEX('Work Orders'!$N$11:$N$1010,$B702)="","",INDEX('Work Orders'!$N$11:$N$1010,$B702)))</f>
        <v/>
      </c>
    </row>
    <row r="703">
      <c r="A703" s="68" t="n">
        <v>697</v>
      </c>
      <c r="B703">
        <f>IFERROR(MATCH(A703,'Work Orders'!$AO$11:$AO$1010,0),"")</f>
        <v/>
      </c>
      <c r="C703" s="43">
        <f>IF($B703="","",IF(INDEX('Work Orders'!$A$11:$A$1010,$B703)="","",INDEX('Work Orders'!$A$11:$A$1010,$B703)))</f>
        <v/>
      </c>
      <c r="D703" s="43">
        <f>IF($B703="","",IF(INDEX('Work Orders'!$B$11:$B$1010,$B703)="","",INDEX('Work Orders'!$B$11:$B$1010,$B703)))</f>
        <v/>
      </c>
      <c r="E703" s="43">
        <f>IF($B703="","",IF(INDEX('Work Orders'!$D$11:$D$1010,$B703)="","",INDEX('Work Orders'!$D$11:$D$1010,$B703)))</f>
        <v/>
      </c>
      <c r="F703" s="43">
        <f>IF($B703="","",IF(INDEX('Work Orders'!$Q$11:$Q$1010,$B703)="","",INDEX('Work Orders'!$Q$11:$Q$1010,$B703)))</f>
        <v/>
      </c>
      <c r="G703" s="43">
        <f>IF($B703="","",IF(INDEX('Work Orders'!$V$11:$V$1010,$B703)="","",INDEX('Work Orders'!$V$11:$V$1010,$B703)))</f>
        <v/>
      </c>
      <c r="H703" s="47">
        <f>IF($B703="","",IF(INDEX('Work Orders'!$U$11:$U$1010,$B703)="","",INDEX('Work Orders'!$U$11:$U$1010,$B703)))</f>
        <v/>
      </c>
      <c r="I703" s="47">
        <f>IF($B703="","",IF(INDEX('Work Orders'!$X$11:$X$1010,$B703)="","",INDEX('Work Orders'!$X$11:$X$1010,$B703)))</f>
        <v/>
      </c>
      <c r="J703" s="44">
        <f>IF($B703="","",IF(INDEX('Work Orders'!$Z$11:$Z$1010,$B703)="","",INDEX('Work Orders'!$Z$11:$Z$1010,$B703)))</f>
        <v/>
      </c>
      <c r="K703" s="44">
        <f>IF($B703="","",IF(INDEX('Work Orders'!$AG$11:$AG$1010,$B703)="","",INDEX('Work Orders'!$AG$11:$AG$1010,$B703)))</f>
        <v/>
      </c>
      <c r="L703" s="44">
        <f>IF($B703="","",IF(INDEX('Work Orders'!$AH$11:$AH$1010,$B703)="","",INDEX('Work Orders'!$AH$11:$AH$1010,$B703)))</f>
        <v/>
      </c>
      <c r="M703" s="46">
        <f>IF($B703="","",IF(INDEX('Work Orders'!$AM$11:$AM$1010,$B703)="","",INDEX('Work Orders'!$AM$11:$AM$1010,$B703)))</f>
        <v/>
      </c>
      <c r="N703" s="43">
        <f>IF($B703="","",IF(INDEX('Work Orders'!$AL$11:$AL$1010,$B703)="","",INDEX('Work Orders'!$AL$11:$AL$1010,$B703)))</f>
        <v/>
      </c>
      <c r="O703" s="43">
        <f>IF($B703="","",IF(INDEX('Work Orders'!$N$11:$N$1010,$B703)="","",INDEX('Work Orders'!$N$11:$N$1010,$B703)))</f>
        <v/>
      </c>
    </row>
    <row r="704">
      <c r="A704" s="68" t="n">
        <v>698</v>
      </c>
      <c r="B704">
        <f>IFERROR(MATCH(A704,'Work Orders'!$AO$11:$AO$1010,0),"")</f>
        <v/>
      </c>
      <c r="C704" s="43">
        <f>IF($B704="","",IF(INDEX('Work Orders'!$A$11:$A$1010,$B704)="","",INDEX('Work Orders'!$A$11:$A$1010,$B704)))</f>
        <v/>
      </c>
      <c r="D704" s="43">
        <f>IF($B704="","",IF(INDEX('Work Orders'!$B$11:$B$1010,$B704)="","",INDEX('Work Orders'!$B$11:$B$1010,$B704)))</f>
        <v/>
      </c>
      <c r="E704" s="43">
        <f>IF($B704="","",IF(INDEX('Work Orders'!$D$11:$D$1010,$B704)="","",INDEX('Work Orders'!$D$11:$D$1010,$B704)))</f>
        <v/>
      </c>
      <c r="F704" s="43">
        <f>IF($B704="","",IF(INDEX('Work Orders'!$Q$11:$Q$1010,$B704)="","",INDEX('Work Orders'!$Q$11:$Q$1010,$B704)))</f>
        <v/>
      </c>
      <c r="G704" s="43">
        <f>IF($B704="","",IF(INDEX('Work Orders'!$V$11:$V$1010,$B704)="","",INDEX('Work Orders'!$V$11:$V$1010,$B704)))</f>
        <v/>
      </c>
      <c r="H704" s="47">
        <f>IF($B704="","",IF(INDEX('Work Orders'!$U$11:$U$1010,$B704)="","",INDEX('Work Orders'!$U$11:$U$1010,$B704)))</f>
        <v/>
      </c>
      <c r="I704" s="47">
        <f>IF($B704="","",IF(INDEX('Work Orders'!$X$11:$X$1010,$B704)="","",INDEX('Work Orders'!$X$11:$X$1010,$B704)))</f>
        <v/>
      </c>
      <c r="J704" s="44">
        <f>IF($B704="","",IF(INDEX('Work Orders'!$Z$11:$Z$1010,$B704)="","",INDEX('Work Orders'!$Z$11:$Z$1010,$B704)))</f>
        <v/>
      </c>
      <c r="K704" s="44">
        <f>IF($B704="","",IF(INDEX('Work Orders'!$AG$11:$AG$1010,$B704)="","",INDEX('Work Orders'!$AG$11:$AG$1010,$B704)))</f>
        <v/>
      </c>
      <c r="L704" s="44">
        <f>IF($B704="","",IF(INDEX('Work Orders'!$AH$11:$AH$1010,$B704)="","",INDEX('Work Orders'!$AH$11:$AH$1010,$B704)))</f>
        <v/>
      </c>
      <c r="M704" s="46">
        <f>IF($B704="","",IF(INDEX('Work Orders'!$AM$11:$AM$1010,$B704)="","",INDEX('Work Orders'!$AM$11:$AM$1010,$B704)))</f>
        <v/>
      </c>
      <c r="N704" s="43">
        <f>IF($B704="","",IF(INDEX('Work Orders'!$AL$11:$AL$1010,$B704)="","",INDEX('Work Orders'!$AL$11:$AL$1010,$B704)))</f>
        <v/>
      </c>
      <c r="O704" s="43">
        <f>IF($B704="","",IF(INDEX('Work Orders'!$N$11:$N$1010,$B704)="","",INDEX('Work Orders'!$N$11:$N$1010,$B704)))</f>
        <v/>
      </c>
    </row>
    <row r="705">
      <c r="A705" s="68" t="n">
        <v>699</v>
      </c>
      <c r="B705">
        <f>IFERROR(MATCH(A705,'Work Orders'!$AO$11:$AO$1010,0),"")</f>
        <v/>
      </c>
      <c r="C705" s="43">
        <f>IF($B705="","",IF(INDEX('Work Orders'!$A$11:$A$1010,$B705)="","",INDEX('Work Orders'!$A$11:$A$1010,$B705)))</f>
        <v/>
      </c>
      <c r="D705" s="43">
        <f>IF($B705="","",IF(INDEX('Work Orders'!$B$11:$B$1010,$B705)="","",INDEX('Work Orders'!$B$11:$B$1010,$B705)))</f>
        <v/>
      </c>
      <c r="E705" s="43">
        <f>IF($B705="","",IF(INDEX('Work Orders'!$D$11:$D$1010,$B705)="","",INDEX('Work Orders'!$D$11:$D$1010,$B705)))</f>
        <v/>
      </c>
      <c r="F705" s="43">
        <f>IF($B705="","",IF(INDEX('Work Orders'!$Q$11:$Q$1010,$B705)="","",INDEX('Work Orders'!$Q$11:$Q$1010,$B705)))</f>
        <v/>
      </c>
      <c r="G705" s="43">
        <f>IF($B705="","",IF(INDEX('Work Orders'!$V$11:$V$1010,$B705)="","",INDEX('Work Orders'!$V$11:$V$1010,$B705)))</f>
        <v/>
      </c>
      <c r="H705" s="47">
        <f>IF($B705="","",IF(INDEX('Work Orders'!$U$11:$U$1010,$B705)="","",INDEX('Work Orders'!$U$11:$U$1010,$B705)))</f>
        <v/>
      </c>
      <c r="I705" s="47">
        <f>IF($B705="","",IF(INDEX('Work Orders'!$X$11:$X$1010,$B705)="","",INDEX('Work Orders'!$X$11:$X$1010,$B705)))</f>
        <v/>
      </c>
      <c r="J705" s="44">
        <f>IF($B705="","",IF(INDEX('Work Orders'!$Z$11:$Z$1010,$B705)="","",INDEX('Work Orders'!$Z$11:$Z$1010,$B705)))</f>
        <v/>
      </c>
      <c r="K705" s="44">
        <f>IF($B705="","",IF(INDEX('Work Orders'!$AG$11:$AG$1010,$B705)="","",INDEX('Work Orders'!$AG$11:$AG$1010,$B705)))</f>
        <v/>
      </c>
      <c r="L705" s="44">
        <f>IF($B705="","",IF(INDEX('Work Orders'!$AH$11:$AH$1010,$B705)="","",INDEX('Work Orders'!$AH$11:$AH$1010,$B705)))</f>
        <v/>
      </c>
      <c r="M705" s="46">
        <f>IF($B705="","",IF(INDEX('Work Orders'!$AM$11:$AM$1010,$B705)="","",INDEX('Work Orders'!$AM$11:$AM$1010,$B705)))</f>
        <v/>
      </c>
      <c r="N705" s="43">
        <f>IF($B705="","",IF(INDEX('Work Orders'!$AL$11:$AL$1010,$B705)="","",INDEX('Work Orders'!$AL$11:$AL$1010,$B705)))</f>
        <v/>
      </c>
      <c r="O705" s="43">
        <f>IF($B705="","",IF(INDEX('Work Orders'!$N$11:$N$1010,$B705)="","",INDEX('Work Orders'!$N$11:$N$1010,$B705)))</f>
        <v/>
      </c>
    </row>
    <row r="706">
      <c r="A706" s="68" t="n">
        <v>700</v>
      </c>
      <c r="B706">
        <f>IFERROR(MATCH(A706,'Work Orders'!$AO$11:$AO$1010,0),"")</f>
        <v/>
      </c>
      <c r="C706" s="43">
        <f>IF($B706="","",IF(INDEX('Work Orders'!$A$11:$A$1010,$B706)="","",INDEX('Work Orders'!$A$11:$A$1010,$B706)))</f>
        <v/>
      </c>
      <c r="D706" s="43">
        <f>IF($B706="","",IF(INDEX('Work Orders'!$B$11:$B$1010,$B706)="","",INDEX('Work Orders'!$B$11:$B$1010,$B706)))</f>
        <v/>
      </c>
      <c r="E706" s="43">
        <f>IF($B706="","",IF(INDEX('Work Orders'!$D$11:$D$1010,$B706)="","",INDEX('Work Orders'!$D$11:$D$1010,$B706)))</f>
        <v/>
      </c>
      <c r="F706" s="43">
        <f>IF($B706="","",IF(INDEX('Work Orders'!$Q$11:$Q$1010,$B706)="","",INDEX('Work Orders'!$Q$11:$Q$1010,$B706)))</f>
        <v/>
      </c>
      <c r="G706" s="43">
        <f>IF($B706="","",IF(INDEX('Work Orders'!$V$11:$V$1010,$B706)="","",INDEX('Work Orders'!$V$11:$V$1010,$B706)))</f>
        <v/>
      </c>
      <c r="H706" s="47">
        <f>IF($B706="","",IF(INDEX('Work Orders'!$U$11:$U$1010,$B706)="","",INDEX('Work Orders'!$U$11:$U$1010,$B706)))</f>
        <v/>
      </c>
      <c r="I706" s="47">
        <f>IF($B706="","",IF(INDEX('Work Orders'!$X$11:$X$1010,$B706)="","",INDEX('Work Orders'!$X$11:$X$1010,$B706)))</f>
        <v/>
      </c>
      <c r="J706" s="44">
        <f>IF($B706="","",IF(INDEX('Work Orders'!$Z$11:$Z$1010,$B706)="","",INDEX('Work Orders'!$Z$11:$Z$1010,$B706)))</f>
        <v/>
      </c>
      <c r="K706" s="44">
        <f>IF($B706="","",IF(INDEX('Work Orders'!$AG$11:$AG$1010,$B706)="","",INDEX('Work Orders'!$AG$11:$AG$1010,$B706)))</f>
        <v/>
      </c>
      <c r="L706" s="44">
        <f>IF($B706="","",IF(INDEX('Work Orders'!$AH$11:$AH$1010,$B706)="","",INDEX('Work Orders'!$AH$11:$AH$1010,$B706)))</f>
        <v/>
      </c>
      <c r="M706" s="46">
        <f>IF($B706="","",IF(INDEX('Work Orders'!$AM$11:$AM$1010,$B706)="","",INDEX('Work Orders'!$AM$11:$AM$1010,$B706)))</f>
        <v/>
      </c>
      <c r="N706" s="43">
        <f>IF($B706="","",IF(INDEX('Work Orders'!$AL$11:$AL$1010,$B706)="","",INDEX('Work Orders'!$AL$11:$AL$1010,$B706)))</f>
        <v/>
      </c>
      <c r="O706" s="43">
        <f>IF($B706="","",IF(INDEX('Work Orders'!$N$11:$N$1010,$B706)="","",INDEX('Work Orders'!$N$11:$N$1010,$B706)))</f>
        <v/>
      </c>
    </row>
    <row r="707">
      <c r="A707" s="68" t="n">
        <v>701</v>
      </c>
      <c r="B707">
        <f>IFERROR(MATCH(A707,'Work Orders'!$AO$11:$AO$1010,0),"")</f>
        <v/>
      </c>
      <c r="C707" s="43">
        <f>IF($B707="","",IF(INDEX('Work Orders'!$A$11:$A$1010,$B707)="","",INDEX('Work Orders'!$A$11:$A$1010,$B707)))</f>
        <v/>
      </c>
      <c r="D707" s="43">
        <f>IF($B707="","",IF(INDEX('Work Orders'!$B$11:$B$1010,$B707)="","",INDEX('Work Orders'!$B$11:$B$1010,$B707)))</f>
        <v/>
      </c>
      <c r="E707" s="43">
        <f>IF($B707="","",IF(INDEX('Work Orders'!$D$11:$D$1010,$B707)="","",INDEX('Work Orders'!$D$11:$D$1010,$B707)))</f>
        <v/>
      </c>
      <c r="F707" s="43">
        <f>IF($B707="","",IF(INDEX('Work Orders'!$Q$11:$Q$1010,$B707)="","",INDEX('Work Orders'!$Q$11:$Q$1010,$B707)))</f>
        <v/>
      </c>
      <c r="G707" s="43">
        <f>IF($B707="","",IF(INDEX('Work Orders'!$V$11:$V$1010,$B707)="","",INDEX('Work Orders'!$V$11:$V$1010,$B707)))</f>
        <v/>
      </c>
      <c r="H707" s="47">
        <f>IF($B707="","",IF(INDEX('Work Orders'!$U$11:$U$1010,$B707)="","",INDEX('Work Orders'!$U$11:$U$1010,$B707)))</f>
        <v/>
      </c>
      <c r="I707" s="47">
        <f>IF($B707="","",IF(INDEX('Work Orders'!$X$11:$X$1010,$B707)="","",INDEX('Work Orders'!$X$11:$X$1010,$B707)))</f>
        <v/>
      </c>
      <c r="J707" s="44">
        <f>IF($B707="","",IF(INDEX('Work Orders'!$Z$11:$Z$1010,$B707)="","",INDEX('Work Orders'!$Z$11:$Z$1010,$B707)))</f>
        <v/>
      </c>
      <c r="K707" s="44">
        <f>IF($B707="","",IF(INDEX('Work Orders'!$AG$11:$AG$1010,$B707)="","",INDEX('Work Orders'!$AG$11:$AG$1010,$B707)))</f>
        <v/>
      </c>
      <c r="L707" s="44">
        <f>IF($B707="","",IF(INDEX('Work Orders'!$AH$11:$AH$1010,$B707)="","",INDEX('Work Orders'!$AH$11:$AH$1010,$B707)))</f>
        <v/>
      </c>
      <c r="M707" s="46">
        <f>IF($B707="","",IF(INDEX('Work Orders'!$AM$11:$AM$1010,$B707)="","",INDEX('Work Orders'!$AM$11:$AM$1010,$B707)))</f>
        <v/>
      </c>
      <c r="N707" s="43">
        <f>IF($B707="","",IF(INDEX('Work Orders'!$AL$11:$AL$1010,$B707)="","",INDEX('Work Orders'!$AL$11:$AL$1010,$B707)))</f>
        <v/>
      </c>
      <c r="O707" s="43">
        <f>IF($B707="","",IF(INDEX('Work Orders'!$N$11:$N$1010,$B707)="","",INDEX('Work Orders'!$N$11:$N$1010,$B707)))</f>
        <v/>
      </c>
    </row>
    <row r="708">
      <c r="A708" s="68" t="n">
        <v>702</v>
      </c>
      <c r="B708">
        <f>IFERROR(MATCH(A708,'Work Orders'!$AO$11:$AO$1010,0),"")</f>
        <v/>
      </c>
      <c r="C708" s="43">
        <f>IF($B708="","",IF(INDEX('Work Orders'!$A$11:$A$1010,$B708)="","",INDEX('Work Orders'!$A$11:$A$1010,$B708)))</f>
        <v/>
      </c>
      <c r="D708" s="43">
        <f>IF($B708="","",IF(INDEX('Work Orders'!$B$11:$B$1010,$B708)="","",INDEX('Work Orders'!$B$11:$B$1010,$B708)))</f>
        <v/>
      </c>
      <c r="E708" s="43">
        <f>IF($B708="","",IF(INDEX('Work Orders'!$D$11:$D$1010,$B708)="","",INDEX('Work Orders'!$D$11:$D$1010,$B708)))</f>
        <v/>
      </c>
      <c r="F708" s="43">
        <f>IF($B708="","",IF(INDEX('Work Orders'!$Q$11:$Q$1010,$B708)="","",INDEX('Work Orders'!$Q$11:$Q$1010,$B708)))</f>
        <v/>
      </c>
      <c r="G708" s="43">
        <f>IF($B708="","",IF(INDEX('Work Orders'!$V$11:$V$1010,$B708)="","",INDEX('Work Orders'!$V$11:$V$1010,$B708)))</f>
        <v/>
      </c>
      <c r="H708" s="47">
        <f>IF($B708="","",IF(INDEX('Work Orders'!$U$11:$U$1010,$B708)="","",INDEX('Work Orders'!$U$11:$U$1010,$B708)))</f>
        <v/>
      </c>
      <c r="I708" s="47">
        <f>IF($B708="","",IF(INDEX('Work Orders'!$X$11:$X$1010,$B708)="","",INDEX('Work Orders'!$X$11:$X$1010,$B708)))</f>
        <v/>
      </c>
      <c r="J708" s="44">
        <f>IF($B708="","",IF(INDEX('Work Orders'!$Z$11:$Z$1010,$B708)="","",INDEX('Work Orders'!$Z$11:$Z$1010,$B708)))</f>
        <v/>
      </c>
      <c r="K708" s="44">
        <f>IF($B708="","",IF(INDEX('Work Orders'!$AG$11:$AG$1010,$B708)="","",INDEX('Work Orders'!$AG$11:$AG$1010,$B708)))</f>
        <v/>
      </c>
      <c r="L708" s="44">
        <f>IF($B708="","",IF(INDEX('Work Orders'!$AH$11:$AH$1010,$B708)="","",INDEX('Work Orders'!$AH$11:$AH$1010,$B708)))</f>
        <v/>
      </c>
      <c r="M708" s="46">
        <f>IF($B708="","",IF(INDEX('Work Orders'!$AM$11:$AM$1010,$B708)="","",INDEX('Work Orders'!$AM$11:$AM$1010,$B708)))</f>
        <v/>
      </c>
      <c r="N708" s="43">
        <f>IF($B708="","",IF(INDEX('Work Orders'!$AL$11:$AL$1010,$B708)="","",INDEX('Work Orders'!$AL$11:$AL$1010,$B708)))</f>
        <v/>
      </c>
      <c r="O708" s="43">
        <f>IF($B708="","",IF(INDEX('Work Orders'!$N$11:$N$1010,$B708)="","",INDEX('Work Orders'!$N$11:$N$1010,$B708)))</f>
        <v/>
      </c>
    </row>
    <row r="709">
      <c r="A709" s="68" t="n">
        <v>703</v>
      </c>
      <c r="B709">
        <f>IFERROR(MATCH(A709,'Work Orders'!$AO$11:$AO$1010,0),"")</f>
        <v/>
      </c>
      <c r="C709" s="43">
        <f>IF($B709="","",IF(INDEX('Work Orders'!$A$11:$A$1010,$B709)="","",INDEX('Work Orders'!$A$11:$A$1010,$B709)))</f>
        <v/>
      </c>
      <c r="D709" s="43">
        <f>IF($B709="","",IF(INDEX('Work Orders'!$B$11:$B$1010,$B709)="","",INDEX('Work Orders'!$B$11:$B$1010,$B709)))</f>
        <v/>
      </c>
      <c r="E709" s="43">
        <f>IF($B709="","",IF(INDEX('Work Orders'!$D$11:$D$1010,$B709)="","",INDEX('Work Orders'!$D$11:$D$1010,$B709)))</f>
        <v/>
      </c>
      <c r="F709" s="43">
        <f>IF($B709="","",IF(INDEX('Work Orders'!$Q$11:$Q$1010,$B709)="","",INDEX('Work Orders'!$Q$11:$Q$1010,$B709)))</f>
        <v/>
      </c>
      <c r="G709" s="43">
        <f>IF($B709="","",IF(INDEX('Work Orders'!$V$11:$V$1010,$B709)="","",INDEX('Work Orders'!$V$11:$V$1010,$B709)))</f>
        <v/>
      </c>
      <c r="H709" s="47">
        <f>IF($B709="","",IF(INDEX('Work Orders'!$U$11:$U$1010,$B709)="","",INDEX('Work Orders'!$U$11:$U$1010,$B709)))</f>
        <v/>
      </c>
      <c r="I709" s="47">
        <f>IF($B709="","",IF(INDEX('Work Orders'!$X$11:$X$1010,$B709)="","",INDEX('Work Orders'!$X$11:$X$1010,$B709)))</f>
        <v/>
      </c>
      <c r="J709" s="44">
        <f>IF($B709="","",IF(INDEX('Work Orders'!$Z$11:$Z$1010,$B709)="","",INDEX('Work Orders'!$Z$11:$Z$1010,$B709)))</f>
        <v/>
      </c>
      <c r="K709" s="44">
        <f>IF($B709="","",IF(INDEX('Work Orders'!$AG$11:$AG$1010,$B709)="","",INDEX('Work Orders'!$AG$11:$AG$1010,$B709)))</f>
        <v/>
      </c>
      <c r="L709" s="44">
        <f>IF($B709="","",IF(INDEX('Work Orders'!$AH$11:$AH$1010,$B709)="","",INDEX('Work Orders'!$AH$11:$AH$1010,$B709)))</f>
        <v/>
      </c>
      <c r="M709" s="46">
        <f>IF($B709="","",IF(INDEX('Work Orders'!$AM$11:$AM$1010,$B709)="","",INDEX('Work Orders'!$AM$11:$AM$1010,$B709)))</f>
        <v/>
      </c>
      <c r="N709" s="43">
        <f>IF($B709="","",IF(INDEX('Work Orders'!$AL$11:$AL$1010,$B709)="","",INDEX('Work Orders'!$AL$11:$AL$1010,$B709)))</f>
        <v/>
      </c>
      <c r="O709" s="43">
        <f>IF($B709="","",IF(INDEX('Work Orders'!$N$11:$N$1010,$B709)="","",INDEX('Work Orders'!$N$11:$N$1010,$B709)))</f>
        <v/>
      </c>
    </row>
    <row r="710">
      <c r="A710" s="68" t="n">
        <v>704</v>
      </c>
      <c r="B710">
        <f>IFERROR(MATCH(A710,'Work Orders'!$AO$11:$AO$1010,0),"")</f>
        <v/>
      </c>
      <c r="C710" s="43">
        <f>IF($B710="","",IF(INDEX('Work Orders'!$A$11:$A$1010,$B710)="","",INDEX('Work Orders'!$A$11:$A$1010,$B710)))</f>
        <v/>
      </c>
      <c r="D710" s="43">
        <f>IF($B710="","",IF(INDEX('Work Orders'!$B$11:$B$1010,$B710)="","",INDEX('Work Orders'!$B$11:$B$1010,$B710)))</f>
        <v/>
      </c>
      <c r="E710" s="43">
        <f>IF($B710="","",IF(INDEX('Work Orders'!$D$11:$D$1010,$B710)="","",INDEX('Work Orders'!$D$11:$D$1010,$B710)))</f>
        <v/>
      </c>
      <c r="F710" s="43">
        <f>IF($B710="","",IF(INDEX('Work Orders'!$Q$11:$Q$1010,$B710)="","",INDEX('Work Orders'!$Q$11:$Q$1010,$B710)))</f>
        <v/>
      </c>
      <c r="G710" s="43">
        <f>IF($B710="","",IF(INDEX('Work Orders'!$V$11:$V$1010,$B710)="","",INDEX('Work Orders'!$V$11:$V$1010,$B710)))</f>
        <v/>
      </c>
      <c r="H710" s="47">
        <f>IF($B710="","",IF(INDEX('Work Orders'!$U$11:$U$1010,$B710)="","",INDEX('Work Orders'!$U$11:$U$1010,$B710)))</f>
        <v/>
      </c>
      <c r="I710" s="47">
        <f>IF($B710="","",IF(INDEX('Work Orders'!$X$11:$X$1010,$B710)="","",INDEX('Work Orders'!$X$11:$X$1010,$B710)))</f>
        <v/>
      </c>
      <c r="J710" s="44">
        <f>IF($B710="","",IF(INDEX('Work Orders'!$Z$11:$Z$1010,$B710)="","",INDEX('Work Orders'!$Z$11:$Z$1010,$B710)))</f>
        <v/>
      </c>
      <c r="K710" s="44">
        <f>IF($B710="","",IF(INDEX('Work Orders'!$AG$11:$AG$1010,$B710)="","",INDEX('Work Orders'!$AG$11:$AG$1010,$B710)))</f>
        <v/>
      </c>
      <c r="L710" s="44">
        <f>IF($B710="","",IF(INDEX('Work Orders'!$AH$11:$AH$1010,$B710)="","",INDEX('Work Orders'!$AH$11:$AH$1010,$B710)))</f>
        <v/>
      </c>
      <c r="M710" s="46">
        <f>IF($B710="","",IF(INDEX('Work Orders'!$AM$11:$AM$1010,$B710)="","",INDEX('Work Orders'!$AM$11:$AM$1010,$B710)))</f>
        <v/>
      </c>
      <c r="N710" s="43">
        <f>IF($B710="","",IF(INDEX('Work Orders'!$AL$11:$AL$1010,$B710)="","",INDEX('Work Orders'!$AL$11:$AL$1010,$B710)))</f>
        <v/>
      </c>
      <c r="O710" s="43">
        <f>IF($B710="","",IF(INDEX('Work Orders'!$N$11:$N$1010,$B710)="","",INDEX('Work Orders'!$N$11:$N$1010,$B710)))</f>
        <v/>
      </c>
    </row>
    <row r="711">
      <c r="A711" s="68" t="n">
        <v>705</v>
      </c>
      <c r="B711">
        <f>IFERROR(MATCH(A711,'Work Orders'!$AO$11:$AO$1010,0),"")</f>
        <v/>
      </c>
      <c r="C711" s="43">
        <f>IF($B711="","",IF(INDEX('Work Orders'!$A$11:$A$1010,$B711)="","",INDEX('Work Orders'!$A$11:$A$1010,$B711)))</f>
        <v/>
      </c>
      <c r="D711" s="43">
        <f>IF($B711="","",IF(INDEX('Work Orders'!$B$11:$B$1010,$B711)="","",INDEX('Work Orders'!$B$11:$B$1010,$B711)))</f>
        <v/>
      </c>
      <c r="E711" s="43">
        <f>IF($B711="","",IF(INDEX('Work Orders'!$D$11:$D$1010,$B711)="","",INDEX('Work Orders'!$D$11:$D$1010,$B711)))</f>
        <v/>
      </c>
      <c r="F711" s="43">
        <f>IF($B711="","",IF(INDEX('Work Orders'!$Q$11:$Q$1010,$B711)="","",INDEX('Work Orders'!$Q$11:$Q$1010,$B711)))</f>
        <v/>
      </c>
      <c r="G711" s="43">
        <f>IF($B711="","",IF(INDEX('Work Orders'!$V$11:$V$1010,$B711)="","",INDEX('Work Orders'!$V$11:$V$1010,$B711)))</f>
        <v/>
      </c>
      <c r="H711" s="47">
        <f>IF($B711="","",IF(INDEX('Work Orders'!$U$11:$U$1010,$B711)="","",INDEX('Work Orders'!$U$11:$U$1010,$B711)))</f>
        <v/>
      </c>
      <c r="I711" s="47">
        <f>IF($B711="","",IF(INDEX('Work Orders'!$X$11:$X$1010,$B711)="","",INDEX('Work Orders'!$X$11:$X$1010,$B711)))</f>
        <v/>
      </c>
      <c r="J711" s="44">
        <f>IF($B711="","",IF(INDEX('Work Orders'!$Z$11:$Z$1010,$B711)="","",INDEX('Work Orders'!$Z$11:$Z$1010,$B711)))</f>
        <v/>
      </c>
      <c r="K711" s="44">
        <f>IF($B711="","",IF(INDEX('Work Orders'!$AG$11:$AG$1010,$B711)="","",INDEX('Work Orders'!$AG$11:$AG$1010,$B711)))</f>
        <v/>
      </c>
      <c r="L711" s="44">
        <f>IF($B711="","",IF(INDEX('Work Orders'!$AH$11:$AH$1010,$B711)="","",INDEX('Work Orders'!$AH$11:$AH$1010,$B711)))</f>
        <v/>
      </c>
      <c r="M711" s="46">
        <f>IF($B711="","",IF(INDEX('Work Orders'!$AM$11:$AM$1010,$B711)="","",INDEX('Work Orders'!$AM$11:$AM$1010,$B711)))</f>
        <v/>
      </c>
      <c r="N711" s="43">
        <f>IF($B711="","",IF(INDEX('Work Orders'!$AL$11:$AL$1010,$B711)="","",INDEX('Work Orders'!$AL$11:$AL$1010,$B711)))</f>
        <v/>
      </c>
      <c r="O711" s="43">
        <f>IF($B711="","",IF(INDEX('Work Orders'!$N$11:$N$1010,$B711)="","",INDEX('Work Orders'!$N$11:$N$1010,$B711)))</f>
        <v/>
      </c>
    </row>
    <row r="712">
      <c r="A712" s="68" t="n">
        <v>706</v>
      </c>
      <c r="B712">
        <f>IFERROR(MATCH(A712,'Work Orders'!$AO$11:$AO$1010,0),"")</f>
        <v/>
      </c>
      <c r="C712" s="43">
        <f>IF($B712="","",IF(INDEX('Work Orders'!$A$11:$A$1010,$B712)="","",INDEX('Work Orders'!$A$11:$A$1010,$B712)))</f>
        <v/>
      </c>
      <c r="D712" s="43">
        <f>IF($B712="","",IF(INDEX('Work Orders'!$B$11:$B$1010,$B712)="","",INDEX('Work Orders'!$B$11:$B$1010,$B712)))</f>
        <v/>
      </c>
      <c r="E712" s="43">
        <f>IF($B712="","",IF(INDEX('Work Orders'!$D$11:$D$1010,$B712)="","",INDEX('Work Orders'!$D$11:$D$1010,$B712)))</f>
        <v/>
      </c>
      <c r="F712" s="43">
        <f>IF($B712="","",IF(INDEX('Work Orders'!$Q$11:$Q$1010,$B712)="","",INDEX('Work Orders'!$Q$11:$Q$1010,$B712)))</f>
        <v/>
      </c>
      <c r="G712" s="43">
        <f>IF($B712="","",IF(INDEX('Work Orders'!$V$11:$V$1010,$B712)="","",INDEX('Work Orders'!$V$11:$V$1010,$B712)))</f>
        <v/>
      </c>
      <c r="H712" s="47">
        <f>IF($B712="","",IF(INDEX('Work Orders'!$U$11:$U$1010,$B712)="","",INDEX('Work Orders'!$U$11:$U$1010,$B712)))</f>
        <v/>
      </c>
      <c r="I712" s="47">
        <f>IF($B712="","",IF(INDEX('Work Orders'!$X$11:$X$1010,$B712)="","",INDEX('Work Orders'!$X$11:$X$1010,$B712)))</f>
        <v/>
      </c>
      <c r="J712" s="44">
        <f>IF($B712="","",IF(INDEX('Work Orders'!$Z$11:$Z$1010,$B712)="","",INDEX('Work Orders'!$Z$11:$Z$1010,$B712)))</f>
        <v/>
      </c>
      <c r="K712" s="44">
        <f>IF($B712="","",IF(INDEX('Work Orders'!$AG$11:$AG$1010,$B712)="","",INDEX('Work Orders'!$AG$11:$AG$1010,$B712)))</f>
        <v/>
      </c>
      <c r="L712" s="44">
        <f>IF($B712="","",IF(INDEX('Work Orders'!$AH$11:$AH$1010,$B712)="","",INDEX('Work Orders'!$AH$11:$AH$1010,$B712)))</f>
        <v/>
      </c>
      <c r="M712" s="46">
        <f>IF($B712="","",IF(INDEX('Work Orders'!$AM$11:$AM$1010,$B712)="","",INDEX('Work Orders'!$AM$11:$AM$1010,$B712)))</f>
        <v/>
      </c>
      <c r="N712" s="43">
        <f>IF($B712="","",IF(INDEX('Work Orders'!$AL$11:$AL$1010,$B712)="","",INDEX('Work Orders'!$AL$11:$AL$1010,$B712)))</f>
        <v/>
      </c>
      <c r="O712" s="43">
        <f>IF($B712="","",IF(INDEX('Work Orders'!$N$11:$N$1010,$B712)="","",INDEX('Work Orders'!$N$11:$N$1010,$B712)))</f>
        <v/>
      </c>
    </row>
    <row r="713">
      <c r="A713" s="68" t="n">
        <v>707</v>
      </c>
      <c r="B713">
        <f>IFERROR(MATCH(A713,'Work Orders'!$AO$11:$AO$1010,0),"")</f>
        <v/>
      </c>
      <c r="C713" s="43">
        <f>IF($B713="","",IF(INDEX('Work Orders'!$A$11:$A$1010,$B713)="","",INDEX('Work Orders'!$A$11:$A$1010,$B713)))</f>
        <v/>
      </c>
      <c r="D713" s="43">
        <f>IF($B713="","",IF(INDEX('Work Orders'!$B$11:$B$1010,$B713)="","",INDEX('Work Orders'!$B$11:$B$1010,$B713)))</f>
        <v/>
      </c>
      <c r="E713" s="43">
        <f>IF($B713="","",IF(INDEX('Work Orders'!$D$11:$D$1010,$B713)="","",INDEX('Work Orders'!$D$11:$D$1010,$B713)))</f>
        <v/>
      </c>
      <c r="F713" s="43">
        <f>IF($B713="","",IF(INDEX('Work Orders'!$Q$11:$Q$1010,$B713)="","",INDEX('Work Orders'!$Q$11:$Q$1010,$B713)))</f>
        <v/>
      </c>
      <c r="G713" s="43">
        <f>IF($B713="","",IF(INDEX('Work Orders'!$V$11:$V$1010,$B713)="","",INDEX('Work Orders'!$V$11:$V$1010,$B713)))</f>
        <v/>
      </c>
      <c r="H713" s="47">
        <f>IF($B713="","",IF(INDEX('Work Orders'!$U$11:$U$1010,$B713)="","",INDEX('Work Orders'!$U$11:$U$1010,$B713)))</f>
        <v/>
      </c>
      <c r="I713" s="47">
        <f>IF($B713="","",IF(INDEX('Work Orders'!$X$11:$X$1010,$B713)="","",INDEX('Work Orders'!$X$11:$X$1010,$B713)))</f>
        <v/>
      </c>
      <c r="J713" s="44">
        <f>IF($B713="","",IF(INDEX('Work Orders'!$Z$11:$Z$1010,$B713)="","",INDEX('Work Orders'!$Z$11:$Z$1010,$B713)))</f>
        <v/>
      </c>
      <c r="K713" s="44">
        <f>IF($B713="","",IF(INDEX('Work Orders'!$AG$11:$AG$1010,$B713)="","",INDEX('Work Orders'!$AG$11:$AG$1010,$B713)))</f>
        <v/>
      </c>
      <c r="L713" s="44">
        <f>IF($B713="","",IF(INDEX('Work Orders'!$AH$11:$AH$1010,$B713)="","",INDEX('Work Orders'!$AH$11:$AH$1010,$B713)))</f>
        <v/>
      </c>
      <c r="M713" s="46">
        <f>IF($B713="","",IF(INDEX('Work Orders'!$AM$11:$AM$1010,$B713)="","",INDEX('Work Orders'!$AM$11:$AM$1010,$B713)))</f>
        <v/>
      </c>
      <c r="N713" s="43">
        <f>IF($B713="","",IF(INDEX('Work Orders'!$AL$11:$AL$1010,$B713)="","",INDEX('Work Orders'!$AL$11:$AL$1010,$B713)))</f>
        <v/>
      </c>
      <c r="O713" s="43">
        <f>IF($B713="","",IF(INDEX('Work Orders'!$N$11:$N$1010,$B713)="","",INDEX('Work Orders'!$N$11:$N$1010,$B713)))</f>
        <v/>
      </c>
    </row>
    <row r="714">
      <c r="A714" s="68" t="n">
        <v>708</v>
      </c>
      <c r="B714">
        <f>IFERROR(MATCH(A714,'Work Orders'!$AO$11:$AO$1010,0),"")</f>
        <v/>
      </c>
      <c r="C714" s="43">
        <f>IF($B714="","",IF(INDEX('Work Orders'!$A$11:$A$1010,$B714)="","",INDEX('Work Orders'!$A$11:$A$1010,$B714)))</f>
        <v/>
      </c>
      <c r="D714" s="43">
        <f>IF($B714="","",IF(INDEX('Work Orders'!$B$11:$B$1010,$B714)="","",INDEX('Work Orders'!$B$11:$B$1010,$B714)))</f>
        <v/>
      </c>
      <c r="E714" s="43">
        <f>IF($B714="","",IF(INDEX('Work Orders'!$D$11:$D$1010,$B714)="","",INDEX('Work Orders'!$D$11:$D$1010,$B714)))</f>
        <v/>
      </c>
      <c r="F714" s="43">
        <f>IF($B714="","",IF(INDEX('Work Orders'!$Q$11:$Q$1010,$B714)="","",INDEX('Work Orders'!$Q$11:$Q$1010,$B714)))</f>
        <v/>
      </c>
      <c r="G714" s="43">
        <f>IF($B714="","",IF(INDEX('Work Orders'!$V$11:$V$1010,$B714)="","",INDEX('Work Orders'!$V$11:$V$1010,$B714)))</f>
        <v/>
      </c>
      <c r="H714" s="47">
        <f>IF($B714="","",IF(INDEX('Work Orders'!$U$11:$U$1010,$B714)="","",INDEX('Work Orders'!$U$11:$U$1010,$B714)))</f>
        <v/>
      </c>
      <c r="I714" s="47">
        <f>IF($B714="","",IF(INDEX('Work Orders'!$X$11:$X$1010,$B714)="","",INDEX('Work Orders'!$X$11:$X$1010,$B714)))</f>
        <v/>
      </c>
      <c r="J714" s="44">
        <f>IF($B714="","",IF(INDEX('Work Orders'!$Z$11:$Z$1010,$B714)="","",INDEX('Work Orders'!$Z$11:$Z$1010,$B714)))</f>
        <v/>
      </c>
      <c r="K714" s="44">
        <f>IF($B714="","",IF(INDEX('Work Orders'!$AG$11:$AG$1010,$B714)="","",INDEX('Work Orders'!$AG$11:$AG$1010,$B714)))</f>
        <v/>
      </c>
      <c r="L714" s="44">
        <f>IF($B714="","",IF(INDEX('Work Orders'!$AH$11:$AH$1010,$B714)="","",INDEX('Work Orders'!$AH$11:$AH$1010,$B714)))</f>
        <v/>
      </c>
      <c r="M714" s="46">
        <f>IF($B714="","",IF(INDEX('Work Orders'!$AM$11:$AM$1010,$B714)="","",INDEX('Work Orders'!$AM$11:$AM$1010,$B714)))</f>
        <v/>
      </c>
      <c r="N714" s="43">
        <f>IF($B714="","",IF(INDEX('Work Orders'!$AL$11:$AL$1010,$B714)="","",INDEX('Work Orders'!$AL$11:$AL$1010,$B714)))</f>
        <v/>
      </c>
      <c r="O714" s="43">
        <f>IF($B714="","",IF(INDEX('Work Orders'!$N$11:$N$1010,$B714)="","",INDEX('Work Orders'!$N$11:$N$1010,$B714)))</f>
        <v/>
      </c>
    </row>
    <row r="715">
      <c r="A715" s="68" t="n">
        <v>709</v>
      </c>
      <c r="B715">
        <f>IFERROR(MATCH(A715,'Work Orders'!$AO$11:$AO$1010,0),"")</f>
        <v/>
      </c>
      <c r="C715" s="43">
        <f>IF($B715="","",IF(INDEX('Work Orders'!$A$11:$A$1010,$B715)="","",INDEX('Work Orders'!$A$11:$A$1010,$B715)))</f>
        <v/>
      </c>
      <c r="D715" s="43">
        <f>IF($B715="","",IF(INDEX('Work Orders'!$B$11:$B$1010,$B715)="","",INDEX('Work Orders'!$B$11:$B$1010,$B715)))</f>
        <v/>
      </c>
      <c r="E715" s="43">
        <f>IF($B715="","",IF(INDEX('Work Orders'!$D$11:$D$1010,$B715)="","",INDEX('Work Orders'!$D$11:$D$1010,$B715)))</f>
        <v/>
      </c>
      <c r="F715" s="43">
        <f>IF($B715="","",IF(INDEX('Work Orders'!$Q$11:$Q$1010,$B715)="","",INDEX('Work Orders'!$Q$11:$Q$1010,$B715)))</f>
        <v/>
      </c>
      <c r="G715" s="43">
        <f>IF($B715="","",IF(INDEX('Work Orders'!$V$11:$V$1010,$B715)="","",INDEX('Work Orders'!$V$11:$V$1010,$B715)))</f>
        <v/>
      </c>
      <c r="H715" s="47">
        <f>IF($B715="","",IF(INDEX('Work Orders'!$U$11:$U$1010,$B715)="","",INDEX('Work Orders'!$U$11:$U$1010,$B715)))</f>
        <v/>
      </c>
      <c r="I715" s="47">
        <f>IF($B715="","",IF(INDEX('Work Orders'!$X$11:$X$1010,$B715)="","",INDEX('Work Orders'!$X$11:$X$1010,$B715)))</f>
        <v/>
      </c>
      <c r="J715" s="44">
        <f>IF($B715="","",IF(INDEX('Work Orders'!$Z$11:$Z$1010,$B715)="","",INDEX('Work Orders'!$Z$11:$Z$1010,$B715)))</f>
        <v/>
      </c>
      <c r="K715" s="44">
        <f>IF($B715="","",IF(INDEX('Work Orders'!$AG$11:$AG$1010,$B715)="","",INDEX('Work Orders'!$AG$11:$AG$1010,$B715)))</f>
        <v/>
      </c>
      <c r="L715" s="44">
        <f>IF($B715="","",IF(INDEX('Work Orders'!$AH$11:$AH$1010,$B715)="","",INDEX('Work Orders'!$AH$11:$AH$1010,$B715)))</f>
        <v/>
      </c>
      <c r="M715" s="46">
        <f>IF($B715="","",IF(INDEX('Work Orders'!$AM$11:$AM$1010,$B715)="","",INDEX('Work Orders'!$AM$11:$AM$1010,$B715)))</f>
        <v/>
      </c>
      <c r="N715" s="43">
        <f>IF($B715="","",IF(INDEX('Work Orders'!$AL$11:$AL$1010,$B715)="","",INDEX('Work Orders'!$AL$11:$AL$1010,$B715)))</f>
        <v/>
      </c>
      <c r="O715" s="43">
        <f>IF($B715="","",IF(INDEX('Work Orders'!$N$11:$N$1010,$B715)="","",INDEX('Work Orders'!$N$11:$N$1010,$B715)))</f>
        <v/>
      </c>
    </row>
    <row r="716">
      <c r="A716" s="68" t="n">
        <v>710</v>
      </c>
      <c r="B716">
        <f>IFERROR(MATCH(A716,'Work Orders'!$AO$11:$AO$1010,0),"")</f>
        <v/>
      </c>
      <c r="C716" s="43">
        <f>IF($B716="","",IF(INDEX('Work Orders'!$A$11:$A$1010,$B716)="","",INDEX('Work Orders'!$A$11:$A$1010,$B716)))</f>
        <v/>
      </c>
      <c r="D716" s="43">
        <f>IF($B716="","",IF(INDEX('Work Orders'!$B$11:$B$1010,$B716)="","",INDEX('Work Orders'!$B$11:$B$1010,$B716)))</f>
        <v/>
      </c>
      <c r="E716" s="43">
        <f>IF($B716="","",IF(INDEX('Work Orders'!$D$11:$D$1010,$B716)="","",INDEX('Work Orders'!$D$11:$D$1010,$B716)))</f>
        <v/>
      </c>
      <c r="F716" s="43">
        <f>IF($B716="","",IF(INDEX('Work Orders'!$Q$11:$Q$1010,$B716)="","",INDEX('Work Orders'!$Q$11:$Q$1010,$B716)))</f>
        <v/>
      </c>
      <c r="G716" s="43">
        <f>IF($B716="","",IF(INDEX('Work Orders'!$V$11:$V$1010,$B716)="","",INDEX('Work Orders'!$V$11:$V$1010,$B716)))</f>
        <v/>
      </c>
      <c r="H716" s="47">
        <f>IF($B716="","",IF(INDEX('Work Orders'!$U$11:$U$1010,$B716)="","",INDEX('Work Orders'!$U$11:$U$1010,$B716)))</f>
        <v/>
      </c>
      <c r="I716" s="47">
        <f>IF($B716="","",IF(INDEX('Work Orders'!$X$11:$X$1010,$B716)="","",INDEX('Work Orders'!$X$11:$X$1010,$B716)))</f>
        <v/>
      </c>
      <c r="J716" s="44">
        <f>IF($B716="","",IF(INDEX('Work Orders'!$Z$11:$Z$1010,$B716)="","",INDEX('Work Orders'!$Z$11:$Z$1010,$B716)))</f>
        <v/>
      </c>
      <c r="K716" s="44">
        <f>IF($B716="","",IF(INDEX('Work Orders'!$AG$11:$AG$1010,$B716)="","",INDEX('Work Orders'!$AG$11:$AG$1010,$B716)))</f>
        <v/>
      </c>
      <c r="L716" s="44">
        <f>IF($B716="","",IF(INDEX('Work Orders'!$AH$11:$AH$1010,$B716)="","",INDEX('Work Orders'!$AH$11:$AH$1010,$B716)))</f>
        <v/>
      </c>
      <c r="M716" s="46">
        <f>IF($B716="","",IF(INDEX('Work Orders'!$AM$11:$AM$1010,$B716)="","",INDEX('Work Orders'!$AM$11:$AM$1010,$B716)))</f>
        <v/>
      </c>
      <c r="N716" s="43">
        <f>IF($B716="","",IF(INDEX('Work Orders'!$AL$11:$AL$1010,$B716)="","",INDEX('Work Orders'!$AL$11:$AL$1010,$B716)))</f>
        <v/>
      </c>
      <c r="O716" s="43">
        <f>IF($B716="","",IF(INDEX('Work Orders'!$N$11:$N$1010,$B716)="","",INDEX('Work Orders'!$N$11:$N$1010,$B716)))</f>
        <v/>
      </c>
    </row>
    <row r="717">
      <c r="A717" s="68" t="n">
        <v>711</v>
      </c>
      <c r="B717">
        <f>IFERROR(MATCH(A717,'Work Orders'!$AO$11:$AO$1010,0),"")</f>
        <v/>
      </c>
      <c r="C717" s="43">
        <f>IF($B717="","",IF(INDEX('Work Orders'!$A$11:$A$1010,$B717)="","",INDEX('Work Orders'!$A$11:$A$1010,$B717)))</f>
        <v/>
      </c>
      <c r="D717" s="43">
        <f>IF($B717="","",IF(INDEX('Work Orders'!$B$11:$B$1010,$B717)="","",INDEX('Work Orders'!$B$11:$B$1010,$B717)))</f>
        <v/>
      </c>
      <c r="E717" s="43">
        <f>IF($B717="","",IF(INDEX('Work Orders'!$D$11:$D$1010,$B717)="","",INDEX('Work Orders'!$D$11:$D$1010,$B717)))</f>
        <v/>
      </c>
      <c r="F717" s="43">
        <f>IF($B717="","",IF(INDEX('Work Orders'!$Q$11:$Q$1010,$B717)="","",INDEX('Work Orders'!$Q$11:$Q$1010,$B717)))</f>
        <v/>
      </c>
      <c r="G717" s="43">
        <f>IF($B717="","",IF(INDEX('Work Orders'!$V$11:$V$1010,$B717)="","",INDEX('Work Orders'!$V$11:$V$1010,$B717)))</f>
        <v/>
      </c>
      <c r="H717" s="47">
        <f>IF($B717="","",IF(INDEX('Work Orders'!$U$11:$U$1010,$B717)="","",INDEX('Work Orders'!$U$11:$U$1010,$B717)))</f>
        <v/>
      </c>
      <c r="I717" s="47">
        <f>IF($B717="","",IF(INDEX('Work Orders'!$X$11:$X$1010,$B717)="","",INDEX('Work Orders'!$X$11:$X$1010,$B717)))</f>
        <v/>
      </c>
      <c r="J717" s="44">
        <f>IF($B717="","",IF(INDEX('Work Orders'!$Z$11:$Z$1010,$B717)="","",INDEX('Work Orders'!$Z$11:$Z$1010,$B717)))</f>
        <v/>
      </c>
      <c r="K717" s="44">
        <f>IF($B717="","",IF(INDEX('Work Orders'!$AG$11:$AG$1010,$B717)="","",INDEX('Work Orders'!$AG$11:$AG$1010,$B717)))</f>
        <v/>
      </c>
      <c r="L717" s="44">
        <f>IF($B717="","",IF(INDEX('Work Orders'!$AH$11:$AH$1010,$B717)="","",INDEX('Work Orders'!$AH$11:$AH$1010,$B717)))</f>
        <v/>
      </c>
      <c r="M717" s="46">
        <f>IF($B717="","",IF(INDEX('Work Orders'!$AM$11:$AM$1010,$B717)="","",INDEX('Work Orders'!$AM$11:$AM$1010,$B717)))</f>
        <v/>
      </c>
      <c r="N717" s="43">
        <f>IF($B717="","",IF(INDEX('Work Orders'!$AL$11:$AL$1010,$B717)="","",INDEX('Work Orders'!$AL$11:$AL$1010,$B717)))</f>
        <v/>
      </c>
      <c r="O717" s="43">
        <f>IF($B717="","",IF(INDEX('Work Orders'!$N$11:$N$1010,$B717)="","",INDEX('Work Orders'!$N$11:$N$1010,$B717)))</f>
        <v/>
      </c>
    </row>
    <row r="718">
      <c r="A718" s="68" t="n">
        <v>712</v>
      </c>
      <c r="B718">
        <f>IFERROR(MATCH(A718,'Work Orders'!$AO$11:$AO$1010,0),"")</f>
        <v/>
      </c>
      <c r="C718" s="43">
        <f>IF($B718="","",IF(INDEX('Work Orders'!$A$11:$A$1010,$B718)="","",INDEX('Work Orders'!$A$11:$A$1010,$B718)))</f>
        <v/>
      </c>
      <c r="D718" s="43">
        <f>IF($B718="","",IF(INDEX('Work Orders'!$B$11:$B$1010,$B718)="","",INDEX('Work Orders'!$B$11:$B$1010,$B718)))</f>
        <v/>
      </c>
      <c r="E718" s="43">
        <f>IF($B718="","",IF(INDEX('Work Orders'!$D$11:$D$1010,$B718)="","",INDEX('Work Orders'!$D$11:$D$1010,$B718)))</f>
        <v/>
      </c>
      <c r="F718" s="43">
        <f>IF($B718="","",IF(INDEX('Work Orders'!$Q$11:$Q$1010,$B718)="","",INDEX('Work Orders'!$Q$11:$Q$1010,$B718)))</f>
        <v/>
      </c>
      <c r="G718" s="43">
        <f>IF($B718="","",IF(INDEX('Work Orders'!$V$11:$V$1010,$B718)="","",INDEX('Work Orders'!$V$11:$V$1010,$B718)))</f>
        <v/>
      </c>
      <c r="H718" s="47">
        <f>IF($B718="","",IF(INDEX('Work Orders'!$U$11:$U$1010,$B718)="","",INDEX('Work Orders'!$U$11:$U$1010,$B718)))</f>
        <v/>
      </c>
      <c r="I718" s="47">
        <f>IF($B718="","",IF(INDEX('Work Orders'!$X$11:$X$1010,$B718)="","",INDEX('Work Orders'!$X$11:$X$1010,$B718)))</f>
        <v/>
      </c>
      <c r="J718" s="44">
        <f>IF($B718="","",IF(INDEX('Work Orders'!$Z$11:$Z$1010,$B718)="","",INDEX('Work Orders'!$Z$11:$Z$1010,$B718)))</f>
        <v/>
      </c>
      <c r="K718" s="44">
        <f>IF($B718="","",IF(INDEX('Work Orders'!$AG$11:$AG$1010,$B718)="","",INDEX('Work Orders'!$AG$11:$AG$1010,$B718)))</f>
        <v/>
      </c>
      <c r="L718" s="44">
        <f>IF($B718="","",IF(INDEX('Work Orders'!$AH$11:$AH$1010,$B718)="","",INDEX('Work Orders'!$AH$11:$AH$1010,$B718)))</f>
        <v/>
      </c>
      <c r="M718" s="46">
        <f>IF($B718="","",IF(INDEX('Work Orders'!$AM$11:$AM$1010,$B718)="","",INDEX('Work Orders'!$AM$11:$AM$1010,$B718)))</f>
        <v/>
      </c>
      <c r="N718" s="43">
        <f>IF($B718="","",IF(INDEX('Work Orders'!$AL$11:$AL$1010,$B718)="","",INDEX('Work Orders'!$AL$11:$AL$1010,$B718)))</f>
        <v/>
      </c>
      <c r="O718" s="43">
        <f>IF($B718="","",IF(INDEX('Work Orders'!$N$11:$N$1010,$B718)="","",INDEX('Work Orders'!$N$11:$N$1010,$B718)))</f>
        <v/>
      </c>
    </row>
    <row r="719">
      <c r="A719" s="68" t="n">
        <v>713</v>
      </c>
      <c r="B719">
        <f>IFERROR(MATCH(A719,'Work Orders'!$AO$11:$AO$1010,0),"")</f>
        <v/>
      </c>
      <c r="C719" s="43">
        <f>IF($B719="","",IF(INDEX('Work Orders'!$A$11:$A$1010,$B719)="","",INDEX('Work Orders'!$A$11:$A$1010,$B719)))</f>
        <v/>
      </c>
      <c r="D719" s="43">
        <f>IF($B719="","",IF(INDEX('Work Orders'!$B$11:$B$1010,$B719)="","",INDEX('Work Orders'!$B$11:$B$1010,$B719)))</f>
        <v/>
      </c>
      <c r="E719" s="43">
        <f>IF($B719="","",IF(INDEX('Work Orders'!$D$11:$D$1010,$B719)="","",INDEX('Work Orders'!$D$11:$D$1010,$B719)))</f>
        <v/>
      </c>
      <c r="F719" s="43">
        <f>IF($B719="","",IF(INDEX('Work Orders'!$Q$11:$Q$1010,$B719)="","",INDEX('Work Orders'!$Q$11:$Q$1010,$B719)))</f>
        <v/>
      </c>
      <c r="G719" s="43">
        <f>IF($B719="","",IF(INDEX('Work Orders'!$V$11:$V$1010,$B719)="","",INDEX('Work Orders'!$V$11:$V$1010,$B719)))</f>
        <v/>
      </c>
      <c r="H719" s="47">
        <f>IF($B719="","",IF(INDEX('Work Orders'!$U$11:$U$1010,$B719)="","",INDEX('Work Orders'!$U$11:$U$1010,$B719)))</f>
        <v/>
      </c>
      <c r="I719" s="47">
        <f>IF($B719="","",IF(INDEX('Work Orders'!$X$11:$X$1010,$B719)="","",INDEX('Work Orders'!$X$11:$X$1010,$B719)))</f>
        <v/>
      </c>
      <c r="J719" s="44">
        <f>IF($B719="","",IF(INDEX('Work Orders'!$Z$11:$Z$1010,$B719)="","",INDEX('Work Orders'!$Z$11:$Z$1010,$B719)))</f>
        <v/>
      </c>
      <c r="K719" s="44">
        <f>IF($B719="","",IF(INDEX('Work Orders'!$AG$11:$AG$1010,$B719)="","",INDEX('Work Orders'!$AG$11:$AG$1010,$B719)))</f>
        <v/>
      </c>
      <c r="L719" s="44">
        <f>IF($B719="","",IF(INDEX('Work Orders'!$AH$11:$AH$1010,$B719)="","",INDEX('Work Orders'!$AH$11:$AH$1010,$B719)))</f>
        <v/>
      </c>
      <c r="M719" s="46">
        <f>IF($B719="","",IF(INDEX('Work Orders'!$AM$11:$AM$1010,$B719)="","",INDEX('Work Orders'!$AM$11:$AM$1010,$B719)))</f>
        <v/>
      </c>
      <c r="N719" s="43">
        <f>IF($B719="","",IF(INDEX('Work Orders'!$AL$11:$AL$1010,$B719)="","",INDEX('Work Orders'!$AL$11:$AL$1010,$B719)))</f>
        <v/>
      </c>
      <c r="O719" s="43">
        <f>IF($B719="","",IF(INDEX('Work Orders'!$N$11:$N$1010,$B719)="","",INDEX('Work Orders'!$N$11:$N$1010,$B719)))</f>
        <v/>
      </c>
    </row>
    <row r="720">
      <c r="A720" s="68" t="n">
        <v>714</v>
      </c>
      <c r="B720">
        <f>IFERROR(MATCH(A720,'Work Orders'!$AO$11:$AO$1010,0),"")</f>
        <v/>
      </c>
      <c r="C720" s="43">
        <f>IF($B720="","",IF(INDEX('Work Orders'!$A$11:$A$1010,$B720)="","",INDEX('Work Orders'!$A$11:$A$1010,$B720)))</f>
        <v/>
      </c>
      <c r="D720" s="43">
        <f>IF($B720="","",IF(INDEX('Work Orders'!$B$11:$B$1010,$B720)="","",INDEX('Work Orders'!$B$11:$B$1010,$B720)))</f>
        <v/>
      </c>
      <c r="E720" s="43">
        <f>IF($B720="","",IF(INDEX('Work Orders'!$D$11:$D$1010,$B720)="","",INDEX('Work Orders'!$D$11:$D$1010,$B720)))</f>
        <v/>
      </c>
      <c r="F720" s="43">
        <f>IF($B720="","",IF(INDEX('Work Orders'!$Q$11:$Q$1010,$B720)="","",INDEX('Work Orders'!$Q$11:$Q$1010,$B720)))</f>
        <v/>
      </c>
      <c r="G720" s="43">
        <f>IF($B720="","",IF(INDEX('Work Orders'!$V$11:$V$1010,$B720)="","",INDEX('Work Orders'!$V$11:$V$1010,$B720)))</f>
        <v/>
      </c>
      <c r="H720" s="47">
        <f>IF($B720="","",IF(INDEX('Work Orders'!$U$11:$U$1010,$B720)="","",INDEX('Work Orders'!$U$11:$U$1010,$B720)))</f>
        <v/>
      </c>
      <c r="I720" s="47">
        <f>IF($B720="","",IF(INDEX('Work Orders'!$X$11:$X$1010,$B720)="","",INDEX('Work Orders'!$X$11:$X$1010,$B720)))</f>
        <v/>
      </c>
      <c r="J720" s="44">
        <f>IF($B720="","",IF(INDEX('Work Orders'!$Z$11:$Z$1010,$B720)="","",INDEX('Work Orders'!$Z$11:$Z$1010,$B720)))</f>
        <v/>
      </c>
      <c r="K720" s="44">
        <f>IF($B720="","",IF(INDEX('Work Orders'!$AG$11:$AG$1010,$B720)="","",INDEX('Work Orders'!$AG$11:$AG$1010,$B720)))</f>
        <v/>
      </c>
      <c r="L720" s="44">
        <f>IF($B720="","",IF(INDEX('Work Orders'!$AH$11:$AH$1010,$B720)="","",INDEX('Work Orders'!$AH$11:$AH$1010,$B720)))</f>
        <v/>
      </c>
      <c r="M720" s="46">
        <f>IF($B720="","",IF(INDEX('Work Orders'!$AM$11:$AM$1010,$B720)="","",INDEX('Work Orders'!$AM$11:$AM$1010,$B720)))</f>
        <v/>
      </c>
      <c r="N720" s="43">
        <f>IF($B720="","",IF(INDEX('Work Orders'!$AL$11:$AL$1010,$B720)="","",INDEX('Work Orders'!$AL$11:$AL$1010,$B720)))</f>
        <v/>
      </c>
      <c r="O720" s="43">
        <f>IF($B720="","",IF(INDEX('Work Orders'!$N$11:$N$1010,$B720)="","",INDEX('Work Orders'!$N$11:$N$1010,$B720)))</f>
        <v/>
      </c>
    </row>
    <row r="721">
      <c r="A721" s="68" t="n">
        <v>715</v>
      </c>
      <c r="B721">
        <f>IFERROR(MATCH(A721,'Work Orders'!$AO$11:$AO$1010,0),"")</f>
        <v/>
      </c>
      <c r="C721" s="43">
        <f>IF($B721="","",IF(INDEX('Work Orders'!$A$11:$A$1010,$B721)="","",INDEX('Work Orders'!$A$11:$A$1010,$B721)))</f>
        <v/>
      </c>
      <c r="D721" s="43">
        <f>IF($B721="","",IF(INDEX('Work Orders'!$B$11:$B$1010,$B721)="","",INDEX('Work Orders'!$B$11:$B$1010,$B721)))</f>
        <v/>
      </c>
      <c r="E721" s="43">
        <f>IF($B721="","",IF(INDEX('Work Orders'!$D$11:$D$1010,$B721)="","",INDEX('Work Orders'!$D$11:$D$1010,$B721)))</f>
        <v/>
      </c>
      <c r="F721" s="43">
        <f>IF($B721="","",IF(INDEX('Work Orders'!$Q$11:$Q$1010,$B721)="","",INDEX('Work Orders'!$Q$11:$Q$1010,$B721)))</f>
        <v/>
      </c>
      <c r="G721" s="43">
        <f>IF($B721="","",IF(INDEX('Work Orders'!$V$11:$V$1010,$B721)="","",INDEX('Work Orders'!$V$11:$V$1010,$B721)))</f>
        <v/>
      </c>
      <c r="H721" s="47">
        <f>IF($B721="","",IF(INDEX('Work Orders'!$U$11:$U$1010,$B721)="","",INDEX('Work Orders'!$U$11:$U$1010,$B721)))</f>
        <v/>
      </c>
      <c r="I721" s="47">
        <f>IF($B721="","",IF(INDEX('Work Orders'!$X$11:$X$1010,$B721)="","",INDEX('Work Orders'!$X$11:$X$1010,$B721)))</f>
        <v/>
      </c>
      <c r="J721" s="44">
        <f>IF($B721="","",IF(INDEX('Work Orders'!$Z$11:$Z$1010,$B721)="","",INDEX('Work Orders'!$Z$11:$Z$1010,$B721)))</f>
        <v/>
      </c>
      <c r="K721" s="44">
        <f>IF($B721="","",IF(INDEX('Work Orders'!$AG$11:$AG$1010,$B721)="","",INDEX('Work Orders'!$AG$11:$AG$1010,$B721)))</f>
        <v/>
      </c>
      <c r="L721" s="44">
        <f>IF($B721="","",IF(INDEX('Work Orders'!$AH$11:$AH$1010,$B721)="","",INDEX('Work Orders'!$AH$11:$AH$1010,$B721)))</f>
        <v/>
      </c>
      <c r="M721" s="46">
        <f>IF($B721="","",IF(INDEX('Work Orders'!$AM$11:$AM$1010,$B721)="","",INDEX('Work Orders'!$AM$11:$AM$1010,$B721)))</f>
        <v/>
      </c>
      <c r="N721" s="43">
        <f>IF($B721="","",IF(INDEX('Work Orders'!$AL$11:$AL$1010,$B721)="","",INDEX('Work Orders'!$AL$11:$AL$1010,$B721)))</f>
        <v/>
      </c>
      <c r="O721" s="43">
        <f>IF($B721="","",IF(INDEX('Work Orders'!$N$11:$N$1010,$B721)="","",INDEX('Work Orders'!$N$11:$N$1010,$B721)))</f>
        <v/>
      </c>
    </row>
    <row r="722">
      <c r="A722" s="68" t="n">
        <v>716</v>
      </c>
      <c r="B722">
        <f>IFERROR(MATCH(A722,'Work Orders'!$AO$11:$AO$1010,0),"")</f>
        <v/>
      </c>
      <c r="C722" s="43">
        <f>IF($B722="","",IF(INDEX('Work Orders'!$A$11:$A$1010,$B722)="","",INDEX('Work Orders'!$A$11:$A$1010,$B722)))</f>
        <v/>
      </c>
      <c r="D722" s="43">
        <f>IF($B722="","",IF(INDEX('Work Orders'!$B$11:$B$1010,$B722)="","",INDEX('Work Orders'!$B$11:$B$1010,$B722)))</f>
        <v/>
      </c>
      <c r="E722" s="43">
        <f>IF($B722="","",IF(INDEX('Work Orders'!$D$11:$D$1010,$B722)="","",INDEX('Work Orders'!$D$11:$D$1010,$B722)))</f>
        <v/>
      </c>
      <c r="F722" s="43">
        <f>IF($B722="","",IF(INDEX('Work Orders'!$Q$11:$Q$1010,$B722)="","",INDEX('Work Orders'!$Q$11:$Q$1010,$B722)))</f>
        <v/>
      </c>
      <c r="G722" s="43">
        <f>IF($B722="","",IF(INDEX('Work Orders'!$V$11:$V$1010,$B722)="","",INDEX('Work Orders'!$V$11:$V$1010,$B722)))</f>
        <v/>
      </c>
      <c r="H722" s="47">
        <f>IF($B722="","",IF(INDEX('Work Orders'!$U$11:$U$1010,$B722)="","",INDEX('Work Orders'!$U$11:$U$1010,$B722)))</f>
        <v/>
      </c>
      <c r="I722" s="47">
        <f>IF($B722="","",IF(INDEX('Work Orders'!$X$11:$X$1010,$B722)="","",INDEX('Work Orders'!$X$11:$X$1010,$B722)))</f>
        <v/>
      </c>
      <c r="J722" s="44">
        <f>IF($B722="","",IF(INDEX('Work Orders'!$Z$11:$Z$1010,$B722)="","",INDEX('Work Orders'!$Z$11:$Z$1010,$B722)))</f>
        <v/>
      </c>
      <c r="K722" s="44">
        <f>IF($B722="","",IF(INDEX('Work Orders'!$AG$11:$AG$1010,$B722)="","",INDEX('Work Orders'!$AG$11:$AG$1010,$B722)))</f>
        <v/>
      </c>
      <c r="L722" s="44">
        <f>IF($B722="","",IF(INDEX('Work Orders'!$AH$11:$AH$1010,$B722)="","",INDEX('Work Orders'!$AH$11:$AH$1010,$B722)))</f>
        <v/>
      </c>
      <c r="M722" s="46">
        <f>IF($B722="","",IF(INDEX('Work Orders'!$AM$11:$AM$1010,$B722)="","",INDEX('Work Orders'!$AM$11:$AM$1010,$B722)))</f>
        <v/>
      </c>
      <c r="N722" s="43">
        <f>IF($B722="","",IF(INDEX('Work Orders'!$AL$11:$AL$1010,$B722)="","",INDEX('Work Orders'!$AL$11:$AL$1010,$B722)))</f>
        <v/>
      </c>
      <c r="O722" s="43">
        <f>IF($B722="","",IF(INDEX('Work Orders'!$N$11:$N$1010,$B722)="","",INDEX('Work Orders'!$N$11:$N$1010,$B722)))</f>
        <v/>
      </c>
    </row>
    <row r="723">
      <c r="A723" s="68" t="n">
        <v>717</v>
      </c>
      <c r="B723">
        <f>IFERROR(MATCH(A723,'Work Orders'!$AO$11:$AO$1010,0),"")</f>
        <v/>
      </c>
      <c r="C723" s="43">
        <f>IF($B723="","",IF(INDEX('Work Orders'!$A$11:$A$1010,$B723)="","",INDEX('Work Orders'!$A$11:$A$1010,$B723)))</f>
        <v/>
      </c>
      <c r="D723" s="43">
        <f>IF($B723="","",IF(INDEX('Work Orders'!$B$11:$B$1010,$B723)="","",INDEX('Work Orders'!$B$11:$B$1010,$B723)))</f>
        <v/>
      </c>
      <c r="E723" s="43">
        <f>IF($B723="","",IF(INDEX('Work Orders'!$D$11:$D$1010,$B723)="","",INDEX('Work Orders'!$D$11:$D$1010,$B723)))</f>
        <v/>
      </c>
      <c r="F723" s="43">
        <f>IF($B723="","",IF(INDEX('Work Orders'!$Q$11:$Q$1010,$B723)="","",INDEX('Work Orders'!$Q$11:$Q$1010,$B723)))</f>
        <v/>
      </c>
      <c r="G723" s="43">
        <f>IF($B723="","",IF(INDEX('Work Orders'!$V$11:$V$1010,$B723)="","",INDEX('Work Orders'!$V$11:$V$1010,$B723)))</f>
        <v/>
      </c>
      <c r="H723" s="47">
        <f>IF($B723="","",IF(INDEX('Work Orders'!$U$11:$U$1010,$B723)="","",INDEX('Work Orders'!$U$11:$U$1010,$B723)))</f>
        <v/>
      </c>
      <c r="I723" s="47">
        <f>IF($B723="","",IF(INDEX('Work Orders'!$X$11:$X$1010,$B723)="","",INDEX('Work Orders'!$X$11:$X$1010,$B723)))</f>
        <v/>
      </c>
      <c r="J723" s="44">
        <f>IF($B723="","",IF(INDEX('Work Orders'!$Z$11:$Z$1010,$B723)="","",INDEX('Work Orders'!$Z$11:$Z$1010,$B723)))</f>
        <v/>
      </c>
      <c r="K723" s="44">
        <f>IF($B723="","",IF(INDEX('Work Orders'!$AG$11:$AG$1010,$B723)="","",INDEX('Work Orders'!$AG$11:$AG$1010,$B723)))</f>
        <v/>
      </c>
      <c r="L723" s="44">
        <f>IF($B723="","",IF(INDEX('Work Orders'!$AH$11:$AH$1010,$B723)="","",INDEX('Work Orders'!$AH$11:$AH$1010,$B723)))</f>
        <v/>
      </c>
      <c r="M723" s="46">
        <f>IF($B723="","",IF(INDEX('Work Orders'!$AM$11:$AM$1010,$B723)="","",INDEX('Work Orders'!$AM$11:$AM$1010,$B723)))</f>
        <v/>
      </c>
      <c r="N723" s="43">
        <f>IF($B723="","",IF(INDEX('Work Orders'!$AL$11:$AL$1010,$B723)="","",INDEX('Work Orders'!$AL$11:$AL$1010,$B723)))</f>
        <v/>
      </c>
      <c r="O723" s="43">
        <f>IF($B723="","",IF(INDEX('Work Orders'!$N$11:$N$1010,$B723)="","",INDEX('Work Orders'!$N$11:$N$1010,$B723)))</f>
        <v/>
      </c>
    </row>
    <row r="724">
      <c r="A724" s="68" t="n">
        <v>718</v>
      </c>
      <c r="B724">
        <f>IFERROR(MATCH(A724,'Work Orders'!$AO$11:$AO$1010,0),"")</f>
        <v/>
      </c>
      <c r="C724" s="43">
        <f>IF($B724="","",IF(INDEX('Work Orders'!$A$11:$A$1010,$B724)="","",INDEX('Work Orders'!$A$11:$A$1010,$B724)))</f>
        <v/>
      </c>
      <c r="D724" s="43">
        <f>IF($B724="","",IF(INDEX('Work Orders'!$B$11:$B$1010,$B724)="","",INDEX('Work Orders'!$B$11:$B$1010,$B724)))</f>
        <v/>
      </c>
      <c r="E724" s="43">
        <f>IF($B724="","",IF(INDEX('Work Orders'!$D$11:$D$1010,$B724)="","",INDEX('Work Orders'!$D$11:$D$1010,$B724)))</f>
        <v/>
      </c>
      <c r="F724" s="43">
        <f>IF($B724="","",IF(INDEX('Work Orders'!$Q$11:$Q$1010,$B724)="","",INDEX('Work Orders'!$Q$11:$Q$1010,$B724)))</f>
        <v/>
      </c>
      <c r="G724" s="43">
        <f>IF($B724="","",IF(INDEX('Work Orders'!$V$11:$V$1010,$B724)="","",INDEX('Work Orders'!$V$11:$V$1010,$B724)))</f>
        <v/>
      </c>
      <c r="H724" s="47">
        <f>IF($B724="","",IF(INDEX('Work Orders'!$U$11:$U$1010,$B724)="","",INDEX('Work Orders'!$U$11:$U$1010,$B724)))</f>
        <v/>
      </c>
      <c r="I724" s="47">
        <f>IF($B724="","",IF(INDEX('Work Orders'!$X$11:$X$1010,$B724)="","",INDEX('Work Orders'!$X$11:$X$1010,$B724)))</f>
        <v/>
      </c>
      <c r="J724" s="44">
        <f>IF($B724="","",IF(INDEX('Work Orders'!$Z$11:$Z$1010,$B724)="","",INDEX('Work Orders'!$Z$11:$Z$1010,$B724)))</f>
        <v/>
      </c>
      <c r="K724" s="44">
        <f>IF($B724="","",IF(INDEX('Work Orders'!$AG$11:$AG$1010,$B724)="","",INDEX('Work Orders'!$AG$11:$AG$1010,$B724)))</f>
        <v/>
      </c>
      <c r="L724" s="44">
        <f>IF($B724="","",IF(INDEX('Work Orders'!$AH$11:$AH$1010,$B724)="","",INDEX('Work Orders'!$AH$11:$AH$1010,$B724)))</f>
        <v/>
      </c>
      <c r="M724" s="46">
        <f>IF($B724="","",IF(INDEX('Work Orders'!$AM$11:$AM$1010,$B724)="","",INDEX('Work Orders'!$AM$11:$AM$1010,$B724)))</f>
        <v/>
      </c>
      <c r="N724" s="43">
        <f>IF($B724="","",IF(INDEX('Work Orders'!$AL$11:$AL$1010,$B724)="","",INDEX('Work Orders'!$AL$11:$AL$1010,$B724)))</f>
        <v/>
      </c>
      <c r="O724" s="43">
        <f>IF($B724="","",IF(INDEX('Work Orders'!$N$11:$N$1010,$B724)="","",INDEX('Work Orders'!$N$11:$N$1010,$B724)))</f>
        <v/>
      </c>
    </row>
    <row r="725">
      <c r="A725" s="68" t="n">
        <v>719</v>
      </c>
      <c r="B725">
        <f>IFERROR(MATCH(A725,'Work Orders'!$AO$11:$AO$1010,0),"")</f>
        <v/>
      </c>
      <c r="C725" s="43">
        <f>IF($B725="","",IF(INDEX('Work Orders'!$A$11:$A$1010,$B725)="","",INDEX('Work Orders'!$A$11:$A$1010,$B725)))</f>
        <v/>
      </c>
      <c r="D725" s="43">
        <f>IF($B725="","",IF(INDEX('Work Orders'!$B$11:$B$1010,$B725)="","",INDEX('Work Orders'!$B$11:$B$1010,$B725)))</f>
        <v/>
      </c>
      <c r="E725" s="43">
        <f>IF($B725="","",IF(INDEX('Work Orders'!$D$11:$D$1010,$B725)="","",INDEX('Work Orders'!$D$11:$D$1010,$B725)))</f>
        <v/>
      </c>
      <c r="F725" s="43">
        <f>IF($B725="","",IF(INDEX('Work Orders'!$Q$11:$Q$1010,$B725)="","",INDEX('Work Orders'!$Q$11:$Q$1010,$B725)))</f>
        <v/>
      </c>
      <c r="G725" s="43">
        <f>IF($B725="","",IF(INDEX('Work Orders'!$V$11:$V$1010,$B725)="","",INDEX('Work Orders'!$V$11:$V$1010,$B725)))</f>
        <v/>
      </c>
      <c r="H725" s="47">
        <f>IF($B725="","",IF(INDEX('Work Orders'!$U$11:$U$1010,$B725)="","",INDEX('Work Orders'!$U$11:$U$1010,$B725)))</f>
        <v/>
      </c>
      <c r="I725" s="47">
        <f>IF($B725="","",IF(INDEX('Work Orders'!$X$11:$X$1010,$B725)="","",INDEX('Work Orders'!$X$11:$X$1010,$B725)))</f>
        <v/>
      </c>
      <c r="J725" s="44">
        <f>IF($B725="","",IF(INDEX('Work Orders'!$Z$11:$Z$1010,$B725)="","",INDEX('Work Orders'!$Z$11:$Z$1010,$B725)))</f>
        <v/>
      </c>
      <c r="K725" s="44">
        <f>IF($B725="","",IF(INDEX('Work Orders'!$AG$11:$AG$1010,$B725)="","",INDEX('Work Orders'!$AG$11:$AG$1010,$B725)))</f>
        <v/>
      </c>
      <c r="L725" s="44">
        <f>IF($B725="","",IF(INDEX('Work Orders'!$AH$11:$AH$1010,$B725)="","",INDEX('Work Orders'!$AH$11:$AH$1010,$B725)))</f>
        <v/>
      </c>
      <c r="M725" s="46">
        <f>IF($B725="","",IF(INDEX('Work Orders'!$AM$11:$AM$1010,$B725)="","",INDEX('Work Orders'!$AM$11:$AM$1010,$B725)))</f>
        <v/>
      </c>
      <c r="N725" s="43">
        <f>IF($B725="","",IF(INDEX('Work Orders'!$AL$11:$AL$1010,$B725)="","",INDEX('Work Orders'!$AL$11:$AL$1010,$B725)))</f>
        <v/>
      </c>
      <c r="O725" s="43">
        <f>IF($B725="","",IF(INDEX('Work Orders'!$N$11:$N$1010,$B725)="","",INDEX('Work Orders'!$N$11:$N$1010,$B725)))</f>
        <v/>
      </c>
    </row>
    <row r="726">
      <c r="A726" s="68" t="n">
        <v>720</v>
      </c>
      <c r="B726">
        <f>IFERROR(MATCH(A726,'Work Orders'!$AO$11:$AO$1010,0),"")</f>
        <v/>
      </c>
      <c r="C726" s="43">
        <f>IF($B726="","",IF(INDEX('Work Orders'!$A$11:$A$1010,$B726)="","",INDEX('Work Orders'!$A$11:$A$1010,$B726)))</f>
        <v/>
      </c>
      <c r="D726" s="43">
        <f>IF($B726="","",IF(INDEX('Work Orders'!$B$11:$B$1010,$B726)="","",INDEX('Work Orders'!$B$11:$B$1010,$B726)))</f>
        <v/>
      </c>
      <c r="E726" s="43">
        <f>IF($B726="","",IF(INDEX('Work Orders'!$D$11:$D$1010,$B726)="","",INDEX('Work Orders'!$D$11:$D$1010,$B726)))</f>
        <v/>
      </c>
      <c r="F726" s="43">
        <f>IF($B726="","",IF(INDEX('Work Orders'!$Q$11:$Q$1010,$B726)="","",INDEX('Work Orders'!$Q$11:$Q$1010,$B726)))</f>
        <v/>
      </c>
      <c r="G726" s="43">
        <f>IF($B726="","",IF(INDEX('Work Orders'!$V$11:$V$1010,$B726)="","",INDEX('Work Orders'!$V$11:$V$1010,$B726)))</f>
        <v/>
      </c>
      <c r="H726" s="47">
        <f>IF($B726="","",IF(INDEX('Work Orders'!$U$11:$U$1010,$B726)="","",INDEX('Work Orders'!$U$11:$U$1010,$B726)))</f>
        <v/>
      </c>
      <c r="I726" s="47">
        <f>IF($B726="","",IF(INDEX('Work Orders'!$X$11:$X$1010,$B726)="","",INDEX('Work Orders'!$X$11:$X$1010,$B726)))</f>
        <v/>
      </c>
      <c r="J726" s="44">
        <f>IF($B726="","",IF(INDEX('Work Orders'!$Z$11:$Z$1010,$B726)="","",INDEX('Work Orders'!$Z$11:$Z$1010,$B726)))</f>
        <v/>
      </c>
      <c r="K726" s="44">
        <f>IF($B726="","",IF(INDEX('Work Orders'!$AG$11:$AG$1010,$B726)="","",INDEX('Work Orders'!$AG$11:$AG$1010,$B726)))</f>
        <v/>
      </c>
      <c r="L726" s="44">
        <f>IF($B726="","",IF(INDEX('Work Orders'!$AH$11:$AH$1010,$B726)="","",INDEX('Work Orders'!$AH$11:$AH$1010,$B726)))</f>
        <v/>
      </c>
      <c r="M726" s="46">
        <f>IF($B726="","",IF(INDEX('Work Orders'!$AM$11:$AM$1010,$B726)="","",INDEX('Work Orders'!$AM$11:$AM$1010,$B726)))</f>
        <v/>
      </c>
      <c r="N726" s="43">
        <f>IF($B726="","",IF(INDEX('Work Orders'!$AL$11:$AL$1010,$B726)="","",INDEX('Work Orders'!$AL$11:$AL$1010,$B726)))</f>
        <v/>
      </c>
      <c r="O726" s="43">
        <f>IF($B726="","",IF(INDEX('Work Orders'!$N$11:$N$1010,$B726)="","",INDEX('Work Orders'!$N$11:$N$1010,$B726)))</f>
        <v/>
      </c>
    </row>
    <row r="727">
      <c r="A727" s="68" t="n">
        <v>721</v>
      </c>
      <c r="B727">
        <f>IFERROR(MATCH(A727,'Work Orders'!$AO$11:$AO$1010,0),"")</f>
        <v/>
      </c>
      <c r="C727" s="43">
        <f>IF($B727="","",IF(INDEX('Work Orders'!$A$11:$A$1010,$B727)="","",INDEX('Work Orders'!$A$11:$A$1010,$B727)))</f>
        <v/>
      </c>
      <c r="D727" s="43">
        <f>IF($B727="","",IF(INDEX('Work Orders'!$B$11:$B$1010,$B727)="","",INDEX('Work Orders'!$B$11:$B$1010,$B727)))</f>
        <v/>
      </c>
      <c r="E727" s="43">
        <f>IF($B727="","",IF(INDEX('Work Orders'!$D$11:$D$1010,$B727)="","",INDEX('Work Orders'!$D$11:$D$1010,$B727)))</f>
        <v/>
      </c>
      <c r="F727" s="43">
        <f>IF($B727="","",IF(INDEX('Work Orders'!$Q$11:$Q$1010,$B727)="","",INDEX('Work Orders'!$Q$11:$Q$1010,$B727)))</f>
        <v/>
      </c>
      <c r="G727" s="43">
        <f>IF($B727="","",IF(INDEX('Work Orders'!$V$11:$V$1010,$B727)="","",INDEX('Work Orders'!$V$11:$V$1010,$B727)))</f>
        <v/>
      </c>
      <c r="H727" s="47">
        <f>IF($B727="","",IF(INDEX('Work Orders'!$U$11:$U$1010,$B727)="","",INDEX('Work Orders'!$U$11:$U$1010,$B727)))</f>
        <v/>
      </c>
      <c r="I727" s="47">
        <f>IF($B727="","",IF(INDEX('Work Orders'!$X$11:$X$1010,$B727)="","",INDEX('Work Orders'!$X$11:$X$1010,$B727)))</f>
        <v/>
      </c>
      <c r="J727" s="44">
        <f>IF($B727="","",IF(INDEX('Work Orders'!$Z$11:$Z$1010,$B727)="","",INDEX('Work Orders'!$Z$11:$Z$1010,$B727)))</f>
        <v/>
      </c>
      <c r="K727" s="44">
        <f>IF($B727="","",IF(INDEX('Work Orders'!$AG$11:$AG$1010,$B727)="","",INDEX('Work Orders'!$AG$11:$AG$1010,$B727)))</f>
        <v/>
      </c>
      <c r="L727" s="44">
        <f>IF($B727="","",IF(INDEX('Work Orders'!$AH$11:$AH$1010,$B727)="","",INDEX('Work Orders'!$AH$11:$AH$1010,$B727)))</f>
        <v/>
      </c>
      <c r="M727" s="46">
        <f>IF($B727="","",IF(INDEX('Work Orders'!$AM$11:$AM$1010,$B727)="","",INDEX('Work Orders'!$AM$11:$AM$1010,$B727)))</f>
        <v/>
      </c>
      <c r="N727" s="43">
        <f>IF($B727="","",IF(INDEX('Work Orders'!$AL$11:$AL$1010,$B727)="","",INDEX('Work Orders'!$AL$11:$AL$1010,$B727)))</f>
        <v/>
      </c>
      <c r="O727" s="43">
        <f>IF($B727="","",IF(INDEX('Work Orders'!$N$11:$N$1010,$B727)="","",INDEX('Work Orders'!$N$11:$N$1010,$B727)))</f>
        <v/>
      </c>
    </row>
    <row r="728">
      <c r="A728" s="68" t="n">
        <v>722</v>
      </c>
      <c r="B728">
        <f>IFERROR(MATCH(A728,'Work Orders'!$AO$11:$AO$1010,0),"")</f>
        <v/>
      </c>
      <c r="C728" s="43">
        <f>IF($B728="","",IF(INDEX('Work Orders'!$A$11:$A$1010,$B728)="","",INDEX('Work Orders'!$A$11:$A$1010,$B728)))</f>
        <v/>
      </c>
      <c r="D728" s="43">
        <f>IF($B728="","",IF(INDEX('Work Orders'!$B$11:$B$1010,$B728)="","",INDEX('Work Orders'!$B$11:$B$1010,$B728)))</f>
        <v/>
      </c>
      <c r="E728" s="43">
        <f>IF($B728="","",IF(INDEX('Work Orders'!$D$11:$D$1010,$B728)="","",INDEX('Work Orders'!$D$11:$D$1010,$B728)))</f>
        <v/>
      </c>
      <c r="F728" s="43">
        <f>IF($B728="","",IF(INDEX('Work Orders'!$Q$11:$Q$1010,$B728)="","",INDEX('Work Orders'!$Q$11:$Q$1010,$B728)))</f>
        <v/>
      </c>
      <c r="G728" s="43">
        <f>IF($B728="","",IF(INDEX('Work Orders'!$V$11:$V$1010,$B728)="","",INDEX('Work Orders'!$V$11:$V$1010,$B728)))</f>
        <v/>
      </c>
      <c r="H728" s="47">
        <f>IF($B728="","",IF(INDEX('Work Orders'!$U$11:$U$1010,$B728)="","",INDEX('Work Orders'!$U$11:$U$1010,$B728)))</f>
        <v/>
      </c>
      <c r="I728" s="47">
        <f>IF($B728="","",IF(INDEX('Work Orders'!$X$11:$X$1010,$B728)="","",INDEX('Work Orders'!$X$11:$X$1010,$B728)))</f>
        <v/>
      </c>
      <c r="J728" s="44">
        <f>IF($B728="","",IF(INDEX('Work Orders'!$Z$11:$Z$1010,$B728)="","",INDEX('Work Orders'!$Z$11:$Z$1010,$B728)))</f>
        <v/>
      </c>
      <c r="K728" s="44">
        <f>IF($B728="","",IF(INDEX('Work Orders'!$AG$11:$AG$1010,$B728)="","",INDEX('Work Orders'!$AG$11:$AG$1010,$B728)))</f>
        <v/>
      </c>
      <c r="L728" s="44">
        <f>IF($B728="","",IF(INDEX('Work Orders'!$AH$11:$AH$1010,$B728)="","",INDEX('Work Orders'!$AH$11:$AH$1010,$B728)))</f>
        <v/>
      </c>
      <c r="M728" s="46">
        <f>IF($B728="","",IF(INDEX('Work Orders'!$AM$11:$AM$1010,$B728)="","",INDEX('Work Orders'!$AM$11:$AM$1010,$B728)))</f>
        <v/>
      </c>
      <c r="N728" s="43">
        <f>IF($B728="","",IF(INDEX('Work Orders'!$AL$11:$AL$1010,$B728)="","",INDEX('Work Orders'!$AL$11:$AL$1010,$B728)))</f>
        <v/>
      </c>
      <c r="O728" s="43">
        <f>IF($B728="","",IF(INDEX('Work Orders'!$N$11:$N$1010,$B728)="","",INDEX('Work Orders'!$N$11:$N$1010,$B728)))</f>
        <v/>
      </c>
    </row>
    <row r="729">
      <c r="A729" s="68" t="n">
        <v>723</v>
      </c>
      <c r="B729">
        <f>IFERROR(MATCH(A729,'Work Orders'!$AO$11:$AO$1010,0),"")</f>
        <v/>
      </c>
      <c r="C729" s="43">
        <f>IF($B729="","",IF(INDEX('Work Orders'!$A$11:$A$1010,$B729)="","",INDEX('Work Orders'!$A$11:$A$1010,$B729)))</f>
        <v/>
      </c>
      <c r="D729" s="43">
        <f>IF($B729="","",IF(INDEX('Work Orders'!$B$11:$B$1010,$B729)="","",INDEX('Work Orders'!$B$11:$B$1010,$B729)))</f>
        <v/>
      </c>
      <c r="E729" s="43">
        <f>IF($B729="","",IF(INDEX('Work Orders'!$D$11:$D$1010,$B729)="","",INDEX('Work Orders'!$D$11:$D$1010,$B729)))</f>
        <v/>
      </c>
      <c r="F729" s="43">
        <f>IF($B729="","",IF(INDEX('Work Orders'!$Q$11:$Q$1010,$B729)="","",INDEX('Work Orders'!$Q$11:$Q$1010,$B729)))</f>
        <v/>
      </c>
      <c r="G729" s="43">
        <f>IF($B729="","",IF(INDEX('Work Orders'!$V$11:$V$1010,$B729)="","",INDEX('Work Orders'!$V$11:$V$1010,$B729)))</f>
        <v/>
      </c>
      <c r="H729" s="47">
        <f>IF($B729="","",IF(INDEX('Work Orders'!$U$11:$U$1010,$B729)="","",INDEX('Work Orders'!$U$11:$U$1010,$B729)))</f>
        <v/>
      </c>
      <c r="I729" s="47">
        <f>IF($B729="","",IF(INDEX('Work Orders'!$X$11:$X$1010,$B729)="","",INDEX('Work Orders'!$X$11:$X$1010,$B729)))</f>
        <v/>
      </c>
      <c r="J729" s="44">
        <f>IF($B729="","",IF(INDEX('Work Orders'!$Z$11:$Z$1010,$B729)="","",INDEX('Work Orders'!$Z$11:$Z$1010,$B729)))</f>
        <v/>
      </c>
      <c r="K729" s="44">
        <f>IF($B729="","",IF(INDEX('Work Orders'!$AG$11:$AG$1010,$B729)="","",INDEX('Work Orders'!$AG$11:$AG$1010,$B729)))</f>
        <v/>
      </c>
      <c r="L729" s="44">
        <f>IF($B729="","",IF(INDEX('Work Orders'!$AH$11:$AH$1010,$B729)="","",INDEX('Work Orders'!$AH$11:$AH$1010,$B729)))</f>
        <v/>
      </c>
      <c r="M729" s="46">
        <f>IF($B729="","",IF(INDEX('Work Orders'!$AM$11:$AM$1010,$B729)="","",INDEX('Work Orders'!$AM$11:$AM$1010,$B729)))</f>
        <v/>
      </c>
      <c r="N729" s="43">
        <f>IF($B729="","",IF(INDEX('Work Orders'!$AL$11:$AL$1010,$B729)="","",INDEX('Work Orders'!$AL$11:$AL$1010,$B729)))</f>
        <v/>
      </c>
      <c r="O729" s="43">
        <f>IF($B729="","",IF(INDEX('Work Orders'!$N$11:$N$1010,$B729)="","",INDEX('Work Orders'!$N$11:$N$1010,$B729)))</f>
        <v/>
      </c>
    </row>
    <row r="730">
      <c r="A730" s="68" t="n">
        <v>724</v>
      </c>
      <c r="B730">
        <f>IFERROR(MATCH(A730,'Work Orders'!$AO$11:$AO$1010,0),"")</f>
        <v/>
      </c>
      <c r="C730" s="43">
        <f>IF($B730="","",IF(INDEX('Work Orders'!$A$11:$A$1010,$B730)="","",INDEX('Work Orders'!$A$11:$A$1010,$B730)))</f>
        <v/>
      </c>
      <c r="D730" s="43">
        <f>IF($B730="","",IF(INDEX('Work Orders'!$B$11:$B$1010,$B730)="","",INDEX('Work Orders'!$B$11:$B$1010,$B730)))</f>
        <v/>
      </c>
      <c r="E730" s="43">
        <f>IF($B730="","",IF(INDEX('Work Orders'!$D$11:$D$1010,$B730)="","",INDEX('Work Orders'!$D$11:$D$1010,$B730)))</f>
        <v/>
      </c>
      <c r="F730" s="43">
        <f>IF($B730="","",IF(INDEX('Work Orders'!$Q$11:$Q$1010,$B730)="","",INDEX('Work Orders'!$Q$11:$Q$1010,$B730)))</f>
        <v/>
      </c>
      <c r="G730" s="43">
        <f>IF($B730="","",IF(INDEX('Work Orders'!$V$11:$V$1010,$B730)="","",INDEX('Work Orders'!$V$11:$V$1010,$B730)))</f>
        <v/>
      </c>
      <c r="H730" s="47">
        <f>IF($B730="","",IF(INDEX('Work Orders'!$U$11:$U$1010,$B730)="","",INDEX('Work Orders'!$U$11:$U$1010,$B730)))</f>
        <v/>
      </c>
      <c r="I730" s="47">
        <f>IF($B730="","",IF(INDEX('Work Orders'!$X$11:$X$1010,$B730)="","",INDEX('Work Orders'!$X$11:$X$1010,$B730)))</f>
        <v/>
      </c>
      <c r="J730" s="44">
        <f>IF($B730="","",IF(INDEX('Work Orders'!$Z$11:$Z$1010,$B730)="","",INDEX('Work Orders'!$Z$11:$Z$1010,$B730)))</f>
        <v/>
      </c>
      <c r="K730" s="44">
        <f>IF($B730="","",IF(INDEX('Work Orders'!$AG$11:$AG$1010,$B730)="","",INDEX('Work Orders'!$AG$11:$AG$1010,$B730)))</f>
        <v/>
      </c>
      <c r="L730" s="44">
        <f>IF($B730="","",IF(INDEX('Work Orders'!$AH$11:$AH$1010,$B730)="","",INDEX('Work Orders'!$AH$11:$AH$1010,$B730)))</f>
        <v/>
      </c>
      <c r="M730" s="46">
        <f>IF($B730="","",IF(INDEX('Work Orders'!$AM$11:$AM$1010,$B730)="","",INDEX('Work Orders'!$AM$11:$AM$1010,$B730)))</f>
        <v/>
      </c>
      <c r="N730" s="43">
        <f>IF($B730="","",IF(INDEX('Work Orders'!$AL$11:$AL$1010,$B730)="","",INDEX('Work Orders'!$AL$11:$AL$1010,$B730)))</f>
        <v/>
      </c>
      <c r="O730" s="43">
        <f>IF($B730="","",IF(INDEX('Work Orders'!$N$11:$N$1010,$B730)="","",INDEX('Work Orders'!$N$11:$N$1010,$B730)))</f>
        <v/>
      </c>
    </row>
    <row r="731">
      <c r="A731" s="68" t="n">
        <v>725</v>
      </c>
      <c r="B731">
        <f>IFERROR(MATCH(A731,'Work Orders'!$AO$11:$AO$1010,0),"")</f>
        <v/>
      </c>
      <c r="C731" s="43">
        <f>IF($B731="","",IF(INDEX('Work Orders'!$A$11:$A$1010,$B731)="","",INDEX('Work Orders'!$A$11:$A$1010,$B731)))</f>
        <v/>
      </c>
      <c r="D731" s="43">
        <f>IF($B731="","",IF(INDEX('Work Orders'!$B$11:$B$1010,$B731)="","",INDEX('Work Orders'!$B$11:$B$1010,$B731)))</f>
        <v/>
      </c>
      <c r="E731" s="43">
        <f>IF($B731="","",IF(INDEX('Work Orders'!$D$11:$D$1010,$B731)="","",INDEX('Work Orders'!$D$11:$D$1010,$B731)))</f>
        <v/>
      </c>
      <c r="F731" s="43">
        <f>IF($B731="","",IF(INDEX('Work Orders'!$Q$11:$Q$1010,$B731)="","",INDEX('Work Orders'!$Q$11:$Q$1010,$B731)))</f>
        <v/>
      </c>
      <c r="G731" s="43">
        <f>IF($B731="","",IF(INDEX('Work Orders'!$V$11:$V$1010,$B731)="","",INDEX('Work Orders'!$V$11:$V$1010,$B731)))</f>
        <v/>
      </c>
      <c r="H731" s="47">
        <f>IF($B731="","",IF(INDEX('Work Orders'!$U$11:$U$1010,$B731)="","",INDEX('Work Orders'!$U$11:$U$1010,$B731)))</f>
        <v/>
      </c>
      <c r="I731" s="47">
        <f>IF($B731="","",IF(INDEX('Work Orders'!$X$11:$X$1010,$B731)="","",INDEX('Work Orders'!$X$11:$X$1010,$B731)))</f>
        <v/>
      </c>
      <c r="J731" s="44">
        <f>IF($B731="","",IF(INDEX('Work Orders'!$Z$11:$Z$1010,$B731)="","",INDEX('Work Orders'!$Z$11:$Z$1010,$B731)))</f>
        <v/>
      </c>
      <c r="K731" s="44">
        <f>IF($B731="","",IF(INDEX('Work Orders'!$AG$11:$AG$1010,$B731)="","",INDEX('Work Orders'!$AG$11:$AG$1010,$B731)))</f>
        <v/>
      </c>
      <c r="L731" s="44">
        <f>IF($B731="","",IF(INDEX('Work Orders'!$AH$11:$AH$1010,$B731)="","",INDEX('Work Orders'!$AH$11:$AH$1010,$B731)))</f>
        <v/>
      </c>
      <c r="M731" s="46">
        <f>IF($B731="","",IF(INDEX('Work Orders'!$AM$11:$AM$1010,$B731)="","",INDEX('Work Orders'!$AM$11:$AM$1010,$B731)))</f>
        <v/>
      </c>
      <c r="N731" s="43">
        <f>IF($B731="","",IF(INDEX('Work Orders'!$AL$11:$AL$1010,$B731)="","",INDEX('Work Orders'!$AL$11:$AL$1010,$B731)))</f>
        <v/>
      </c>
      <c r="O731" s="43">
        <f>IF($B731="","",IF(INDEX('Work Orders'!$N$11:$N$1010,$B731)="","",INDEX('Work Orders'!$N$11:$N$1010,$B731)))</f>
        <v/>
      </c>
    </row>
    <row r="732">
      <c r="A732" s="68" t="n">
        <v>726</v>
      </c>
      <c r="B732">
        <f>IFERROR(MATCH(A732,'Work Orders'!$AO$11:$AO$1010,0),"")</f>
        <v/>
      </c>
      <c r="C732" s="43">
        <f>IF($B732="","",IF(INDEX('Work Orders'!$A$11:$A$1010,$B732)="","",INDEX('Work Orders'!$A$11:$A$1010,$B732)))</f>
        <v/>
      </c>
      <c r="D732" s="43">
        <f>IF($B732="","",IF(INDEX('Work Orders'!$B$11:$B$1010,$B732)="","",INDEX('Work Orders'!$B$11:$B$1010,$B732)))</f>
        <v/>
      </c>
      <c r="E732" s="43">
        <f>IF($B732="","",IF(INDEX('Work Orders'!$D$11:$D$1010,$B732)="","",INDEX('Work Orders'!$D$11:$D$1010,$B732)))</f>
        <v/>
      </c>
      <c r="F732" s="43">
        <f>IF($B732="","",IF(INDEX('Work Orders'!$Q$11:$Q$1010,$B732)="","",INDEX('Work Orders'!$Q$11:$Q$1010,$B732)))</f>
        <v/>
      </c>
      <c r="G732" s="43">
        <f>IF($B732="","",IF(INDEX('Work Orders'!$V$11:$V$1010,$B732)="","",INDEX('Work Orders'!$V$11:$V$1010,$B732)))</f>
        <v/>
      </c>
      <c r="H732" s="47">
        <f>IF($B732="","",IF(INDEX('Work Orders'!$U$11:$U$1010,$B732)="","",INDEX('Work Orders'!$U$11:$U$1010,$B732)))</f>
        <v/>
      </c>
      <c r="I732" s="47">
        <f>IF($B732="","",IF(INDEX('Work Orders'!$X$11:$X$1010,$B732)="","",INDEX('Work Orders'!$X$11:$X$1010,$B732)))</f>
        <v/>
      </c>
      <c r="J732" s="44">
        <f>IF($B732="","",IF(INDEX('Work Orders'!$Z$11:$Z$1010,$B732)="","",INDEX('Work Orders'!$Z$11:$Z$1010,$B732)))</f>
        <v/>
      </c>
      <c r="K732" s="44">
        <f>IF($B732="","",IF(INDEX('Work Orders'!$AG$11:$AG$1010,$B732)="","",INDEX('Work Orders'!$AG$11:$AG$1010,$B732)))</f>
        <v/>
      </c>
      <c r="L732" s="44">
        <f>IF($B732="","",IF(INDEX('Work Orders'!$AH$11:$AH$1010,$B732)="","",INDEX('Work Orders'!$AH$11:$AH$1010,$B732)))</f>
        <v/>
      </c>
      <c r="M732" s="46">
        <f>IF($B732="","",IF(INDEX('Work Orders'!$AM$11:$AM$1010,$B732)="","",INDEX('Work Orders'!$AM$11:$AM$1010,$B732)))</f>
        <v/>
      </c>
      <c r="N732" s="43">
        <f>IF($B732="","",IF(INDEX('Work Orders'!$AL$11:$AL$1010,$B732)="","",INDEX('Work Orders'!$AL$11:$AL$1010,$B732)))</f>
        <v/>
      </c>
      <c r="O732" s="43">
        <f>IF($B732="","",IF(INDEX('Work Orders'!$N$11:$N$1010,$B732)="","",INDEX('Work Orders'!$N$11:$N$1010,$B732)))</f>
        <v/>
      </c>
    </row>
    <row r="733">
      <c r="A733" s="68" t="n">
        <v>727</v>
      </c>
      <c r="B733">
        <f>IFERROR(MATCH(A733,'Work Orders'!$AO$11:$AO$1010,0),"")</f>
        <v/>
      </c>
      <c r="C733" s="43">
        <f>IF($B733="","",IF(INDEX('Work Orders'!$A$11:$A$1010,$B733)="","",INDEX('Work Orders'!$A$11:$A$1010,$B733)))</f>
        <v/>
      </c>
      <c r="D733" s="43">
        <f>IF($B733="","",IF(INDEX('Work Orders'!$B$11:$B$1010,$B733)="","",INDEX('Work Orders'!$B$11:$B$1010,$B733)))</f>
        <v/>
      </c>
      <c r="E733" s="43">
        <f>IF($B733="","",IF(INDEX('Work Orders'!$D$11:$D$1010,$B733)="","",INDEX('Work Orders'!$D$11:$D$1010,$B733)))</f>
        <v/>
      </c>
      <c r="F733" s="43">
        <f>IF($B733="","",IF(INDEX('Work Orders'!$Q$11:$Q$1010,$B733)="","",INDEX('Work Orders'!$Q$11:$Q$1010,$B733)))</f>
        <v/>
      </c>
      <c r="G733" s="43">
        <f>IF($B733="","",IF(INDEX('Work Orders'!$V$11:$V$1010,$B733)="","",INDEX('Work Orders'!$V$11:$V$1010,$B733)))</f>
        <v/>
      </c>
      <c r="H733" s="47">
        <f>IF($B733="","",IF(INDEX('Work Orders'!$U$11:$U$1010,$B733)="","",INDEX('Work Orders'!$U$11:$U$1010,$B733)))</f>
        <v/>
      </c>
      <c r="I733" s="47">
        <f>IF($B733="","",IF(INDEX('Work Orders'!$X$11:$X$1010,$B733)="","",INDEX('Work Orders'!$X$11:$X$1010,$B733)))</f>
        <v/>
      </c>
      <c r="J733" s="44">
        <f>IF($B733="","",IF(INDEX('Work Orders'!$Z$11:$Z$1010,$B733)="","",INDEX('Work Orders'!$Z$11:$Z$1010,$B733)))</f>
        <v/>
      </c>
      <c r="K733" s="44">
        <f>IF($B733="","",IF(INDEX('Work Orders'!$AG$11:$AG$1010,$B733)="","",INDEX('Work Orders'!$AG$11:$AG$1010,$B733)))</f>
        <v/>
      </c>
      <c r="L733" s="44">
        <f>IF($B733="","",IF(INDEX('Work Orders'!$AH$11:$AH$1010,$B733)="","",INDEX('Work Orders'!$AH$11:$AH$1010,$B733)))</f>
        <v/>
      </c>
      <c r="M733" s="46">
        <f>IF($B733="","",IF(INDEX('Work Orders'!$AM$11:$AM$1010,$B733)="","",INDEX('Work Orders'!$AM$11:$AM$1010,$B733)))</f>
        <v/>
      </c>
      <c r="N733" s="43">
        <f>IF($B733="","",IF(INDEX('Work Orders'!$AL$11:$AL$1010,$B733)="","",INDEX('Work Orders'!$AL$11:$AL$1010,$B733)))</f>
        <v/>
      </c>
      <c r="O733" s="43">
        <f>IF($B733="","",IF(INDEX('Work Orders'!$N$11:$N$1010,$B733)="","",INDEX('Work Orders'!$N$11:$N$1010,$B733)))</f>
        <v/>
      </c>
    </row>
    <row r="734">
      <c r="A734" s="68" t="n">
        <v>728</v>
      </c>
      <c r="B734">
        <f>IFERROR(MATCH(A734,'Work Orders'!$AO$11:$AO$1010,0),"")</f>
        <v/>
      </c>
      <c r="C734" s="43">
        <f>IF($B734="","",IF(INDEX('Work Orders'!$A$11:$A$1010,$B734)="","",INDEX('Work Orders'!$A$11:$A$1010,$B734)))</f>
        <v/>
      </c>
      <c r="D734" s="43">
        <f>IF($B734="","",IF(INDEX('Work Orders'!$B$11:$B$1010,$B734)="","",INDEX('Work Orders'!$B$11:$B$1010,$B734)))</f>
        <v/>
      </c>
      <c r="E734" s="43">
        <f>IF($B734="","",IF(INDEX('Work Orders'!$D$11:$D$1010,$B734)="","",INDEX('Work Orders'!$D$11:$D$1010,$B734)))</f>
        <v/>
      </c>
      <c r="F734" s="43">
        <f>IF($B734="","",IF(INDEX('Work Orders'!$Q$11:$Q$1010,$B734)="","",INDEX('Work Orders'!$Q$11:$Q$1010,$B734)))</f>
        <v/>
      </c>
      <c r="G734" s="43">
        <f>IF($B734="","",IF(INDEX('Work Orders'!$V$11:$V$1010,$B734)="","",INDEX('Work Orders'!$V$11:$V$1010,$B734)))</f>
        <v/>
      </c>
      <c r="H734" s="47">
        <f>IF($B734="","",IF(INDEX('Work Orders'!$U$11:$U$1010,$B734)="","",INDEX('Work Orders'!$U$11:$U$1010,$B734)))</f>
        <v/>
      </c>
      <c r="I734" s="47">
        <f>IF($B734="","",IF(INDEX('Work Orders'!$X$11:$X$1010,$B734)="","",INDEX('Work Orders'!$X$11:$X$1010,$B734)))</f>
        <v/>
      </c>
      <c r="J734" s="44">
        <f>IF($B734="","",IF(INDEX('Work Orders'!$Z$11:$Z$1010,$B734)="","",INDEX('Work Orders'!$Z$11:$Z$1010,$B734)))</f>
        <v/>
      </c>
      <c r="K734" s="44">
        <f>IF($B734="","",IF(INDEX('Work Orders'!$AG$11:$AG$1010,$B734)="","",INDEX('Work Orders'!$AG$11:$AG$1010,$B734)))</f>
        <v/>
      </c>
      <c r="L734" s="44">
        <f>IF($B734="","",IF(INDEX('Work Orders'!$AH$11:$AH$1010,$B734)="","",INDEX('Work Orders'!$AH$11:$AH$1010,$B734)))</f>
        <v/>
      </c>
      <c r="M734" s="46">
        <f>IF($B734="","",IF(INDEX('Work Orders'!$AM$11:$AM$1010,$B734)="","",INDEX('Work Orders'!$AM$11:$AM$1010,$B734)))</f>
        <v/>
      </c>
      <c r="N734" s="43">
        <f>IF($B734="","",IF(INDEX('Work Orders'!$AL$11:$AL$1010,$B734)="","",INDEX('Work Orders'!$AL$11:$AL$1010,$B734)))</f>
        <v/>
      </c>
      <c r="O734" s="43">
        <f>IF($B734="","",IF(INDEX('Work Orders'!$N$11:$N$1010,$B734)="","",INDEX('Work Orders'!$N$11:$N$1010,$B734)))</f>
        <v/>
      </c>
    </row>
    <row r="735">
      <c r="A735" s="68" t="n">
        <v>729</v>
      </c>
      <c r="B735">
        <f>IFERROR(MATCH(A735,'Work Orders'!$AO$11:$AO$1010,0),"")</f>
        <v/>
      </c>
      <c r="C735" s="43">
        <f>IF($B735="","",IF(INDEX('Work Orders'!$A$11:$A$1010,$B735)="","",INDEX('Work Orders'!$A$11:$A$1010,$B735)))</f>
        <v/>
      </c>
      <c r="D735" s="43">
        <f>IF($B735="","",IF(INDEX('Work Orders'!$B$11:$B$1010,$B735)="","",INDEX('Work Orders'!$B$11:$B$1010,$B735)))</f>
        <v/>
      </c>
      <c r="E735" s="43">
        <f>IF($B735="","",IF(INDEX('Work Orders'!$D$11:$D$1010,$B735)="","",INDEX('Work Orders'!$D$11:$D$1010,$B735)))</f>
        <v/>
      </c>
      <c r="F735" s="43">
        <f>IF($B735="","",IF(INDEX('Work Orders'!$Q$11:$Q$1010,$B735)="","",INDEX('Work Orders'!$Q$11:$Q$1010,$B735)))</f>
        <v/>
      </c>
      <c r="G735" s="43">
        <f>IF($B735="","",IF(INDEX('Work Orders'!$V$11:$V$1010,$B735)="","",INDEX('Work Orders'!$V$11:$V$1010,$B735)))</f>
        <v/>
      </c>
      <c r="H735" s="47">
        <f>IF($B735="","",IF(INDEX('Work Orders'!$U$11:$U$1010,$B735)="","",INDEX('Work Orders'!$U$11:$U$1010,$B735)))</f>
        <v/>
      </c>
      <c r="I735" s="47">
        <f>IF($B735="","",IF(INDEX('Work Orders'!$X$11:$X$1010,$B735)="","",INDEX('Work Orders'!$X$11:$X$1010,$B735)))</f>
        <v/>
      </c>
      <c r="J735" s="44">
        <f>IF($B735="","",IF(INDEX('Work Orders'!$Z$11:$Z$1010,$B735)="","",INDEX('Work Orders'!$Z$11:$Z$1010,$B735)))</f>
        <v/>
      </c>
      <c r="K735" s="44">
        <f>IF($B735="","",IF(INDEX('Work Orders'!$AG$11:$AG$1010,$B735)="","",INDEX('Work Orders'!$AG$11:$AG$1010,$B735)))</f>
        <v/>
      </c>
      <c r="L735" s="44">
        <f>IF($B735="","",IF(INDEX('Work Orders'!$AH$11:$AH$1010,$B735)="","",INDEX('Work Orders'!$AH$11:$AH$1010,$B735)))</f>
        <v/>
      </c>
      <c r="M735" s="46">
        <f>IF($B735="","",IF(INDEX('Work Orders'!$AM$11:$AM$1010,$B735)="","",INDEX('Work Orders'!$AM$11:$AM$1010,$B735)))</f>
        <v/>
      </c>
      <c r="N735" s="43">
        <f>IF($B735="","",IF(INDEX('Work Orders'!$AL$11:$AL$1010,$B735)="","",INDEX('Work Orders'!$AL$11:$AL$1010,$B735)))</f>
        <v/>
      </c>
      <c r="O735" s="43">
        <f>IF($B735="","",IF(INDEX('Work Orders'!$N$11:$N$1010,$B735)="","",INDEX('Work Orders'!$N$11:$N$1010,$B735)))</f>
        <v/>
      </c>
    </row>
    <row r="736">
      <c r="A736" s="68" t="n">
        <v>730</v>
      </c>
      <c r="B736">
        <f>IFERROR(MATCH(A736,'Work Orders'!$AO$11:$AO$1010,0),"")</f>
        <v/>
      </c>
      <c r="C736" s="43">
        <f>IF($B736="","",IF(INDEX('Work Orders'!$A$11:$A$1010,$B736)="","",INDEX('Work Orders'!$A$11:$A$1010,$B736)))</f>
        <v/>
      </c>
      <c r="D736" s="43">
        <f>IF($B736="","",IF(INDEX('Work Orders'!$B$11:$B$1010,$B736)="","",INDEX('Work Orders'!$B$11:$B$1010,$B736)))</f>
        <v/>
      </c>
      <c r="E736" s="43">
        <f>IF($B736="","",IF(INDEX('Work Orders'!$D$11:$D$1010,$B736)="","",INDEX('Work Orders'!$D$11:$D$1010,$B736)))</f>
        <v/>
      </c>
      <c r="F736" s="43">
        <f>IF($B736="","",IF(INDEX('Work Orders'!$Q$11:$Q$1010,$B736)="","",INDEX('Work Orders'!$Q$11:$Q$1010,$B736)))</f>
        <v/>
      </c>
      <c r="G736" s="43">
        <f>IF($B736="","",IF(INDEX('Work Orders'!$V$11:$V$1010,$B736)="","",INDEX('Work Orders'!$V$11:$V$1010,$B736)))</f>
        <v/>
      </c>
      <c r="H736" s="47">
        <f>IF($B736="","",IF(INDEX('Work Orders'!$U$11:$U$1010,$B736)="","",INDEX('Work Orders'!$U$11:$U$1010,$B736)))</f>
        <v/>
      </c>
      <c r="I736" s="47">
        <f>IF($B736="","",IF(INDEX('Work Orders'!$X$11:$X$1010,$B736)="","",INDEX('Work Orders'!$X$11:$X$1010,$B736)))</f>
        <v/>
      </c>
      <c r="J736" s="44">
        <f>IF($B736="","",IF(INDEX('Work Orders'!$Z$11:$Z$1010,$B736)="","",INDEX('Work Orders'!$Z$11:$Z$1010,$B736)))</f>
        <v/>
      </c>
      <c r="K736" s="44">
        <f>IF($B736="","",IF(INDEX('Work Orders'!$AG$11:$AG$1010,$B736)="","",INDEX('Work Orders'!$AG$11:$AG$1010,$B736)))</f>
        <v/>
      </c>
      <c r="L736" s="44">
        <f>IF($B736="","",IF(INDEX('Work Orders'!$AH$11:$AH$1010,$B736)="","",INDEX('Work Orders'!$AH$11:$AH$1010,$B736)))</f>
        <v/>
      </c>
      <c r="M736" s="46">
        <f>IF($B736="","",IF(INDEX('Work Orders'!$AM$11:$AM$1010,$B736)="","",INDEX('Work Orders'!$AM$11:$AM$1010,$B736)))</f>
        <v/>
      </c>
      <c r="N736" s="43">
        <f>IF($B736="","",IF(INDEX('Work Orders'!$AL$11:$AL$1010,$B736)="","",INDEX('Work Orders'!$AL$11:$AL$1010,$B736)))</f>
        <v/>
      </c>
      <c r="O736" s="43">
        <f>IF($B736="","",IF(INDEX('Work Orders'!$N$11:$N$1010,$B736)="","",INDEX('Work Orders'!$N$11:$N$1010,$B736)))</f>
        <v/>
      </c>
    </row>
    <row r="737">
      <c r="A737" s="68" t="n">
        <v>731</v>
      </c>
      <c r="B737">
        <f>IFERROR(MATCH(A737,'Work Orders'!$AO$11:$AO$1010,0),"")</f>
        <v/>
      </c>
      <c r="C737" s="43">
        <f>IF($B737="","",IF(INDEX('Work Orders'!$A$11:$A$1010,$B737)="","",INDEX('Work Orders'!$A$11:$A$1010,$B737)))</f>
        <v/>
      </c>
      <c r="D737" s="43">
        <f>IF($B737="","",IF(INDEX('Work Orders'!$B$11:$B$1010,$B737)="","",INDEX('Work Orders'!$B$11:$B$1010,$B737)))</f>
        <v/>
      </c>
      <c r="E737" s="43">
        <f>IF($B737="","",IF(INDEX('Work Orders'!$D$11:$D$1010,$B737)="","",INDEX('Work Orders'!$D$11:$D$1010,$B737)))</f>
        <v/>
      </c>
      <c r="F737" s="43">
        <f>IF($B737="","",IF(INDEX('Work Orders'!$Q$11:$Q$1010,$B737)="","",INDEX('Work Orders'!$Q$11:$Q$1010,$B737)))</f>
        <v/>
      </c>
      <c r="G737" s="43">
        <f>IF($B737="","",IF(INDEX('Work Orders'!$V$11:$V$1010,$B737)="","",INDEX('Work Orders'!$V$11:$V$1010,$B737)))</f>
        <v/>
      </c>
      <c r="H737" s="47">
        <f>IF($B737="","",IF(INDEX('Work Orders'!$U$11:$U$1010,$B737)="","",INDEX('Work Orders'!$U$11:$U$1010,$B737)))</f>
        <v/>
      </c>
      <c r="I737" s="47">
        <f>IF($B737="","",IF(INDEX('Work Orders'!$X$11:$X$1010,$B737)="","",INDEX('Work Orders'!$X$11:$X$1010,$B737)))</f>
        <v/>
      </c>
      <c r="J737" s="44">
        <f>IF($B737="","",IF(INDEX('Work Orders'!$Z$11:$Z$1010,$B737)="","",INDEX('Work Orders'!$Z$11:$Z$1010,$B737)))</f>
        <v/>
      </c>
      <c r="K737" s="44">
        <f>IF($B737="","",IF(INDEX('Work Orders'!$AG$11:$AG$1010,$B737)="","",INDEX('Work Orders'!$AG$11:$AG$1010,$B737)))</f>
        <v/>
      </c>
      <c r="L737" s="44">
        <f>IF($B737="","",IF(INDEX('Work Orders'!$AH$11:$AH$1010,$B737)="","",INDEX('Work Orders'!$AH$11:$AH$1010,$B737)))</f>
        <v/>
      </c>
      <c r="M737" s="46">
        <f>IF($B737="","",IF(INDEX('Work Orders'!$AM$11:$AM$1010,$B737)="","",INDEX('Work Orders'!$AM$11:$AM$1010,$B737)))</f>
        <v/>
      </c>
      <c r="N737" s="43">
        <f>IF($B737="","",IF(INDEX('Work Orders'!$AL$11:$AL$1010,$B737)="","",INDEX('Work Orders'!$AL$11:$AL$1010,$B737)))</f>
        <v/>
      </c>
      <c r="O737" s="43">
        <f>IF($B737="","",IF(INDEX('Work Orders'!$N$11:$N$1010,$B737)="","",INDEX('Work Orders'!$N$11:$N$1010,$B737)))</f>
        <v/>
      </c>
    </row>
    <row r="738">
      <c r="A738" s="68" t="n">
        <v>732</v>
      </c>
      <c r="B738">
        <f>IFERROR(MATCH(A738,'Work Orders'!$AO$11:$AO$1010,0),"")</f>
        <v/>
      </c>
      <c r="C738" s="43">
        <f>IF($B738="","",IF(INDEX('Work Orders'!$A$11:$A$1010,$B738)="","",INDEX('Work Orders'!$A$11:$A$1010,$B738)))</f>
        <v/>
      </c>
      <c r="D738" s="43">
        <f>IF($B738="","",IF(INDEX('Work Orders'!$B$11:$B$1010,$B738)="","",INDEX('Work Orders'!$B$11:$B$1010,$B738)))</f>
        <v/>
      </c>
      <c r="E738" s="43">
        <f>IF($B738="","",IF(INDEX('Work Orders'!$D$11:$D$1010,$B738)="","",INDEX('Work Orders'!$D$11:$D$1010,$B738)))</f>
        <v/>
      </c>
      <c r="F738" s="43">
        <f>IF($B738="","",IF(INDEX('Work Orders'!$Q$11:$Q$1010,$B738)="","",INDEX('Work Orders'!$Q$11:$Q$1010,$B738)))</f>
        <v/>
      </c>
      <c r="G738" s="43">
        <f>IF($B738="","",IF(INDEX('Work Orders'!$V$11:$V$1010,$B738)="","",INDEX('Work Orders'!$V$11:$V$1010,$B738)))</f>
        <v/>
      </c>
      <c r="H738" s="47">
        <f>IF($B738="","",IF(INDEX('Work Orders'!$U$11:$U$1010,$B738)="","",INDEX('Work Orders'!$U$11:$U$1010,$B738)))</f>
        <v/>
      </c>
      <c r="I738" s="47">
        <f>IF($B738="","",IF(INDEX('Work Orders'!$X$11:$X$1010,$B738)="","",INDEX('Work Orders'!$X$11:$X$1010,$B738)))</f>
        <v/>
      </c>
      <c r="J738" s="44">
        <f>IF($B738="","",IF(INDEX('Work Orders'!$Z$11:$Z$1010,$B738)="","",INDEX('Work Orders'!$Z$11:$Z$1010,$B738)))</f>
        <v/>
      </c>
      <c r="K738" s="44">
        <f>IF($B738="","",IF(INDEX('Work Orders'!$AG$11:$AG$1010,$B738)="","",INDEX('Work Orders'!$AG$11:$AG$1010,$B738)))</f>
        <v/>
      </c>
      <c r="L738" s="44">
        <f>IF($B738="","",IF(INDEX('Work Orders'!$AH$11:$AH$1010,$B738)="","",INDEX('Work Orders'!$AH$11:$AH$1010,$B738)))</f>
        <v/>
      </c>
      <c r="M738" s="46">
        <f>IF($B738="","",IF(INDEX('Work Orders'!$AM$11:$AM$1010,$B738)="","",INDEX('Work Orders'!$AM$11:$AM$1010,$B738)))</f>
        <v/>
      </c>
      <c r="N738" s="43">
        <f>IF($B738="","",IF(INDEX('Work Orders'!$AL$11:$AL$1010,$B738)="","",INDEX('Work Orders'!$AL$11:$AL$1010,$B738)))</f>
        <v/>
      </c>
      <c r="O738" s="43">
        <f>IF($B738="","",IF(INDEX('Work Orders'!$N$11:$N$1010,$B738)="","",INDEX('Work Orders'!$N$11:$N$1010,$B738)))</f>
        <v/>
      </c>
    </row>
    <row r="739">
      <c r="A739" s="68" t="n">
        <v>733</v>
      </c>
      <c r="B739">
        <f>IFERROR(MATCH(A739,'Work Orders'!$AO$11:$AO$1010,0),"")</f>
        <v/>
      </c>
      <c r="C739" s="43">
        <f>IF($B739="","",IF(INDEX('Work Orders'!$A$11:$A$1010,$B739)="","",INDEX('Work Orders'!$A$11:$A$1010,$B739)))</f>
        <v/>
      </c>
      <c r="D739" s="43">
        <f>IF($B739="","",IF(INDEX('Work Orders'!$B$11:$B$1010,$B739)="","",INDEX('Work Orders'!$B$11:$B$1010,$B739)))</f>
        <v/>
      </c>
      <c r="E739" s="43">
        <f>IF($B739="","",IF(INDEX('Work Orders'!$D$11:$D$1010,$B739)="","",INDEX('Work Orders'!$D$11:$D$1010,$B739)))</f>
        <v/>
      </c>
      <c r="F739" s="43">
        <f>IF($B739="","",IF(INDEX('Work Orders'!$Q$11:$Q$1010,$B739)="","",INDEX('Work Orders'!$Q$11:$Q$1010,$B739)))</f>
        <v/>
      </c>
      <c r="G739" s="43">
        <f>IF($B739="","",IF(INDEX('Work Orders'!$V$11:$V$1010,$B739)="","",INDEX('Work Orders'!$V$11:$V$1010,$B739)))</f>
        <v/>
      </c>
      <c r="H739" s="47">
        <f>IF($B739="","",IF(INDEX('Work Orders'!$U$11:$U$1010,$B739)="","",INDEX('Work Orders'!$U$11:$U$1010,$B739)))</f>
        <v/>
      </c>
      <c r="I739" s="47">
        <f>IF($B739="","",IF(INDEX('Work Orders'!$X$11:$X$1010,$B739)="","",INDEX('Work Orders'!$X$11:$X$1010,$B739)))</f>
        <v/>
      </c>
      <c r="J739" s="44">
        <f>IF($B739="","",IF(INDEX('Work Orders'!$Z$11:$Z$1010,$B739)="","",INDEX('Work Orders'!$Z$11:$Z$1010,$B739)))</f>
        <v/>
      </c>
      <c r="K739" s="44">
        <f>IF($B739="","",IF(INDEX('Work Orders'!$AG$11:$AG$1010,$B739)="","",INDEX('Work Orders'!$AG$11:$AG$1010,$B739)))</f>
        <v/>
      </c>
      <c r="L739" s="44">
        <f>IF($B739="","",IF(INDEX('Work Orders'!$AH$11:$AH$1010,$B739)="","",INDEX('Work Orders'!$AH$11:$AH$1010,$B739)))</f>
        <v/>
      </c>
      <c r="M739" s="46">
        <f>IF($B739="","",IF(INDEX('Work Orders'!$AM$11:$AM$1010,$B739)="","",INDEX('Work Orders'!$AM$11:$AM$1010,$B739)))</f>
        <v/>
      </c>
      <c r="N739" s="43">
        <f>IF($B739="","",IF(INDEX('Work Orders'!$AL$11:$AL$1010,$B739)="","",INDEX('Work Orders'!$AL$11:$AL$1010,$B739)))</f>
        <v/>
      </c>
      <c r="O739" s="43">
        <f>IF($B739="","",IF(INDEX('Work Orders'!$N$11:$N$1010,$B739)="","",INDEX('Work Orders'!$N$11:$N$1010,$B739)))</f>
        <v/>
      </c>
    </row>
    <row r="740">
      <c r="A740" s="68" t="n">
        <v>734</v>
      </c>
      <c r="B740">
        <f>IFERROR(MATCH(A740,'Work Orders'!$AO$11:$AO$1010,0),"")</f>
        <v/>
      </c>
      <c r="C740" s="43">
        <f>IF($B740="","",IF(INDEX('Work Orders'!$A$11:$A$1010,$B740)="","",INDEX('Work Orders'!$A$11:$A$1010,$B740)))</f>
        <v/>
      </c>
      <c r="D740" s="43">
        <f>IF($B740="","",IF(INDEX('Work Orders'!$B$11:$B$1010,$B740)="","",INDEX('Work Orders'!$B$11:$B$1010,$B740)))</f>
        <v/>
      </c>
      <c r="E740" s="43">
        <f>IF($B740="","",IF(INDEX('Work Orders'!$D$11:$D$1010,$B740)="","",INDEX('Work Orders'!$D$11:$D$1010,$B740)))</f>
        <v/>
      </c>
      <c r="F740" s="43">
        <f>IF($B740="","",IF(INDEX('Work Orders'!$Q$11:$Q$1010,$B740)="","",INDEX('Work Orders'!$Q$11:$Q$1010,$B740)))</f>
        <v/>
      </c>
      <c r="G740" s="43">
        <f>IF($B740="","",IF(INDEX('Work Orders'!$V$11:$V$1010,$B740)="","",INDEX('Work Orders'!$V$11:$V$1010,$B740)))</f>
        <v/>
      </c>
      <c r="H740" s="47">
        <f>IF($B740="","",IF(INDEX('Work Orders'!$U$11:$U$1010,$B740)="","",INDEX('Work Orders'!$U$11:$U$1010,$B740)))</f>
        <v/>
      </c>
      <c r="I740" s="47">
        <f>IF($B740="","",IF(INDEX('Work Orders'!$X$11:$X$1010,$B740)="","",INDEX('Work Orders'!$X$11:$X$1010,$B740)))</f>
        <v/>
      </c>
      <c r="J740" s="44">
        <f>IF($B740="","",IF(INDEX('Work Orders'!$Z$11:$Z$1010,$B740)="","",INDEX('Work Orders'!$Z$11:$Z$1010,$B740)))</f>
        <v/>
      </c>
      <c r="K740" s="44">
        <f>IF($B740="","",IF(INDEX('Work Orders'!$AG$11:$AG$1010,$B740)="","",INDEX('Work Orders'!$AG$11:$AG$1010,$B740)))</f>
        <v/>
      </c>
      <c r="L740" s="44">
        <f>IF($B740="","",IF(INDEX('Work Orders'!$AH$11:$AH$1010,$B740)="","",INDEX('Work Orders'!$AH$11:$AH$1010,$B740)))</f>
        <v/>
      </c>
      <c r="M740" s="46">
        <f>IF($B740="","",IF(INDEX('Work Orders'!$AM$11:$AM$1010,$B740)="","",INDEX('Work Orders'!$AM$11:$AM$1010,$B740)))</f>
        <v/>
      </c>
      <c r="N740" s="43">
        <f>IF($B740="","",IF(INDEX('Work Orders'!$AL$11:$AL$1010,$B740)="","",INDEX('Work Orders'!$AL$11:$AL$1010,$B740)))</f>
        <v/>
      </c>
      <c r="O740" s="43">
        <f>IF($B740="","",IF(INDEX('Work Orders'!$N$11:$N$1010,$B740)="","",INDEX('Work Orders'!$N$11:$N$1010,$B740)))</f>
        <v/>
      </c>
    </row>
    <row r="741">
      <c r="A741" s="68" t="n">
        <v>735</v>
      </c>
      <c r="B741">
        <f>IFERROR(MATCH(A741,'Work Orders'!$AO$11:$AO$1010,0),"")</f>
        <v/>
      </c>
      <c r="C741" s="43">
        <f>IF($B741="","",IF(INDEX('Work Orders'!$A$11:$A$1010,$B741)="","",INDEX('Work Orders'!$A$11:$A$1010,$B741)))</f>
        <v/>
      </c>
      <c r="D741" s="43">
        <f>IF($B741="","",IF(INDEX('Work Orders'!$B$11:$B$1010,$B741)="","",INDEX('Work Orders'!$B$11:$B$1010,$B741)))</f>
        <v/>
      </c>
      <c r="E741" s="43">
        <f>IF($B741="","",IF(INDEX('Work Orders'!$D$11:$D$1010,$B741)="","",INDEX('Work Orders'!$D$11:$D$1010,$B741)))</f>
        <v/>
      </c>
      <c r="F741" s="43">
        <f>IF($B741="","",IF(INDEX('Work Orders'!$Q$11:$Q$1010,$B741)="","",INDEX('Work Orders'!$Q$11:$Q$1010,$B741)))</f>
        <v/>
      </c>
      <c r="G741" s="43">
        <f>IF($B741="","",IF(INDEX('Work Orders'!$V$11:$V$1010,$B741)="","",INDEX('Work Orders'!$V$11:$V$1010,$B741)))</f>
        <v/>
      </c>
      <c r="H741" s="47">
        <f>IF($B741="","",IF(INDEX('Work Orders'!$U$11:$U$1010,$B741)="","",INDEX('Work Orders'!$U$11:$U$1010,$B741)))</f>
        <v/>
      </c>
      <c r="I741" s="47">
        <f>IF($B741="","",IF(INDEX('Work Orders'!$X$11:$X$1010,$B741)="","",INDEX('Work Orders'!$X$11:$X$1010,$B741)))</f>
        <v/>
      </c>
      <c r="J741" s="44">
        <f>IF($B741="","",IF(INDEX('Work Orders'!$Z$11:$Z$1010,$B741)="","",INDEX('Work Orders'!$Z$11:$Z$1010,$B741)))</f>
        <v/>
      </c>
      <c r="K741" s="44">
        <f>IF($B741="","",IF(INDEX('Work Orders'!$AG$11:$AG$1010,$B741)="","",INDEX('Work Orders'!$AG$11:$AG$1010,$B741)))</f>
        <v/>
      </c>
      <c r="L741" s="44">
        <f>IF($B741="","",IF(INDEX('Work Orders'!$AH$11:$AH$1010,$B741)="","",INDEX('Work Orders'!$AH$11:$AH$1010,$B741)))</f>
        <v/>
      </c>
      <c r="M741" s="46">
        <f>IF($B741="","",IF(INDEX('Work Orders'!$AM$11:$AM$1010,$B741)="","",INDEX('Work Orders'!$AM$11:$AM$1010,$B741)))</f>
        <v/>
      </c>
      <c r="N741" s="43">
        <f>IF($B741="","",IF(INDEX('Work Orders'!$AL$11:$AL$1010,$B741)="","",INDEX('Work Orders'!$AL$11:$AL$1010,$B741)))</f>
        <v/>
      </c>
      <c r="O741" s="43">
        <f>IF($B741="","",IF(INDEX('Work Orders'!$N$11:$N$1010,$B741)="","",INDEX('Work Orders'!$N$11:$N$1010,$B741)))</f>
        <v/>
      </c>
    </row>
    <row r="742">
      <c r="A742" s="68" t="n">
        <v>736</v>
      </c>
      <c r="B742">
        <f>IFERROR(MATCH(A742,'Work Orders'!$AO$11:$AO$1010,0),"")</f>
        <v/>
      </c>
      <c r="C742" s="43">
        <f>IF($B742="","",IF(INDEX('Work Orders'!$A$11:$A$1010,$B742)="","",INDEX('Work Orders'!$A$11:$A$1010,$B742)))</f>
        <v/>
      </c>
      <c r="D742" s="43">
        <f>IF($B742="","",IF(INDEX('Work Orders'!$B$11:$B$1010,$B742)="","",INDEX('Work Orders'!$B$11:$B$1010,$B742)))</f>
        <v/>
      </c>
      <c r="E742" s="43">
        <f>IF($B742="","",IF(INDEX('Work Orders'!$D$11:$D$1010,$B742)="","",INDEX('Work Orders'!$D$11:$D$1010,$B742)))</f>
        <v/>
      </c>
      <c r="F742" s="43">
        <f>IF($B742="","",IF(INDEX('Work Orders'!$Q$11:$Q$1010,$B742)="","",INDEX('Work Orders'!$Q$11:$Q$1010,$B742)))</f>
        <v/>
      </c>
      <c r="G742" s="43">
        <f>IF($B742="","",IF(INDEX('Work Orders'!$V$11:$V$1010,$B742)="","",INDEX('Work Orders'!$V$11:$V$1010,$B742)))</f>
        <v/>
      </c>
      <c r="H742" s="47">
        <f>IF($B742="","",IF(INDEX('Work Orders'!$U$11:$U$1010,$B742)="","",INDEX('Work Orders'!$U$11:$U$1010,$B742)))</f>
        <v/>
      </c>
      <c r="I742" s="47">
        <f>IF($B742="","",IF(INDEX('Work Orders'!$X$11:$X$1010,$B742)="","",INDEX('Work Orders'!$X$11:$X$1010,$B742)))</f>
        <v/>
      </c>
      <c r="J742" s="44">
        <f>IF($B742="","",IF(INDEX('Work Orders'!$Z$11:$Z$1010,$B742)="","",INDEX('Work Orders'!$Z$11:$Z$1010,$B742)))</f>
        <v/>
      </c>
      <c r="K742" s="44">
        <f>IF($B742="","",IF(INDEX('Work Orders'!$AG$11:$AG$1010,$B742)="","",INDEX('Work Orders'!$AG$11:$AG$1010,$B742)))</f>
        <v/>
      </c>
      <c r="L742" s="44">
        <f>IF($B742="","",IF(INDEX('Work Orders'!$AH$11:$AH$1010,$B742)="","",INDEX('Work Orders'!$AH$11:$AH$1010,$B742)))</f>
        <v/>
      </c>
      <c r="M742" s="46">
        <f>IF($B742="","",IF(INDEX('Work Orders'!$AM$11:$AM$1010,$B742)="","",INDEX('Work Orders'!$AM$11:$AM$1010,$B742)))</f>
        <v/>
      </c>
      <c r="N742" s="43">
        <f>IF($B742="","",IF(INDEX('Work Orders'!$AL$11:$AL$1010,$B742)="","",INDEX('Work Orders'!$AL$11:$AL$1010,$B742)))</f>
        <v/>
      </c>
      <c r="O742" s="43">
        <f>IF($B742="","",IF(INDEX('Work Orders'!$N$11:$N$1010,$B742)="","",INDEX('Work Orders'!$N$11:$N$1010,$B742)))</f>
        <v/>
      </c>
    </row>
    <row r="743">
      <c r="A743" s="68" t="n">
        <v>737</v>
      </c>
      <c r="B743">
        <f>IFERROR(MATCH(A743,'Work Orders'!$AO$11:$AO$1010,0),"")</f>
        <v/>
      </c>
      <c r="C743" s="43">
        <f>IF($B743="","",IF(INDEX('Work Orders'!$A$11:$A$1010,$B743)="","",INDEX('Work Orders'!$A$11:$A$1010,$B743)))</f>
        <v/>
      </c>
      <c r="D743" s="43">
        <f>IF($B743="","",IF(INDEX('Work Orders'!$B$11:$B$1010,$B743)="","",INDEX('Work Orders'!$B$11:$B$1010,$B743)))</f>
        <v/>
      </c>
      <c r="E743" s="43">
        <f>IF($B743="","",IF(INDEX('Work Orders'!$D$11:$D$1010,$B743)="","",INDEX('Work Orders'!$D$11:$D$1010,$B743)))</f>
        <v/>
      </c>
      <c r="F743" s="43">
        <f>IF($B743="","",IF(INDEX('Work Orders'!$Q$11:$Q$1010,$B743)="","",INDEX('Work Orders'!$Q$11:$Q$1010,$B743)))</f>
        <v/>
      </c>
      <c r="G743" s="43">
        <f>IF($B743="","",IF(INDEX('Work Orders'!$V$11:$V$1010,$B743)="","",INDEX('Work Orders'!$V$11:$V$1010,$B743)))</f>
        <v/>
      </c>
      <c r="H743" s="47">
        <f>IF($B743="","",IF(INDEX('Work Orders'!$U$11:$U$1010,$B743)="","",INDEX('Work Orders'!$U$11:$U$1010,$B743)))</f>
        <v/>
      </c>
      <c r="I743" s="47">
        <f>IF($B743="","",IF(INDEX('Work Orders'!$X$11:$X$1010,$B743)="","",INDEX('Work Orders'!$X$11:$X$1010,$B743)))</f>
        <v/>
      </c>
      <c r="J743" s="44">
        <f>IF($B743="","",IF(INDEX('Work Orders'!$Z$11:$Z$1010,$B743)="","",INDEX('Work Orders'!$Z$11:$Z$1010,$B743)))</f>
        <v/>
      </c>
      <c r="K743" s="44">
        <f>IF($B743="","",IF(INDEX('Work Orders'!$AG$11:$AG$1010,$B743)="","",INDEX('Work Orders'!$AG$11:$AG$1010,$B743)))</f>
        <v/>
      </c>
      <c r="L743" s="44">
        <f>IF($B743="","",IF(INDEX('Work Orders'!$AH$11:$AH$1010,$B743)="","",INDEX('Work Orders'!$AH$11:$AH$1010,$B743)))</f>
        <v/>
      </c>
      <c r="M743" s="46">
        <f>IF($B743="","",IF(INDEX('Work Orders'!$AM$11:$AM$1010,$B743)="","",INDEX('Work Orders'!$AM$11:$AM$1010,$B743)))</f>
        <v/>
      </c>
      <c r="N743" s="43">
        <f>IF($B743="","",IF(INDEX('Work Orders'!$AL$11:$AL$1010,$B743)="","",INDEX('Work Orders'!$AL$11:$AL$1010,$B743)))</f>
        <v/>
      </c>
      <c r="O743" s="43">
        <f>IF($B743="","",IF(INDEX('Work Orders'!$N$11:$N$1010,$B743)="","",INDEX('Work Orders'!$N$11:$N$1010,$B743)))</f>
        <v/>
      </c>
    </row>
    <row r="744">
      <c r="A744" s="68" t="n">
        <v>738</v>
      </c>
      <c r="B744">
        <f>IFERROR(MATCH(A744,'Work Orders'!$AO$11:$AO$1010,0),"")</f>
        <v/>
      </c>
      <c r="C744" s="43">
        <f>IF($B744="","",IF(INDEX('Work Orders'!$A$11:$A$1010,$B744)="","",INDEX('Work Orders'!$A$11:$A$1010,$B744)))</f>
        <v/>
      </c>
      <c r="D744" s="43">
        <f>IF($B744="","",IF(INDEX('Work Orders'!$B$11:$B$1010,$B744)="","",INDEX('Work Orders'!$B$11:$B$1010,$B744)))</f>
        <v/>
      </c>
      <c r="E744" s="43">
        <f>IF($B744="","",IF(INDEX('Work Orders'!$D$11:$D$1010,$B744)="","",INDEX('Work Orders'!$D$11:$D$1010,$B744)))</f>
        <v/>
      </c>
      <c r="F744" s="43">
        <f>IF($B744="","",IF(INDEX('Work Orders'!$Q$11:$Q$1010,$B744)="","",INDEX('Work Orders'!$Q$11:$Q$1010,$B744)))</f>
        <v/>
      </c>
      <c r="G744" s="43">
        <f>IF($B744="","",IF(INDEX('Work Orders'!$V$11:$V$1010,$B744)="","",INDEX('Work Orders'!$V$11:$V$1010,$B744)))</f>
        <v/>
      </c>
      <c r="H744" s="47">
        <f>IF($B744="","",IF(INDEX('Work Orders'!$U$11:$U$1010,$B744)="","",INDEX('Work Orders'!$U$11:$U$1010,$B744)))</f>
        <v/>
      </c>
      <c r="I744" s="47">
        <f>IF($B744="","",IF(INDEX('Work Orders'!$X$11:$X$1010,$B744)="","",INDEX('Work Orders'!$X$11:$X$1010,$B744)))</f>
        <v/>
      </c>
      <c r="J744" s="44">
        <f>IF($B744="","",IF(INDEX('Work Orders'!$Z$11:$Z$1010,$B744)="","",INDEX('Work Orders'!$Z$11:$Z$1010,$B744)))</f>
        <v/>
      </c>
      <c r="K744" s="44">
        <f>IF($B744="","",IF(INDEX('Work Orders'!$AG$11:$AG$1010,$B744)="","",INDEX('Work Orders'!$AG$11:$AG$1010,$B744)))</f>
        <v/>
      </c>
      <c r="L744" s="44">
        <f>IF($B744="","",IF(INDEX('Work Orders'!$AH$11:$AH$1010,$B744)="","",INDEX('Work Orders'!$AH$11:$AH$1010,$B744)))</f>
        <v/>
      </c>
      <c r="M744" s="46">
        <f>IF($B744="","",IF(INDEX('Work Orders'!$AM$11:$AM$1010,$B744)="","",INDEX('Work Orders'!$AM$11:$AM$1010,$B744)))</f>
        <v/>
      </c>
      <c r="N744" s="43">
        <f>IF($B744="","",IF(INDEX('Work Orders'!$AL$11:$AL$1010,$B744)="","",INDEX('Work Orders'!$AL$11:$AL$1010,$B744)))</f>
        <v/>
      </c>
      <c r="O744" s="43">
        <f>IF($B744="","",IF(INDEX('Work Orders'!$N$11:$N$1010,$B744)="","",INDEX('Work Orders'!$N$11:$N$1010,$B744)))</f>
        <v/>
      </c>
    </row>
    <row r="745">
      <c r="A745" s="68" t="n">
        <v>739</v>
      </c>
      <c r="B745">
        <f>IFERROR(MATCH(A745,'Work Orders'!$AO$11:$AO$1010,0),"")</f>
        <v/>
      </c>
      <c r="C745" s="43">
        <f>IF($B745="","",IF(INDEX('Work Orders'!$A$11:$A$1010,$B745)="","",INDEX('Work Orders'!$A$11:$A$1010,$B745)))</f>
        <v/>
      </c>
      <c r="D745" s="43">
        <f>IF($B745="","",IF(INDEX('Work Orders'!$B$11:$B$1010,$B745)="","",INDEX('Work Orders'!$B$11:$B$1010,$B745)))</f>
        <v/>
      </c>
      <c r="E745" s="43">
        <f>IF($B745="","",IF(INDEX('Work Orders'!$D$11:$D$1010,$B745)="","",INDEX('Work Orders'!$D$11:$D$1010,$B745)))</f>
        <v/>
      </c>
      <c r="F745" s="43">
        <f>IF($B745="","",IF(INDEX('Work Orders'!$Q$11:$Q$1010,$B745)="","",INDEX('Work Orders'!$Q$11:$Q$1010,$B745)))</f>
        <v/>
      </c>
      <c r="G745" s="43">
        <f>IF($B745="","",IF(INDEX('Work Orders'!$V$11:$V$1010,$B745)="","",INDEX('Work Orders'!$V$11:$V$1010,$B745)))</f>
        <v/>
      </c>
      <c r="H745" s="47">
        <f>IF($B745="","",IF(INDEX('Work Orders'!$U$11:$U$1010,$B745)="","",INDEX('Work Orders'!$U$11:$U$1010,$B745)))</f>
        <v/>
      </c>
      <c r="I745" s="47">
        <f>IF($B745="","",IF(INDEX('Work Orders'!$X$11:$X$1010,$B745)="","",INDEX('Work Orders'!$X$11:$X$1010,$B745)))</f>
        <v/>
      </c>
      <c r="J745" s="44">
        <f>IF($B745="","",IF(INDEX('Work Orders'!$Z$11:$Z$1010,$B745)="","",INDEX('Work Orders'!$Z$11:$Z$1010,$B745)))</f>
        <v/>
      </c>
      <c r="K745" s="44">
        <f>IF($B745="","",IF(INDEX('Work Orders'!$AG$11:$AG$1010,$B745)="","",INDEX('Work Orders'!$AG$11:$AG$1010,$B745)))</f>
        <v/>
      </c>
      <c r="L745" s="44">
        <f>IF($B745="","",IF(INDEX('Work Orders'!$AH$11:$AH$1010,$B745)="","",INDEX('Work Orders'!$AH$11:$AH$1010,$B745)))</f>
        <v/>
      </c>
      <c r="M745" s="46">
        <f>IF($B745="","",IF(INDEX('Work Orders'!$AM$11:$AM$1010,$B745)="","",INDEX('Work Orders'!$AM$11:$AM$1010,$B745)))</f>
        <v/>
      </c>
      <c r="N745" s="43">
        <f>IF($B745="","",IF(INDEX('Work Orders'!$AL$11:$AL$1010,$B745)="","",INDEX('Work Orders'!$AL$11:$AL$1010,$B745)))</f>
        <v/>
      </c>
      <c r="O745" s="43">
        <f>IF($B745="","",IF(INDEX('Work Orders'!$N$11:$N$1010,$B745)="","",INDEX('Work Orders'!$N$11:$N$1010,$B745)))</f>
        <v/>
      </c>
    </row>
    <row r="746">
      <c r="A746" s="68" t="n">
        <v>740</v>
      </c>
      <c r="B746">
        <f>IFERROR(MATCH(A746,'Work Orders'!$AO$11:$AO$1010,0),"")</f>
        <v/>
      </c>
      <c r="C746" s="43">
        <f>IF($B746="","",IF(INDEX('Work Orders'!$A$11:$A$1010,$B746)="","",INDEX('Work Orders'!$A$11:$A$1010,$B746)))</f>
        <v/>
      </c>
      <c r="D746" s="43">
        <f>IF($B746="","",IF(INDEX('Work Orders'!$B$11:$B$1010,$B746)="","",INDEX('Work Orders'!$B$11:$B$1010,$B746)))</f>
        <v/>
      </c>
      <c r="E746" s="43">
        <f>IF($B746="","",IF(INDEX('Work Orders'!$D$11:$D$1010,$B746)="","",INDEX('Work Orders'!$D$11:$D$1010,$B746)))</f>
        <v/>
      </c>
      <c r="F746" s="43">
        <f>IF($B746="","",IF(INDEX('Work Orders'!$Q$11:$Q$1010,$B746)="","",INDEX('Work Orders'!$Q$11:$Q$1010,$B746)))</f>
        <v/>
      </c>
      <c r="G746" s="43">
        <f>IF($B746="","",IF(INDEX('Work Orders'!$V$11:$V$1010,$B746)="","",INDEX('Work Orders'!$V$11:$V$1010,$B746)))</f>
        <v/>
      </c>
      <c r="H746" s="47">
        <f>IF($B746="","",IF(INDEX('Work Orders'!$U$11:$U$1010,$B746)="","",INDEX('Work Orders'!$U$11:$U$1010,$B746)))</f>
        <v/>
      </c>
      <c r="I746" s="47">
        <f>IF($B746="","",IF(INDEX('Work Orders'!$X$11:$X$1010,$B746)="","",INDEX('Work Orders'!$X$11:$X$1010,$B746)))</f>
        <v/>
      </c>
      <c r="J746" s="44">
        <f>IF($B746="","",IF(INDEX('Work Orders'!$Z$11:$Z$1010,$B746)="","",INDEX('Work Orders'!$Z$11:$Z$1010,$B746)))</f>
        <v/>
      </c>
      <c r="K746" s="44">
        <f>IF($B746="","",IF(INDEX('Work Orders'!$AG$11:$AG$1010,$B746)="","",INDEX('Work Orders'!$AG$11:$AG$1010,$B746)))</f>
        <v/>
      </c>
      <c r="L746" s="44">
        <f>IF($B746="","",IF(INDEX('Work Orders'!$AH$11:$AH$1010,$B746)="","",INDEX('Work Orders'!$AH$11:$AH$1010,$B746)))</f>
        <v/>
      </c>
      <c r="M746" s="46">
        <f>IF($B746="","",IF(INDEX('Work Orders'!$AM$11:$AM$1010,$B746)="","",INDEX('Work Orders'!$AM$11:$AM$1010,$B746)))</f>
        <v/>
      </c>
      <c r="N746" s="43">
        <f>IF($B746="","",IF(INDEX('Work Orders'!$AL$11:$AL$1010,$B746)="","",INDEX('Work Orders'!$AL$11:$AL$1010,$B746)))</f>
        <v/>
      </c>
      <c r="O746" s="43">
        <f>IF($B746="","",IF(INDEX('Work Orders'!$N$11:$N$1010,$B746)="","",INDEX('Work Orders'!$N$11:$N$1010,$B746)))</f>
        <v/>
      </c>
    </row>
    <row r="747">
      <c r="A747" s="68" t="n">
        <v>741</v>
      </c>
      <c r="B747">
        <f>IFERROR(MATCH(A747,'Work Orders'!$AO$11:$AO$1010,0),"")</f>
        <v/>
      </c>
      <c r="C747" s="43">
        <f>IF($B747="","",IF(INDEX('Work Orders'!$A$11:$A$1010,$B747)="","",INDEX('Work Orders'!$A$11:$A$1010,$B747)))</f>
        <v/>
      </c>
      <c r="D747" s="43">
        <f>IF($B747="","",IF(INDEX('Work Orders'!$B$11:$B$1010,$B747)="","",INDEX('Work Orders'!$B$11:$B$1010,$B747)))</f>
        <v/>
      </c>
      <c r="E747" s="43">
        <f>IF($B747="","",IF(INDEX('Work Orders'!$D$11:$D$1010,$B747)="","",INDEX('Work Orders'!$D$11:$D$1010,$B747)))</f>
        <v/>
      </c>
      <c r="F747" s="43">
        <f>IF($B747="","",IF(INDEX('Work Orders'!$Q$11:$Q$1010,$B747)="","",INDEX('Work Orders'!$Q$11:$Q$1010,$B747)))</f>
        <v/>
      </c>
      <c r="G747" s="43">
        <f>IF($B747="","",IF(INDEX('Work Orders'!$V$11:$V$1010,$B747)="","",INDEX('Work Orders'!$V$11:$V$1010,$B747)))</f>
        <v/>
      </c>
      <c r="H747" s="47">
        <f>IF($B747="","",IF(INDEX('Work Orders'!$U$11:$U$1010,$B747)="","",INDEX('Work Orders'!$U$11:$U$1010,$B747)))</f>
        <v/>
      </c>
      <c r="I747" s="47">
        <f>IF($B747="","",IF(INDEX('Work Orders'!$X$11:$X$1010,$B747)="","",INDEX('Work Orders'!$X$11:$X$1010,$B747)))</f>
        <v/>
      </c>
      <c r="J747" s="44">
        <f>IF($B747="","",IF(INDEX('Work Orders'!$Z$11:$Z$1010,$B747)="","",INDEX('Work Orders'!$Z$11:$Z$1010,$B747)))</f>
        <v/>
      </c>
      <c r="K747" s="44">
        <f>IF($B747="","",IF(INDEX('Work Orders'!$AG$11:$AG$1010,$B747)="","",INDEX('Work Orders'!$AG$11:$AG$1010,$B747)))</f>
        <v/>
      </c>
      <c r="L747" s="44">
        <f>IF($B747="","",IF(INDEX('Work Orders'!$AH$11:$AH$1010,$B747)="","",INDEX('Work Orders'!$AH$11:$AH$1010,$B747)))</f>
        <v/>
      </c>
      <c r="M747" s="46">
        <f>IF($B747="","",IF(INDEX('Work Orders'!$AM$11:$AM$1010,$B747)="","",INDEX('Work Orders'!$AM$11:$AM$1010,$B747)))</f>
        <v/>
      </c>
      <c r="N747" s="43">
        <f>IF($B747="","",IF(INDEX('Work Orders'!$AL$11:$AL$1010,$B747)="","",INDEX('Work Orders'!$AL$11:$AL$1010,$B747)))</f>
        <v/>
      </c>
      <c r="O747" s="43">
        <f>IF($B747="","",IF(INDEX('Work Orders'!$N$11:$N$1010,$B747)="","",INDEX('Work Orders'!$N$11:$N$1010,$B747)))</f>
        <v/>
      </c>
    </row>
    <row r="748">
      <c r="A748" s="68" t="n">
        <v>742</v>
      </c>
      <c r="B748">
        <f>IFERROR(MATCH(A748,'Work Orders'!$AO$11:$AO$1010,0),"")</f>
        <v/>
      </c>
      <c r="C748" s="43">
        <f>IF($B748="","",IF(INDEX('Work Orders'!$A$11:$A$1010,$B748)="","",INDEX('Work Orders'!$A$11:$A$1010,$B748)))</f>
        <v/>
      </c>
      <c r="D748" s="43">
        <f>IF($B748="","",IF(INDEX('Work Orders'!$B$11:$B$1010,$B748)="","",INDEX('Work Orders'!$B$11:$B$1010,$B748)))</f>
        <v/>
      </c>
      <c r="E748" s="43">
        <f>IF($B748="","",IF(INDEX('Work Orders'!$D$11:$D$1010,$B748)="","",INDEX('Work Orders'!$D$11:$D$1010,$B748)))</f>
        <v/>
      </c>
      <c r="F748" s="43">
        <f>IF($B748="","",IF(INDEX('Work Orders'!$Q$11:$Q$1010,$B748)="","",INDEX('Work Orders'!$Q$11:$Q$1010,$B748)))</f>
        <v/>
      </c>
      <c r="G748" s="43">
        <f>IF($B748="","",IF(INDEX('Work Orders'!$V$11:$V$1010,$B748)="","",INDEX('Work Orders'!$V$11:$V$1010,$B748)))</f>
        <v/>
      </c>
      <c r="H748" s="47">
        <f>IF($B748="","",IF(INDEX('Work Orders'!$U$11:$U$1010,$B748)="","",INDEX('Work Orders'!$U$11:$U$1010,$B748)))</f>
        <v/>
      </c>
      <c r="I748" s="47">
        <f>IF($B748="","",IF(INDEX('Work Orders'!$X$11:$X$1010,$B748)="","",INDEX('Work Orders'!$X$11:$X$1010,$B748)))</f>
        <v/>
      </c>
      <c r="J748" s="44">
        <f>IF($B748="","",IF(INDEX('Work Orders'!$Z$11:$Z$1010,$B748)="","",INDEX('Work Orders'!$Z$11:$Z$1010,$B748)))</f>
        <v/>
      </c>
      <c r="K748" s="44">
        <f>IF($B748="","",IF(INDEX('Work Orders'!$AG$11:$AG$1010,$B748)="","",INDEX('Work Orders'!$AG$11:$AG$1010,$B748)))</f>
        <v/>
      </c>
      <c r="L748" s="44">
        <f>IF($B748="","",IF(INDEX('Work Orders'!$AH$11:$AH$1010,$B748)="","",INDEX('Work Orders'!$AH$11:$AH$1010,$B748)))</f>
        <v/>
      </c>
      <c r="M748" s="46">
        <f>IF($B748="","",IF(INDEX('Work Orders'!$AM$11:$AM$1010,$B748)="","",INDEX('Work Orders'!$AM$11:$AM$1010,$B748)))</f>
        <v/>
      </c>
      <c r="N748" s="43">
        <f>IF($B748="","",IF(INDEX('Work Orders'!$AL$11:$AL$1010,$B748)="","",INDEX('Work Orders'!$AL$11:$AL$1010,$B748)))</f>
        <v/>
      </c>
      <c r="O748" s="43">
        <f>IF($B748="","",IF(INDEX('Work Orders'!$N$11:$N$1010,$B748)="","",INDEX('Work Orders'!$N$11:$N$1010,$B748)))</f>
        <v/>
      </c>
    </row>
    <row r="749">
      <c r="A749" s="68" t="n">
        <v>743</v>
      </c>
      <c r="B749">
        <f>IFERROR(MATCH(A749,'Work Orders'!$AO$11:$AO$1010,0),"")</f>
        <v/>
      </c>
      <c r="C749" s="43">
        <f>IF($B749="","",IF(INDEX('Work Orders'!$A$11:$A$1010,$B749)="","",INDEX('Work Orders'!$A$11:$A$1010,$B749)))</f>
        <v/>
      </c>
      <c r="D749" s="43">
        <f>IF($B749="","",IF(INDEX('Work Orders'!$B$11:$B$1010,$B749)="","",INDEX('Work Orders'!$B$11:$B$1010,$B749)))</f>
        <v/>
      </c>
      <c r="E749" s="43">
        <f>IF($B749="","",IF(INDEX('Work Orders'!$D$11:$D$1010,$B749)="","",INDEX('Work Orders'!$D$11:$D$1010,$B749)))</f>
        <v/>
      </c>
      <c r="F749" s="43">
        <f>IF($B749="","",IF(INDEX('Work Orders'!$Q$11:$Q$1010,$B749)="","",INDEX('Work Orders'!$Q$11:$Q$1010,$B749)))</f>
        <v/>
      </c>
      <c r="G749" s="43">
        <f>IF($B749="","",IF(INDEX('Work Orders'!$V$11:$V$1010,$B749)="","",INDEX('Work Orders'!$V$11:$V$1010,$B749)))</f>
        <v/>
      </c>
      <c r="H749" s="47">
        <f>IF($B749="","",IF(INDEX('Work Orders'!$U$11:$U$1010,$B749)="","",INDEX('Work Orders'!$U$11:$U$1010,$B749)))</f>
        <v/>
      </c>
      <c r="I749" s="47">
        <f>IF($B749="","",IF(INDEX('Work Orders'!$X$11:$X$1010,$B749)="","",INDEX('Work Orders'!$X$11:$X$1010,$B749)))</f>
        <v/>
      </c>
      <c r="J749" s="44">
        <f>IF($B749="","",IF(INDEX('Work Orders'!$Z$11:$Z$1010,$B749)="","",INDEX('Work Orders'!$Z$11:$Z$1010,$B749)))</f>
        <v/>
      </c>
      <c r="K749" s="44">
        <f>IF($B749="","",IF(INDEX('Work Orders'!$AG$11:$AG$1010,$B749)="","",INDEX('Work Orders'!$AG$11:$AG$1010,$B749)))</f>
        <v/>
      </c>
      <c r="L749" s="44">
        <f>IF($B749="","",IF(INDEX('Work Orders'!$AH$11:$AH$1010,$B749)="","",INDEX('Work Orders'!$AH$11:$AH$1010,$B749)))</f>
        <v/>
      </c>
      <c r="M749" s="46">
        <f>IF($B749="","",IF(INDEX('Work Orders'!$AM$11:$AM$1010,$B749)="","",INDEX('Work Orders'!$AM$11:$AM$1010,$B749)))</f>
        <v/>
      </c>
      <c r="N749" s="43">
        <f>IF($B749="","",IF(INDEX('Work Orders'!$AL$11:$AL$1010,$B749)="","",INDEX('Work Orders'!$AL$11:$AL$1010,$B749)))</f>
        <v/>
      </c>
      <c r="O749" s="43">
        <f>IF($B749="","",IF(INDEX('Work Orders'!$N$11:$N$1010,$B749)="","",INDEX('Work Orders'!$N$11:$N$1010,$B749)))</f>
        <v/>
      </c>
    </row>
    <row r="750">
      <c r="A750" s="68" t="n">
        <v>744</v>
      </c>
      <c r="B750">
        <f>IFERROR(MATCH(A750,'Work Orders'!$AO$11:$AO$1010,0),"")</f>
        <v/>
      </c>
      <c r="C750" s="43">
        <f>IF($B750="","",IF(INDEX('Work Orders'!$A$11:$A$1010,$B750)="","",INDEX('Work Orders'!$A$11:$A$1010,$B750)))</f>
        <v/>
      </c>
      <c r="D750" s="43">
        <f>IF($B750="","",IF(INDEX('Work Orders'!$B$11:$B$1010,$B750)="","",INDEX('Work Orders'!$B$11:$B$1010,$B750)))</f>
        <v/>
      </c>
      <c r="E750" s="43">
        <f>IF($B750="","",IF(INDEX('Work Orders'!$D$11:$D$1010,$B750)="","",INDEX('Work Orders'!$D$11:$D$1010,$B750)))</f>
        <v/>
      </c>
      <c r="F750" s="43">
        <f>IF($B750="","",IF(INDEX('Work Orders'!$Q$11:$Q$1010,$B750)="","",INDEX('Work Orders'!$Q$11:$Q$1010,$B750)))</f>
        <v/>
      </c>
      <c r="G750" s="43">
        <f>IF($B750="","",IF(INDEX('Work Orders'!$V$11:$V$1010,$B750)="","",INDEX('Work Orders'!$V$11:$V$1010,$B750)))</f>
        <v/>
      </c>
      <c r="H750" s="47">
        <f>IF($B750="","",IF(INDEX('Work Orders'!$U$11:$U$1010,$B750)="","",INDEX('Work Orders'!$U$11:$U$1010,$B750)))</f>
        <v/>
      </c>
      <c r="I750" s="47">
        <f>IF($B750="","",IF(INDEX('Work Orders'!$X$11:$X$1010,$B750)="","",INDEX('Work Orders'!$X$11:$X$1010,$B750)))</f>
        <v/>
      </c>
      <c r="J750" s="44">
        <f>IF($B750="","",IF(INDEX('Work Orders'!$Z$11:$Z$1010,$B750)="","",INDEX('Work Orders'!$Z$11:$Z$1010,$B750)))</f>
        <v/>
      </c>
      <c r="K750" s="44">
        <f>IF($B750="","",IF(INDEX('Work Orders'!$AG$11:$AG$1010,$B750)="","",INDEX('Work Orders'!$AG$11:$AG$1010,$B750)))</f>
        <v/>
      </c>
      <c r="L750" s="44">
        <f>IF($B750="","",IF(INDEX('Work Orders'!$AH$11:$AH$1010,$B750)="","",INDEX('Work Orders'!$AH$11:$AH$1010,$B750)))</f>
        <v/>
      </c>
      <c r="M750" s="46">
        <f>IF($B750="","",IF(INDEX('Work Orders'!$AM$11:$AM$1010,$B750)="","",INDEX('Work Orders'!$AM$11:$AM$1010,$B750)))</f>
        <v/>
      </c>
      <c r="N750" s="43">
        <f>IF($B750="","",IF(INDEX('Work Orders'!$AL$11:$AL$1010,$B750)="","",INDEX('Work Orders'!$AL$11:$AL$1010,$B750)))</f>
        <v/>
      </c>
      <c r="O750" s="43">
        <f>IF($B750="","",IF(INDEX('Work Orders'!$N$11:$N$1010,$B750)="","",INDEX('Work Orders'!$N$11:$N$1010,$B750)))</f>
        <v/>
      </c>
    </row>
    <row r="751">
      <c r="A751" s="68" t="n">
        <v>745</v>
      </c>
      <c r="B751">
        <f>IFERROR(MATCH(A751,'Work Orders'!$AO$11:$AO$1010,0),"")</f>
        <v/>
      </c>
      <c r="C751" s="43">
        <f>IF($B751="","",IF(INDEX('Work Orders'!$A$11:$A$1010,$B751)="","",INDEX('Work Orders'!$A$11:$A$1010,$B751)))</f>
        <v/>
      </c>
      <c r="D751" s="43">
        <f>IF($B751="","",IF(INDEX('Work Orders'!$B$11:$B$1010,$B751)="","",INDEX('Work Orders'!$B$11:$B$1010,$B751)))</f>
        <v/>
      </c>
      <c r="E751" s="43">
        <f>IF($B751="","",IF(INDEX('Work Orders'!$D$11:$D$1010,$B751)="","",INDEX('Work Orders'!$D$11:$D$1010,$B751)))</f>
        <v/>
      </c>
      <c r="F751" s="43">
        <f>IF($B751="","",IF(INDEX('Work Orders'!$Q$11:$Q$1010,$B751)="","",INDEX('Work Orders'!$Q$11:$Q$1010,$B751)))</f>
        <v/>
      </c>
      <c r="G751" s="43">
        <f>IF($B751="","",IF(INDEX('Work Orders'!$V$11:$V$1010,$B751)="","",INDEX('Work Orders'!$V$11:$V$1010,$B751)))</f>
        <v/>
      </c>
      <c r="H751" s="47">
        <f>IF($B751="","",IF(INDEX('Work Orders'!$U$11:$U$1010,$B751)="","",INDEX('Work Orders'!$U$11:$U$1010,$B751)))</f>
        <v/>
      </c>
      <c r="I751" s="47">
        <f>IF($B751="","",IF(INDEX('Work Orders'!$X$11:$X$1010,$B751)="","",INDEX('Work Orders'!$X$11:$X$1010,$B751)))</f>
        <v/>
      </c>
      <c r="J751" s="44">
        <f>IF($B751="","",IF(INDEX('Work Orders'!$Z$11:$Z$1010,$B751)="","",INDEX('Work Orders'!$Z$11:$Z$1010,$B751)))</f>
        <v/>
      </c>
      <c r="K751" s="44">
        <f>IF($B751="","",IF(INDEX('Work Orders'!$AG$11:$AG$1010,$B751)="","",INDEX('Work Orders'!$AG$11:$AG$1010,$B751)))</f>
        <v/>
      </c>
      <c r="L751" s="44">
        <f>IF($B751="","",IF(INDEX('Work Orders'!$AH$11:$AH$1010,$B751)="","",INDEX('Work Orders'!$AH$11:$AH$1010,$B751)))</f>
        <v/>
      </c>
      <c r="M751" s="46">
        <f>IF($B751="","",IF(INDEX('Work Orders'!$AM$11:$AM$1010,$B751)="","",INDEX('Work Orders'!$AM$11:$AM$1010,$B751)))</f>
        <v/>
      </c>
      <c r="N751" s="43">
        <f>IF($B751="","",IF(INDEX('Work Orders'!$AL$11:$AL$1010,$B751)="","",INDEX('Work Orders'!$AL$11:$AL$1010,$B751)))</f>
        <v/>
      </c>
      <c r="O751" s="43">
        <f>IF($B751="","",IF(INDEX('Work Orders'!$N$11:$N$1010,$B751)="","",INDEX('Work Orders'!$N$11:$N$1010,$B751)))</f>
        <v/>
      </c>
    </row>
    <row r="752">
      <c r="A752" s="68" t="n">
        <v>746</v>
      </c>
      <c r="B752">
        <f>IFERROR(MATCH(A752,'Work Orders'!$AO$11:$AO$1010,0),"")</f>
        <v/>
      </c>
      <c r="C752" s="43">
        <f>IF($B752="","",IF(INDEX('Work Orders'!$A$11:$A$1010,$B752)="","",INDEX('Work Orders'!$A$11:$A$1010,$B752)))</f>
        <v/>
      </c>
      <c r="D752" s="43">
        <f>IF($B752="","",IF(INDEX('Work Orders'!$B$11:$B$1010,$B752)="","",INDEX('Work Orders'!$B$11:$B$1010,$B752)))</f>
        <v/>
      </c>
      <c r="E752" s="43">
        <f>IF($B752="","",IF(INDEX('Work Orders'!$D$11:$D$1010,$B752)="","",INDEX('Work Orders'!$D$11:$D$1010,$B752)))</f>
        <v/>
      </c>
      <c r="F752" s="43">
        <f>IF($B752="","",IF(INDEX('Work Orders'!$Q$11:$Q$1010,$B752)="","",INDEX('Work Orders'!$Q$11:$Q$1010,$B752)))</f>
        <v/>
      </c>
      <c r="G752" s="43">
        <f>IF($B752="","",IF(INDEX('Work Orders'!$V$11:$V$1010,$B752)="","",INDEX('Work Orders'!$V$11:$V$1010,$B752)))</f>
        <v/>
      </c>
      <c r="H752" s="47">
        <f>IF($B752="","",IF(INDEX('Work Orders'!$U$11:$U$1010,$B752)="","",INDEX('Work Orders'!$U$11:$U$1010,$B752)))</f>
        <v/>
      </c>
      <c r="I752" s="47">
        <f>IF($B752="","",IF(INDEX('Work Orders'!$X$11:$X$1010,$B752)="","",INDEX('Work Orders'!$X$11:$X$1010,$B752)))</f>
        <v/>
      </c>
      <c r="J752" s="44">
        <f>IF($B752="","",IF(INDEX('Work Orders'!$Z$11:$Z$1010,$B752)="","",INDEX('Work Orders'!$Z$11:$Z$1010,$B752)))</f>
        <v/>
      </c>
      <c r="K752" s="44">
        <f>IF($B752="","",IF(INDEX('Work Orders'!$AG$11:$AG$1010,$B752)="","",INDEX('Work Orders'!$AG$11:$AG$1010,$B752)))</f>
        <v/>
      </c>
      <c r="L752" s="44">
        <f>IF($B752="","",IF(INDEX('Work Orders'!$AH$11:$AH$1010,$B752)="","",INDEX('Work Orders'!$AH$11:$AH$1010,$B752)))</f>
        <v/>
      </c>
      <c r="M752" s="46">
        <f>IF($B752="","",IF(INDEX('Work Orders'!$AM$11:$AM$1010,$B752)="","",INDEX('Work Orders'!$AM$11:$AM$1010,$B752)))</f>
        <v/>
      </c>
      <c r="N752" s="43">
        <f>IF($B752="","",IF(INDEX('Work Orders'!$AL$11:$AL$1010,$B752)="","",INDEX('Work Orders'!$AL$11:$AL$1010,$B752)))</f>
        <v/>
      </c>
      <c r="O752" s="43">
        <f>IF($B752="","",IF(INDEX('Work Orders'!$N$11:$N$1010,$B752)="","",INDEX('Work Orders'!$N$11:$N$1010,$B752)))</f>
        <v/>
      </c>
    </row>
    <row r="753">
      <c r="A753" s="68" t="n">
        <v>747</v>
      </c>
      <c r="B753">
        <f>IFERROR(MATCH(A753,'Work Orders'!$AO$11:$AO$1010,0),"")</f>
        <v/>
      </c>
      <c r="C753" s="43">
        <f>IF($B753="","",IF(INDEX('Work Orders'!$A$11:$A$1010,$B753)="","",INDEX('Work Orders'!$A$11:$A$1010,$B753)))</f>
        <v/>
      </c>
      <c r="D753" s="43">
        <f>IF($B753="","",IF(INDEX('Work Orders'!$B$11:$B$1010,$B753)="","",INDEX('Work Orders'!$B$11:$B$1010,$B753)))</f>
        <v/>
      </c>
      <c r="E753" s="43">
        <f>IF($B753="","",IF(INDEX('Work Orders'!$D$11:$D$1010,$B753)="","",INDEX('Work Orders'!$D$11:$D$1010,$B753)))</f>
        <v/>
      </c>
      <c r="F753" s="43">
        <f>IF($B753="","",IF(INDEX('Work Orders'!$Q$11:$Q$1010,$B753)="","",INDEX('Work Orders'!$Q$11:$Q$1010,$B753)))</f>
        <v/>
      </c>
      <c r="G753" s="43">
        <f>IF($B753="","",IF(INDEX('Work Orders'!$V$11:$V$1010,$B753)="","",INDEX('Work Orders'!$V$11:$V$1010,$B753)))</f>
        <v/>
      </c>
      <c r="H753" s="47">
        <f>IF($B753="","",IF(INDEX('Work Orders'!$U$11:$U$1010,$B753)="","",INDEX('Work Orders'!$U$11:$U$1010,$B753)))</f>
        <v/>
      </c>
      <c r="I753" s="47">
        <f>IF($B753="","",IF(INDEX('Work Orders'!$X$11:$X$1010,$B753)="","",INDEX('Work Orders'!$X$11:$X$1010,$B753)))</f>
        <v/>
      </c>
      <c r="J753" s="44">
        <f>IF($B753="","",IF(INDEX('Work Orders'!$Z$11:$Z$1010,$B753)="","",INDEX('Work Orders'!$Z$11:$Z$1010,$B753)))</f>
        <v/>
      </c>
      <c r="K753" s="44">
        <f>IF($B753="","",IF(INDEX('Work Orders'!$AG$11:$AG$1010,$B753)="","",INDEX('Work Orders'!$AG$11:$AG$1010,$B753)))</f>
        <v/>
      </c>
      <c r="L753" s="44">
        <f>IF($B753="","",IF(INDEX('Work Orders'!$AH$11:$AH$1010,$B753)="","",INDEX('Work Orders'!$AH$11:$AH$1010,$B753)))</f>
        <v/>
      </c>
      <c r="M753" s="46">
        <f>IF($B753="","",IF(INDEX('Work Orders'!$AM$11:$AM$1010,$B753)="","",INDEX('Work Orders'!$AM$11:$AM$1010,$B753)))</f>
        <v/>
      </c>
      <c r="N753" s="43">
        <f>IF($B753="","",IF(INDEX('Work Orders'!$AL$11:$AL$1010,$B753)="","",INDEX('Work Orders'!$AL$11:$AL$1010,$B753)))</f>
        <v/>
      </c>
      <c r="O753" s="43">
        <f>IF($B753="","",IF(INDEX('Work Orders'!$N$11:$N$1010,$B753)="","",INDEX('Work Orders'!$N$11:$N$1010,$B753)))</f>
        <v/>
      </c>
    </row>
    <row r="754">
      <c r="A754" s="68" t="n">
        <v>748</v>
      </c>
      <c r="B754">
        <f>IFERROR(MATCH(A754,'Work Orders'!$AO$11:$AO$1010,0),"")</f>
        <v/>
      </c>
      <c r="C754" s="43">
        <f>IF($B754="","",IF(INDEX('Work Orders'!$A$11:$A$1010,$B754)="","",INDEX('Work Orders'!$A$11:$A$1010,$B754)))</f>
        <v/>
      </c>
      <c r="D754" s="43">
        <f>IF($B754="","",IF(INDEX('Work Orders'!$B$11:$B$1010,$B754)="","",INDEX('Work Orders'!$B$11:$B$1010,$B754)))</f>
        <v/>
      </c>
      <c r="E754" s="43">
        <f>IF($B754="","",IF(INDEX('Work Orders'!$D$11:$D$1010,$B754)="","",INDEX('Work Orders'!$D$11:$D$1010,$B754)))</f>
        <v/>
      </c>
      <c r="F754" s="43">
        <f>IF($B754="","",IF(INDEX('Work Orders'!$Q$11:$Q$1010,$B754)="","",INDEX('Work Orders'!$Q$11:$Q$1010,$B754)))</f>
        <v/>
      </c>
      <c r="G754" s="43">
        <f>IF($B754="","",IF(INDEX('Work Orders'!$V$11:$V$1010,$B754)="","",INDEX('Work Orders'!$V$11:$V$1010,$B754)))</f>
        <v/>
      </c>
      <c r="H754" s="47">
        <f>IF($B754="","",IF(INDEX('Work Orders'!$U$11:$U$1010,$B754)="","",INDEX('Work Orders'!$U$11:$U$1010,$B754)))</f>
        <v/>
      </c>
      <c r="I754" s="47">
        <f>IF($B754="","",IF(INDEX('Work Orders'!$X$11:$X$1010,$B754)="","",INDEX('Work Orders'!$X$11:$X$1010,$B754)))</f>
        <v/>
      </c>
      <c r="J754" s="44">
        <f>IF($B754="","",IF(INDEX('Work Orders'!$Z$11:$Z$1010,$B754)="","",INDEX('Work Orders'!$Z$11:$Z$1010,$B754)))</f>
        <v/>
      </c>
      <c r="K754" s="44">
        <f>IF($B754="","",IF(INDEX('Work Orders'!$AG$11:$AG$1010,$B754)="","",INDEX('Work Orders'!$AG$11:$AG$1010,$B754)))</f>
        <v/>
      </c>
      <c r="L754" s="44">
        <f>IF($B754="","",IF(INDEX('Work Orders'!$AH$11:$AH$1010,$B754)="","",INDEX('Work Orders'!$AH$11:$AH$1010,$B754)))</f>
        <v/>
      </c>
      <c r="M754" s="46">
        <f>IF($B754="","",IF(INDEX('Work Orders'!$AM$11:$AM$1010,$B754)="","",INDEX('Work Orders'!$AM$11:$AM$1010,$B754)))</f>
        <v/>
      </c>
      <c r="N754" s="43">
        <f>IF($B754="","",IF(INDEX('Work Orders'!$AL$11:$AL$1010,$B754)="","",INDEX('Work Orders'!$AL$11:$AL$1010,$B754)))</f>
        <v/>
      </c>
      <c r="O754" s="43">
        <f>IF($B754="","",IF(INDEX('Work Orders'!$N$11:$N$1010,$B754)="","",INDEX('Work Orders'!$N$11:$N$1010,$B754)))</f>
        <v/>
      </c>
    </row>
    <row r="755">
      <c r="A755" s="68" t="n">
        <v>749</v>
      </c>
      <c r="B755">
        <f>IFERROR(MATCH(A755,'Work Orders'!$AO$11:$AO$1010,0),"")</f>
        <v/>
      </c>
      <c r="C755" s="43">
        <f>IF($B755="","",IF(INDEX('Work Orders'!$A$11:$A$1010,$B755)="","",INDEX('Work Orders'!$A$11:$A$1010,$B755)))</f>
        <v/>
      </c>
      <c r="D755" s="43">
        <f>IF($B755="","",IF(INDEX('Work Orders'!$B$11:$B$1010,$B755)="","",INDEX('Work Orders'!$B$11:$B$1010,$B755)))</f>
        <v/>
      </c>
      <c r="E755" s="43">
        <f>IF($B755="","",IF(INDEX('Work Orders'!$D$11:$D$1010,$B755)="","",INDEX('Work Orders'!$D$11:$D$1010,$B755)))</f>
        <v/>
      </c>
      <c r="F755" s="43">
        <f>IF($B755="","",IF(INDEX('Work Orders'!$Q$11:$Q$1010,$B755)="","",INDEX('Work Orders'!$Q$11:$Q$1010,$B755)))</f>
        <v/>
      </c>
      <c r="G755" s="43">
        <f>IF($B755="","",IF(INDEX('Work Orders'!$V$11:$V$1010,$B755)="","",INDEX('Work Orders'!$V$11:$V$1010,$B755)))</f>
        <v/>
      </c>
      <c r="H755" s="47">
        <f>IF($B755="","",IF(INDEX('Work Orders'!$U$11:$U$1010,$B755)="","",INDEX('Work Orders'!$U$11:$U$1010,$B755)))</f>
        <v/>
      </c>
      <c r="I755" s="47">
        <f>IF($B755="","",IF(INDEX('Work Orders'!$X$11:$X$1010,$B755)="","",INDEX('Work Orders'!$X$11:$X$1010,$B755)))</f>
        <v/>
      </c>
      <c r="J755" s="44">
        <f>IF($B755="","",IF(INDEX('Work Orders'!$Z$11:$Z$1010,$B755)="","",INDEX('Work Orders'!$Z$11:$Z$1010,$B755)))</f>
        <v/>
      </c>
      <c r="K755" s="44">
        <f>IF($B755="","",IF(INDEX('Work Orders'!$AG$11:$AG$1010,$B755)="","",INDEX('Work Orders'!$AG$11:$AG$1010,$B755)))</f>
        <v/>
      </c>
      <c r="L755" s="44">
        <f>IF($B755="","",IF(INDEX('Work Orders'!$AH$11:$AH$1010,$B755)="","",INDEX('Work Orders'!$AH$11:$AH$1010,$B755)))</f>
        <v/>
      </c>
      <c r="M755" s="46">
        <f>IF($B755="","",IF(INDEX('Work Orders'!$AM$11:$AM$1010,$B755)="","",INDEX('Work Orders'!$AM$11:$AM$1010,$B755)))</f>
        <v/>
      </c>
      <c r="N755" s="43">
        <f>IF($B755="","",IF(INDEX('Work Orders'!$AL$11:$AL$1010,$B755)="","",INDEX('Work Orders'!$AL$11:$AL$1010,$B755)))</f>
        <v/>
      </c>
      <c r="O755" s="43">
        <f>IF($B755="","",IF(INDEX('Work Orders'!$N$11:$N$1010,$B755)="","",INDEX('Work Orders'!$N$11:$N$1010,$B755)))</f>
        <v/>
      </c>
    </row>
    <row r="756">
      <c r="A756" s="68" t="n">
        <v>750</v>
      </c>
      <c r="B756">
        <f>IFERROR(MATCH(A756,'Work Orders'!$AO$11:$AO$1010,0),"")</f>
        <v/>
      </c>
      <c r="C756" s="43">
        <f>IF($B756="","",IF(INDEX('Work Orders'!$A$11:$A$1010,$B756)="","",INDEX('Work Orders'!$A$11:$A$1010,$B756)))</f>
        <v/>
      </c>
      <c r="D756" s="43">
        <f>IF($B756="","",IF(INDEX('Work Orders'!$B$11:$B$1010,$B756)="","",INDEX('Work Orders'!$B$11:$B$1010,$B756)))</f>
        <v/>
      </c>
      <c r="E756" s="43">
        <f>IF($B756="","",IF(INDEX('Work Orders'!$D$11:$D$1010,$B756)="","",INDEX('Work Orders'!$D$11:$D$1010,$B756)))</f>
        <v/>
      </c>
      <c r="F756" s="43">
        <f>IF($B756="","",IF(INDEX('Work Orders'!$Q$11:$Q$1010,$B756)="","",INDEX('Work Orders'!$Q$11:$Q$1010,$B756)))</f>
        <v/>
      </c>
      <c r="G756" s="43">
        <f>IF($B756="","",IF(INDEX('Work Orders'!$V$11:$V$1010,$B756)="","",INDEX('Work Orders'!$V$11:$V$1010,$B756)))</f>
        <v/>
      </c>
      <c r="H756" s="47">
        <f>IF($B756="","",IF(INDEX('Work Orders'!$U$11:$U$1010,$B756)="","",INDEX('Work Orders'!$U$11:$U$1010,$B756)))</f>
        <v/>
      </c>
      <c r="I756" s="47">
        <f>IF($B756="","",IF(INDEX('Work Orders'!$X$11:$X$1010,$B756)="","",INDEX('Work Orders'!$X$11:$X$1010,$B756)))</f>
        <v/>
      </c>
      <c r="J756" s="44">
        <f>IF($B756="","",IF(INDEX('Work Orders'!$Z$11:$Z$1010,$B756)="","",INDEX('Work Orders'!$Z$11:$Z$1010,$B756)))</f>
        <v/>
      </c>
      <c r="K756" s="44">
        <f>IF($B756="","",IF(INDEX('Work Orders'!$AG$11:$AG$1010,$B756)="","",INDEX('Work Orders'!$AG$11:$AG$1010,$B756)))</f>
        <v/>
      </c>
      <c r="L756" s="44">
        <f>IF($B756="","",IF(INDEX('Work Orders'!$AH$11:$AH$1010,$B756)="","",INDEX('Work Orders'!$AH$11:$AH$1010,$B756)))</f>
        <v/>
      </c>
      <c r="M756" s="46">
        <f>IF($B756="","",IF(INDEX('Work Orders'!$AM$11:$AM$1010,$B756)="","",INDEX('Work Orders'!$AM$11:$AM$1010,$B756)))</f>
        <v/>
      </c>
      <c r="N756" s="43">
        <f>IF($B756="","",IF(INDEX('Work Orders'!$AL$11:$AL$1010,$B756)="","",INDEX('Work Orders'!$AL$11:$AL$1010,$B756)))</f>
        <v/>
      </c>
      <c r="O756" s="43">
        <f>IF($B756="","",IF(INDEX('Work Orders'!$N$11:$N$1010,$B756)="","",INDEX('Work Orders'!$N$11:$N$1010,$B756)))</f>
        <v/>
      </c>
    </row>
    <row r="757">
      <c r="A757" s="68" t="n">
        <v>751</v>
      </c>
      <c r="B757">
        <f>IFERROR(MATCH(A757,'Work Orders'!$AO$11:$AO$1010,0),"")</f>
        <v/>
      </c>
      <c r="C757" s="43">
        <f>IF($B757="","",IF(INDEX('Work Orders'!$A$11:$A$1010,$B757)="","",INDEX('Work Orders'!$A$11:$A$1010,$B757)))</f>
        <v/>
      </c>
      <c r="D757" s="43">
        <f>IF($B757="","",IF(INDEX('Work Orders'!$B$11:$B$1010,$B757)="","",INDEX('Work Orders'!$B$11:$B$1010,$B757)))</f>
        <v/>
      </c>
      <c r="E757" s="43">
        <f>IF($B757="","",IF(INDEX('Work Orders'!$D$11:$D$1010,$B757)="","",INDEX('Work Orders'!$D$11:$D$1010,$B757)))</f>
        <v/>
      </c>
      <c r="F757" s="43">
        <f>IF($B757="","",IF(INDEX('Work Orders'!$Q$11:$Q$1010,$B757)="","",INDEX('Work Orders'!$Q$11:$Q$1010,$B757)))</f>
        <v/>
      </c>
      <c r="G757" s="43">
        <f>IF($B757="","",IF(INDEX('Work Orders'!$V$11:$V$1010,$B757)="","",INDEX('Work Orders'!$V$11:$V$1010,$B757)))</f>
        <v/>
      </c>
      <c r="H757" s="47">
        <f>IF($B757="","",IF(INDEX('Work Orders'!$U$11:$U$1010,$B757)="","",INDEX('Work Orders'!$U$11:$U$1010,$B757)))</f>
        <v/>
      </c>
      <c r="I757" s="47">
        <f>IF($B757="","",IF(INDEX('Work Orders'!$X$11:$X$1010,$B757)="","",INDEX('Work Orders'!$X$11:$X$1010,$B757)))</f>
        <v/>
      </c>
      <c r="J757" s="44">
        <f>IF($B757="","",IF(INDEX('Work Orders'!$Z$11:$Z$1010,$B757)="","",INDEX('Work Orders'!$Z$11:$Z$1010,$B757)))</f>
        <v/>
      </c>
      <c r="K757" s="44">
        <f>IF($B757="","",IF(INDEX('Work Orders'!$AG$11:$AG$1010,$B757)="","",INDEX('Work Orders'!$AG$11:$AG$1010,$B757)))</f>
        <v/>
      </c>
      <c r="L757" s="44">
        <f>IF($B757="","",IF(INDEX('Work Orders'!$AH$11:$AH$1010,$B757)="","",INDEX('Work Orders'!$AH$11:$AH$1010,$B757)))</f>
        <v/>
      </c>
      <c r="M757" s="46">
        <f>IF($B757="","",IF(INDEX('Work Orders'!$AM$11:$AM$1010,$B757)="","",INDEX('Work Orders'!$AM$11:$AM$1010,$B757)))</f>
        <v/>
      </c>
      <c r="N757" s="43">
        <f>IF($B757="","",IF(INDEX('Work Orders'!$AL$11:$AL$1010,$B757)="","",INDEX('Work Orders'!$AL$11:$AL$1010,$B757)))</f>
        <v/>
      </c>
      <c r="O757" s="43">
        <f>IF($B757="","",IF(INDEX('Work Orders'!$N$11:$N$1010,$B757)="","",INDEX('Work Orders'!$N$11:$N$1010,$B757)))</f>
        <v/>
      </c>
    </row>
    <row r="758">
      <c r="A758" s="68" t="n">
        <v>752</v>
      </c>
      <c r="B758">
        <f>IFERROR(MATCH(A758,'Work Orders'!$AO$11:$AO$1010,0),"")</f>
        <v/>
      </c>
      <c r="C758" s="43">
        <f>IF($B758="","",IF(INDEX('Work Orders'!$A$11:$A$1010,$B758)="","",INDEX('Work Orders'!$A$11:$A$1010,$B758)))</f>
        <v/>
      </c>
      <c r="D758" s="43">
        <f>IF($B758="","",IF(INDEX('Work Orders'!$B$11:$B$1010,$B758)="","",INDEX('Work Orders'!$B$11:$B$1010,$B758)))</f>
        <v/>
      </c>
      <c r="E758" s="43">
        <f>IF($B758="","",IF(INDEX('Work Orders'!$D$11:$D$1010,$B758)="","",INDEX('Work Orders'!$D$11:$D$1010,$B758)))</f>
        <v/>
      </c>
      <c r="F758" s="43">
        <f>IF($B758="","",IF(INDEX('Work Orders'!$Q$11:$Q$1010,$B758)="","",INDEX('Work Orders'!$Q$11:$Q$1010,$B758)))</f>
        <v/>
      </c>
      <c r="G758" s="43">
        <f>IF($B758="","",IF(INDEX('Work Orders'!$V$11:$V$1010,$B758)="","",INDEX('Work Orders'!$V$11:$V$1010,$B758)))</f>
        <v/>
      </c>
      <c r="H758" s="47">
        <f>IF($B758="","",IF(INDEX('Work Orders'!$U$11:$U$1010,$B758)="","",INDEX('Work Orders'!$U$11:$U$1010,$B758)))</f>
        <v/>
      </c>
      <c r="I758" s="47">
        <f>IF($B758="","",IF(INDEX('Work Orders'!$X$11:$X$1010,$B758)="","",INDEX('Work Orders'!$X$11:$X$1010,$B758)))</f>
        <v/>
      </c>
      <c r="J758" s="44">
        <f>IF($B758="","",IF(INDEX('Work Orders'!$Z$11:$Z$1010,$B758)="","",INDEX('Work Orders'!$Z$11:$Z$1010,$B758)))</f>
        <v/>
      </c>
      <c r="K758" s="44">
        <f>IF($B758="","",IF(INDEX('Work Orders'!$AG$11:$AG$1010,$B758)="","",INDEX('Work Orders'!$AG$11:$AG$1010,$B758)))</f>
        <v/>
      </c>
      <c r="L758" s="44">
        <f>IF($B758="","",IF(INDEX('Work Orders'!$AH$11:$AH$1010,$B758)="","",INDEX('Work Orders'!$AH$11:$AH$1010,$B758)))</f>
        <v/>
      </c>
      <c r="M758" s="46">
        <f>IF($B758="","",IF(INDEX('Work Orders'!$AM$11:$AM$1010,$B758)="","",INDEX('Work Orders'!$AM$11:$AM$1010,$B758)))</f>
        <v/>
      </c>
      <c r="N758" s="43">
        <f>IF($B758="","",IF(INDEX('Work Orders'!$AL$11:$AL$1010,$B758)="","",INDEX('Work Orders'!$AL$11:$AL$1010,$B758)))</f>
        <v/>
      </c>
      <c r="O758" s="43">
        <f>IF($B758="","",IF(INDEX('Work Orders'!$N$11:$N$1010,$B758)="","",INDEX('Work Orders'!$N$11:$N$1010,$B758)))</f>
        <v/>
      </c>
    </row>
    <row r="759">
      <c r="A759" s="68" t="n">
        <v>753</v>
      </c>
      <c r="B759">
        <f>IFERROR(MATCH(A759,'Work Orders'!$AO$11:$AO$1010,0),"")</f>
        <v/>
      </c>
      <c r="C759" s="43">
        <f>IF($B759="","",IF(INDEX('Work Orders'!$A$11:$A$1010,$B759)="","",INDEX('Work Orders'!$A$11:$A$1010,$B759)))</f>
        <v/>
      </c>
      <c r="D759" s="43">
        <f>IF($B759="","",IF(INDEX('Work Orders'!$B$11:$B$1010,$B759)="","",INDEX('Work Orders'!$B$11:$B$1010,$B759)))</f>
        <v/>
      </c>
      <c r="E759" s="43">
        <f>IF($B759="","",IF(INDEX('Work Orders'!$D$11:$D$1010,$B759)="","",INDEX('Work Orders'!$D$11:$D$1010,$B759)))</f>
        <v/>
      </c>
      <c r="F759" s="43">
        <f>IF($B759="","",IF(INDEX('Work Orders'!$Q$11:$Q$1010,$B759)="","",INDEX('Work Orders'!$Q$11:$Q$1010,$B759)))</f>
        <v/>
      </c>
      <c r="G759" s="43">
        <f>IF($B759="","",IF(INDEX('Work Orders'!$V$11:$V$1010,$B759)="","",INDEX('Work Orders'!$V$11:$V$1010,$B759)))</f>
        <v/>
      </c>
      <c r="H759" s="47">
        <f>IF($B759="","",IF(INDEX('Work Orders'!$U$11:$U$1010,$B759)="","",INDEX('Work Orders'!$U$11:$U$1010,$B759)))</f>
        <v/>
      </c>
      <c r="I759" s="47">
        <f>IF($B759="","",IF(INDEX('Work Orders'!$X$11:$X$1010,$B759)="","",INDEX('Work Orders'!$X$11:$X$1010,$B759)))</f>
        <v/>
      </c>
      <c r="J759" s="44">
        <f>IF($B759="","",IF(INDEX('Work Orders'!$Z$11:$Z$1010,$B759)="","",INDEX('Work Orders'!$Z$11:$Z$1010,$B759)))</f>
        <v/>
      </c>
      <c r="K759" s="44">
        <f>IF($B759="","",IF(INDEX('Work Orders'!$AG$11:$AG$1010,$B759)="","",INDEX('Work Orders'!$AG$11:$AG$1010,$B759)))</f>
        <v/>
      </c>
      <c r="L759" s="44">
        <f>IF($B759="","",IF(INDEX('Work Orders'!$AH$11:$AH$1010,$B759)="","",INDEX('Work Orders'!$AH$11:$AH$1010,$B759)))</f>
        <v/>
      </c>
      <c r="M759" s="46">
        <f>IF($B759="","",IF(INDEX('Work Orders'!$AM$11:$AM$1010,$B759)="","",INDEX('Work Orders'!$AM$11:$AM$1010,$B759)))</f>
        <v/>
      </c>
      <c r="N759" s="43">
        <f>IF($B759="","",IF(INDEX('Work Orders'!$AL$11:$AL$1010,$B759)="","",INDEX('Work Orders'!$AL$11:$AL$1010,$B759)))</f>
        <v/>
      </c>
      <c r="O759" s="43">
        <f>IF($B759="","",IF(INDEX('Work Orders'!$N$11:$N$1010,$B759)="","",INDEX('Work Orders'!$N$11:$N$1010,$B759)))</f>
        <v/>
      </c>
    </row>
    <row r="760">
      <c r="A760" s="68" t="n">
        <v>754</v>
      </c>
      <c r="B760">
        <f>IFERROR(MATCH(A760,'Work Orders'!$AO$11:$AO$1010,0),"")</f>
        <v/>
      </c>
      <c r="C760" s="43">
        <f>IF($B760="","",IF(INDEX('Work Orders'!$A$11:$A$1010,$B760)="","",INDEX('Work Orders'!$A$11:$A$1010,$B760)))</f>
        <v/>
      </c>
      <c r="D760" s="43">
        <f>IF($B760="","",IF(INDEX('Work Orders'!$B$11:$B$1010,$B760)="","",INDEX('Work Orders'!$B$11:$B$1010,$B760)))</f>
        <v/>
      </c>
      <c r="E760" s="43">
        <f>IF($B760="","",IF(INDEX('Work Orders'!$D$11:$D$1010,$B760)="","",INDEX('Work Orders'!$D$11:$D$1010,$B760)))</f>
        <v/>
      </c>
      <c r="F760" s="43">
        <f>IF($B760="","",IF(INDEX('Work Orders'!$Q$11:$Q$1010,$B760)="","",INDEX('Work Orders'!$Q$11:$Q$1010,$B760)))</f>
        <v/>
      </c>
      <c r="G760" s="43">
        <f>IF($B760="","",IF(INDEX('Work Orders'!$V$11:$V$1010,$B760)="","",INDEX('Work Orders'!$V$11:$V$1010,$B760)))</f>
        <v/>
      </c>
      <c r="H760" s="47">
        <f>IF($B760="","",IF(INDEX('Work Orders'!$U$11:$U$1010,$B760)="","",INDEX('Work Orders'!$U$11:$U$1010,$B760)))</f>
        <v/>
      </c>
      <c r="I760" s="47">
        <f>IF($B760="","",IF(INDEX('Work Orders'!$X$11:$X$1010,$B760)="","",INDEX('Work Orders'!$X$11:$X$1010,$B760)))</f>
        <v/>
      </c>
      <c r="J760" s="44">
        <f>IF($B760="","",IF(INDEX('Work Orders'!$Z$11:$Z$1010,$B760)="","",INDEX('Work Orders'!$Z$11:$Z$1010,$B760)))</f>
        <v/>
      </c>
      <c r="K760" s="44">
        <f>IF($B760="","",IF(INDEX('Work Orders'!$AG$11:$AG$1010,$B760)="","",INDEX('Work Orders'!$AG$11:$AG$1010,$B760)))</f>
        <v/>
      </c>
      <c r="L760" s="44">
        <f>IF($B760="","",IF(INDEX('Work Orders'!$AH$11:$AH$1010,$B760)="","",INDEX('Work Orders'!$AH$11:$AH$1010,$B760)))</f>
        <v/>
      </c>
      <c r="M760" s="46">
        <f>IF($B760="","",IF(INDEX('Work Orders'!$AM$11:$AM$1010,$B760)="","",INDEX('Work Orders'!$AM$11:$AM$1010,$B760)))</f>
        <v/>
      </c>
      <c r="N760" s="43">
        <f>IF($B760="","",IF(INDEX('Work Orders'!$AL$11:$AL$1010,$B760)="","",INDEX('Work Orders'!$AL$11:$AL$1010,$B760)))</f>
        <v/>
      </c>
      <c r="O760" s="43">
        <f>IF($B760="","",IF(INDEX('Work Orders'!$N$11:$N$1010,$B760)="","",INDEX('Work Orders'!$N$11:$N$1010,$B760)))</f>
        <v/>
      </c>
    </row>
    <row r="761">
      <c r="A761" s="68" t="n">
        <v>755</v>
      </c>
      <c r="B761">
        <f>IFERROR(MATCH(A761,'Work Orders'!$AO$11:$AO$1010,0),"")</f>
        <v/>
      </c>
      <c r="C761" s="43">
        <f>IF($B761="","",IF(INDEX('Work Orders'!$A$11:$A$1010,$B761)="","",INDEX('Work Orders'!$A$11:$A$1010,$B761)))</f>
        <v/>
      </c>
      <c r="D761" s="43">
        <f>IF($B761="","",IF(INDEX('Work Orders'!$B$11:$B$1010,$B761)="","",INDEX('Work Orders'!$B$11:$B$1010,$B761)))</f>
        <v/>
      </c>
      <c r="E761" s="43">
        <f>IF($B761="","",IF(INDEX('Work Orders'!$D$11:$D$1010,$B761)="","",INDEX('Work Orders'!$D$11:$D$1010,$B761)))</f>
        <v/>
      </c>
      <c r="F761" s="43">
        <f>IF($B761="","",IF(INDEX('Work Orders'!$Q$11:$Q$1010,$B761)="","",INDEX('Work Orders'!$Q$11:$Q$1010,$B761)))</f>
        <v/>
      </c>
      <c r="G761" s="43">
        <f>IF($B761="","",IF(INDEX('Work Orders'!$V$11:$V$1010,$B761)="","",INDEX('Work Orders'!$V$11:$V$1010,$B761)))</f>
        <v/>
      </c>
      <c r="H761" s="47">
        <f>IF($B761="","",IF(INDEX('Work Orders'!$U$11:$U$1010,$B761)="","",INDEX('Work Orders'!$U$11:$U$1010,$B761)))</f>
        <v/>
      </c>
      <c r="I761" s="47">
        <f>IF($B761="","",IF(INDEX('Work Orders'!$X$11:$X$1010,$B761)="","",INDEX('Work Orders'!$X$11:$X$1010,$B761)))</f>
        <v/>
      </c>
      <c r="J761" s="44">
        <f>IF($B761="","",IF(INDEX('Work Orders'!$Z$11:$Z$1010,$B761)="","",INDEX('Work Orders'!$Z$11:$Z$1010,$B761)))</f>
        <v/>
      </c>
      <c r="K761" s="44">
        <f>IF($B761="","",IF(INDEX('Work Orders'!$AG$11:$AG$1010,$B761)="","",INDEX('Work Orders'!$AG$11:$AG$1010,$B761)))</f>
        <v/>
      </c>
      <c r="L761" s="44">
        <f>IF($B761="","",IF(INDEX('Work Orders'!$AH$11:$AH$1010,$B761)="","",INDEX('Work Orders'!$AH$11:$AH$1010,$B761)))</f>
        <v/>
      </c>
      <c r="M761" s="46">
        <f>IF($B761="","",IF(INDEX('Work Orders'!$AM$11:$AM$1010,$B761)="","",INDEX('Work Orders'!$AM$11:$AM$1010,$B761)))</f>
        <v/>
      </c>
      <c r="N761" s="43">
        <f>IF($B761="","",IF(INDEX('Work Orders'!$AL$11:$AL$1010,$B761)="","",INDEX('Work Orders'!$AL$11:$AL$1010,$B761)))</f>
        <v/>
      </c>
      <c r="O761" s="43">
        <f>IF($B761="","",IF(INDEX('Work Orders'!$N$11:$N$1010,$B761)="","",INDEX('Work Orders'!$N$11:$N$1010,$B761)))</f>
        <v/>
      </c>
    </row>
    <row r="762">
      <c r="A762" s="68" t="n">
        <v>756</v>
      </c>
      <c r="B762">
        <f>IFERROR(MATCH(A762,'Work Orders'!$AO$11:$AO$1010,0),"")</f>
        <v/>
      </c>
      <c r="C762" s="43">
        <f>IF($B762="","",IF(INDEX('Work Orders'!$A$11:$A$1010,$B762)="","",INDEX('Work Orders'!$A$11:$A$1010,$B762)))</f>
        <v/>
      </c>
      <c r="D762" s="43">
        <f>IF($B762="","",IF(INDEX('Work Orders'!$B$11:$B$1010,$B762)="","",INDEX('Work Orders'!$B$11:$B$1010,$B762)))</f>
        <v/>
      </c>
      <c r="E762" s="43">
        <f>IF($B762="","",IF(INDEX('Work Orders'!$D$11:$D$1010,$B762)="","",INDEX('Work Orders'!$D$11:$D$1010,$B762)))</f>
        <v/>
      </c>
      <c r="F762" s="43">
        <f>IF($B762="","",IF(INDEX('Work Orders'!$Q$11:$Q$1010,$B762)="","",INDEX('Work Orders'!$Q$11:$Q$1010,$B762)))</f>
        <v/>
      </c>
      <c r="G762" s="43">
        <f>IF($B762="","",IF(INDEX('Work Orders'!$V$11:$V$1010,$B762)="","",INDEX('Work Orders'!$V$11:$V$1010,$B762)))</f>
        <v/>
      </c>
      <c r="H762" s="47">
        <f>IF($B762="","",IF(INDEX('Work Orders'!$U$11:$U$1010,$B762)="","",INDEX('Work Orders'!$U$11:$U$1010,$B762)))</f>
        <v/>
      </c>
      <c r="I762" s="47">
        <f>IF($B762="","",IF(INDEX('Work Orders'!$X$11:$X$1010,$B762)="","",INDEX('Work Orders'!$X$11:$X$1010,$B762)))</f>
        <v/>
      </c>
      <c r="J762" s="44">
        <f>IF($B762="","",IF(INDEX('Work Orders'!$Z$11:$Z$1010,$B762)="","",INDEX('Work Orders'!$Z$11:$Z$1010,$B762)))</f>
        <v/>
      </c>
      <c r="K762" s="44">
        <f>IF($B762="","",IF(INDEX('Work Orders'!$AG$11:$AG$1010,$B762)="","",INDEX('Work Orders'!$AG$11:$AG$1010,$B762)))</f>
        <v/>
      </c>
      <c r="L762" s="44">
        <f>IF($B762="","",IF(INDEX('Work Orders'!$AH$11:$AH$1010,$B762)="","",INDEX('Work Orders'!$AH$11:$AH$1010,$B762)))</f>
        <v/>
      </c>
      <c r="M762" s="46">
        <f>IF($B762="","",IF(INDEX('Work Orders'!$AM$11:$AM$1010,$B762)="","",INDEX('Work Orders'!$AM$11:$AM$1010,$B762)))</f>
        <v/>
      </c>
      <c r="N762" s="43">
        <f>IF($B762="","",IF(INDEX('Work Orders'!$AL$11:$AL$1010,$B762)="","",INDEX('Work Orders'!$AL$11:$AL$1010,$B762)))</f>
        <v/>
      </c>
      <c r="O762" s="43">
        <f>IF($B762="","",IF(INDEX('Work Orders'!$N$11:$N$1010,$B762)="","",INDEX('Work Orders'!$N$11:$N$1010,$B762)))</f>
        <v/>
      </c>
    </row>
    <row r="763">
      <c r="A763" s="68" t="n">
        <v>757</v>
      </c>
      <c r="B763">
        <f>IFERROR(MATCH(A763,'Work Orders'!$AO$11:$AO$1010,0),"")</f>
        <v/>
      </c>
      <c r="C763" s="43">
        <f>IF($B763="","",IF(INDEX('Work Orders'!$A$11:$A$1010,$B763)="","",INDEX('Work Orders'!$A$11:$A$1010,$B763)))</f>
        <v/>
      </c>
      <c r="D763" s="43">
        <f>IF($B763="","",IF(INDEX('Work Orders'!$B$11:$B$1010,$B763)="","",INDEX('Work Orders'!$B$11:$B$1010,$B763)))</f>
        <v/>
      </c>
      <c r="E763" s="43">
        <f>IF($B763="","",IF(INDEX('Work Orders'!$D$11:$D$1010,$B763)="","",INDEX('Work Orders'!$D$11:$D$1010,$B763)))</f>
        <v/>
      </c>
      <c r="F763" s="43">
        <f>IF($B763="","",IF(INDEX('Work Orders'!$Q$11:$Q$1010,$B763)="","",INDEX('Work Orders'!$Q$11:$Q$1010,$B763)))</f>
        <v/>
      </c>
      <c r="G763" s="43">
        <f>IF($B763="","",IF(INDEX('Work Orders'!$V$11:$V$1010,$B763)="","",INDEX('Work Orders'!$V$11:$V$1010,$B763)))</f>
        <v/>
      </c>
      <c r="H763" s="47">
        <f>IF($B763="","",IF(INDEX('Work Orders'!$U$11:$U$1010,$B763)="","",INDEX('Work Orders'!$U$11:$U$1010,$B763)))</f>
        <v/>
      </c>
      <c r="I763" s="47">
        <f>IF($B763="","",IF(INDEX('Work Orders'!$X$11:$X$1010,$B763)="","",INDEX('Work Orders'!$X$11:$X$1010,$B763)))</f>
        <v/>
      </c>
      <c r="J763" s="44">
        <f>IF($B763="","",IF(INDEX('Work Orders'!$Z$11:$Z$1010,$B763)="","",INDEX('Work Orders'!$Z$11:$Z$1010,$B763)))</f>
        <v/>
      </c>
      <c r="K763" s="44">
        <f>IF($B763="","",IF(INDEX('Work Orders'!$AG$11:$AG$1010,$B763)="","",INDEX('Work Orders'!$AG$11:$AG$1010,$B763)))</f>
        <v/>
      </c>
      <c r="L763" s="44">
        <f>IF($B763="","",IF(INDEX('Work Orders'!$AH$11:$AH$1010,$B763)="","",INDEX('Work Orders'!$AH$11:$AH$1010,$B763)))</f>
        <v/>
      </c>
      <c r="M763" s="46">
        <f>IF($B763="","",IF(INDEX('Work Orders'!$AM$11:$AM$1010,$B763)="","",INDEX('Work Orders'!$AM$11:$AM$1010,$B763)))</f>
        <v/>
      </c>
      <c r="N763" s="43">
        <f>IF($B763="","",IF(INDEX('Work Orders'!$AL$11:$AL$1010,$B763)="","",INDEX('Work Orders'!$AL$11:$AL$1010,$B763)))</f>
        <v/>
      </c>
      <c r="O763" s="43">
        <f>IF($B763="","",IF(INDEX('Work Orders'!$N$11:$N$1010,$B763)="","",INDEX('Work Orders'!$N$11:$N$1010,$B763)))</f>
        <v/>
      </c>
    </row>
    <row r="764">
      <c r="A764" s="68" t="n">
        <v>758</v>
      </c>
      <c r="B764">
        <f>IFERROR(MATCH(A764,'Work Orders'!$AO$11:$AO$1010,0),"")</f>
        <v/>
      </c>
      <c r="C764" s="43">
        <f>IF($B764="","",IF(INDEX('Work Orders'!$A$11:$A$1010,$B764)="","",INDEX('Work Orders'!$A$11:$A$1010,$B764)))</f>
        <v/>
      </c>
      <c r="D764" s="43">
        <f>IF($B764="","",IF(INDEX('Work Orders'!$B$11:$B$1010,$B764)="","",INDEX('Work Orders'!$B$11:$B$1010,$B764)))</f>
        <v/>
      </c>
      <c r="E764" s="43">
        <f>IF($B764="","",IF(INDEX('Work Orders'!$D$11:$D$1010,$B764)="","",INDEX('Work Orders'!$D$11:$D$1010,$B764)))</f>
        <v/>
      </c>
      <c r="F764" s="43">
        <f>IF($B764="","",IF(INDEX('Work Orders'!$Q$11:$Q$1010,$B764)="","",INDEX('Work Orders'!$Q$11:$Q$1010,$B764)))</f>
        <v/>
      </c>
      <c r="G764" s="43">
        <f>IF($B764="","",IF(INDEX('Work Orders'!$V$11:$V$1010,$B764)="","",INDEX('Work Orders'!$V$11:$V$1010,$B764)))</f>
        <v/>
      </c>
      <c r="H764" s="47">
        <f>IF($B764="","",IF(INDEX('Work Orders'!$U$11:$U$1010,$B764)="","",INDEX('Work Orders'!$U$11:$U$1010,$B764)))</f>
        <v/>
      </c>
      <c r="I764" s="47">
        <f>IF($B764="","",IF(INDEX('Work Orders'!$X$11:$X$1010,$B764)="","",INDEX('Work Orders'!$X$11:$X$1010,$B764)))</f>
        <v/>
      </c>
      <c r="J764" s="44">
        <f>IF($B764="","",IF(INDEX('Work Orders'!$Z$11:$Z$1010,$B764)="","",INDEX('Work Orders'!$Z$11:$Z$1010,$B764)))</f>
        <v/>
      </c>
      <c r="K764" s="44">
        <f>IF($B764="","",IF(INDEX('Work Orders'!$AG$11:$AG$1010,$B764)="","",INDEX('Work Orders'!$AG$11:$AG$1010,$B764)))</f>
        <v/>
      </c>
      <c r="L764" s="44">
        <f>IF($B764="","",IF(INDEX('Work Orders'!$AH$11:$AH$1010,$B764)="","",INDEX('Work Orders'!$AH$11:$AH$1010,$B764)))</f>
        <v/>
      </c>
      <c r="M764" s="46">
        <f>IF($B764="","",IF(INDEX('Work Orders'!$AM$11:$AM$1010,$B764)="","",INDEX('Work Orders'!$AM$11:$AM$1010,$B764)))</f>
        <v/>
      </c>
      <c r="N764" s="43">
        <f>IF($B764="","",IF(INDEX('Work Orders'!$AL$11:$AL$1010,$B764)="","",INDEX('Work Orders'!$AL$11:$AL$1010,$B764)))</f>
        <v/>
      </c>
      <c r="O764" s="43">
        <f>IF($B764="","",IF(INDEX('Work Orders'!$N$11:$N$1010,$B764)="","",INDEX('Work Orders'!$N$11:$N$1010,$B764)))</f>
        <v/>
      </c>
    </row>
    <row r="765">
      <c r="A765" s="68" t="n">
        <v>759</v>
      </c>
      <c r="B765">
        <f>IFERROR(MATCH(A765,'Work Orders'!$AO$11:$AO$1010,0),"")</f>
        <v/>
      </c>
      <c r="C765" s="43">
        <f>IF($B765="","",IF(INDEX('Work Orders'!$A$11:$A$1010,$B765)="","",INDEX('Work Orders'!$A$11:$A$1010,$B765)))</f>
        <v/>
      </c>
      <c r="D765" s="43">
        <f>IF($B765="","",IF(INDEX('Work Orders'!$B$11:$B$1010,$B765)="","",INDEX('Work Orders'!$B$11:$B$1010,$B765)))</f>
        <v/>
      </c>
      <c r="E765" s="43">
        <f>IF($B765="","",IF(INDEX('Work Orders'!$D$11:$D$1010,$B765)="","",INDEX('Work Orders'!$D$11:$D$1010,$B765)))</f>
        <v/>
      </c>
      <c r="F765" s="43">
        <f>IF($B765="","",IF(INDEX('Work Orders'!$Q$11:$Q$1010,$B765)="","",INDEX('Work Orders'!$Q$11:$Q$1010,$B765)))</f>
        <v/>
      </c>
      <c r="G765" s="43">
        <f>IF($B765="","",IF(INDEX('Work Orders'!$V$11:$V$1010,$B765)="","",INDEX('Work Orders'!$V$11:$V$1010,$B765)))</f>
        <v/>
      </c>
      <c r="H765" s="47">
        <f>IF($B765="","",IF(INDEX('Work Orders'!$U$11:$U$1010,$B765)="","",INDEX('Work Orders'!$U$11:$U$1010,$B765)))</f>
        <v/>
      </c>
      <c r="I765" s="47">
        <f>IF($B765="","",IF(INDEX('Work Orders'!$X$11:$X$1010,$B765)="","",INDEX('Work Orders'!$X$11:$X$1010,$B765)))</f>
        <v/>
      </c>
      <c r="J765" s="44">
        <f>IF($B765="","",IF(INDEX('Work Orders'!$Z$11:$Z$1010,$B765)="","",INDEX('Work Orders'!$Z$11:$Z$1010,$B765)))</f>
        <v/>
      </c>
      <c r="K765" s="44">
        <f>IF($B765="","",IF(INDEX('Work Orders'!$AG$11:$AG$1010,$B765)="","",INDEX('Work Orders'!$AG$11:$AG$1010,$B765)))</f>
        <v/>
      </c>
      <c r="L765" s="44">
        <f>IF($B765="","",IF(INDEX('Work Orders'!$AH$11:$AH$1010,$B765)="","",INDEX('Work Orders'!$AH$11:$AH$1010,$B765)))</f>
        <v/>
      </c>
      <c r="M765" s="46">
        <f>IF($B765="","",IF(INDEX('Work Orders'!$AM$11:$AM$1010,$B765)="","",INDEX('Work Orders'!$AM$11:$AM$1010,$B765)))</f>
        <v/>
      </c>
      <c r="N765" s="43">
        <f>IF($B765="","",IF(INDEX('Work Orders'!$AL$11:$AL$1010,$B765)="","",INDEX('Work Orders'!$AL$11:$AL$1010,$B765)))</f>
        <v/>
      </c>
      <c r="O765" s="43">
        <f>IF($B765="","",IF(INDEX('Work Orders'!$N$11:$N$1010,$B765)="","",INDEX('Work Orders'!$N$11:$N$1010,$B765)))</f>
        <v/>
      </c>
    </row>
    <row r="766">
      <c r="A766" s="68" t="n">
        <v>760</v>
      </c>
      <c r="B766">
        <f>IFERROR(MATCH(A766,'Work Orders'!$AO$11:$AO$1010,0),"")</f>
        <v/>
      </c>
      <c r="C766" s="43">
        <f>IF($B766="","",IF(INDEX('Work Orders'!$A$11:$A$1010,$B766)="","",INDEX('Work Orders'!$A$11:$A$1010,$B766)))</f>
        <v/>
      </c>
      <c r="D766" s="43">
        <f>IF($B766="","",IF(INDEX('Work Orders'!$B$11:$B$1010,$B766)="","",INDEX('Work Orders'!$B$11:$B$1010,$B766)))</f>
        <v/>
      </c>
      <c r="E766" s="43">
        <f>IF($B766="","",IF(INDEX('Work Orders'!$D$11:$D$1010,$B766)="","",INDEX('Work Orders'!$D$11:$D$1010,$B766)))</f>
        <v/>
      </c>
      <c r="F766" s="43">
        <f>IF($B766="","",IF(INDEX('Work Orders'!$Q$11:$Q$1010,$B766)="","",INDEX('Work Orders'!$Q$11:$Q$1010,$B766)))</f>
        <v/>
      </c>
      <c r="G766" s="43">
        <f>IF($B766="","",IF(INDEX('Work Orders'!$V$11:$V$1010,$B766)="","",INDEX('Work Orders'!$V$11:$V$1010,$B766)))</f>
        <v/>
      </c>
      <c r="H766" s="47">
        <f>IF($B766="","",IF(INDEX('Work Orders'!$U$11:$U$1010,$B766)="","",INDEX('Work Orders'!$U$11:$U$1010,$B766)))</f>
        <v/>
      </c>
      <c r="I766" s="47">
        <f>IF($B766="","",IF(INDEX('Work Orders'!$X$11:$X$1010,$B766)="","",INDEX('Work Orders'!$X$11:$X$1010,$B766)))</f>
        <v/>
      </c>
      <c r="J766" s="44">
        <f>IF($B766="","",IF(INDEX('Work Orders'!$Z$11:$Z$1010,$B766)="","",INDEX('Work Orders'!$Z$11:$Z$1010,$B766)))</f>
        <v/>
      </c>
      <c r="K766" s="44">
        <f>IF($B766="","",IF(INDEX('Work Orders'!$AG$11:$AG$1010,$B766)="","",INDEX('Work Orders'!$AG$11:$AG$1010,$B766)))</f>
        <v/>
      </c>
      <c r="L766" s="44">
        <f>IF($B766="","",IF(INDEX('Work Orders'!$AH$11:$AH$1010,$B766)="","",INDEX('Work Orders'!$AH$11:$AH$1010,$B766)))</f>
        <v/>
      </c>
      <c r="M766" s="46">
        <f>IF($B766="","",IF(INDEX('Work Orders'!$AM$11:$AM$1010,$B766)="","",INDEX('Work Orders'!$AM$11:$AM$1010,$B766)))</f>
        <v/>
      </c>
      <c r="N766" s="43">
        <f>IF($B766="","",IF(INDEX('Work Orders'!$AL$11:$AL$1010,$B766)="","",INDEX('Work Orders'!$AL$11:$AL$1010,$B766)))</f>
        <v/>
      </c>
      <c r="O766" s="43">
        <f>IF($B766="","",IF(INDEX('Work Orders'!$N$11:$N$1010,$B766)="","",INDEX('Work Orders'!$N$11:$N$1010,$B766)))</f>
        <v/>
      </c>
    </row>
    <row r="767">
      <c r="A767" s="68" t="n">
        <v>761</v>
      </c>
      <c r="B767">
        <f>IFERROR(MATCH(A767,'Work Orders'!$AO$11:$AO$1010,0),"")</f>
        <v/>
      </c>
      <c r="C767" s="43">
        <f>IF($B767="","",IF(INDEX('Work Orders'!$A$11:$A$1010,$B767)="","",INDEX('Work Orders'!$A$11:$A$1010,$B767)))</f>
        <v/>
      </c>
      <c r="D767" s="43">
        <f>IF($B767="","",IF(INDEX('Work Orders'!$B$11:$B$1010,$B767)="","",INDEX('Work Orders'!$B$11:$B$1010,$B767)))</f>
        <v/>
      </c>
      <c r="E767" s="43">
        <f>IF($B767="","",IF(INDEX('Work Orders'!$D$11:$D$1010,$B767)="","",INDEX('Work Orders'!$D$11:$D$1010,$B767)))</f>
        <v/>
      </c>
      <c r="F767" s="43">
        <f>IF($B767="","",IF(INDEX('Work Orders'!$Q$11:$Q$1010,$B767)="","",INDEX('Work Orders'!$Q$11:$Q$1010,$B767)))</f>
        <v/>
      </c>
      <c r="G767" s="43">
        <f>IF($B767="","",IF(INDEX('Work Orders'!$V$11:$V$1010,$B767)="","",INDEX('Work Orders'!$V$11:$V$1010,$B767)))</f>
        <v/>
      </c>
      <c r="H767" s="47">
        <f>IF($B767="","",IF(INDEX('Work Orders'!$U$11:$U$1010,$B767)="","",INDEX('Work Orders'!$U$11:$U$1010,$B767)))</f>
        <v/>
      </c>
      <c r="I767" s="47">
        <f>IF($B767="","",IF(INDEX('Work Orders'!$X$11:$X$1010,$B767)="","",INDEX('Work Orders'!$X$11:$X$1010,$B767)))</f>
        <v/>
      </c>
      <c r="J767" s="44">
        <f>IF($B767="","",IF(INDEX('Work Orders'!$Z$11:$Z$1010,$B767)="","",INDEX('Work Orders'!$Z$11:$Z$1010,$B767)))</f>
        <v/>
      </c>
      <c r="K767" s="44">
        <f>IF($B767="","",IF(INDEX('Work Orders'!$AG$11:$AG$1010,$B767)="","",INDEX('Work Orders'!$AG$11:$AG$1010,$B767)))</f>
        <v/>
      </c>
      <c r="L767" s="44">
        <f>IF($B767="","",IF(INDEX('Work Orders'!$AH$11:$AH$1010,$B767)="","",INDEX('Work Orders'!$AH$11:$AH$1010,$B767)))</f>
        <v/>
      </c>
      <c r="M767" s="46">
        <f>IF($B767="","",IF(INDEX('Work Orders'!$AM$11:$AM$1010,$B767)="","",INDEX('Work Orders'!$AM$11:$AM$1010,$B767)))</f>
        <v/>
      </c>
      <c r="N767" s="43">
        <f>IF($B767="","",IF(INDEX('Work Orders'!$AL$11:$AL$1010,$B767)="","",INDEX('Work Orders'!$AL$11:$AL$1010,$B767)))</f>
        <v/>
      </c>
      <c r="O767" s="43">
        <f>IF($B767="","",IF(INDEX('Work Orders'!$N$11:$N$1010,$B767)="","",INDEX('Work Orders'!$N$11:$N$1010,$B767)))</f>
        <v/>
      </c>
    </row>
    <row r="768">
      <c r="A768" s="68" t="n">
        <v>762</v>
      </c>
      <c r="B768">
        <f>IFERROR(MATCH(A768,'Work Orders'!$AO$11:$AO$1010,0),"")</f>
        <v/>
      </c>
      <c r="C768" s="43">
        <f>IF($B768="","",IF(INDEX('Work Orders'!$A$11:$A$1010,$B768)="","",INDEX('Work Orders'!$A$11:$A$1010,$B768)))</f>
        <v/>
      </c>
      <c r="D768" s="43">
        <f>IF($B768="","",IF(INDEX('Work Orders'!$B$11:$B$1010,$B768)="","",INDEX('Work Orders'!$B$11:$B$1010,$B768)))</f>
        <v/>
      </c>
      <c r="E768" s="43">
        <f>IF($B768="","",IF(INDEX('Work Orders'!$D$11:$D$1010,$B768)="","",INDEX('Work Orders'!$D$11:$D$1010,$B768)))</f>
        <v/>
      </c>
      <c r="F768" s="43">
        <f>IF($B768="","",IF(INDEX('Work Orders'!$Q$11:$Q$1010,$B768)="","",INDEX('Work Orders'!$Q$11:$Q$1010,$B768)))</f>
        <v/>
      </c>
      <c r="G768" s="43">
        <f>IF($B768="","",IF(INDEX('Work Orders'!$V$11:$V$1010,$B768)="","",INDEX('Work Orders'!$V$11:$V$1010,$B768)))</f>
        <v/>
      </c>
      <c r="H768" s="47">
        <f>IF($B768="","",IF(INDEX('Work Orders'!$U$11:$U$1010,$B768)="","",INDEX('Work Orders'!$U$11:$U$1010,$B768)))</f>
        <v/>
      </c>
      <c r="I768" s="47">
        <f>IF($B768="","",IF(INDEX('Work Orders'!$X$11:$X$1010,$B768)="","",INDEX('Work Orders'!$X$11:$X$1010,$B768)))</f>
        <v/>
      </c>
      <c r="J768" s="44">
        <f>IF($B768="","",IF(INDEX('Work Orders'!$Z$11:$Z$1010,$B768)="","",INDEX('Work Orders'!$Z$11:$Z$1010,$B768)))</f>
        <v/>
      </c>
      <c r="K768" s="44">
        <f>IF($B768="","",IF(INDEX('Work Orders'!$AG$11:$AG$1010,$B768)="","",INDEX('Work Orders'!$AG$11:$AG$1010,$B768)))</f>
        <v/>
      </c>
      <c r="L768" s="44">
        <f>IF($B768="","",IF(INDEX('Work Orders'!$AH$11:$AH$1010,$B768)="","",INDEX('Work Orders'!$AH$11:$AH$1010,$B768)))</f>
        <v/>
      </c>
      <c r="M768" s="46">
        <f>IF($B768="","",IF(INDEX('Work Orders'!$AM$11:$AM$1010,$B768)="","",INDEX('Work Orders'!$AM$11:$AM$1010,$B768)))</f>
        <v/>
      </c>
      <c r="N768" s="43">
        <f>IF($B768="","",IF(INDEX('Work Orders'!$AL$11:$AL$1010,$B768)="","",INDEX('Work Orders'!$AL$11:$AL$1010,$B768)))</f>
        <v/>
      </c>
      <c r="O768" s="43">
        <f>IF($B768="","",IF(INDEX('Work Orders'!$N$11:$N$1010,$B768)="","",INDEX('Work Orders'!$N$11:$N$1010,$B768)))</f>
        <v/>
      </c>
    </row>
    <row r="769">
      <c r="A769" s="68" t="n">
        <v>763</v>
      </c>
      <c r="B769">
        <f>IFERROR(MATCH(A769,'Work Orders'!$AO$11:$AO$1010,0),"")</f>
        <v/>
      </c>
      <c r="C769" s="43">
        <f>IF($B769="","",IF(INDEX('Work Orders'!$A$11:$A$1010,$B769)="","",INDEX('Work Orders'!$A$11:$A$1010,$B769)))</f>
        <v/>
      </c>
      <c r="D769" s="43">
        <f>IF($B769="","",IF(INDEX('Work Orders'!$B$11:$B$1010,$B769)="","",INDEX('Work Orders'!$B$11:$B$1010,$B769)))</f>
        <v/>
      </c>
      <c r="E769" s="43">
        <f>IF($B769="","",IF(INDEX('Work Orders'!$D$11:$D$1010,$B769)="","",INDEX('Work Orders'!$D$11:$D$1010,$B769)))</f>
        <v/>
      </c>
      <c r="F769" s="43">
        <f>IF($B769="","",IF(INDEX('Work Orders'!$Q$11:$Q$1010,$B769)="","",INDEX('Work Orders'!$Q$11:$Q$1010,$B769)))</f>
        <v/>
      </c>
      <c r="G769" s="43">
        <f>IF($B769="","",IF(INDEX('Work Orders'!$V$11:$V$1010,$B769)="","",INDEX('Work Orders'!$V$11:$V$1010,$B769)))</f>
        <v/>
      </c>
      <c r="H769" s="47">
        <f>IF($B769="","",IF(INDEX('Work Orders'!$U$11:$U$1010,$B769)="","",INDEX('Work Orders'!$U$11:$U$1010,$B769)))</f>
        <v/>
      </c>
      <c r="I769" s="47">
        <f>IF($B769="","",IF(INDEX('Work Orders'!$X$11:$X$1010,$B769)="","",INDEX('Work Orders'!$X$11:$X$1010,$B769)))</f>
        <v/>
      </c>
      <c r="J769" s="44">
        <f>IF($B769="","",IF(INDEX('Work Orders'!$Z$11:$Z$1010,$B769)="","",INDEX('Work Orders'!$Z$11:$Z$1010,$B769)))</f>
        <v/>
      </c>
      <c r="K769" s="44">
        <f>IF($B769="","",IF(INDEX('Work Orders'!$AG$11:$AG$1010,$B769)="","",INDEX('Work Orders'!$AG$11:$AG$1010,$B769)))</f>
        <v/>
      </c>
      <c r="L769" s="44">
        <f>IF($B769="","",IF(INDEX('Work Orders'!$AH$11:$AH$1010,$B769)="","",INDEX('Work Orders'!$AH$11:$AH$1010,$B769)))</f>
        <v/>
      </c>
      <c r="M769" s="46">
        <f>IF($B769="","",IF(INDEX('Work Orders'!$AM$11:$AM$1010,$B769)="","",INDEX('Work Orders'!$AM$11:$AM$1010,$B769)))</f>
        <v/>
      </c>
      <c r="N769" s="43">
        <f>IF($B769="","",IF(INDEX('Work Orders'!$AL$11:$AL$1010,$B769)="","",INDEX('Work Orders'!$AL$11:$AL$1010,$B769)))</f>
        <v/>
      </c>
      <c r="O769" s="43">
        <f>IF($B769="","",IF(INDEX('Work Orders'!$N$11:$N$1010,$B769)="","",INDEX('Work Orders'!$N$11:$N$1010,$B769)))</f>
        <v/>
      </c>
    </row>
    <row r="770">
      <c r="A770" s="68" t="n">
        <v>764</v>
      </c>
      <c r="B770">
        <f>IFERROR(MATCH(A770,'Work Orders'!$AO$11:$AO$1010,0),"")</f>
        <v/>
      </c>
      <c r="C770" s="43">
        <f>IF($B770="","",IF(INDEX('Work Orders'!$A$11:$A$1010,$B770)="","",INDEX('Work Orders'!$A$11:$A$1010,$B770)))</f>
        <v/>
      </c>
      <c r="D770" s="43">
        <f>IF($B770="","",IF(INDEX('Work Orders'!$B$11:$B$1010,$B770)="","",INDEX('Work Orders'!$B$11:$B$1010,$B770)))</f>
        <v/>
      </c>
      <c r="E770" s="43">
        <f>IF($B770="","",IF(INDEX('Work Orders'!$D$11:$D$1010,$B770)="","",INDEX('Work Orders'!$D$11:$D$1010,$B770)))</f>
        <v/>
      </c>
      <c r="F770" s="43">
        <f>IF($B770="","",IF(INDEX('Work Orders'!$Q$11:$Q$1010,$B770)="","",INDEX('Work Orders'!$Q$11:$Q$1010,$B770)))</f>
        <v/>
      </c>
      <c r="G770" s="43">
        <f>IF($B770="","",IF(INDEX('Work Orders'!$V$11:$V$1010,$B770)="","",INDEX('Work Orders'!$V$11:$V$1010,$B770)))</f>
        <v/>
      </c>
      <c r="H770" s="47">
        <f>IF($B770="","",IF(INDEX('Work Orders'!$U$11:$U$1010,$B770)="","",INDEX('Work Orders'!$U$11:$U$1010,$B770)))</f>
        <v/>
      </c>
      <c r="I770" s="47">
        <f>IF($B770="","",IF(INDEX('Work Orders'!$X$11:$X$1010,$B770)="","",INDEX('Work Orders'!$X$11:$X$1010,$B770)))</f>
        <v/>
      </c>
      <c r="J770" s="44">
        <f>IF($B770="","",IF(INDEX('Work Orders'!$Z$11:$Z$1010,$B770)="","",INDEX('Work Orders'!$Z$11:$Z$1010,$B770)))</f>
        <v/>
      </c>
      <c r="K770" s="44">
        <f>IF($B770="","",IF(INDEX('Work Orders'!$AG$11:$AG$1010,$B770)="","",INDEX('Work Orders'!$AG$11:$AG$1010,$B770)))</f>
        <v/>
      </c>
      <c r="L770" s="44">
        <f>IF($B770="","",IF(INDEX('Work Orders'!$AH$11:$AH$1010,$B770)="","",INDEX('Work Orders'!$AH$11:$AH$1010,$B770)))</f>
        <v/>
      </c>
      <c r="M770" s="46">
        <f>IF($B770="","",IF(INDEX('Work Orders'!$AM$11:$AM$1010,$B770)="","",INDEX('Work Orders'!$AM$11:$AM$1010,$B770)))</f>
        <v/>
      </c>
      <c r="N770" s="43">
        <f>IF($B770="","",IF(INDEX('Work Orders'!$AL$11:$AL$1010,$B770)="","",INDEX('Work Orders'!$AL$11:$AL$1010,$B770)))</f>
        <v/>
      </c>
      <c r="O770" s="43">
        <f>IF($B770="","",IF(INDEX('Work Orders'!$N$11:$N$1010,$B770)="","",INDEX('Work Orders'!$N$11:$N$1010,$B770)))</f>
        <v/>
      </c>
    </row>
    <row r="771">
      <c r="A771" s="68" t="n">
        <v>765</v>
      </c>
      <c r="B771">
        <f>IFERROR(MATCH(A771,'Work Orders'!$AO$11:$AO$1010,0),"")</f>
        <v/>
      </c>
      <c r="C771" s="43">
        <f>IF($B771="","",IF(INDEX('Work Orders'!$A$11:$A$1010,$B771)="","",INDEX('Work Orders'!$A$11:$A$1010,$B771)))</f>
        <v/>
      </c>
      <c r="D771" s="43">
        <f>IF($B771="","",IF(INDEX('Work Orders'!$B$11:$B$1010,$B771)="","",INDEX('Work Orders'!$B$11:$B$1010,$B771)))</f>
        <v/>
      </c>
      <c r="E771" s="43">
        <f>IF($B771="","",IF(INDEX('Work Orders'!$D$11:$D$1010,$B771)="","",INDEX('Work Orders'!$D$11:$D$1010,$B771)))</f>
        <v/>
      </c>
      <c r="F771" s="43">
        <f>IF($B771="","",IF(INDEX('Work Orders'!$Q$11:$Q$1010,$B771)="","",INDEX('Work Orders'!$Q$11:$Q$1010,$B771)))</f>
        <v/>
      </c>
      <c r="G771" s="43">
        <f>IF($B771="","",IF(INDEX('Work Orders'!$V$11:$V$1010,$B771)="","",INDEX('Work Orders'!$V$11:$V$1010,$B771)))</f>
        <v/>
      </c>
      <c r="H771" s="47">
        <f>IF($B771="","",IF(INDEX('Work Orders'!$U$11:$U$1010,$B771)="","",INDEX('Work Orders'!$U$11:$U$1010,$B771)))</f>
        <v/>
      </c>
      <c r="I771" s="47">
        <f>IF($B771="","",IF(INDEX('Work Orders'!$X$11:$X$1010,$B771)="","",INDEX('Work Orders'!$X$11:$X$1010,$B771)))</f>
        <v/>
      </c>
      <c r="J771" s="44">
        <f>IF($B771="","",IF(INDEX('Work Orders'!$Z$11:$Z$1010,$B771)="","",INDEX('Work Orders'!$Z$11:$Z$1010,$B771)))</f>
        <v/>
      </c>
      <c r="K771" s="44">
        <f>IF($B771="","",IF(INDEX('Work Orders'!$AG$11:$AG$1010,$B771)="","",INDEX('Work Orders'!$AG$11:$AG$1010,$B771)))</f>
        <v/>
      </c>
      <c r="L771" s="44">
        <f>IF($B771="","",IF(INDEX('Work Orders'!$AH$11:$AH$1010,$B771)="","",INDEX('Work Orders'!$AH$11:$AH$1010,$B771)))</f>
        <v/>
      </c>
      <c r="M771" s="46">
        <f>IF($B771="","",IF(INDEX('Work Orders'!$AM$11:$AM$1010,$B771)="","",INDEX('Work Orders'!$AM$11:$AM$1010,$B771)))</f>
        <v/>
      </c>
      <c r="N771" s="43">
        <f>IF($B771="","",IF(INDEX('Work Orders'!$AL$11:$AL$1010,$B771)="","",INDEX('Work Orders'!$AL$11:$AL$1010,$B771)))</f>
        <v/>
      </c>
      <c r="O771" s="43">
        <f>IF($B771="","",IF(INDEX('Work Orders'!$N$11:$N$1010,$B771)="","",INDEX('Work Orders'!$N$11:$N$1010,$B771)))</f>
        <v/>
      </c>
    </row>
    <row r="772">
      <c r="A772" s="68" t="n">
        <v>766</v>
      </c>
      <c r="B772">
        <f>IFERROR(MATCH(A772,'Work Orders'!$AO$11:$AO$1010,0),"")</f>
        <v/>
      </c>
      <c r="C772" s="43">
        <f>IF($B772="","",IF(INDEX('Work Orders'!$A$11:$A$1010,$B772)="","",INDEX('Work Orders'!$A$11:$A$1010,$B772)))</f>
        <v/>
      </c>
      <c r="D772" s="43">
        <f>IF($B772="","",IF(INDEX('Work Orders'!$B$11:$B$1010,$B772)="","",INDEX('Work Orders'!$B$11:$B$1010,$B772)))</f>
        <v/>
      </c>
      <c r="E772" s="43">
        <f>IF($B772="","",IF(INDEX('Work Orders'!$D$11:$D$1010,$B772)="","",INDEX('Work Orders'!$D$11:$D$1010,$B772)))</f>
        <v/>
      </c>
      <c r="F772" s="43">
        <f>IF($B772="","",IF(INDEX('Work Orders'!$Q$11:$Q$1010,$B772)="","",INDEX('Work Orders'!$Q$11:$Q$1010,$B772)))</f>
        <v/>
      </c>
      <c r="G772" s="43">
        <f>IF($B772="","",IF(INDEX('Work Orders'!$V$11:$V$1010,$B772)="","",INDEX('Work Orders'!$V$11:$V$1010,$B772)))</f>
        <v/>
      </c>
      <c r="H772" s="47">
        <f>IF($B772="","",IF(INDEX('Work Orders'!$U$11:$U$1010,$B772)="","",INDEX('Work Orders'!$U$11:$U$1010,$B772)))</f>
        <v/>
      </c>
      <c r="I772" s="47">
        <f>IF($B772="","",IF(INDEX('Work Orders'!$X$11:$X$1010,$B772)="","",INDEX('Work Orders'!$X$11:$X$1010,$B772)))</f>
        <v/>
      </c>
      <c r="J772" s="44">
        <f>IF($B772="","",IF(INDEX('Work Orders'!$Z$11:$Z$1010,$B772)="","",INDEX('Work Orders'!$Z$11:$Z$1010,$B772)))</f>
        <v/>
      </c>
      <c r="K772" s="44">
        <f>IF($B772="","",IF(INDEX('Work Orders'!$AG$11:$AG$1010,$B772)="","",INDEX('Work Orders'!$AG$11:$AG$1010,$B772)))</f>
        <v/>
      </c>
      <c r="L772" s="44">
        <f>IF($B772="","",IF(INDEX('Work Orders'!$AH$11:$AH$1010,$B772)="","",INDEX('Work Orders'!$AH$11:$AH$1010,$B772)))</f>
        <v/>
      </c>
      <c r="M772" s="46">
        <f>IF($B772="","",IF(INDEX('Work Orders'!$AM$11:$AM$1010,$B772)="","",INDEX('Work Orders'!$AM$11:$AM$1010,$B772)))</f>
        <v/>
      </c>
      <c r="N772" s="43">
        <f>IF($B772="","",IF(INDEX('Work Orders'!$AL$11:$AL$1010,$B772)="","",INDEX('Work Orders'!$AL$11:$AL$1010,$B772)))</f>
        <v/>
      </c>
      <c r="O772" s="43">
        <f>IF($B772="","",IF(INDEX('Work Orders'!$N$11:$N$1010,$B772)="","",INDEX('Work Orders'!$N$11:$N$1010,$B772)))</f>
        <v/>
      </c>
    </row>
    <row r="773">
      <c r="A773" s="68" t="n">
        <v>767</v>
      </c>
      <c r="B773">
        <f>IFERROR(MATCH(A773,'Work Orders'!$AO$11:$AO$1010,0),"")</f>
        <v/>
      </c>
      <c r="C773" s="43">
        <f>IF($B773="","",IF(INDEX('Work Orders'!$A$11:$A$1010,$B773)="","",INDEX('Work Orders'!$A$11:$A$1010,$B773)))</f>
        <v/>
      </c>
      <c r="D773" s="43">
        <f>IF($B773="","",IF(INDEX('Work Orders'!$B$11:$B$1010,$B773)="","",INDEX('Work Orders'!$B$11:$B$1010,$B773)))</f>
        <v/>
      </c>
      <c r="E773" s="43">
        <f>IF($B773="","",IF(INDEX('Work Orders'!$D$11:$D$1010,$B773)="","",INDEX('Work Orders'!$D$11:$D$1010,$B773)))</f>
        <v/>
      </c>
      <c r="F773" s="43">
        <f>IF($B773="","",IF(INDEX('Work Orders'!$Q$11:$Q$1010,$B773)="","",INDEX('Work Orders'!$Q$11:$Q$1010,$B773)))</f>
        <v/>
      </c>
      <c r="G773" s="43">
        <f>IF($B773="","",IF(INDEX('Work Orders'!$V$11:$V$1010,$B773)="","",INDEX('Work Orders'!$V$11:$V$1010,$B773)))</f>
        <v/>
      </c>
      <c r="H773" s="47">
        <f>IF($B773="","",IF(INDEX('Work Orders'!$U$11:$U$1010,$B773)="","",INDEX('Work Orders'!$U$11:$U$1010,$B773)))</f>
        <v/>
      </c>
      <c r="I773" s="47">
        <f>IF($B773="","",IF(INDEX('Work Orders'!$X$11:$X$1010,$B773)="","",INDEX('Work Orders'!$X$11:$X$1010,$B773)))</f>
        <v/>
      </c>
      <c r="J773" s="44">
        <f>IF($B773="","",IF(INDEX('Work Orders'!$Z$11:$Z$1010,$B773)="","",INDEX('Work Orders'!$Z$11:$Z$1010,$B773)))</f>
        <v/>
      </c>
      <c r="K773" s="44">
        <f>IF($B773="","",IF(INDEX('Work Orders'!$AG$11:$AG$1010,$B773)="","",INDEX('Work Orders'!$AG$11:$AG$1010,$B773)))</f>
        <v/>
      </c>
      <c r="L773" s="44">
        <f>IF($B773="","",IF(INDEX('Work Orders'!$AH$11:$AH$1010,$B773)="","",INDEX('Work Orders'!$AH$11:$AH$1010,$B773)))</f>
        <v/>
      </c>
      <c r="M773" s="46">
        <f>IF($B773="","",IF(INDEX('Work Orders'!$AM$11:$AM$1010,$B773)="","",INDEX('Work Orders'!$AM$11:$AM$1010,$B773)))</f>
        <v/>
      </c>
      <c r="N773" s="43">
        <f>IF($B773="","",IF(INDEX('Work Orders'!$AL$11:$AL$1010,$B773)="","",INDEX('Work Orders'!$AL$11:$AL$1010,$B773)))</f>
        <v/>
      </c>
      <c r="O773" s="43">
        <f>IF($B773="","",IF(INDEX('Work Orders'!$N$11:$N$1010,$B773)="","",INDEX('Work Orders'!$N$11:$N$1010,$B773)))</f>
        <v/>
      </c>
    </row>
    <row r="774">
      <c r="A774" s="68" t="n">
        <v>768</v>
      </c>
      <c r="B774">
        <f>IFERROR(MATCH(A774,'Work Orders'!$AO$11:$AO$1010,0),"")</f>
        <v/>
      </c>
      <c r="C774" s="43">
        <f>IF($B774="","",IF(INDEX('Work Orders'!$A$11:$A$1010,$B774)="","",INDEX('Work Orders'!$A$11:$A$1010,$B774)))</f>
        <v/>
      </c>
      <c r="D774" s="43">
        <f>IF($B774="","",IF(INDEX('Work Orders'!$B$11:$B$1010,$B774)="","",INDEX('Work Orders'!$B$11:$B$1010,$B774)))</f>
        <v/>
      </c>
      <c r="E774" s="43">
        <f>IF($B774="","",IF(INDEX('Work Orders'!$D$11:$D$1010,$B774)="","",INDEX('Work Orders'!$D$11:$D$1010,$B774)))</f>
        <v/>
      </c>
      <c r="F774" s="43">
        <f>IF($B774="","",IF(INDEX('Work Orders'!$Q$11:$Q$1010,$B774)="","",INDEX('Work Orders'!$Q$11:$Q$1010,$B774)))</f>
        <v/>
      </c>
      <c r="G774" s="43">
        <f>IF($B774="","",IF(INDEX('Work Orders'!$V$11:$V$1010,$B774)="","",INDEX('Work Orders'!$V$11:$V$1010,$B774)))</f>
        <v/>
      </c>
      <c r="H774" s="47">
        <f>IF($B774="","",IF(INDEX('Work Orders'!$U$11:$U$1010,$B774)="","",INDEX('Work Orders'!$U$11:$U$1010,$B774)))</f>
        <v/>
      </c>
      <c r="I774" s="47">
        <f>IF($B774="","",IF(INDEX('Work Orders'!$X$11:$X$1010,$B774)="","",INDEX('Work Orders'!$X$11:$X$1010,$B774)))</f>
        <v/>
      </c>
      <c r="J774" s="44">
        <f>IF($B774="","",IF(INDEX('Work Orders'!$Z$11:$Z$1010,$B774)="","",INDEX('Work Orders'!$Z$11:$Z$1010,$B774)))</f>
        <v/>
      </c>
      <c r="K774" s="44">
        <f>IF($B774="","",IF(INDEX('Work Orders'!$AG$11:$AG$1010,$B774)="","",INDEX('Work Orders'!$AG$11:$AG$1010,$B774)))</f>
        <v/>
      </c>
      <c r="L774" s="44">
        <f>IF($B774="","",IF(INDEX('Work Orders'!$AH$11:$AH$1010,$B774)="","",INDEX('Work Orders'!$AH$11:$AH$1010,$B774)))</f>
        <v/>
      </c>
      <c r="M774" s="46">
        <f>IF($B774="","",IF(INDEX('Work Orders'!$AM$11:$AM$1010,$B774)="","",INDEX('Work Orders'!$AM$11:$AM$1010,$B774)))</f>
        <v/>
      </c>
      <c r="N774" s="43">
        <f>IF($B774="","",IF(INDEX('Work Orders'!$AL$11:$AL$1010,$B774)="","",INDEX('Work Orders'!$AL$11:$AL$1010,$B774)))</f>
        <v/>
      </c>
      <c r="O774" s="43">
        <f>IF($B774="","",IF(INDEX('Work Orders'!$N$11:$N$1010,$B774)="","",INDEX('Work Orders'!$N$11:$N$1010,$B774)))</f>
        <v/>
      </c>
    </row>
    <row r="775">
      <c r="A775" s="68" t="n">
        <v>769</v>
      </c>
      <c r="B775">
        <f>IFERROR(MATCH(A775,'Work Orders'!$AO$11:$AO$1010,0),"")</f>
        <v/>
      </c>
      <c r="C775" s="43">
        <f>IF($B775="","",IF(INDEX('Work Orders'!$A$11:$A$1010,$B775)="","",INDEX('Work Orders'!$A$11:$A$1010,$B775)))</f>
        <v/>
      </c>
      <c r="D775" s="43">
        <f>IF($B775="","",IF(INDEX('Work Orders'!$B$11:$B$1010,$B775)="","",INDEX('Work Orders'!$B$11:$B$1010,$B775)))</f>
        <v/>
      </c>
      <c r="E775" s="43">
        <f>IF($B775="","",IF(INDEX('Work Orders'!$D$11:$D$1010,$B775)="","",INDEX('Work Orders'!$D$11:$D$1010,$B775)))</f>
        <v/>
      </c>
      <c r="F775" s="43">
        <f>IF($B775="","",IF(INDEX('Work Orders'!$Q$11:$Q$1010,$B775)="","",INDEX('Work Orders'!$Q$11:$Q$1010,$B775)))</f>
        <v/>
      </c>
      <c r="G775" s="43">
        <f>IF($B775="","",IF(INDEX('Work Orders'!$V$11:$V$1010,$B775)="","",INDEX('Work Orders'!$V$11:$V$1010,$B775)))</f>
        <v/>
      </c>
      <c r="H775" s="47">
        <f>IF($B775="","",IF(INDEX('Work Orders'!$U$11:$U$1010,$B775)="","",INDEX('Work Orders'!$U$11:$U$1010,$B775)))</f>
        <v/>
      </c>
      <c r="I775" s="47">
        <f>IF($B775="","",IF(INDEX('Work Orders'!$X$11:$X$1010,$B775)="","",INDEX('Work Orders'!$X$11:$X$1010,$B775)))</f>
        <v/>
      </c>
      <c r="J775" s="44">
        <f>IF($B775="","",IF(INDEX('Work Orders'!$Z$11:$Z$1010,$B775)="","",INDEX('Work Orders'!$Z$11:$Z$1010,$B775)))</f>
        <v/>
      </c>
      <c r="K775" s="44">
        <f>IF($B775="","",IF(INDEX('Work Orders'!$AG$11:$AG$1010,$B775)="","",INDEX('Work Orders'!$AG$11:$AG$1010,$B775)))</f>
        <v/>
      </c>
      <c r="L775" s="44">
        <f>IF($B775="","",IF(INDEX('Work Orders'!$AH$11:$AH$1010,$B775)="","",INDEX('Work Orders'!$AH$11:$AH$1010,$B775)))</f>
        <v/>
      </c>
      <c r="M775" s="46">
        <f>IF($B775="","",IF(INDEX('Work Orders'!$AM$11:$AM$1010,$B775)="","",INDEX('Work Orders'!$AM$11:$AM$1010,$B775)))</f>
        <v/>
      </c>
      <c r="N775" s="43">
        <f>IF($B775="","",IF(INDEX('Work Orders'!$AL$11:$AL$1010,$B775)="","",INDEX('Work Orders'!$AL$11:$AL$1010,$B775)))</f>
        <v/>
      </c>
      <c r="O775" s="43">
        <f>IF($B775="","",IF(INDEX('Work Orders'!$N$11:$N$1010,$B775)="","",INDEX('Work Orders'!$N$11:$N$1010,$B775)))</f>
        <v/>
      </c>
    </row>
    <row r="776">
      <c r="A776" s="68" t="n">
        <v>770</v>
      </c>
      <c r="B776">
        <f>IFERROR(MATCH(A776,'Work Orders'!$AO$11:$AO$1010,0),"")</f>
        <v/>
      </c>
      <c r="C776" s="43">
        <f>IF($B776="","",IF(INDEX('Work Orders'!$A$11:$A$1010,$B776)="","",INDEX('Work Orders'!$A$11:$A$1010,$B776)))</f>
        <v/>
      </c>
      <c r="D776" s="43">
        <f>IF($B776="","",IF(INDEX('Work Orders'!$B$11:$B$1010,$B776)="","",INDEX('Work Orders'!$B$11:$B$1010,$B776)))</f>
        <v/>
      </c>
      <c r="E776" s="43">
        <f>IF($B776="","",IF(INDEX('Work Orders'!$D$11:$D$1010,$B776)="","",INDEX('Work Orders'!$D$11:$D$1010,$B776)))</f>
        <v/>
      </c>
      <c r="F776" s="43">
        <f>IF($B776="","",IF(INDEX('Work Orders'!$Q$11:$Q$1010,$B776)="","",INDEX('Work Orders'!$Q$11:$Q$1010,$B776)))</f>
        <v/>
      </c>
      <c r="G776" s="43">
        <f>IF($B776="","",IF(INDEX('Work Orders'!$V$11:$V$1010,$B776)="","",INDEX('Work Orders'!$V$11:$V$1010,$B776)))</f>
        <v/>
      </c>
      <c r="H776" s="47">
        <f>IF($B776="","",IF(INDEX('Work Orders'!$U$11:$U$1010,$B776)="","",INDEX('Work Orders'!$U$11:$U$1010,$B776)))</f>
        <v/>
      </c>
      <c r="I776" s="47">
        <f>IF($B776="","",IF(INDEX('Work Orders'!$X$11:$X$1010,$B776)="","",INDEX('Work Orders'!$X$11:$X$1010,$B776)))</f>
        <v/>
      </c>
      <c r="J776" s="44">
        <f>IF($B776="","",IF(INDEX('Work Orders'!$Z$11:$Z$1010,$B776)="","",INDEX('Work Orders'!$Z$11:$Z$1010,$B776)))</f>
        <v/>
      </c>
      <c r="K776" s="44">
        <f>IF($B776="","",IF(INDEX('Work Orders'!$AG$11:$AG$1010,$B776)="","",INDEX('Work Orders'!$AG$11:$AG$1010,$B776)))</f>
        <v/>
      </c>
      <c r="L776" s="44">
        <f>IF($B776="","",IF(INDEX('Work Orders'!$AH$11:$AH$1010,$B776)="","",INDEX('Work Orders'!$AH$11:$AH$1010,$B776)))</f>
        <v/>
      </c>
      <c r="M776" s="46">
        <f>IF($B776="","",IF(INDEX('Work Orders'!$AM$11:$AM$1010,$B776)="","",INDEX('Work Orders'!$AM$11:$AM$1010,$B776)))</f>
        <v/>
      </c>
      <c r="N776" s="43">
        <f>IF($B776="","",IF(INDEX('Work Orders'!$AL$11:$AL$1010,$B776)="","",INDEX('Work Orders'!$AL$11:$AL$1010,$B776)))</f>
        <v/>
      </c>
      <c r="O776" s="43">
        <f>IF($B776="","",IF(INDEX('Work Orders'!$N$11:$N$1010,$B776)="","",INDEX('Work Orders'!$N$11:$N$1010,$B776)))</f>
        <v/>
      </c>
    </row>
    <row r="777">
      <c r="A777" s="68" t="n">
        <v>771</v>
      </c>
      <c r="B777">
        <f>IFERROR(MATCH(A777,'Work Orders'!$AO$11:$AO$1010,0),"")</f>
        <v/>
      </c>
      <c r="C777" s="43">
        <f>IF($B777="","",IF(INDEX('Work Orders'!$A$11:$A$1010,$B777)="","",INDEX('Work Orders'!$A$11:$A$1010,$B777)))</f>
        <v/>
      </c>
      <c r="D777" s="43">
        <f>IF($B777="","",IF(INDEX('Work Orders'!$B$11:$B$1010,$B777)="","",INDEX('Work Orders'!$B$11:$B$1010,$B777)))</f>
        <v/>
      </c>
      <c r="E777" s="43">
        <f>IF($B777="","",IF(INDEX('Work Orders'!$D$11:$D$1010,$B777)="","",INDEX('Work Orders'!$D$11:$D$1010,$B777)))</f>
        <v/>
      </c>
      <c r="F777" s="43">
        <f>IF($B777="","",IF(INDEX('Work Orders'!$Q$11:$Q$1010,$B777)="","",INDEX('Work Orders'!$Q$11:$Q$1010,$B777)))</f>
        <v/>
      </c>
      <c r="G777" s="43">
        <f>IF($B777="","",IF(INDEX('Work Orders'!$V$11:$V$1010,$B777)="","",INDEX('Work Orders'!$V$11:$V$1010,$B777)))</f>
        <v/>
      </c>
      <c r="H777" s="47">
        <f>IF($B777="","",IF(INDEX('Work Orders'!$U$11:$U$1010,$B777)="","",INDEX('Work Orders'!$U$11:$U$1010,$B777)))</f>
        <v/>
      </c>
      <c r="I777" s="47">
        <f>IF($B777="","",IF(INDEX('Work Orders'!$X$11:$X$1010,$B777)="","",INDEX('Work Orders'!$X$11:$X$1010,$B777)))</f>
        <v/>
      </c>
      <c r="J777" s="44">
        <f>IF($B777="","",IF(INDEX('Work Orders'!$Z$11:$Z$1010,$B777)="","",INDEX('Work Orders'!$Z$11:$Z$1010,$B777)))</f>
        <v/>
      </c>
      <c r="K777" s="44">
        <f>IF($B777="","",IF(INDEX('Work Orders'!$AG$11:$AG$1010,$B777)="","",INDEX('Work Orders'!$AG$11:$AG$1010,$B777)))</f>
        <v/>
      </c>
      <c r="L777" s="44">
        <f>IF($B777="","",IF(INDEX('Work Orders'!$AH$11:$AH$1010,$B777)="","",INDEX('Work Orders'!$AH$11:$AH$1010,$B777)))</f>
        <v/>
      </c>
      <c r="M777" s="46">
        <f>IF($B777="","",IF(INDEX('Work Orders'!$AM$11:$AM$1010,$B777)="","",INDEX('Work Orders'!$AM$11:$AM$1010,$B777)))</f>
        <v/>
      </c>
      <c r="N777" s="43">
        <f>IF($B777="","",IF(INDEX('Work Orders'!$AL$11:$AL$1010,$B777)="","",INDEX('Work Orders'!$AL$11:$AL$1010,$B777)))</f>
        <v/>
      </c>
      <c r="O777" s="43">
        <f>IF($B777="","",IF(INDEX('Work Orders'!$N$11:$N$1010,$B777)="","",INDEX('Work Orders'!$N$11:$N$1010,$B777)))</f>
        <v/>
      </c>
    </row>
    <row r="778">
      <c r="A778" s="68" t="n">
        <v>772</v>
      </c>
      <c r="B778">
        <f>IFERROR(MATCH(A778,'Work Orders'!$AO$11:$AO$1010,0),"")</f>
        <v/>
      </c>
      <c r="C778" s="43">
        <f>IF($B778="","",IF(INDEX('Work Orders'!$A$11:$A$1010,$B778)="","",INDEX('Work Orders'!$A$11:$A$1010,$B778)))</f>
        <v/>
      </c>
      <c r="D778" s="43">
        <f>IF($B778="","",IF(INDEX('Work Orders'!$B$11:$B$1010,$B778)="","",INDEX('Work Orders'!$B$11:$B$1010,$B778)))</f>
        <v/>
      </c>
      <c r="E778" s="43">
        <f>IF($B778="","",IF(INDEX('Work Orders'!$D$11:$D$1010,$B778)="","",INDEX('Work Orders'!$D$11:$D$1010,$B778)))</f>
        <v/>
      </c>
      <c r="F778" s="43">
        <f>IF($B778="","",IF(INDEX('Work Orders'!$Q$11:$Q$1010,$B778)="","",INDEX('Work Orders'!$Q$11:$Q$1010,$B778)))</f>
        <v/>
      </c>
      <c r="G778" s="43">
        <f>IF($B778="","",IF(INDEX('Work Orders'!$V$11:$V$1010,$B778)="","",INDEX('Work Orders'!$V$11:$V$1010,$B778)))</f>
        <v/>
      </c>
      <c r="H778" s="47">
        <f>IF($B778="","",IF(INDEX('Work Orders'!$U$11:$U$1010,$B778)="","",INDEX('Work Orders'!$U$11:$U$1010,$B778)))</f>
        <v/>
      </c>
      <c r="I778" s="47">
        <f>IF($B778="","",IF(INDEX('Work Orders'!$X$11:$X$1010,$B778)="","",INDEX('Work Orders'!$X$11:$X$1010,$B778)))</f>
        <v/>
      </c>
      <c r="J778" s="44">
        <f>IF($B778="","",IF(INDEX('Work Orders'!$Z$11:$Z$1010,$B778)="","",INDEX('Work Orders'!$Z$11:$Z$1010,$B778)))</f>
        <v/>
      </c>
      <c r="K778" s="44">
        <f>IF($B778="","",IF(INDEX('Work Orders'!$AG$11:$AG$1010,$B778)="","",INDEX('Work Orders'!$AG$11:$AG$1010,$B778)))</f>
        <v/>
      </c>
      <c r="L778" s="44">
        <f>IF($B778="","",IF(INDEX('Work Orders'!$AH$11:$AH$1010,$B778)="","",INDEX('Work Orders'!$AH$11:$AH$1010,$B778)))</f>
        <v/>
      </c>
      <c r="M778" s="46">
        <f>IF($B778="","",IF(INDEX('Work Orders'!$AM$11:$AM$1010,$B778)="","",INDEX('Work Orders'!$AM$11:$AM$1010,$B778)))</f>
        <v/>
      </c>
      <c r="N778" s="43">
        <f>IF($B778="","",IF(INDEX('Work Orders'!$AL$11:$AL$1010,$B778)="","",INDEX('Work Orders'!$AL$11:$AL$1010,$B778)))</f>
        <v/>
      </c>
      <c r="O778" s="43">
        <f>IF($B778="","",IF(INDEX('Work Orders'!$N$11:$N$1010,$B778)="","",INDEX('Work Orders'!$N$11:$N$1010,$B778)))</f>
        <v/>
      </c>
    </row>
    <row r="779">
      <c r="A779" s="68" t="n">
        <v>773</v>
      </c>
      <c r="B779">
        <f>IFERROR(MATCH(A779,'Work Orders'!$AO$11:$AO$1010,0),"")</f>
        <v/>
      </c>
      <c r="C779" s="43">
        <f>IF($B779="","",IF(INDEX('Work Orders'!$A$11:$A$1010,$B779)="","",INDEX('Work Orders'!$A$11:$A$1010,$B779)))</f>
        <v/>
      </c>
      <c r="D779" s="43">
        <f>IF($B779="","",IF(INDEX('Work Orders'!$B$11:$B$1010,$B779)="","",INDEX('Work Orders'!$B$11:$B$1010,$B779)))</f>
        <v/>
      </c>
      <c r="E779" s="43">
        <f>IF($B779="","",IF(INDEX('Work Orders'!$D$11:$D$1010,$B779)="","",INDEX('Work Orders'!$D$11:$D$1010,$B779)))</f>
        <v/>
      </c>
      <c r="F779" s="43">
        <f>IF($B779="","",IF(INDEX('Work Orders'!$Q$11:$Q$1010,$B779)="","",INDEX('Work Orders'!$Q$11:$Q$1010,$B779)))</f>
        <v/>
      </c>
      <c r="G779" s="43">
        <f>IF($B779="","",IF(INDEX('Work Orders'!$V$11:$V$1010,$B779)="","",INDEX('Work Orders'!$V$11:$V$1010,$B779)))</f>
        <v/>
      </c>
      <c r="H779" s="47">
        <f>IF($B779="","",IF(INDEX('Work Orders'!$U$11:$U$1010,$B779)="","",INDEX('Work Orders'!$U$11:$U$1010,$B779)))</f>
        <v/>
      </c>
      <c r="I779" s="47">
        <f>IF($B779="","",IF(INDEX('Work Orders'!$X$11:$X$1010,$B779)="","",INDEX('Work Orders'!$X$11:$X$1010,$B779)))</f>
        <v/>
      </c>
      <c r="J779" s="44">
        <f>IF($B779="","",IF(INDEX('Work Orders'!$Z$11:$Z$1010,$B779)="","",INDEX('Work Orders'!$Z$11:$Z$1010,$B779)))</f>
        <v/>
      </c>
      <c r="K779" s="44">
        <f>IF($B779="","",IF(INDEX('Work Orders'!$AG$11:$AG$1010,$B779)="","",INDEX('Work Orders'!$AG$11:$AG$1010,$B779)))</f>
        <v/>
      </c>
      <c r="L779" s="44">
        <f>IF($B779="","",IF(INDEX('Work Orders'!$AH$11:$AH$1010,$B779)="","",INDEX('Work Orders'!$AH$11:$AH$1010,$B779)))</f>
        <v/>
      </c>
      <c r="M779" s="46">
        <f>IF($B779="","",IF(INDEX('Work Orders'!$AM$11:$AM$1010,$B779)="","",INDEX('Work Orders'!$AM$11:$AM$1010,$B779)))</f>
        <v/>
      </c>
      <c r="N779" s="43">
        <f>IF($B779="","",IF(INDEX('Work Orders'!$AL$11:$AL$1010,$B779)="","",INDEX('Work Orders'!$AL$11:$AL$1010,$B779)))</f>
        <v/>
      </c>
      <c r="O779" s="43">
        <f>IF($B779="","",IF(INDEX('Work Orders'!$N$11:$N$1010,$B779)="","",INDEX('Work Orders'!$N$11:$N$1010,$B779)))</f>
        <v/>
      </c>
    </row>
    <row r="780">
      <c r="A780" s="68" t="n">
        <v>774</v>
      </c>
      <c r="B780">
        <f>IFERROR(MATCH(A780,'Work Orders'!$AO$11:$AO$1010,0),"")</f>
        <v/>
      </c>
      <c r="C780" s="43">
        <f>IF($B780="","",IF(INDEX('Work Orders'!$A$11:$A$1010,$B780)="","",INDEX('Work Orders'!$A$11:$A$1010,$B780)))</f>
        <v/>
      </c>
      <c r="D780" s="43">
        <f>IF($B780="","",IF(INDEX('Work Orders'!$B$11:$B$1010,$B780)="","",INDEX('Work Orders'!$B$11:$B$1010,$B780)))</f>
        <v/>
      </c>
      <c r="E780" s="43">
        <f>IF($B780="","",IF(INDEX('Work Orders'!$D$11:$D$1010,$B780)="","",INDEX('Work Orders'!$D$11:$D$1010,$B780)))</f>
        <v/>
      </c>
      <c r="F780" s="43">
        <f>IF($B780="","",IF(INDEX('Work Orders'!$Q$11:$Q$1010,$B780)="","",INDEX('Work Orders'!$Q$11:$Q$1010,$B780)))</f>
        <v/>
      </c>
      <c r="G780" s="43">
        <f>IF($B780="","",IF(INDEX('Work Orders'!$V$11:$V$1010,$B780)="","",INDEX('Work Orders'!$V$11:$V$1010,$B780)))</f>
        <v/>
      </c>
      <c r="H780" s="47">
        <f>IF($B780="","",IF(INDEX('Work Orders'!$U$11:$U$1010,$B780)="","",INDEX('Work Orders'!$U$11:$U$1010,$B780)))</f>
        <v/>
      </c>
      <c r="I780" s="47">
        <f>IF($B780="","",IF(INDEX('Work Orders'!$X$11:$X$1010,$B780)="","",INDEX('Work Orders'!$X$11:$X$1010,$B780)))</f>
        <v/>
      </c>
      <c r="J780" s="44">
        <f>IF($B780="","",IF(INDEX('Work Orders'!$Z$11:$Z$1010,$B780)="","",INDEX('Work Orders'!$Z$11:$Z$1010,$B780)))</f>
        <v/>
      </c>
      <c r="K780" s="44">
        <f>IF($B780="","",IF(INDEX('Work Orders'!$AG$11:$AG$1010,$B780)="","",INDEX('Work Orders'!$AG$11:$AG$1010,$B780)))</f>
        <v/>
      </c>
      <c r="L780" s="44">
        <f>IF($B780="","",IF(INDEX('Work Orders'!$AH$11:$AH$1010,$B780)="","",INDEX('Work Orders'!$AH$11:$AH$1010,$B780)))</f>
        <v/>
      </c>
      <c r="M780" s="46">
        <f>IF($B780="","",IF(INDEX('Work Orders'!$AM$11:$AM$1010,$B780)="","",INDEX('Work Orders'!$AM$11:$AM$1010,$B780)))</f>
        <v/>
      </c>
      <c r="N780" s="43">
        <f>IF($B780="","",IF(INDEX('Work Orders'!$AL$11:$AL$1010,$B780)="","",INDEX('Work Orders'!$AL$11:$AL$1010,$B780)))</f>
        <v/>
      </c>
      <c r="O780" s="43">
        <f>IF($B780="","",IF(INDEX('Work Orders'!$N$11:$N$1010,$B780)="","",INDEX('Work Orders'!$N$11:$N$1010,$B780)))</f>
        <v/>
      </c>
    </row>
    <row r="781">
      <c r="A781" s="68" t="n">
        <v>775</v>
      </c>
      <c r="B781">
        <f>IFERROR(MATCH(A781,'Work Orders'!$AO$11:$AO$1010,0),"")</f>
        <v/>
      </c>
      <c r="C781" s="43">
        <f>IF($B781="","",IF(INDEX('Work Orders'!$A$11:$A$1010,$B781)="","",INDEX('Work Orders'!$A$11:$A$1010,$B781)))</f>
        <v/>
      </c>
      <c r="D781" s="43">
        <f>IF($B781="","",IF(INDEX('Work Orders'!$B$11:$B$1010,$B781)="","",INDEX('Work Orders'!$B$11:$B$1010,$B781)))</f>
        <v/>
      </c>
      <c r="E781" s="43">
        <f>IF($B781="","",IF(INDEX('Work Orders'!$D$11:$D$1010,$B781)="","",INDEX('Work Orders'!$D$11:$D$1010,$B781)))</f>
        <v/>
      </c>
      <c r="F781" s="43">
        <f>IF($B781="","",IF(INDEX('Work Orders'!$Q$11:$Q$1010,$B781)="","",INDEX('Work Orders'!$Q$11:$Q$1010,$B781)))</f>
        <v/>
      </c>
      <c r="G781" s="43">
        <f>IF($B781="","",IF(INDEX('Work Orders'!$V$11:$V$1010,$B781)="","",INDEX('Work Orders'!$V$11:$V$1010,$B781)))</f>
        <v/>
      </c>
      <c r="H781" s="47">
        <f>IF($B781="","",IF(INDEX('Work Orders'!$U$11:$U$1010,$B781)="","",INDEX('Work Orders'!$U$11:$U$1010,$B781)))</f>
        <v/>
      </c>
      <c r="I781" s="47">
        <f>IF($B781="","",IF(INDEX('Work Orders'!$X$11:$X$1010,$B781)="","",INDEX('Work Orders'!$X$11:$X$1010,$B781)))</f>
        <v/>
      </c>
      <c r="J781" s="44">
        <f>IF($B781="","",IF(INDEX('Work Orders'!$Z$11:$Z$1010,$B781)="","",INDEX('Work Orders'!$Z$11:$Z$1010,$B781)))</f>
        <v/>
      </c>
      <c r="K781" s="44">
        <f>IF($B781="","",IF(INDEX('Work Orders'!$AG$11:$AG$1010,$B781)="","",INDEX('Work Orders'!$AG$11:$AG$1010,$B781)))</f>
        <v/>
      </c>
      <c r="L781" s="44">
        <f>IF($B781="","",IF(INDEX('Work Orders'!$AH$11:$AH$1010,$B781)="","",INDEX('Work Orders'!$AH$11:$AH$1010,$B781)))</f>
        <v/>
      </c>
      <c r="M781" s="46">
        <f>IF($B781="","",IF(INDEX('Work Orders'!$AM$11:$AM$1010,$B781)="","",INDEX('Work Orders'!$AM$11:$AM$1010,$B781)))</f>
        <v/>
      </c>
      <c r="N781" s="43">
        <f>IF($B781="","",IF(INDEX('Work Orders'!$AL$11:$AL$1010,$B781)="","",INDEX('Work Orders'!$AL$11:$AL$1010,$B781)))</f>
        <v/>
      </c>
      <c r="O781" s="43">
        <f>IF($B781="","",IF(INDEX('Work Orders'!$N$11:$N$1010,$B781)="","",INDEX('Work Orders'!$N$11:$N$1010,$B781)))</f>
        <v/>
      </c>
    </row>
    <row r="782">
      <c r="A782" s="68" t="n">
        <v>776</v>
      </c>
      <c r="B782">
        <f>IFERROR(MATCH(A782,'Work Orders'!$AO$11:$AO$1010,0),"")</f>
        <v/>
      </c>
      <c r="C782" s="43">
        <f>IF($B782="","",IF(INDEX('Work Orders'!$A$11:$A$1010,$B782)="","",INDEX('Work Orders'!$A$11:$A$1010,$B782)))</f>
        <v/>
      </c>
      <c r="D782" s="43">
        <f>IF($B782="","",IF(INDEX('Work Orders'!$B$11:$B$1010,$B782)="","",INDEX('Work Orders'!$B$11:$B$1010,$B782)))</f>
        <v/>
      </c>
      <c r="E782" s="43">
        <f>IF($B782="","",IF(INDEX('Work Orders'!$D$11:$D$1010,$B782)="","",INDEX('Work Orders'!$D$11:$D$1010,$B782)))</f>
        <v/>
      </c>
      <c r="F782" s="43">
        <f>IF($B782="","",IF(INDEX('Work Orders'!$Q$11:$Q$1010,$B782)="","",INDEX('Work Orders'!$Q$11:$Q$1010,$B782)))</f>
        <v/>
      </c>
      <c r="G782" s="43">
        <f>IF($B782="","",IF(INDEX('Work Orders'!$V$11:$V$1010,$B782)="","",INDEX('Work Orders'!$V$11:$V$1010,$B782)))</f>
        <v/>
      </c>
      <c r="H782" s="47">
        <f>IF($B782="","",IF(INDEX('Work Orders'!$U$11:$U$1010,$B782)="","",INDEX('Work Orders'!$U$11:$U$1010,$B782)))</f>
        <v/>
      </c>
      <c r="I782" s="47">
        <f>IF($B782="","",IF(INDEX('Work Orders'!$X$11:$X$1010,$B782)="","",INDEX('Work Orders'!$X$11:$X$1010,$B782)))</f>
        <v/>
      </c>
      <c r="J782" s="44">
        <f>IF($B782="","",IF(INDEX('Work Orders'!$Z$11:$Z$1010,$B782)="","",INDEX('Work Orders'!$Z$11:$Z$1010,$B782)))</f>
        <v/>
      </c>
      <c r="K782" s="44">
        <f>IF($B782="","",IF(INDEX('Work Orders'!$AG$11:$AG$1010,$B782)="","",INDEX('Work Orders'!$AG$11:$AG$1010,$B782)))</f>
        <v/>
      </c>
      <c r="L782" s="44">
        <f>IF($B782="","",IF(INDEX('Work Orders'!$AH$11:$AH$1010,$B782)="","",INDEX('Work Orders'!$AH$11:$AH$1010,$B782)))</f>
        <v/>
      </c>
      <c r="M782" s="46">
        <f>IF($B782="","",IF(INDEX('Work Orders'!$AM$11:$AM$1010,$B782)="","",INDEX('Work Orders'!$AM$11:$AM$1010,$B782)))</f>
        <v/>
      </c>
      <c r="N782" s="43">
        <f>IF($B782="","",IF(INDEX('Work Orders'!$AL$11:$AL$1010,$B782)="","",INDEX('Work Orders'!$AL$11:$AL$1010,$B782)))</f>
        <v/>
      </c>
      <c r="O782" s="43">
        <f>IF($B782="","",IF(INDEX('Work Orders'!$N$11:$N$1010,$B782)="","",INDEX('Work Orders'!$N$11:$N$1010,$B782)))</f>
        <v/>
      </c>
    </row>
    <row r="783">
      <c r="A783" s="68" t="n">
        <v>777</v>
      </c>
      <c r="B783">
        <f>IFERROR(MATCH(A783,'Work Orders'!$AO$11:$AO$1010,0),"")</f>
        <v/>
      </c>
      <c r="C783" s="43">
        <f>IF($B783="","",IF(INDEX('Work Orders'!$A$11:$A$1010,$B783)="","",INDEX('Work Orders'!$A$11:$A$1010,$B783)))</f>
        <v/>
      </c>
      <c r="D783" s="43">
        <f>IF($B783="","",IF(INDEX('Work Orders'!$B$11:$B$1010,$B783)="","",INDEX('Work Orders'!$B$11:$B$1010,$B783)))</f>
        <v/>
      </c>
      <c r="E783" s="43">
        <f>IF($B783="","",IF(INDEX('Work Orders'!$D$11:$D$1010,$B783)="","",INDEX('Work Orders'!$D$11:$D$1010,$B783)))</f>
        <v/>
      </c>
      <c r="F783" s="43">
        <f>IF($B783="","",IF(INDEX('Work Orders'!$Q$11:$Q$1010,$B783)="","",INDEX('Work Orders'!$Q$11:$Q$1010,$B783)))</f>
        <v/>
      </c>
      <c r="G783" s="43">
        <f>IF($B783="","",IF(INDEX('Work Orders'!$V$11:$V$1010,$B783)="","",INDEX('Work Orders'!$V$11:$V$1010,$B783)))</f>
        <v/>
      </c>
      <c r="H783" s="47">
        <f>IF($B783="","",IF(INDEX('Work Orders'!$U$11:$U$1010,$B783)="","",INDEX('Work Orders'!$U$11:$U$1010,$B783)))</f>
        <v/>
      </c>
      <c r="I783" s="47">
        <f>IF($B783="","",IF(INDEX('Work Orders'!$X$11:$X$1010,$B783)="","",INDEX('Work Orders'!$X$11:$X$1010,$B783)))</f>
        <v/>
      </c>
      <c r="J783" s="44">
        <f>IF($B783="","",IF(INDEX('Work Orders'!$Z$11:$Z$1010,$B783)="","",INDEX('Work Orders'!$Z$11:$Z$1010,$B783)))</f>
        <v/>
      </c>
      <c r="K783" s="44">
        <f>IF($B783="","",IF(INDEX('Work Orders'!$AG$11:$AG$1010,$B783)="","",INDEX('Work Orders'!$AG$11:$AG$1010,$B783)))</f>
        <v/>
      </c>
      <c r="L783" s="44">
        <f>IF($B783="","",IF(INDEX('Work Orders'!$AH$11:$AH$1010,$B783)="","",INDEX('Work Orders'!$AH$11:$AH$1010,$B783)))</f>
        <v/>
      </c>
      <c r="M783" s="46">
        <f>IF($B783="","",IF(INDEX('Work Orders'!$AM$11:$AM$1010,$B783)="","",INDEX('Work Orders'!$AM$11:$AM$1010,$B783)))</f>
        <v/>
      </c>
      <c r="N783" s="43">
        <f>IF($B783="","",IF(INDEX('Work Orders'!$AL$11:$AL$1010,$B783)="","",INDEX('Work Orders'!$AL$11:$AL$1010,$B783)))</f>
        <v/>
      </c>
      <c r="O783" s="43">
        <f>IF($B783="","",IF(INDEX('Work Orders'!$N$11:$N$1010,$B783)="","",INDEX('Work Orders'!$N$11:$N$1010,$B783)))</f>
        <v/>
      </c>
    </row>
    <row r="784">
      <c r="A784" s="68" t="n">
        <v>778</v>
      </c>
      <c r="B784">
        <f>IFERROR(MATCH(A784,'Work Orders'!$AO$11:$AO$1010,0),"")</f>
        <v/>
      </c>
      <c r="C784" s="43">
        <f>IF($B784="","",IF(INDEX('Work Orders'!$A$11:$A$1010,$B784)="","",INDEX('Work Orders'!$A$11:$A$1010,$B784)))</f>
        <v/>
      </c>
      <c r="D784" s="43">
        <f>IF($B784="","",IF(INDEX('Work Orders'!$B$11:$B$1010,$B784)="","",INDEX('Work Orders'!$B$11:$B$1010,$B784)))</f>
        <v/>
      </c>
      <c r="E784" s="43">
        <f>IF($B784="","",IF(INDEX('Work Orders'!$D$11:$D$1010,$B784)="","",INDEX('Work Orders'!$D$11:$D$1010,$B784)))</f>
        <v/>
      </c>
      <c r="F784" s="43">
        <f>IF($B784="","",IF(INDEX('Work Orders'!$Q$11:$Q$1010,$B784)="","",INDEX('Work Orders'!$Q$11:$Q$1010,$B784)))</f>
        <v/>
      </c>
      <c r="G784" s="43">
        <f>IF($B784="","",IF(INDEX('Work Orders'!$V$11:$V$1010,$B784)="","",INDEX('Work Orders'!$V$11:$V$1010,$B784)))</f>
        <v/>
      </c>
      <c r="H784" s="47">
        <f>IF($B784="","",IF(INDEX('Work Orders'!$U$11:$U$1010,$B784)="","",INDEX('Work Orders'!$U$11:$U$1010,$B784)))</f>
        <v/>
      </c>
      <c r="I784" s="47">
        <f>IF($B784="","",IF(INDEX('Work Orders'!$X$11:$X$1010,$B784)="","",INDEX('Work Orders'!$X$11:$X$1010,$B784)))</f>
        <v/>
      </c>
      <c r="J784" s="44">
        <f>IF($B784="","",IF(INDEX('Work Orders'!$Z$11:$Z$1010,$B784)="","",INDEX('Work Orders'!$Z$11:$Z$1010,$B784)))</f>
        <v/>
      </c>
      <c r="K784" s="44">
        <f>IF($B784="","",IF(INDEX('Work Orders'!$AG$11:$AG$1010,$B784)="","",INDEX('Work Orders'!$AG$11:$AG$1010,$B784)))</f>
        <v/>
      </c>
      <c r="L784" s="44">
        <f>IF($B784="","",IF(INDEX('Work Orders'!$AH$11:$AH$1010,$B784)="","",INDEX('Work Orders'!$AH$11:$AH$1010,$B784)))</f>
        <v/>
      </c>
      <c r="M784" s="46">
        <f>IF($B784="","",IF(INDEX('Work Orders'!$AM$11:$AM$1010,$B784)="","",INDEX('Work Orders'!$AM$11:$AM$1010,$B784)))</f>
        <v/>
      </c>
      <c r="N784" s="43">
        <f>IF($B784="","",IF(INDEX('Work Orders'!$AL$11:$AL$1010,$B784)="","",INDEX('Work Orders'!$AL$11:$AL$1010,$B784)))</f>
        <v/>
      </c>
      <c r="O784" s="43">
        <f>IF($B784="","",IF(INDEX('Work Orders'!$N$11:$N$1010,$B784)="","",INDEX('Work Orders'!$N$11:$N$1010,$B784)))</f>
        <v/>
      </c>
    </row>
    <row r="785">
      <c r="A785" s="68" t="n">
        <v>779</v>
      </c>
      <c r="B785">
        <f>IFERROR(MATCH(A785,'Work Orders'!$AO$11:$AO$1010,0),"")</f>
        <v/>
      </c>
      <c r="C785" s="43">
        <f>IF($B785="","",IF(INDEX('Work Orders'!$A$11:$A$1010,$B785)="","",INDEX('Work Orders'!$A$11:$A$1010,$B785)))</f>
        <v/>
      </c>
      <c r="D785" s="43">
        <f>IF($B785="","",IF(INDEX('Work Orders'!$B$11:$B$1010,$B785)="","",INDEX('Work Orders'!$B$11:$B$1010,$B785)))</f>
        <v/>
      </c>
      <c r="E785" s="43">
        <f>IF($B785="","",IF(INDEX('Work Orders'!$D$11:$D$1010,$B785)="","",INDEX('Work Orders'!$D$11:$D$1010,$B785)))</f>
        <v/>
      </c>
      <c r="F785" s="43">
        <f>IF($B785="","",IF(INDEX('Work Orders'!$Q$11:$Q$1010,$B785)="","",INDEX('Work Orders'!$Q$11:$Q$1010,$B785)))</f>
        <v/>
      </c>
      <c r="G785" s="43">
        <f>IF($B785="","",IF(INDEX('Work Orders'!$V$11:$V$1010,$B785)="","",INDEX('Work Orders'!$V$11:$V$1010,$B785)))</f>
        <v/>
      </c>
      <c r="H785" s="47">
        <f>IF($B785="","",IF(INDEX('Work Orders'!$U$11:$U$1010,$B785)="","",INDEX('Work Orders'!$U$11:$U$1010,$B785)))</f>
        <v/>
      </c>
      <c r="I785" s="47">
        <f>IF($B785="","",IF(INDEX('Work Orders'!$X$11:$X$1010,$B785)="","",INDEX('Work Orders'!$X$11:$X$1010,$B785)))</f>
        <v/>
      </c>
      <c r="J785" s="44">
        <f>IF($B785="","",IF(INDEX('Work Orders'!$Z$11:$Z$1010,$B785)="","",INDEX('Work Orders'!$Z$11:$Z$1010,$B785)))</f>
        <v/>
      </c>
      <c r="K785" s="44">
        <f>IF($B785="","",IF(INDEX('Work Orders'!$AG$11:$AG$1010,$B785)="","",INDEX('Work Orders'!$AG$11:$AG$1010,$B785)))</f>
        <v/>
      </c>
      <c r="L785" s="44">
        <f>IF($B785="","",IF(INDEX('Work Orders'!$AH$11:$AH$1010,$B785)="","",INDEX('Work Orders'!$AH$11:$AH$1010,$B785)))</f>
        <v/>
      </c>
      <c r="M785" s="46">
        <f>IF($B785="","",IF(INDEX('Work Orders'!$AM$11:$AM$1010,$B785)="","",INDEX('Work Orders'!$AM$11:$AM$1010,$B785)))</f>
        <v/>
      </c>
      <c r="N785" s="43">
        <f>IF($B785="","",IF(INDEX('Work Orders'!$AL$11:$AL$1010,$B785)="","",INDEX('Work Orders'!$AL$11:$AL$1010,$B785)))</f>
        <v/>
      </c>
      <c r="O785" s="43">
        <f>IF($B785="","",IF(INDEX('Work Orders'!$N$11:$N$1010,$B785)="","",INDEX('Work Orders'!$N$11:$N$1010,$B785)))</f>
        <v/>
      </c>
    </row>
    <row r="786">
      <c r="A786" s="68" t="n">
        <v>780</v>
      </c>
      <c r="B786">
        <f>IFERROR(MATCH(A786,'Work Orders'!$AO$11:$AO$1010,0),"")</f>
        <v/>
      </c>
      <c r="C786" s="43">
        <f>IF($B786="","",IF(INDEX('Work Orders'!$A$11:$A$1010,$B786)="","",INDEX('Work Orders'!$A$11:$A$1010,$B786)))</f>
        <v/>
      </c>
      <c r="D786" s="43">
        <f>IF($B786="","",IF(INDEX('Work Orders'!$B$11:$B$1010,$B786)="","",INDEX('Work Orders'!$B$11:$B$1010,$B786)))</f>
        <v/>
      </c>
      <c r="E786" s="43">
        <f>IF($B786="","",IF(INDEX('Work Orders'!$D$11:$D$1010,$B786)="","",INDEX('Work Orders'!$D$11:$D$1010,$B786)))</f>
        <v/>
      </c>
      <c r="F786" s="43">
        <f>IF($B786="","",IF(INDEX('Work Orders'!$Q$11:$Q$1010,$B786)="","",INDEX('Work Orders'!$Q$11:$Q$1010,$B786)))</f>
        <v/>
      </c>
      <c r="G786" s="43">
        <f>IF($B786="","",IF(INDEX('Work Orders'!$V$11:$V$1010,$B786)="","",INDEX('Work Orders'!$V$11:$V$1010,$B786)))</f>
        <v/>
      </c>
      <c r="H786" s="47">
        <f>IF($B786="","",IF(INDEX('Work Orders'!$U$11:$U$1010,$B786)="","",INDEX('Work Orders'!$U$11:$U$1010,$B786)))</f>
        <v/>
      </c>
      <c r="I786" s="47">
        <f>IF($B786="","",IF(INDEX('Work Orders'!$X$11:$X$1010,$B786)="","",INDEX('Work Orders'!$X$11:$X$1010,$B786)))</f>
        <v/>
      </c>
      <c r="J786" s="44">
        <f>IF($B786="","",IF(INDEX('Work Orders'!$Z$11:$Z$1010,$B786)="","",INDEX('Work Orders'!$Z$11:$Z$1010,$B786)))</f>
        <v/>
      </c>
      <c r="K786" s="44">
        <f>IF($B786="","",IF(INDEX('Work Orders'!$AG$11:$AG$1010,$B786)="","",INDEX('Work Orders'!$AG$11:$AG$1010,$B786)))</f>
        <v/>
      </c>
      <c r="L786" s="44">
        <f>IF($B786="","",IF(INDEX('Work Orders'!$AH$11:$AH$1010,$B786)="","",INDEX('Work Orders'!$AH$11:$AH$1010,$B786)))</f>
        <v/>
      </c>
      <c r="M786" s="46">
        <f>IF($B786="","",IF(INDEX('Work Orders'!$AM$11:$AM$1010,$B786)="","",INDEX('Work Orders'!$AM$11:$AM$1010,$B786)))</f>
        <v/>
      </c>
      <c r="N786" s="43">
        <f>IF($B786="","",IF(INDEX('Work Orders'!$AL$11:$AL$1010,$B786)="","",INDEX('Work Orders'!$AL$11:$AL$1010,$B786)))</f>
        <v/>
      </c>
      <c r="O786" s="43">
        <f>IF($B786="","",IF(INDEX('Work Orders'!$N$11:$N$1010,$B786)="","",INDEX('Work Orders'!$N$11:$N$1010,$B786)))</f>
        <v/>
      </c>
    </row>
    <row r="787">
      <c r="A787" s="68" t="n">
        <v>781</v>
      </c>
      <c r="B787">
        <f>IFERROR(MATCH(A787,'Work Orders'!$AO$11:$AO$1010,0),"")</f>
        <v/>
      </c>
      <c r="C787" s="43">
        <f>IF($B787="","",IF(INDEX('Work Orders'!$A$11:$A$1010,$B787)="","",INDEX('Work Orders'!$A$11:$A$1010,$B787)))</f>
        <v/>
      </c>
      <c r="D787" s="43">
        <f>IF($B787="","",IF(INDEX('Work Orders'!$B$11:$B$1010,$B787)="","",INDEX('Work Orders'!$B$11:$B$1010,$B787)))</f>
        <v/>
      </c>
      <c r="E787" s="43">
        <f>IF($B787="","",IF(INDEX('Work Orders'!$D$11:$D$1010,$B787)="","",INDEX('Work Orders'!$D$11:$D$1010,$B787)))</f>
        <v/>
      </c>
      <c r="F787" s="43">
        <f>IF($B787="","",IF(INDEX('Work Orders'!$Q$11:$Q$1010,$B787)="","",INDEX('Work Orders'!$Q$11:$Q$1010,$B787)))</f>
        <v/>
      </c>
      <c r="G787" s="43">
        <f>IF($B787="","",IF(INDEX('Work Orders'!$V$11:$V$1010,$B787)="","",INDEX('Work Orders'!$V$11:$V$1010,$B787)))</f>
        <v/>
      </c>
      <c r="H787" s="47">
        <f>IF($B787="","",IF(INDEX('Work Orders'!$U$11:$U$1010,$B787)="","",INDEX('Work Orders'!$U$11:$U$1010,$B787)))</f>
        <v/>
      </c>
      <c r="I787" s="47">
        <f>IF($B787="","",IF(INDEX('Work Orders'!$X$11:$X$1010,$B787)="","",INDEX('Work Orders'!$X$11:$X$1010,$B787)))</f>
        <v/>
      </c>
      <c r="J787" s="44">
        <f>IF($B787="","",IF(INDEX('Work Orders'!$Z$11:$Z$1010,$B787)="","",INDEX('Work Orders'!$Z$11:$Z$1010,$B787)))</f>
        <v/>
      </c>
      <c r="K787" s="44">
        <f>IF($B787="","",IF(INDEX('Work Orders'!$AG$11:$AG$1010,$B787)="","",INDEX('Work Orders'!$AG$11:$AG$1010,$B787)))</f>
        <v/>
      </c>
      <c r="L787" s="44">
        <f>IF($B787="","",IF(INDEX('Work Orders'!$AH$11:$AH$1010,$B787)="","",INDEX('Work Orders'!$AH$11:$AH$1010,$B787)))</f>
        <v/>
      </c>
      <c r="M787" s="46">
        <f>IF($B787="","",IF(INDEX('Work Orders'!$AM$11:$AM$1010,$B787)="","",INDEX('Work Orders'!$AM$11:$AM$1010,$B787)))</f>
        <v/>
      </c>
      <c r="N787" s="43">
        <f>IF($B787="","",IF(INDEX('Work Orders'!$AL$11:$AL$1010,$B787)="","",INDEX('Work Orders'!$AL$11:$AL$1010,$B787)))</f>
        <v/>
      </c>
      <c r="O787" s="43">
        <f>IF($B787="","",IF(INDEX('Work Orders'!$N$11:$N$1010,$B787)="","",INDEX('Work Orders'!$N$11:$N$1010,$B787)))</f>
        <v/>
      </c>
    </row>
    <row r="788">
      <c r="A788" s="68" t="n">
        <v>782</v>
      </c>
      <c r="B788">
        <f>IFERROR(MATCH(A788,'Work Orders'!$AO$11:$AO$1010,0),"")</f>
        <v/>
      </c>
      <c r="C788" s="43">
        <f>IF($B788="","",IF(INDEX('Work Orders'!$A$11:$A$1010,$B788)="","",INDEX('Work Orders'!$A$11:$A$1010,$B788)))</f>
        <v/>
      </c>
      <c r="D788" s="43">
        <f>IF($B788="","",IF(INDEX('Work Orders'!$B$11:$B$1010,$B788)="","",INDEX('Work Orders'!$B$11:$B$1010,$B788)))</f>
        <v/>
      </c>
      <c r="E788" s="43">
        <f>IF($B788="","",IF(INDEX('Work Orders'!$D$11:$D$1010,$B788)="","",INDEX('Work Orders'!$D$11:$D$1010,$B788)))</f>
        <v/>
      </c>
      <c r="F788" s="43">
        <f>IF($B788="","",IF(INDEX('Work Orders'!$Q$11:$Q$1010,$B788)="","",INDEX('Work Orders'!$Q$11:$Q$1010,$B788)))</f>
        <v/>
      </c>
      <c r="G788" s="43">
        <f>IF($B788="","",IF(INDEX('Work Orders'!$V$11:$V$1010,$B788)="","",INDEX('Work Orders'!$V$11:$V$1010,$B788)))</f>
        <v/>
      </c>
      <c r="H788" s="47">
        <f>IF($B788="","",IF(INDEX('Work Orders'!$U$11:$U$1010,$B788)="","",INDEX('Work Orders'!$U$11:$U$1010,$B788)))</f>
        <v/>
      </c>
      <c r="I788" s="47">
        <f>IF($B788="","",IF(INDEX('Work Orders'!$X$11:$X$1010,$B788)="","",INDEX('Work Orders'!$X$11:$X$1010,$B788)))</f>
        <v/>
      </c>
      <c r="J788" s="44">
        <f>IF($B788="","",IF(INDEX('Work Orders'!$Z$11:$Z$1010,$B788)="","",INDEX('Work Orders'!$Z$11:$Z$1010,$B788)))</f>
        <v/>
      </c>
      <c r="K788" s="44">
        <f>IF($B788="","",IF(INDEX('Work Orders'!$AG$11:$AG$1010,$B788)="","",INDEX('Work Orders'!$AG$11:$AG$1010,$B788)))</f>
        <v/>
      </c>
      <c r="L788" s="44">
        <f>IF($B788="","",IF(INDEX('Work Orders'!$AH$11:$AH$1010,$B788)="","",INDEX('Work Orders'!$AH$11:$AH$1010,$B788)))</f>
        <v/>
      </c>
      <c r="M788" s="46">
        <f>IF($B788="","",IF(INDEX('Work Orders'!$AM$11:$AM$1010,$B788)="","",INDEX('Work Orders'!$AM$11:$AM$1010,$B788)))</f>
        <v/>
      </c>
      <c r="N788" s="43">
        <f>IF($B788="","",IF(INDEX('Work Orders'!$AL$11:$AL$1010,$B788)="","",INDEX('Work Orders'!$AL$11:$AL$1010,$B788)))</f>
        <v/>
      </c>
      <c r="O788" s="43">
        <f>IF($B788="","",IF(INDEX('Work Orders'!$N$11:$N$1010,$B788)="","",INDEX('Work Orders'!$N$11:$N$1010,$B788)))</f>
        <v/>
      </c>
    </row>
    <row r="789">
      <c r="A789" s="68" t="n">
        <v>783</v>
      </c>
      <c r="B789">
        <f>IFERROR(MATCH(A789,'Work Orders'!$AO$11:$AO$1010,0),"")</f>
        <v/>
      </c>
      <c r="C789" s="43">
        <f>IF($B789="","",IF(INDEX('Work Orders'!$A$11:$A$1010,$B789)="","",INDEX('Work Orders'!$A$11:$A$1010,$B789)))</f>
        <v/>
      </c>
      <c r="D789" s="43">
        <f>IF($B789="","",IF(INDEX('Work Orders'!$B$11:$B$1010,$B789)="","",INDEX('Work Orders'!$B$11:$B$1010,$B789)))</f>
        <v/>
      </c>
      <c r="E789" s="43">
        <f>IF($B789="","",IF(INDEX('Work Orders'!$D$11:$D$1010,$B789)="","",INDEX('Work Orders'!$D$11:$D$1010,$B789)))</f>
        <v/>
      </c>
      <c r="F789" s="43">
        <f>IF($B789="","",IF(INDEX('Work Orders'!$Q$11:$Q$1010,$B789)="","",INDEX('Work Orders'!$Q$11:$Q$1010,$B789)))</f>
        <v/>
      </c>
      <c r="G789" s="43">
        <f>IF($B789="","",IF(INDEX('Work Orders'!$V$11:$V$1010,$B789)="","",INDEX('Work Orders'!$V$11:$V$1010,$B789)))</f>
        <v/>
      </c>
      <c r="H789" s="47">
        <f>IF($B789="","",IF(INDEX('Work Orders'!$U$11:$U$1010,$B789)="","",INDEX('Work Orders'!$U$11:$U$1010,$B789)))</f>
        <v/>
      </c>
      <c r="I789" s="47">
        <f>IF($B789="","",IF(INDEX('Work Orders'!$X$11:$X$1010,$B789)="","",INDEX('Work Orders'!$X$11:$X$1010,$B789)))</f>
        <v/>
      </c>
      <c r="J789" s="44">
        <f>IF($B789="","",IF(INDEX('Work Orders'!$Z$11:$Z$1010,$B789)="","",INDEX('Work Orders'!$Z$11:$Z$1010,$B789)))</f>
        <v/>
      </c>
      <c r="K789" s="44">
        <f>IF($B789="","",IF(INDEX('Work Orders'!$AG$11:$AG$1010,$B789)="","",INDEX('Work Orders'!$AG$11:$AG$1010,$B789)))</f>
        <v/>
      </c>
      <c r="L789" s="44">
        <f>IF($B789="","",IF(INDEX('Work Orders'!$AH$11:$AH$1010,$B789)="","",INDEX('Work Orders'!$AH$11:$AH$1010,$B789)))</f>
        <v/>
      </c>
      <c r="M789" s="46">
        <f>IF($B789="","",IF(INDEX('Work Orders'!$AM$11:$AM$1010,$B789)="","",INDEX('Work Orders'!$AM$11:$AM$1010,$B789)))</f>
        <v/>
      </c>
      <c r="N789" s="43">
        <f>IF($B789="","",IF(INDEX('Work Orders'!$AL$11:$AL$1010,$B789)="","",INDEX('Work Orders'!$AL$11:$AL$1010,$B789)))</f>
        <v/>
      </c>
      <c r="O789" s="43">
        <f>IF($B789="","",IF(INDEX('Work Orders'!$N$11:$N$1010,$B789)="","",INDEX('Work Orders'!$N$11:$N$1010,$B789)))</f>
        <v/>
      </c>
    </row>
    <row r="790">
      <c r="A790" s="68" t="n">
        <v>784</v>
      </c>
      <c r="B790">
        <f>IFERROR(MATCH(A790,'Work Orders'!$AO$11:$AO$1010,0),"")</f>
        <v/>
      </c>
      <c r="C790" s="43">
        <f>IF($B790="","",IF(INDEX('Work Orders'!$A$11:$A$1010,$B790)="","",INDEX('Work Orders'!$A$11:$A$1010,$B790)))</f>
        <v/>
      </c>
      <c r="D790" s="43">
        <f>IF($B790="","",IF(INDEX('Work Orders'!$B$11:$B$1010,$B790)="","",INDEX('Work Orders'!$B$11:$B$1010,$B790)))</f>
        <v/>
      </c>
      <c r="E790" s="43">
        <f>IF($B790="","",IF(INDEX('Work Orders'!$D$11:$D$1010,$B790)="","",INDEX('Work Orders'!$D$11:$D$1010,$B790)))</f>
        <v/>
      </c>
      <c r="F790" s="43">
        <f>IF($B790="","",IF(INDEX('Work Orders'!$Q$11:$Q$1010,$B790)="","",INDEX('Work Orders'!$Q$11:$Q$1010,$B790)))</f>
        <v/>
      </c>
      <c r="G790" s="43">
        <f>IF($B790="","",IF(INDEX('Work Orders'!$V$11:$V$1010,$B790)="","",INDEX('Work Orders'!$V$11:$V$1010,$B790)))</f>
        <v/>
      </c>
      <c r="H790" s="47">
        <f>IF($B790="","",IF(INDEX('Work Orders'!$U$11:$U$1010,$B790)="","",INDEX('Work Orders'!$U$11:$U$1010,$B790)))</f>
        <v/>
      </c>
      <c r="I790" s="47">
        <f>IF($B790="","",IF(INDEX('Work Orders'!$X$11:$X$1010,$B790)="","",INDEX('Work Orders'!$X$11:$X$1010,$B790)))</f>
        <v/>
      </c>
      <c r="J790" s="44">
        <f>IF($B790="","",IF(INDEX('Work Orders'!$Z$11:$Z$1010,$B790)="","",INDEX('Work Orders'!$Z$11:$Z$1010,$B790)))</f>
        <v/>
      </c>
      <c r="K790" s="44">
        <f>IF($B790="","",IF(INDEX('Work Orders'!$AG$11:$AG$1010,$B790)="","",INDEX('Work Orders'!$AG$11:$AG$1010,$B790)))</f>
        <v/>
      </c>
      <c r="L790" s="44">
        <f>IF($B790="","",IF(INDEX('Work Orders'!$AH$11:$AH$1010,$B790)="","",INDEX('Work Orders'!$AH$11:$AH$1010,$B790)))</f>
        <v/>
      </c>
      <c r="M790" s="46">
        <f>IF($B790="","",IF(INDEX('Work Orders'!$AM$11:$AM$1010,$B790)="","",INDEX('Work Orders'!$AM$11:$AM$1010,$B790)))</f>
        <v/>
      </c>
      <c r="N790" s="43">
        <f>IF($B790="","",IF(INDEX('Work Orders'!$AL$11:$AL$1010,$B790)="","",INDEX('Work Orders'!$AL$11:$AL$1010,$B790)))</f>
        <v/>
      </c>
      <c r="O790" s="43">
        <f>IF($B790="","",IF(INDEX('Work Orders'!$N$11:$N$1010,$B790)="","",INDEX('Work Orders'!$N$11:$N$1010,$B790)))</f>
        <v/>
      </c>
    </row>
    <row r="791">
      <c r="A791" s="68" t="n">
        <v>785</v>
      </c>
      <c r="B791">
        <f>IFERROR(MATCH(A791,'Work Orders'!$AO$11:$AO$1010,0),"")</f>
        <v/>
      </c>
      <c r="C791" s="43">
        <f>IF($B791="","",IF(INDEX('Work Orders'!$A$11:$A$1010,$B791)="","",INDEX('Work Orders'!$A$11:$A$1010,$B791)))</f>
        <v/>
      </c>
      <c r="D791" s="43">
        <f>IF($B791="","",IF(INDEX('Work Orders'!$B$11:$B$1010,$B791)="","",INDEX('Work Orders'!$B$11:$B$1010,$B791)))</f>
        <v/>
      </c>
      <c r="E791" s="43">
        <f>IF($B791="","",IF(INDEX('Work Orders'!$D$11:$D$1010,$B791)="","",INDEX('Work Orders'!$D$11:$D$1010,$B791)))</f>
        <v/>
      </c>
      <c r="F791" s="43">
        <f>IF($B791="","",IF(INDEX('Work Orders'!$Q$11:$Q$1010,$B791)="","",INDEX('Work Orders'!$Q$11:$Q$1010,$B791)))</f>
        <v/>
      </c>
      <c r="G791" s="43">
        <f>IF($B791="","",IF(INDEX('Work Orders'!$V$11:$V$1010,$B791)="","",INDEX('Work Orders'!$V$11:$V$1010,$B791)))</f>
        <v/>
      </c>
      <c r="H791" s="47">
        <f>IF($B791="","",IF(INDEX('Work Orders'!$U$11:$U$1010,$B791)="","",INDEX('Work Orders'!$U$11:$U$1010,$B791)))</f>
        <v/>
      </c>
      <c r="I791" s="47">
        <f>IF($B791="","",IF(INDEX('Work Orders'!$X$11:$X$1010,$B791)="","",INDEX('Work Orders'!$X$11:$X$1010,$B791)))</f>
        <v/>
      </c>
      <c r="J791" s="44">
        <f>IF($B791="","",IF(INDEX('Work Orders'!$Z$11:$Z$1010,$B791)="","",INDEX('Work Orders'!$Z$11:$Z$1010,$B791)))</f>
        <v/>
      </c>
      <c r="K791" s="44">
        <f>IF($B791="","",IF(INDEX('Work Orders'!$AG$11:$AG$1010,$B791)="","",INDEX('Work Orders'!$AG$11:$AG$1010,$B791)))</f>
        <v/>
      </c>
      <c r="L791" s="44">
        <f>IF($B791="","",IF(INDEX('Work Orders'!$AH$11:$AH$1010,$B791)="","",INDEX('Work Orders'!$AH$11:$AH$1010,$B791)))</f>
        <v/>
      </c>
      <c r="M791" s="46">
        <f>IF($B791="","",IF(INDEX('Work Orders'!$AM$11:$AM$1010,$B791)="","",INDEX('Work Orders'!$AM$11:$AM$1010,$B791)))</f>
        <v/>
      </c>
      <c r="N791" s="43">
        <f>IF($B791="","",IF(INDEX('Work Orders'!$AL$11:$AL$1010,$B791)="","",INDEX('Work Orders'!$AL$11:$AL$1010,$B791)))</f>
        <v/>
      </c>
      <c r="O791" s="43">
        <f>IF($B791="","",IF(INDEX('Work Orders'!$N$11:$N$1010,$B791)="","",INDEX('Work Orders'!$N$11:$N$1010,$B791)))</f>
        <v/>
      </c>
    </row>
    <row r="792">
      <c r="A792" s="68" t="n">
        <v>786</v>
      </c>
      <c r="B792">
        <f>IFERROR(MATCH(A792,'Work Orders'!$AO$11:$AO$1010,0),"")</f>
        <v/>
      </c>
      <c r="C792" s="43">
        <f>IF($B792="","",IF(INDEX('Work Orders'!$A$11:$A$1010,$B792)="","",INDEX('Work Orders'!$A$11:$A$1010,$B792)))</f>
        <v/>
      </c>
      <c r="D792" s="43">
        <f>IF($B792="","",IF(INDEX('Work Orders'!$B$11:$B$1010,$B792)="","",INDEX('Work Orders'!$B$11:$B$1010,$B792)))</f>
        <v/>
      </c>
      <c r="E792" s="43">
        <f>IF($B792="","",IF(INDEX('Work Orders'!$D$11:$D$1010,$B792)="","",INDEX('Work Orders'!$D$11:$D$1010,$B792)))</f>
        <v/>
      </c>
      <c r="F792" s="43">
        <f>IF($B792="","",IF(INDEX('Work Orders'!$Q$11:$Q$1010,$B792)="","",INDEX('Work Orders'!$Q$11:$Q$1010,$B792)))</f>
        <v/>
      </c>
      <c r="G792" s="43">
        <f>IF($B792="","",IF(INDEX('Work Orders'!$V$11:$V$1010,$B792)="","",INDEX('Work Orders'!$V$11:$V$1010,$B792)))</f>
        <v/>
      </c>
      <c r="H792" s="47">
        <f>IF($B792="","",IF(INDEX('Work Orders'!$U$11:$U$1010,$B792)="","",INDEX('Work Orders'!$U$11:$U$1010,$B792)))</f>
        <v/>
      </c>
      <c r="I792" s="47">
        <f>IF($B792="","",IF(INDEX('Work Orders'!$X$11:$X$1010,$B792)="","",INDEX('Work Orders'!$X$11:$X$1010,$B792)))</f>
        <v/>
      </c>
      <c r="J792" s="44">
        <f>IF($B792="","",IF(INDEX('Work Orders'!$Z$11:$Z$1010,$B792)="","",INDEX('Work Orders'!$Z$11:$Z$1010,$B792)))</f>
        <v/>
      </c>
      <c r="K792" s="44">
        <f>IF($B792="","",IF(INDEX('Work Orders'!$AG$11:$AG$1010,$B792)="","",INDEX('Work Orders'!$AG$11:$AG$1010,$B792)))</f>
        <v/>
      </c>
      <c r="L792" s="44">
        <f>IF($B792="","",IF(INDEX('Work Orders'!$AH$11:$AH$1010,$B792)="","",INDEX('Work Orders'!$AH$11:$AH$1010,$B792)))</f>
        <v/>
      </c>
      <c r="M792" s="46">
        <f>IF($B792="","",IF(INDEX('Work Orders'!$AM$11:$AM$1010,$B792)="","",INDEX('Work Orders'!$AM$11:$AM$1010,$B792)))</f>
        <v/>
      </c>
      <c r="N792" s="43">
        <f>IF($B792="","",IF(INDEX('Work Orders'!$AL$11:$AL$1010,$B792)="","",INDEX('Work Orders'!$AL$11:$AL$1010,$B792)))</f>
        <v/>
      </c>
      <c r="O792" s="43">
        <f>IF($B792="","",IF(INDEX('Work Orders'!$N$11:$N$1010,$B792)="","",INDEX('Work Orders'!$N$11:$N$1010,$B792)))</f>
        <v/>
      </c>
    </row>
    <row r="793">
      <c r="A793" s="68" t="n">
        <v>787</v>
      </c>
      <c r="B793">
        <f>IFERROR(MATCH(A793,'Work Orders'!$AO$11:$AO$1010,0),"")</f>
        <v/>
      </c>
      <c r="C793" s="43">
        <f>IF($B793="","",IF(INDEX('Work Orders'!$A$11:$A$1010,$B793)="","",INDEX('Work Orders'!$A$11:$A$1010,$B793)))</f>
        <v/>
      </c>
      <c r="D793" s="43">
        <f>IF($B793="","",IF(INDEX('Work Orders'!$B$11:$B$1010,$B793)="","",INDEX('Work Orders'!$B$11:$B$1010,$B793)))</f>
        <v/>
      </c>
      <c r="E793" s="43">
        <f>IF($B793="","",IF(INDEX('Work Orders'!$D$11:$D$1010,$B793)="","",INDEX('Work Orders'!$D$11:$D$1010,$B793)))</f>
        <v/>
      </c>
      <c r="F793" s="43">
        <f>IF($B793="","",IF(INDEX('Work Orders'!$Q$11:$Q$1010,$B793)="","",INDEX('Work Orders'!$Q$11:$Q$1010,$B793)))</f>
        <v/>
      </c>
      <c r="G793" s="43">
        <f>IF($B793="","",IF(INDEX('Work Orders'!$V$11:$V$1010,$B793)="","",INDEX('Work Orders'!$V$11:$V$1010,$B793)))</f>
        <v/>
      </c>
      <c r="H793" s="47">
        <f>IF($B793="","",IF(INDEX('Work Orders'!$U$11:$U$1010,$B793)="","",INDEX('Work Orders'!$U$11:$U$1010,$B793)))</f>
        <v/>
      </c>
      <c r="I793" s="47">
        <f>IF($B793="","",IF(INDEX('Work Orders'!$X$11:$X$1010,$B793)="","",INDEX('Work Orders'!$X$11:$X$1010,$B793)))</f>
        <v/>
      </c>
      <c r="J793" s="44">
        <f>IF($B793="","",IF(INDEX('Work Orders'!$Z$11:$Z$1010,$B793)="","",INDEX('Work Orders'!$Z$11:$Z$1010,$B793)))</f>
        <v/>
      </c>
      <c r="K793" s="44">
        <f>IF($B793="","",IF(INDEX('Work Orders'!$AG$11:$AG$1010,$B793)="","",INDEX('Work Orders'!$AG$11:$AG$1010,$B793)))</f>
        <v/>
      </c>
      <c r="L793" s="44">
        <f>IF($B793="","",IF(INDEX('Work Orders'!$AH$11:$AH$1010,$B793)="","",INDEX('Work Orders'!$AH$11:$AH$1010,$B793)))</f>
        <v/>
      </c>
      <c r="M793" s="46">
        <f>IF($B793="","",IF(INDEX('Work Orders'!$AM$11:$AM$1010,$B793)="","",INDEX('Work Orders'!$AM$11:$AM$1010,$B793)))</f>
        <v/>
      </c>
      <c r="N793" s="43">
        <f>IF($B793="","",IF(INDEX('Work Orders'!$AL$11:$AL$1010,$B793)="","",INDEX('Work Orders'!$AL$11:$AL$1010,$B793)))</f>
        <v/>
      </c>
      <c r="O793" s="43">
        <f>IF($B793="","",IF(INDEX('Work Orders'!$N$11:$N$1010,$B793)="","",INDEX('Work Orders'!$N$11:$N$1010,$B793)))</f>
        <v/>
      </c>
    </row>
    <row r="794">
      <c r="A794" s="68" t="n">
        <v>788</v>
      </c>
      <c r="B794">
        <f>IFERROR(MATCH(A794,'Work Orders'!$AO$11:$AO$1010,0),"")</f>
        <v/>
      </c>
      <c r="C794" s="43">
        <f>IF($B794="","",IF(INDEX('Work Orders'!$A$11:$A$1010,$B794)="","",INDEX('Work Orders'!$A$11:$A$1010,$B794)))</f>
        <v/>
      </c>
      <c r="D794" s="43">
        <f>IF($B794="","",IF(INDEX('Work Orders'!$B$11:$B$1010,$B794)="","",INDEX('Work Orders'!$B$11:$B$1010,$B794)))</f>
        <v/>
      </c>
      <c r="E794" s="43">
        <f>IF($B794="","",IF(INDEX('Work Orders'!$D$11:$D$1010,$B794)="","",INDEX('Work Orders'!$D$11:$D$1010,$B794)))</f>
        <v/>
      </c>
      <c r="F794" s="43">
        <f>IF($B794="","",IF(INDEX('Work Orders'!$Q$11:$Q$1010,$B794)="","",INDEX('Work Orders'!$Q$11:$Q$1010,$B794)))</f>
        <v/>
      </c>
      <c r="G794" s="43">
        <f>IF($B794="","",IF(INDEX('Work Orders'!$V$11:$V$1010,$B794)="","",INDEX('Work Orders'!$V$11:$V$1010,$B794)))</f>
        <v/>
      </c>
      <c r="H794" s="47">
        <f>IF($B794="","",IF(INDEX('Work Orders'!$U$11:$U$1010,$B794)="","",INDEX('Work Orders'!$U$11:$U$1010,$B794)))</f>
        <v/>
      </c>
      <c r="I794" s="47">
        <f>IF($B794="","",IF(INDEX('Work Orders'!$X$11:$X$1010,$B794)="","",INDEX('Work Orders'!$X$11:$X$1010,$B794)))</f>
        <v/>
      </c>
      <c r="J794" s="44">
        <f>IF($B794="","",IF(INDEX('Work Orders'!$Z$11:$Z$1010,$B794)="","",INDEX('Work Orders'!$Z$11:$Z$1010,$B794)))</f>
        <v/>
      </c>
      <c r="K794" s="44">
        <f>IF($B794="","",IF(INDEX('Work Orders'!$AG$11:$AG$1010,$B794)="","",INDEX('Work Orders'!$AG$11:$AG$1010,$B794)))</f>
        <v/>
      </c>
      <c r="L794" s="44">
        <f>IF($B794="","",IF(INDEX('Work Orders'!$AH$11:$AH$1010,$B794)="","",INDEX('Work Orders'!$AH$11:$AH$1010,$B794)))</f>
        <v/>
      </c>
      <c r="M794" s="46">
        <f>IF($B794="","",IF(INDEX('Work Orders'!$AM$11:$AM$1010,$B794)="","",INDEX('Work Orders'!$AM$11:$AM$1010,$B794)))</f>
        <v/>
      </c>
      <c r="N794" s="43">
        <f>IF($B794="","",IF(INDEX('Work Orders'!$AL$11:$AL$1010,$B794)="","",INDEX('Work Orders'!$AL$11:$AL$1010,$B794)))</f>
        <v/>
      </c>
      <c r="O794" s="43">
        <f>IF($B794="","",IF(INDEX('Work Orders'!$N$11:$N$1010,$B794)="","",INDEX('Work Orders'!$N$11:$N$1010,$B794)))</f>
        <v/>
      </c>
    </row>
    <row r="795">
      <c r="A795" s="68" t="n">
        <v>789</v>
      </c>
      <c r="B795">
        <f>IFERROR(MATCH(A795,'Work Orders'!$AO$11:$AO$1010,0),"")</f>
        <v/>
      </c>
      <c r="C795" s="43">
        <f>IF($B795="","",IF(INDEX('Work Orders'!$A$11:$A$1010,$B795)="","",INDEX('Work Orders'!$A$11:$A$1010,$B795)))</f>
        <v/>
      </c>
      <c r="D795" s="43">
        <f>IF($B795="","",IF(INDEX('Work Orders'!$B$11:$B$1010,$B795)="","",INDEX('Work Orders'!$B$11:$B$1010,$B795)))</f>
        <v/>
      </c>
      <c r="E795" s="43">
        <f>IF($B795="","",IF(INDEX('Work Orders'!$D$11:$D$1010,$B795)="","",INDEX('Work Orders'!$D$11:$D$1010,$B795)))</f>
        <v/>
      </c>
      <c r="F795" s="43">
        <f>IF($B795="","",IF(INDEX('Work Orders'!$Q$11:$Q$1010,$B795)="","",INDEX('Work Orders'!$Q$11:$Q$1010,$B795)))</f>
        <v/>
      </c>
      <c r="G795" s="43">
        <f>IF($B795="","",IF(INDEX('Work Orders'!$V$11:$V$1010,$B795)="","",INDEX('Work Orders'!$V$11:$V$1010,$B795)))</f>
        <v/>
      </c>
      <c r="H795" s="47">
        <f>IF($B795="","",IF(INDEX('Work Orders'!$U$11:$U$1010,$B795)="","",INDEX('Work Orders'!$U$11:$U$1010,$B795)))</f>
        <v/>
      </c>
      <c r="I795" s="47">
        <f>IF($B795="","",IF(INDEX('Work Orders'!$X$11:$X$1010,$B795)="","",INDEX('Work Orders'!$X$11:$X$1010,$B795)))</f>
        <v/>
      </c>
      <c r="J795" s="44">
        <f>IF($B795="","",IF(INDEX('Work Orders'!$Z$11:$Z$1010,$B795)="","",INDEX('Work Orders'!$Z$11:$Z$1010,$B795)))</f>
        <v/>
      </c>
      <c r="K795" s="44">
        <f>IF($B795="","",IF(INDEX('Work Orders'!$AG$11:$AG$1010,$B795)="","",INDEX('Work Orders'!$AG$11:$AG$1010,$B795)))</f>
        <v/>
      </c>
      <c r="L795" s="44">
        <f>IF($B795="","",IF(INDEX('Work Orders'!$AH$11:$AH$1010,$B795)="","",INDEX('Work Orders'!$AH$11:$AH$1010,$B795)))</f>
        <v/>
      </c>
      <c r="M795" s="46">
        <f>IF($B795="","",IF(INDEX('Work Orders'!$AM$11:$AM$1010,$B795)="","",INDEX('Work Orders'!$AM$11:$AM$1010,$B795)))</f>
        <v/>
      </c>
      <c r="N795" s="43">
        <f>IF($B795="","",IF(INDEX('Work Orders'!$AL$11:$AL$1010,$B795)="","",INDEX('Work Orders'!$AL$11:$AL$1010,$B795)))</f>
        <v/>
      </c>
      <c r="O795" s="43">
        <f>IF($B795="","",IF(INDEX('Work Orders'!$N$11:$N$1010,$B795)="","",INDEX('Work Orders'!$N$11:$N$1010,$B795)))</f>
        <v/>
      </c>
    </row>
    <row r="796">
      <c r="A796" s="68" t="n">
        <v>790</v>
      </c>
      <c r="B796">
        <f>IFERROR(MATCH(A796,'Work Orders'!$AO$11:$AO$1010,0),"")</f>
        <v/>
      </c>
      <c r="C796" s="43">
        <f>IF($B796="","",IF(INDEX('Work Orders'!$A$11:$A$1010,$B796)="","",INDEX('Work Orders'!$A$11:$A$1010,$B796)))</f>
        <v/>
      </c>
      <c r="D796" s="43">
        <f>IF($B796="","",IF(INDEX('Work Orders'!$B$11:$B$1010,$B796)="","",INDEX('Work Orders'!$B$11:$B$1010,$B796)))</f>
        <v/>
      </c>
      <c r="E796" s="43">
        <f>IF($B796="","",IF(INDEX('Work Orders'!$D$11:$D$1010,$B796)="","",INDEX('Work Orders'!$D$11:$D$1010,$B796)))</f>
        <v/>
      </c>
      <c r="F796" s="43">
        <f>IF($B796="","",IF(INDEX('Work Orders'!$Q$11:$Q$1010,$B796)="","",INDEX('Work Orders'!$Q$11:$Q$1010,$B796)))</f>
        <v/>
      </c>
      <c r="G796" s="43">
        <f>IF($B796="","",IF(INDEX('Work Orders'!$V$11:$V$1010,$B796)="","",INDEX('Work Orders'!$V$11:$V$1010,$B796)))</f>
        <v/>
      </c>
      <c r="H796" s="47">
        <f>IF($B796="","",IF(INDEX('Work Orders'!$U$11:$U$1010,$B796)="","",INDEX('Work Orders'!$U$11:$U$1010,$B796)))</f>
        <v/>
      </c>
      <c r="I796" s="47">
        <f>IF($B796="","",IF(INDEX('Work Orders'!$X$11:$X$1010,$B796)="","",INDEX('Work Orders'!$X$11:$X$1010,$B796)))</f>
        <v/>
      </c>
      <c r="J796" s="44">
        <f>IF($B796="","",IF(INDEX('Work Orders'!$Z$11:$Z$1010,$B796)="","",INDEX('Work Orders'!$Z$11:$Z$1010,$B796)))</f>
        <v/>
      </c>
      <c r="K796" s="44">
        <f>IF($B796="","",IF(INDEX('Work Orders'!$AG$11:$AG$1010,$B796)="","",INDEX('Work Orders'!$AG$11:$AG$1010,$B796)))</f>
        <v/>
      </c>
      <c r="L796" s="44">
        <f>IF($B796="","",IF(INDEX('Work Orders'!$AH$11:$AH$1010,$B796)="","",INDEX('Work Orders'!$AH$11:$AH$1010,$B796)))</f>
        <v/>
      </c>
      <c r="M796" s="46">
        <f>IF($B796="","",IF(INDEX('Work Orders'!$AM$11:$AM$1010,$B796)="","",INDEX('Work Orders'!$AM$11:$AM$1010,$B796)))</f>
        <v/>
      </c>
      <c r="N796" s="43">
        <f>IF($B796="","",IF(INDEX('Work Orders'!$AL$11:$AL$1010,$B796)="","",INDEX('Work Orders'!$AL$11:$AL$1010,$B796)))</f>
        <v/>
      </c>
      <c r="O796" s="43">
        <f>IF($B796="","",IF(INDEX('Work Orders'!$N$11:$N$1010,$B796)="","",INDEX('Work Orders'!$N$11:$N$1010,$B796)))</f>
        <v/>
      </c>
    </row>
    <row r="797">
      <c r="A797" s="68" t="n">
        <v>791</v>
      </c>
      <c r="B797">
        <f>IFERROR(MATCH(A797,'Work Orders'!$AO$11:$AO$1010,0),"")</f>
        <v/>
      </c>
      <c r="C797" s="43">
        <f>IF($B797="","",IF(INDEX('Work Orders'!$A$11:$A$1010,$B797)="","",INDEX('Work Orders'!$A$11:$A$1010,$B797)))</f>
        <v/>
      </c>
      <c r="D797" s="43">
        <f>IF($B797="","",IF(INDEX('Work Orders'!$B$11:$B$1010,$B797)="","",INDEX('Work Orders'!$B$11:$B$1010,$B797)))</f>
        <v/>
      </c>
      <c r="E797" s="43">
        <f>IF($B797="","",IF(INDEX('Work Orders'!$D$11:$D$1010,$B797)="","",INDEX('Work Orders'!$D$11:$D$1010,$B797)))</f>
        <v/>
      </c>
      <c r="F797" s="43">
        <f>IF($B797="","",IF(INDEX('Work Orders'!$Q$11:$Q$1010,$B797)="","",INDEX('Work Orders'!$Q$11:$Q$1010,$B797)))</f>
        <v/>
      </c>
      <c r="G797" s="43">
        <f>IF($B797="","",IF(INDEX('Work Orders'!$V$11:$V$1010,$B797)="","",INDEX('Work Orders'!$V$11:$V$1010,$B797)))</f>
        <v/>
      </c>
      <c r="H797" s="47">
        <f>IF($B797="","",IF(INDEX('Work Orders'!$U$11:$U$1010,$B797)="","",INDEX('Work Orders'!$U$11:$U$1010,$B797)))</f>
        <v/>
      </c>
      <c r="I797" s="47">
        <f>IF($B797="","",IF(INDEX('Work Orders'!$X$11:$X$1010,$B797)="","",INDEX('Work Orders'!$X$11:$X$1010,$B797)))</f>
        <v/>
      </c>
      <c r="J797" s="44">
        <f>IF($B797="","",IF(INDEX('Work Orders'!$Z$11:$Z$1010,$B797)="","",INDEX('Work Orders'!$Z$11:$Z$1010,$B797)))</f>
        <v/>
      </c>
      <c r="K797" s="44">
        <f>IF($B797="","",IF(INDEX('Work Orders'!$AG$11:$AG$1010,$B797)="","",INDEX('Work Orders'!$AG$11:$AG$1010,$B797)))</f>
        <v/>
      </c>
      <c r="L797" s="44">
        <f>IF($B797="","",IF(INDEX('Work Orders'!$AH$11:$AH$1010,$B797)="","",INDEX('Work Orders'!$AH$11:$AH$1010,$B797)))</f>
        <v/>
      </c>
      <c r="M797" s="46">
        <f>IF($B797="","",IF(INDEX('Work Orders'!$AM$11:$AM$1010,$B797)="","",INDEX('Work Orders'!$AM$11:$AM$1010,$B797)))</f>
        <v/>
      </c>
      <c r="N797" s="43">
        <f>IF($B797="","",IF(INDEX('Work Orders'!$AL$11:$AL$1010,$B797)="","",INDEX('Work Orders'!$AL$11:$AL$1010,$B797)))</f>
        <v/>
      </c>
      <c r="O797" s="43">
        <f>IF($B797="","",IF(INDEX('Work Orders'!$N$11:$N$1010,$B797)="","",INDEX('Work Orders'!$N$11:$N$1010,$B797)))</f>
        <v/>
      </c>
    </row>
    <row r="798">
      <c r="A798" s="68" t="n">
        <v>792</v>
      </c>
      <c r="B798">
        <f>IFERROR(MATCH(A798,'Work Orders'!$AO$11:$AO$1010,0),"")</f>
        <v/>
      </c>
      <c r="C798" s="43">
        <f>IF($B798="","",IF(INDEX('Work Orders'!$A$11:$A$1010,$B798)="","",INDEX('Work Orders'!$A$11:$A$1010,$B798)))</f>
        <v/>
      </c>
      <c r="D798" s="43">
        <f>IF($B798="","",IF(INDEX('Work Orders'!$B$11:$B$1010,$B798)="","",INDEX('Work Orders'!$B$11:$B$1010,$B798)))</f>
        <v/>
      </c>
      <c r="E798" s="43">
        <f>IF($B798="","",IF(INDEX('Work Orders'!$D$11:$D$1010,$B798)="","",INDEX('Work Orders'!$D$11:$D$1010,$B798)))</f>
        <v/>
      </c>
      <c r="F798" s="43">
        <f>IF($B798="","",IF(INDEX('Work Orders'!$Q$11:$Q$1010,$B798)="","",INDEX('Work Orders'!$Q$11:$Q$1010,$B798)))</f>
        <v/>
      </c>
      <c r="G798" s="43">
        <f>IF($B798="","",IF(INDEX('Work Orders'!$V$11:$V$1010,$B798)="","",INDEX('Work Orders'!$V$11:$V$1010,$B798)))</f>
        <v/>
      </c>
      <c r="H798" s="47">
        <f>IF($B798="","",IF(INDEX('Work Orders'!$U$11:$U$1010,$B798)="","",INDEX('Work Orders'!$U$11:$U$1010,$B798)))</f>
        <v/>
      </c>
      <c r="I798" s="47">
        <f>IF($B798="","",IF(INDEX('Work Orders'!$X$11:$X$1010,$B798)="","",INDEX('Work Orders'!$X$11:$X$1010,$B798)))</f>
        <v/>
      </c>
      <c r="J798" s="44">
        <f>IF($B798="","",IF(INDEX('Work Orders'!$Z$11:$Z$1010,$B798)="","",INDEX('Work Orders'!$Z$11:$Z$1010,$B798)))</f>
        <v/>
      </c>
      <c r="K798" s="44">
        <f>IF($B798="","",IF(INDEX('Work Orders'!$AG$11:$AG$1010,$B798)="","",INDEX('Work Orders'!$AG$11:$AG$1010,$B798)))</f>
        <v/>
      </c>
      <c r="L798" s="44">
        <f>IF($B798="","",IF(INDEX('Work Orders'!$AH$11:$AH$1010,$B798)="","",INDEX('Work Orders'!$AH$11:$AH$1010,$B798)))</f>
        <v/>
      </c>
      <c r="M798" s="46">
        <f>IF($B798="","",IF(INDEX('Work Orders'!$AM$11:$AM$1010,$B798)="","",INDEX('Work Orders'!$AM$11:$AM$1010,$B798)))</f>
        <v/>
      </c>
      <c r="N798" s="43">
        <f>IF($B798="","",IF(INDEX('Work Orders'!$AL$11:$AL$1010,$B798)="","",INDEX('Work Orders'!$AL$11:$AL$1010,$B798)))</f>
        <v/>
      </c>
      <c r="O798" s="43">
        <f>IF($B798="","",IF(INDEX('Work Orders'!$N$11:$N$1010,$B798)="","",INDEX('Work Orders'!$N$11:$N$1010,$B798)))</f>
        <v/>
      </c>
    </row>
    <row r="799">
      <c r="A799" s="68" t="n">
        <v>793</v>
      </c>
      <c r="B799">
        <f>IFERROR(MATCH(A799,'Work Orders'!$AO$11:$AO$1010,0),"")</f>
        <v/>
      </c>
      <c r="C799" s="43">
        <f>IF($B799="","",IF(INDEX('Work Orders'!$A$11:$A$1010,$B799)="","",INDEX('Work Orders'!$A$11:$A$1010,$B799)))</f>
        <v/>
      </c>
      <c r="D799" s="43">
        <f>IF($B799="","",IF(INDEX('Work Orders'!$B$11:$B$1010,$B799)="","",INDEX('Work Orders'!$B$11:$B$1010,$B799)))</f>
        <v/>
      </c>
      <c r="E799" s="43">
        <f>IF($B799="","",IF(INDEX('Work Orders'!$D$11:$D$1010,$B799)="","",INDEX('Work Orders'!$D$11:$D$1010,$B799)))</f>
        <v/>
      </c>
      <c r="F799" s="43">
        <f>IF($B799="","",IF(INDEX('Work Orders'!$Q$11:$Q$1010,$B799)="","",INDEX('Work Orders'!$Q$11:$Q$1010,$B799)))</f>
        <v/>
      </c>
      <c r="G799" s="43">
        <f>IF($B799="","",IF(INDEX('Work Orders'!$V$11:$V$1010,$B799)="","",INDEX('Work Orders'!$V$11:$V$1010,$B799)))</f>
        <v/>
      </c>
      <c r="H799" s="47">
        <f>IF($B799="","",IF(INDEX('Work Orders'!$U$11:$U$1010,$B799)="","",INDEX('Work Orders'!$U$11:$U$1010,$B799)))</f>
        <v/>
      </c>
      <c r="I799" s="47">
        <f>IF($B799="","",IF(INDEX('Work Orders'!$X$11:$X$1010,$B799)="","",INDEX('Work Orders'!$X$11:$X$1010,$B799)))</f>
        <v/>
      </c>
      <c r="J799" s="44">
        <f>IF($B799="","",IF(INDEX('Work Orders'!$Z$11:$Z$1010,$B799)="","",INDEX('Work Orders'!$Z$11:$Z$1010,$B799)))</f>
        <v/>
      </c>
      <c r="K799" s="44">
        <f>IF($B799="","",IF(INDEX('Work Orders'!$AG$11:$AG$1010,$B799)="","",INDEX('Work Orders'!$AG$11:$AG$1010,$B799)))</f>
        <v/>
      </c>
      <c r="L799" s="44">
        <f>IF($B799="","",IF(INDEX('Work Orders'!$AH$11:$AH$1010,$B799)="","",INDEX('Work Orders'!$AH$11:$AH$1010,$B799)))</f>
        <v/>
      </c>
      <c r="M799" s="46">
        <f>IF($B799="","",IF(INDEX('Work Orders'!$AM$11:$AM$1010,$B799)="","",INDEX('Work Orders'!$AM$11:$AM$1010,$B799)))</f>
        <v/>
      </c>
      <c r="N799" s="43">
        <f>IF($B799="","",IF(INDEX('Work Orders'!$AL$11:$AL$1010,$B799)="","",INDEX('Work Orders'!$AL$11:$AL$1010,$B799)))</f>
        <v/>
      </c>
      <c r="O799" s="43">
        <f>IF($B799="","",IF(INDEX('Work Orders'!$N$11:$N$1010,$B799)="","",INDEX('Work Orders'!$N$11:$N$1010,$B799)))</f>
        <v/>
      </c>
    </row>
    <row r="800">
      <c r="A800" s="68" t="n">
        <v>794</v>
      </c>
      <c r="B800">
        <f>IFERROR(MATCH(A800,'Work Orders'!$AO$11:$AO$1010,0),"")</f>
        <v/>
      </c>
      <c r="C800" s="43">
        <f>IF($B800="","",IF(INDEX('Work Orders'!$A$11:$A$1010,$B800)="","",INDEX('Work Orders'!$A$11:$A$1010,$B800)))</f>
        <v/>
      </c>
      <c r="D800" s="43">
        <f>IF($B800="","",IF(INDEX('Work Orders'!$B$11:$B$1010,$B800)="","",INDEX('Work Orders'!$B$11:$B$1010,$B800)))</f>
        <v/>
      </c>
      <c r="E800" s="43">
        <f>IF($B800="","",IF(INDEX('Work Orders'!$D$11:$D$1010,$B800)="","",INDEX('Work Orders'!$D$11:$D$1010,$B800)))</f>
        <v/>
      </c>
      <c r="F800" s="43">
        <f>IF($B800="","",IF(INDEX('Work Orders'!$Q$11:$Q$1010,$B800)="","",INDEX('Work Orders'!$Q$11:$Q$1010,$B800)))</f>
        <v/>
      </c>
      <c r="G800" s="43">
        <f>IF($B800="","",IF(INDEX('Work Orders'!$V$11:$V$1010,$B800)="","",INDEX('Work Orders'!$V$11:$V$1010,$B800)))</f>
        <v/>
      </c>
      <c r="H800" s="47">
        <f>IF($B800="","",IF(INDEX('Work Orders'!$U$11:$U$1010,$B800)="","",INDEX('Work Orders'!$U$11:$U$1010,$B800)))</f>
        <v/>
      </c>
      <c r="I800" s="47">
        <f>IF($B800="","",IF(INDEX('Work Orders'!$X$11:$X$1010,$B800)="","",INDEX('Work Orders'!$X$11:$X$1010,$B800)))</f>
        <v/>
      </c>
      <c r="J800" s="44">
        <f>IF($B800="","",IF(INDEX('Work Orders'!$Z$11:$Z$1010,$B800)="","",INDEX('Work Orders'!$Z$11:$Z$1010,$B800)))</f>
        <v/>
      </c>
      <c r="K800" s="44">
        <f>IF($B800="","",IF(INDEX('Work Orders'!$AG$11:$AG$1010,$B800)="","",INDEX('Work Orders'!$AG$11:$AG$1010,$B800)))</f>
        <v/>
      </c>
      <c r="L800" s="44">
        <f>IF($B800="","",IF(INDEX('Work Orders'!$AH$11:$AH$1010,$B800)="","",INDEX('Work Orders'!$AH$11:$AH$1010,$B800)))</f>
        <v/>
      </c>
      <c r="M800" s="46">
        <f>IF($B800="","",IF(INDEX('Work Orders'!$AM$11:$AM$1010,$B800)="","",INDEX('Work Orders'!$AM$11:$AM$1010,$B800)))</f>
        <v/>
      </c>
      <c r="N800" s="43">
        <f>IF($B800="","",IF(INDEX('Work Orders'!$AL$11:$AL$1010,$B800)="","",INDEX('Work Orders'!$AL$11:$AL$1010,$B800)))</f>
        <v/>
      </c>
      <c r="O800" s="43">
        <f>IF($B800="","",IF(INDEX('Work Orders'!$N$11:$N$1010,$B800)="","",INDEX('Work Orders'!$N$11:$N$1010,$B800)))</f>
        <v/>
      </c>
    </row>
    <row r="801">
      <c r="A801" s="68" t="n">
        <v>795</v>
      </c>
      <c r="B801">
        <f>IFERROR(MATCH(A801,'Work Orders'!$AO$11:$AO$1010,0),"")</f>
        <v/>
      </c>
      <c r="C801" s="43">
        <f>IF($B801="","",IF(INDEX('Work Orders'!$A$11:$A$1010,$B801)="","",INDEX('Work Orders'!$A$11:$A$1010,$B801)))</f>
        <v/>
      </c>
      <c r="D801" s="43">
        <f>IF($B801="","",IF(INDEX('Work Orders'!$B$11:$B$1010,$B801)="","",INDEX('Work Orders'!$B$11:$B$1010,$B801)))</f>
        <v/>
      </c>
      <c r="E801" s="43">
        <f>IF($B801="","",IF(INDEX('Work Orders'!$D$11:$D$1010,$B801)="","",INDEX('Work Orders'!$D$11:$D$1010,$B801)))</f>
        <v/>
      </c>
      <c r="F801" s="43">
        <f>IF($B801="","",IF(INDEX('Work Orders'!$Q$11:$Q$1010,$B801)="","",INDEX('Work Orders'!$Q$11:$Q$1010,$B801)))</f>
        <v/>
      </c>
      <c r="G801" s="43">
        <f>IF($B801="","",IF(INDEX('Work Orders'!$V$11:$V$1010,$B801)="","",INDEX('Work Orders'!$V$11:$V$1010,$B801)))</f>
        <v/>
      </c>
      <c r="H801" s="47">
        <f>IF($B801="","",IF(INDEX('Work Orders'!$U$11:$U$1010,$B801)="","",INDEX('Work Orders'!$U$11:$U$1010,$B801)))</f>
        <v/>
      </c>
      <c r="I801" s="47">
        <f>IF($B801="","",IF(INDEX('Work Orders'!$X$11:$X$1010,$B801)="","",INDEX('Work Orders'!$X$11:$X$1010,$B801)))</f>
        <v/>
      </c>
      <c r="J801" s="44">
        <f>IF($B801="","",IF(INDEX('Work Orders'!$Z$11:$Z$1010,$B801)="","",INDEX('Work Orders'!$Z$11:$Z$1010,$B801)))</f>
        <v/>
      </c>
      <c r="K801" s="44">
        <f>IF($B801="","",IF(INDEX('Work Orders'!$AG$11:$AG$1010,$B801)="","",INDEX('Work Orders'!$AG$11:$AG$1010,$B801)))</f>
        <v/>
      </c>
      <c r="L801" s="44">
        <f>IF($B801="","",IF(INDEX('Work Orders'!$AH$11:$AH$1010,$B801)="","",INDEX('Work Orders'!$AH$11:$AH$1010,$B801)))</f>
        <v/>
      </c>
      <c r="M801" s="46">
        <f>IF($B801="","",IF(INDEX('Work Orders'!$AM$11:$AM$1010,$B801)="","",INDEX('Work Orders'!$AM$11:$AM$1010,$B801)))</f>
        <v/>
      </c>
      <c r="N801" s="43">
        <f>IF($B801="","",IF(INDEX('Work Orders'!$AL$11:$AL$1010,$B801)="","",INDEX('Work Orders'!$AL$11:$AL$1010,$B801)))</f>
        <v/>
      </c>
      <c r="O801" s="43">
        <f>IF($B801="","",IF(INDEX('Work Orders'!$N$11:$N$1010,$B801)="","",INDEX('Work Orders'!$N$11:$N$1010,$B801)))</f>
        <v/>
      </c>
    </row>
    <row r="802">
      <c r="A802" s="68" t="n">
        <v>796</v>
      </c>
      <c r="B802">
        <f>IFERROR(MATCH(A802,'Work Orders'!$AO$11:$AO$1010,0),"")</f>
        <v/>
      </c>
      <c r="C802" s="43">
        <f>IF($B802="","",IF(INDEX('Work Orders'!$A$11:$A$1010,$B802)="","",INDEX('Work Orders'!$A$11:$A$1010,$B802)))</f>
        <v/>
      </c>
      <c r="D802" s="43">
        <f>IF($B802="","",IF(INDEX('Work Orders'!$B$11:$B$1010,$B802)="","",INDEX('Work Orders'!$B$11:$B$1010,$B802)))</f>
        <v/>
      </c>
      <c r="E802" s="43">
        <f>IF($B802="","",IF(INDEX('Work Orders'!$D$11:$D$1010,$B802)="","",INDEX('Work Orders'!$D$11:$D$1010,$B802)))</f>
        <v/>
      </c>
      <c r="F802" s="43">
        <f>IF($B802="","",IF(INDEX('Work Orders'!$Q$11:$Q$1010,$B802)="","",INDEX('Work Orders'!$Q$11:$Q$1010,$B802)))</f>
        <v/>
      </c>
      <c r="G802" s="43">
        <f>IF($B802="","",IF(INDEX('Work Orders'!$V$11:$V$1010,$B802)="","",INDEX('Work Orders'!$V$11:$V$1010,$B802)))</f>
        <v/>
      </c>
      <c r="H802" s="47">
        <f>IF($B802="","",IF(INDEX('Work Orders'!$U$11:$U$1010,$B802)="","",INDEX('Work Orders'!$U$11:$U$1010,$B802)))</f>
        <v/>
      </c>
      <c r="I802" s="47">
        <f>IF($B802="","",IF(INDEX('Work Orders'!$X$11:$X$1010,$B802)="","",INDEX('Work Orders'!$X$11:$X$1010,$B802)))</f>
        <v/>
      </c>
      <c r="J802" s="44">
        <f>IF($B802="","",IF(INDEX('Work Orders'!$Z$11:$Z$1010,$B802)="","",INDEX('Work Orders'!$Z$11:$Z$1010,$B802)))</f>
        <v/>
      </c>
      <c r="K802" s="44">
        <f>IF($B802="","",IF(INDEX('Work Orders'!$AG$11:$AG$1010,$B802)="","",INDEX('Work Orders'!$AG$11:$AG$1010,$B802)))</f>
        <v/>
      </c>
      <c r="L802" s="44">
        <f>IF($B802="","",IF(INDEX('Work Orders'!$AH$11:$AH$1010,$B802)="","",INDEX('Work Orders'!$AH$11:$AH$1010,$B802)))</f>
        <v/>
      </c>
      <c r="M802" s="46">
        <f>IF($B802="","",IF(INDEX('Work Orders'!$AM$11:$AM$1010,$B802)="","",INDEX('Work Orders'!$AM$11:$AM$1010,$B802)))</f>
        <v/>
      </c>
      <c r="N802" s="43">
        <f>IF($B802="","",IF(INDEX('Work Orders'!$AL$11:$AL$1010,$B802)="","",INDEX('Work Orders'!$AL$11:$AL$1010,$B802)))</f>
        <v/>
      </c>
      <c r="O802" s="43">
        <f>IF($B802="","",IF(INDEX('Work Orders'!$N$11:$N$1010,$B802)="","",INDEX('Work Orders'!$N$11:$N$1010,$B802)))</f>
        <v/>
      </c>
    </row>
    <row r="803">
      <c r="A803" s="68" t="n">
        <v>797</v>
      </c>
      <c r="B803">
        <f>IFERROR(MATCH(A803,'Work Orders'!$AO$11:$AO$1010,0),"")</f>
        <v/>
      </c>
      <c r="C803" s="43">
        <f>IF($B803="","",IF(INDEX('Work Orders'!$A$11:$A$1010,$B803)="","",INDEX('Work Orders'!$A$11:$A$1010,$B803)))</f>
        <v/>
      </c>
      <c r="D803" s="43">
        <f>IF($B803="","",IF(INDEX('Work Orders'!$B$11:$B$1010,$B803)="","",INDEX('Work Orders'!$B$11:$B$1010,$B803)))</f>
        <v/>
      </c>
      <c r="E803" s="43">
        <f>IF($B803="","",IF(INDEX('Work Orders'!$D$11:$D$1010,$B803)="","",INDEX('Work Orders'!$D$11:$D$1010,$B803)))</f>
        <v/>
      </c>
      <c r="F803" s="43">
        <f>IF($B803="","",IF(INDEX('Work Orders'!$Q$11:$Q$1010,$B803)="","",INDEX('Work Orders'!$Q$11:$Q$1010,$B803)))</f>
        <v/>
      </c>
      <c r="G803" s="43">
        <f>IF($B803="","",IF(INDEX('Work Orders'!$V$11:$V$1010,$B803)="","",INDEX('Work Orders'!$V$11:$V$1010,$B803)))</f>
        <v/>
      </c>
      <c r="H803" s="47">
        <f>IF($B803="","",IF(INDEX('Work Orders'!$U$11:$U$1010,$B803)="","",INDEX('Work Orders'!$U$11:$U$1010,$B803)))</f>
        <v/>
      </c>
      <c r="I803" s="47">
        <f>IF($B803="","",IF(INDEX('Work Orders'!$X$11:$X$1010,$B803)="","",INDEX('Work Orders'!$X$11:$X$1010,$B803)))</f>
        <v/>
      </c>
      <c r="J803" s="44">
        <f>IF($B803="","",IF(INDEX('Work Orders'!$Z$11:$Z$1010,$B803)="","",INDEX('Work Orders'!$Z$11:$Z$1010,$B803)))</f>
        <v/>
      </c>
      <c r="K803" s="44">
        <f>IF($B803="","",IF(INDEX('Work Orders'!$AG$11:$AG$1010,$B803)="","",INDEX('Work Orders'!$AG$11:$AG$1010,$B803)))</f>
        <v/>
      </c>
      <c r="L803" s="44">
        <f>IF($B803="","",IF(INDEX('Work Orders'!$AH$11:$AH$1010,$B803)="","",INDEX('Work Orders'!$AH$11:$AH$1010,$B803)))</f>
        <v/>
      </c>
      <c r="M803" s="46">
        <f>IF($B803="","",IF(INDEX('Work Orders'!$AM$11:$AM$1010,$B803)="","",INDEX('Work Orders'!$AM$11:$AM$1010,$B803)))</f>
        <v/>
      </c>
      <c r="N803" s="43">
        <f>IF($B803="","",IF(INDEX('Work Orders'!$AL$11:$AL$1010,$B803)="","",INDEX('Work Orders'!$AL$11:$AL$1010,$B803)))</f>
        <v/>
      </c>
      <c r="O803" s="43">
        <f>IF($B803="","",IF(INDEX('Work Orders'!$N$11:$N$1010,$B803)="","",INDEX('Work Orders'!$N$11:$N$1010,$B803)))</f>
        <v/>
      </c>
    </row>
    <row r="804">
      <c r="A804" s="68" t="n">
        <v>798</v>
      </c>
      <c r="B804">
        <f>IFERROR(MATCH(A804,'Work Orders'!$AO$11:$AO$1010,0),"")</f>
        <v/>
      </c>
      <c r="C804" s="43">
        <f>IF($B804="","",IF(INDEX('Work Orders'!$A$11:$A$1010,$B804)="","",INDEX('Work Orders'!$A$11:$A$1010,$B804)))</f>
        <v/>
      </c>
      <c r="D804" s="43">
        <f>IF($B804="","",IF(INDEX('Work Orders'!$B$11:$B$1010,$B804)="","",INDEX('Work Orders'!$B$11:$B$1010,$B804)))</f>
        <v/>
      </c>
      <c r="E804" s="43">
        <f>IF($B804="","",IF(INDEX('Work Orders'!$D$11:$D$1010,$B804)="","",INDEX('Work Orders'!$D$11:$D$1010,$B804)))</f>
        <v/>
      </c>
      <c r="F804" s="43">
        <f>IF($B804="","",IF(INDEX('Work Orders'!$Q$11:$Q$1010,$B804)="","",INDEX('Work Orders'!$Q$11:$Q$1010,$B804)))</f>
        <v/>
      </c>
      <c r="G804" s="43">
        <f>IF($B804="","",IF(INDEX('Work Orders'!$V$11:$V$1010,$B804)="","",INDEX('Work Orders'!$V$11:$V$1010,$B804)))</f>
        <v/>
      </c>
      <c r="H804" s="47">
        <f>IF($B804="","",IF(INDEX('Work Orders'!$U$11:$U$1010,$B804)="","",INDEX('Work Orders'!$U$11:$U$1010,$B804)))</f>
        <v/>
      </c>
      <c r="I804" s="47">
        <f>IF($B804="","",IF(INDEX('Work Orders'!$X$11:$X$1010,$B804)="","",INDEX('Work Orders'!$X$11:$X$1010,$B804)))</f>
        <v/>
      </c>
      <c r="J804" s="44">
        <f>IF($B804="","",IF(INDEX('Work Orders'!$Z$11:$Z$1010,$B804)="","",INDEX('Work Orders'!$Z$11:$Z$1010,$B804)))</f>
        <v/>
      </c>
      <c r="K804" s="44">
        <f>IF($B804="","",IF(INDEX('Work Orders'!$AG$11:$AG$1010,$B804)="","",INDEX('Work Orders'!$AG$11:$AG$1010,$B804)))</f>
        <v/>
      </c>
      <c r="L804" s="44">
        <f>IF($B804="","",IF(INDEX('Work Orders'!$AH$11:$AH$1010,$B804)="","",INDEX('Work Orders'!$AH$11:$AH$1010,$B804)))</f>
        <v/>
      </c>
      <c r="M804" s="46">
        <f>IF($B804="","",IF(INDEX('Work Orders'!$AM$11:$AM$1010,$B804)="","",INDEX('Work Orders'!$AM$11:$AM$1010,$B804)))</f>
        <v/>
      </c>
      <c r="N804" s="43">
        <f>IF($B804="","",IF(INDEX('Work Orders'!$AL$11:$AL$1010,$B804)="","",INDEX('Work Orders'!$AL$11:$AL$1010,$B804)))</f>
        <v/>
      </c>
      <c r="O804" s="43">
        <f>IF($B804="","",IF(INDEX('Work Orders'!$N$11:$N$1010,$B804)="","",INDEX('Work Orders'!$N$11:$N$1010,$B804)))</f>
        <v/>
      </c>
    </row>
    <row r="805">
      <c r="A805" s="68" t="n">
        <v>799</v>
      </c>
      <c r="B805">
        <f>IFERROR(MATCH(A805,'Work Orders'!$AO$11:$AO$1010,0),"")</f>
        <v/>
      </c>
      <c r="C805" s="43">
        <f>IF($B805="","",IF(INDEX('Work Orders'!$A$11:$A$1010,$B805)="","",INDEX('Work Orders'!$A$11:$A$1010,$B805)))</f>
        <v/>
      </c>
      <c r="D805" s="43">
        <f>IF($B805="","",IF(INDEX('Work Orders'!$B$11:$B$1010,$B805)="","",INDEX('Work Orders'!$B$11:$B$1010,$B805)))</f>
        <v/>
      </c>
      <c r="E805" s="43">
        <f>IF($B805="","",IF(INDEX('Work Orders'!$D$11:$D$1010,$B805)="","",INDEX('Work Orders'!$D$11:$D$1010,$B805)))</f>
        <v/>
      </c>
      <c r="F805" s="43">
        <f>IF($B805="","",IF(INDEX('Work Orders'!$Q$11:$Q$1010,$B805)="","",INDEX('Work Orders'!$Q$11:$Q$1010,$B805)))</f>
        <v/>
      </c>
      <c r="G805" s="43">
        <f>IF($B805="","",IF(INDEX('Work Orders'!$V$11:$V$1010,$B805)="","",INDEX('Work Orders'!$V$11:$V$1010,$B805)))</f>
        <v/>
      </c>
      <c r="H805" s="47">
        <f>IF($B805="","",IF(INDEX('Work Orders'!$U$11:$U$1010,$B805)="","",INDEX('Work Orders'!$U$11:$U$1010,$B805)))</f>
        <v/>
      </c>
      <c r="I805" s="47">
        <f>IF($B805="","",IF(INDEX('Work Orders'!$X$11:$X$1010,$B805)="","",INDEX('Work Orders'!$X$11:$X$1010,$B805)))</f>
        <v/>
      </c>
      <c r="J805" s="44">
        <f>IF($B805="","",IF(INDEX('Work Orders'!$Z$11:$Z$1010,$B805)="","",INDEX('Work Orders'!$Z$11:$Z$1010,$B805)))</f>
        <v/>
      </c>
      <c r="K805" s="44">
        <f>IF($B805="","",IF(INDEX('Work Orders'!$AG$11:$AG$1010,$B805)="","",INDEX('Work Orders'!$AG$11:$AG$1010,$B805)))</f>
        <v/>
      </c>
      <c r="L805" s="44">
        <f>IF($B805="","",IF(INDEX('Work Orders'!$AH$11:$AH$1010,$B805)="","",INDEX('Work Orders'!$AH$11:$AH$1010,$B805)))</f>
        <v/>
      </c>
      <c r="M805" s="46">
        <f>IF($B805="","",IF(INDEX('Work Orders'!$AM$11:$AM$1010,$B805)="","",INDEX('Work Orders'!$AM$11:$AM$1010,$B805)))</f>
        <v/>
      </c>
      <c r="N805" s="43">
        <f>IF($B805="","",IF(INDEX('Work Orders'!$AL$11:$AL$1010,$B805)="","",INDEX('Work Orders'!$AL$11:$AL$1010,$B805)))</f>
        <v/>
      </c>
      <c r="O805" s="43">
        <f>IF($B805="","",IF(INDEX('Work Orders'!$N$11:$N$1010,$B805)="","",INDEX('Work Orders'!$N$11:$N$1010,$B805)))</f>
        <v/>
      </c>
    </row>
    <row r="806">
      <c r="A806" s="68" t="n">
        <v>800</v>
      </c>
      <c r="B806">
        <f>IFERROR(MATCH(A806,'Work Orders'!$AO$11:$AO$1010,0),"")</f>
        <v/>
      </c>
      <c r="C806" s="43">
        <f>IF($B806="","",IF(INDEX('Work Orders'!$A$11:$A$1010,$B806)="","",INDEX('Work Orders'!$A$11:$A$1010,$B806)))</f>
        <v/>
      </c>
      <c r="D806" s="43">
        <f>IF($B806="","",IF(INDEX('Work Orders'!$B$11:$B$1010,$B806)="","",INDEX('Work Orders'!$B$11:$B$1010,$B806)))</f>
        <v/>
      </c>
      <c r="E806" s="43">
        <f>IF($B806="","",IF(INDEX('Work Orders'!$D$11:$D$1010,$B806)="","",INDEX('Work Orders'!$D$11:$D$1010,$B806)))</f>
        <v/>
      </c>
      <c r="F806" s="43">
        <f>IF($B806="","",IF(INDEX('Work Orders'!$Q$11:$Q$1010,$B806)="","",INDEX('Work Orders'!$Q$11:$Q$1010,$B806)))</f>
        <v/>
      </c>
      <c r="G806" s="43">
        <f>IF($B806="","",IF(INDEX('Work Orders'!$V$11:$V$1010,$B806)="","",INDEX('Work Orders'!$V$11:$V$1010,$B806)))</f>
        <v/>
      </c>
      <c r="H806" s="47">
        <f>IF($B806="","",IF(INDEX('Work Orders'!$U$11:$U$1010,$B806)="","",INDEX('Work Orders'!$U$11:$U$1010,$B806)))</f>
        <v/>
      </c>
      <c r="I806" s="47">
        <f>IF($B806="","",IF(INDEX('Work Orders'!$X$11:$X$1010,$B806)="","",INDEX('Work Orders'!$X$11:$X$1010,$B806)))</f>
        <v/>
      </c>
      <c r="J806" s="44">
        <f>IF($B806="","",IF(INDEX('Work Orders'!$Z$11:$Z$1010,$B806)="","",INDEX('Work Orders'!$Z$11:$Z$1010,$B806)))</f>
        <v/>
      </c>
      <c r="K806" s="44">
        <f>IF($B806="","",IF(INDEX('Work Orders'!$AG$11:$AG$1010,$B806)="","",INDEX('Work Orders'!$AG$11:$AG$1010,$B806)))</f>
        <v/>
      </c>
      <c r="L806" s="44">
        <f>IF($B806="","",IF(INDEX('Work Orders'!$AH$11:$AH$1010,$B806)="","",INDEX('Work Orders'!$AH$11:$AH$1010,$B806)))</f>
        <v/>
      </c>
      <c r="M806" s="46">
        <f>IF($B806="","",IF(INDEX('Work Orders'!$AM$11:$AM$1010,$B806)="","",INDEX('Work Orders'!$AM$11:$AM$1010,$B806)))</f>
        <v/>
      </c>
      <c r="N806" s="43">
        <f>IF($B806="","",IF(INDEX('Work Orders'!$AL$11:$AL$1010,$B806)="","",INDEX('Work Orders'!$AL$11:$AL$1010,$B806)))</f>
        <v/>
      </c>
      <c r="O806" s="43">
        <f>IF($B806="","",IF(INDEX('Work Orders'!$N$11:$N$1010,$B806)="","",INDEX('Work Orders'!$N$11:$N$1010,$B806)))</f>
        <v/>
      </c>
    </row>
    <row r="807">
      <c r="A807" s="68" t="n">
        <v>801</v>
      </c>
      <c r="B807">
        <f>IFERROR(MATCH(A807,'Work Orders'!$AO$11:$AO$1010,0),"")</f>
        <v/>
      </c>
      <c r="C807" s="43">
        <f>IF($B807="","",IF(INDEX('Work Orders'!$A$11:$A$1010,$B807)="","",INDEX('Work Orders'!$A$11:$A$1010,$B807)))</f>
        <v/>
      </c>
      <c r="D807" s="43">
        <f>IF($B807="","",IF(INDEX('Work Orders'!$B$11:$B$1010,$B807)="","",INDEX('Work Orders'!$B$11:$B$1010,$B807)))</f>
        <v/>
      </c>
      <c r="E807" s="43">
        <f>IF($B807="","",IF(INDEX('Work Orders'!$D$11:$D$1010,$B807)="","",INDEX('Work Orders'!$D$11:$D$1010,$B807)))</f>
        <v/>
      </c>
      <c r="F807" s="43">
        <f>IF($B807="","",IF(INDEX('Work Orders'!$Q$11:$Q$1010,$B807)="","",INDEX('Work Orders'!$Q$11:$Q$1010,$B807)))</f>
        <v/>
      </c>
      <c r="G807" s="43">
        <f>IF($B807="","",IF(INDEX('Work Orders'!$V$11:$V$1010,$B807)="","",INDEX('Work Orders'!$V$11:$V$1010,$B807)))</f>
        <v/>
      </c>
      <c r="H807" s="47">
        <f>IF($B807="","",IF(INDEX('Work Orders'!$U$11:$U$1010,$B807)="","",INDEX('Work Orders'!$U$11:$U$1010,$B807)))</f>
        <v/>
      </c>
      <c r="I807" s="47">
        <f>IF($B807="","",IF(INDEX('Work Orders'!$X$11:$X$1010,$B807)="","",INDEX('Work Orders'!$X$11:$X$1010,$B807)))</f>
        <v/>
      </c>
      <c r="J807" s="44">
        <f>IF($B807="","",IF(INDEX('Work Orders'!$Z$11:$Z$1010,$B807)="","",INDEX('Work Orders'!$Z$11:$Z$1010,$B807)))</f>
        <v/>
      </c>
      <c r="K807" s="44">
        <f>IF($B807="","",IF(INDEX('Work Orders'!$AG$11:$AG$1010,$B807)="","",INDEX('Work Orders'!$AG$11:$AG$1010,$B807)))</f>
        <v/>
      </c>
      <c r="L807" s="44">
        <f>IF($B807="","",IF(INDEX('Work Orders'!$AH$11:$AH$1010,$B807)="","",INDEX('Work Orders'!$AH$11:$AH$1010,$B807)))</f>
        <v/>
      </c>
      <c r="M807" s="46">
        <f>IF($B807="","",IF(INDEX('Work Orders'!$AM$11:$AM$1010,$B807)="","",INDEX('Work Orders'!$AM$11:$AM$1010,$B807)))</f>
        <v/>
      </c>
      <c r="N807" s="43">
        <f>IF($B807="","",IF(INDEX('Work Orders'!$AL$11:$AL$1010,$B807)="","",INDEX('Work Orders'!$AL$11:$AL$1010,$B807)))</f>
        <v/>
      </c>
      <c r="O807" s="43">
        <f>IF($B807="","",IF(INDEX('Work Orders'!$N$11:$N$1010,$B807)="","",INDEX('Work Orders'!$N$11:$N$1010,$B807)))</f>
        <v/>
      </c>
    </row>
    <row r="808">
      <c r="A808" s="68" t="n">
        <v>802</v>
      </c>
      <c r="B808">
        <f>IFERROR(MATCH(A808,'Work Orders'!$AO$11:$AO$1010,0),"")</f>
        <v/>
      </c>
      <c r="C808" s="43">
        <f>IF($B808="","",IF(INDEX('Work Orders'!$A$11:$A$1010,$B808)="","",INDEX('Work Orders'!$A$11:$A$1010,$B808)))</f>
        <v/>
      </c>
      <c r="D808" s="43">
        <f>IF($B808="","",IF(INDEX('Work Orders'!$B$11:$B$1010,$B808)="","",INDEX('Work Orders'!$B$11:$B$1010,$B808)))</f>
        <v/>
      </c>
      <c r="E808" s="43">
        <f>IF($B808="","",IF(INDEX('Work Orders'!$D$11:$D$1010,$B808)="","",INDEX('Work Orders'!$D$11:$D$1010,$B808)))</f>
        <v/>
      </c>
      <c r="F808" s="43">
        <f>IF($B808="","",IF(INDEX('Work Orders'!$Q$11:$Q$1010,$B808)="","",INDEX('Work Orders'!$Q$11:$Q$1010,$B808)))</f>
        <v/>
      </c>
      <c r="G808" s="43">
        <f>IF($B808="","",IF(INDEX('Work Orders'!$V$11:$V$1010,$B808)="","",INDEX('Work Orders'!$V$11:$V$1010,$B808)))</f>
        <v/>
      </c>
      <c r="H808" s="47">
        <f>IF($B808="","",IF(INDEX('Work Orders'!$U$11:$U$1010,$B808)="","",INDEX('Work Orders'!$U$11:$U$1010,$B808)))</f>
        <v/>
      </c>
      <c r="I808" s="47">
        <f>IF($B808="","",IF(INDEX('Work Orders'!$X$11:$X$1010,$B808)="","",INDEX('Work Orders'!$X$11:$X$1010,$B808)))</f>
        <v/>
      </c>
      <c r="J808" s="44">
        <f>IF($B808="","",IF(INDEX('Work Orders'!$Z$11:$Z$1010,$B808)="","",INDEX('Work Orders'!$Z$11:$Z$1010,$B808)))</f>
        <v/>
      </c>
      <c r="K808" s="44">
        <f>IF($B808="","",IF(INDEX('Work Orders'!$AG$11:$AG$1010,$B808)="","",INDEX('Work Orders'!$AG$11:$AG$1010,$B808)))</f>
        <v/>
      </c>
      <c r="L808" s="44">
        <f>IF($B808="","",IF(INDEX('Work Orders'!$AH$11:$AH$1010,$B808)="","",INDEX('Work Orders'!$AH$11:$AH$1010,$B808)))</f>
        <v/>
      </c>
      <c r="M808" s="46">
        <f>IF($B808="","",IF(INDEX('Work Orders'!$AM$11:$AM$1010,$B808)="","",INDEX('Work Orders'!$AM$11:$AM$1010,$B808)))</f>
        <v/>
      </c>
      <c r="N808" s="43">
        <f>IF($B808="","",IF(INDEX('Work Orders'!$AL$11:$AL$1010,$B808)="","",INDEX('Work Orders'!$AL$11:$AL$1010,$B808)))</f>
        <v/>
      </c>
      <c r="O808" s="43">
        <f>IF($B808="","",IF(INDEX('Work Orders'!$N$11:$N$1010,$B808)="","",INDEX('Work Orders'!$N$11:$N$1010,$B808)))</f>
        <v/>
      </c>
    </row>
    <row r="809">
      <c r="A809" s="68" t="n">
        <v>803</v>
      </c>
      <c r="B809">
        <f>IFERROR(MATCH(A809,'Work Orders'!$AO$11:$AO$1010,0),"")</f>
        <v/>
      </c>
      <c r="C809" s="43">
        <f>IF($B809="","",IF(INDEX('Work Orders'!$A$11:$A$1010,$B809)="","",INDEX('Work Orders'!$A$11:$A$1010,$B809)))</f>
        <v/>
      </c>
      <c r="D809" s="43">
        <f>IF($B809="","",IF(INDEX('Work Orders'!$B$11:$B$1010,$B809)="","",INDEX('Work Orders'!$B$11:$B$1010,$B809)))</f>
        <v/>
      </c>
      <c r="E809" s="43">
        <f>IF($B809="","",IF(INDEX('Work Orders'!$D$11:$D$1010,$B809)="","",INDEX('Work Orders'!$D$11:$D$1010,$B809)))</f>
        <v/>
      </c>
      <c r="F809" s="43">
        <f>IF($B809="","",IF(INDEX('Work Orders'!$Q$11:$Q$1010,$B809)="","",INDEX('Work Orders'!$Q$11:$Q$1010,$B809)))</f>
        <v/>
      </c>
      <c r="G809" s="43">
        <f>IF($B809="","",IF(INDEX('Work Orders'!$V$11:$V$1010,$B809)="","",INDEX('Work Orders'!$V$11:$V$1010,$B809)))</f>
        <v/>
      </c>
      <c r="H809" s="47">
        <f>IF($B809="","",IF(INDEX('Work Orders'!$U$11:$U$1010,$B809)="","",INDEX('Work Orders'!$U$11:$U$1010,$B809)))</f>
        <v/>
      </c>
      <c r="I809" s="47">
        <f>IF($B809="","",IF(INDEX('Work Orders'!$X$11:$X$1010,$B809)="","",INDEX('Work Orders'!$X$11:$X$1010,$B809)))</f>
        <v/>
      </c>
      <c r="J809" s="44">
        <f>IF($B809="","",IF(INDEX('Work Orders'!$Z$11:$Z$1010,$B809)="","",INDEX('Work Orders'!$Z$11:$Z$1010,$B809)))</f>
        <v/>
      </c>
      <c r="K809" s="44">
        <f>IF($B809="","",IF(INDEX('Work Orders'!$AG$11:$AG$1010,$B809)="","",INDEX('Work Orders'!$AG$11:$AG$1010,$B809)))</f>
        <v/>
      </c>
      <c r="L809" s="44">
        <f>IF($B809="","",IF(INDEX('Work Orders'!$AH$11:$AH$1010,$B809)="","",INDEX('Work Orders'!$AH$11:$AH$1010,$B809)))</f>
        <v/>
      </c>
      <c r="M809" s="46">
        <f>IF($B809="","",IF(INDEX('Work Orders'!$AM$11:$AM$1010,$B809)="","",INDEX('Work Orders'!$AM$11:$AM$1010,$B809)))</f>
        <v/>
      </c>
      <c r="N809" s="43">
        <f>IF($B809="","",IF(INDEX('Work Orders'!$AL$11:$AL$1010,$B809)="","",INDEX('Work Orders'!$AL$11:$AL$1010,$B809)))</f>
        <v/>
      </c>
      <c r="O809" s="43">
        <f>IF($B809="","",IF(INDEX('Work Orders'!$N$11:$N$1010,$B809)="","",INDEX('Work Orders'!$N$11:$N$1010,$B809)))</f>
        <v/>
      </c>
    </row>
    <row r="810">
      <c r="A810" s="68" t="n">
        <v>804</v>
      </c>
      <c r="B810">
        <f>IFERROR(MATCH(A810,'Work Orders'!$AO$11:$AO$1010,0),"")</f>
        <v/>
      </c>
      <c r="C810" s="43">
        <f>IF($B810="","",IF(INDEX('Work Orders'!$A$11:$A$1010,$B810)="","",INDEX('Work Orders'!$A$11:$A$1010,$B810)))</f>
        <v/>
      </c>
      <c r="D810" s="43">
        <f>IF($B810="","",IF(INDEX('Work Orders'!$B$11:$B$1010,$B810)="","",INDEX('Work Orders'!$B$11:$B$1010,$B810)))</f>
        <v/>
      </c>
      <c r="E810" s="43">
        <f>IF($B810="","",IF(INDEX('Work Orders'!$D$11:$D$1010,$B810)="","",INDEX('Work Orders'!$D$11:$D$1010,$B810)))</f>
        <v/>
      </c>
      <c r="F810" s="43">
        <f>IF($B810="","",IF(INDEX('Work Orders'!$Q$11:$Q$1010,$B810)="","",INDEX('Work Orders'!$Q$11:$Q$1010,$B810)))</f>
        <v/>
      </c>
      <c r="G810" s="43">
        <f>IF($B810="","",IF(INDEX('Work Orders'!$V$11:$V$1010,$B810)="","",INDEX('Work Orders'!$V$11:$V$1010,$B810)))</f>
        <v/>
      </c>
      <c r="H810" s="47">
        <f>IF($B810="","",IF(INDEX('Work Orders'!$U$11:$U$1010,$B810)="","",INDEX('Work Orders'!$U$11:$U$1010,$B810)))</f>
        <v/>
      </c>
      <c r="I810" s="47">
        <f>IF($B810="","",IF(INDEX('Work Orders'!$X$11:$X$1010,$B810)="","",INDEX('Work Orders'!$X$11:$X$1010,$B810)))</f>
        <v/>
      </c>
      <c r="J810" s="44">
        <f>IF($B810="","",IF(INDEX('Work Orders'!$Z$11:$Z$1010,$B810)="","",INDEX('Work Orders'!$Z$11:$Z$1010,$B810)))</f>
        <v/>
      </c>
      <c r="K810" s="44">
        <f>IF($B810="","",IF(INDEX('Work Orders'!$AG$11:$AG$1010,$B810)="","",INDEX('Work Orders'!$AG$11:$AG$1010,$B810)))</f>
        <v/>
      </c>
      <c r="L810" s="44">
        <f>IF($B810="","",IF(INDEX('Work Orders'!$AH$11:$AH$1010,$B810)="","",INDEX('Work Orders'!$AH$11:$AH$1010,$B810)))</f>
        <v/>
      </c>
      <c r="M810" s="46">
        <f>IF($B810="","",IF(INDEX('Work Orders'!$AM$11:$AM$1010,$B810)="","",INDEX('Work Orders'!$AM$11:$AM$1010,$B810)))</f>
        <v/>
      </c>
      <c r="N810" s="43">
        <f>IF($B810="","",IF(INDEX('Work Orders'!$AL$11:$AL$1010,$B810)="","",INDEX('Work Orders'!$AL$11:$AL$1010,$B810)))</f>
        <v/>
      </c>
      <c r="O810" s="43">
        <f>IF($B810="","",IF(INDEX('Work Orders'!$N$11:$N$1010,$B810)="","",INDEX('Work Orders'!$N$11:$N$1010,$B810)))</f>
        <v/>
      </c>
    </row>
    <row r="811">
      <c r="A811" s="68" t="n">
        <v>805</v>
      </c>
      <c r="B811">
        <f>IFERROR(MATCH(A811,'Work Orders'!$AO$11:$AO$1010,0),"")</f>
        <v/>
      </c>
      <c r="C811" s="43">
        <f>IF($B811="","",IF(INDEX('Work Orders'!$A$11:$A$1010,$B811)="","",INDEX('Work Orders'!$A$11:$A$1010,$B811)))</f>
        <v/>
      </c>
      <c r="D811" s="43">
        <f>IF($B811="","",IF(INDEX('Work Orders'!$B$11:$B$1010,$B811)="","",INDEX('Work Orders'!$B$11:$B$1010,$B811)))</f>
        <v/>
      </c>
      <c r="E811" s="43">
        <f>IF($B811="","",IF(INDEX('Work Orders'!$D$11:$D$1010,$B811)="","",INDEX('Work Orders'!$D$11:$D$1010,$B811)))</f>
        <v/>
      </c>
      <c r="F811" s="43">
        <f>IF($B811="","",IF(INDEX('Work Orders'!$Q$11:$Q$1010,$B811)="","",INDEX('Work Orders'!$Q$11:$Q$1010,$B811)))</f>
        <v/>
      </c>
      <c r="G811" s="43">
        <f>IF($B811="","",IF(INDEX('Work Orders'!$V$11:$V$1010,$B811)="","",INDEX('Work Orders'!$V$11:$V$1010,$B811)))</f>
        <v/>
      </c>
      <c r="H811" s="47">
        <f>IF($B811="","",IF(INDEX('Work Orders'!$U$11:$U$1010,$B811)="","",INDEX('Work Orders'!$U$11:$U$1010,$B811)))</f>
        <v/>
      </c>
      <c r="I811" s="47">
        <f>IF($B811="","",IF(INDEX('Work Orders'!$X$11:$X$1010,$B811)="","",INDEX('Work Orders'!$X$11:$X$1010,$B811)))</f>
        <v/>
      </c>
      <c r="J811" s="44">
        <f>IF($B811="","",IF(INDEX('Work Orders'!$Z$11:$Z$1010,$B811)="","",INDEX('Work Orders'!$Z$11:$Z$1010,$B811)))</f>
        <v/>
      </c>
      <c r="K811" s="44">
        <f>IF($B811="","",IF(INDEX('Work Orders'!$AG$11:$AG$1010,$B811)="","",INDEX('Work Orders'!$AG$11:$AG$1010,$B811)))</f>
        <v/>
      </c>
      <c r="L811" s="44">
        <f>IF($B811="","",IF(INDEX('Work Orders'!$AH$11:$AH$1010,$B811)="","",INDEX('Work Orders'!$AH$11:$AH$1010,$B811)))</f>
        <v/>
      </c>
      <c r="M811" s="46">
        <f>IF($B811="","",IF(INDEX('Work Orders'!$AM$11:$AM$1010,$B811)="","",INDEX('Work Orders'!$AM$11:$AM$1010,$B811)))</f>
        <v/>
      </c>
      <c r="N811" s="43">
        <f>IF($B811="","",IF(INDEX('Work Orders'!$AL$11:$AL$1010,$B811)="","",INDEX('Work Orders'!$AL$11:$AL$1010,$B811)))</f>
        <v/>
      </c>
      <c r="O811" s="43">
        <f>IF($B811="","",IF(INDEX('Work Orders'!$N$11:$N$1010,$B811)="","",INDEX('Work Orders'!$N$11:$N$1010,$B811)))</f>
        <v/>
      </c>
    </row>
    <row r="812">
      <c r="A812" s="68" t="n">
        <v>806</v>
      </c>
      <c r="B812">
        <f>IFERROR(MATCH(A812,'Work Orders'!$AO$11:$AO$1010,0),"")</f>
        <v/>
      </c>
      <c r="C812" s="43">
        <f>IF($B812="","",IF(INDEX('Work Orders'!$A$11:$A$1010,$B812)="","",INDEX('Work Orders'!$A$11:$A$1010,$B812)))</f>
        <v/>
      </c>
      <c r="D812" s="43">
        <f>IF($B812="","",IF(INDEX('Work Orders'!$B$11:$B$1010,$B812)="","",INDEX('Work Orders'!$B$11:$B$1010,$B812)))</f>
        <v/>
      </c>
      <c r="E812" s="43">
        <f>IF($B812="","",IF(INDEX('Work Orders'!$D$11:$D$1010,$B812)="","",INDEX('Work Orders'!$D$11:$D$1010,$B812)))</f>
        <v/>
      </c>
      <c r="F812" s="43">
        <f>IF($B812="","",IF(INDEX('Work Orders'!$Q$11:$Q$1010,$B812)="","",INDEX('Work Orders'!$Q$11:$Q$1010,$B812)))</f>
        <v/>
      </c>
      <c r="G812" s="43">
        <f>IF($B812="","",IF(INDEX('Work Orders'!$V$11:$V$1010,$B812)="","",INDEX('Work Orders'!$V$11:$V$1010,$B812)))</f>
        <v/>
      </c>
      <c r="H812" s="47">
        <f>IF($B812="","",IF(INDEX('Work Orders'!$U$11:$U$1010,$B812)="","",INDEX('Work Orders'!$U$11:$U$1010,$B812)))</f>
        <v/>
      </c>
      <c r="I812" s="47">
        <f>IF($B812="","",IF(INDEX('Work Orders'!$X$11:$X$1010,$B812)="","",INDEX('Work Orders'!$X$11:$X$1010,$B812)))</f>
        <v/>
      </c>
      <c r="J812" s="44">
        <f>IF($B812="","",IF(INDEX('Work Orders'!$Z$11:$Z$1010,$B812)="","",INDEX('Work Orders'!$Z$11:$Z$1010,$B812)))</f>
        <v/>
      </c>
      <c r="K812" s="44">
        <f>IF($B812="","",IF(INDEX('Work Orders'!$AG$11:$AG$1010,$B812)="","",INDEX('Work Orders'!$AG$11:$AG$1010,$B812)))</f>
        <v/>
      </c>
      <c r="L812" s="44">
        <f>IF($B812="","",IF(INDEX('Work Orders'!$AH$11:$AH$1010,$B812)="","",INDEX('Work Orders'!$AH$11:$AH$1010,$B812)))</f>
        <v/>
      </c>
      <c r="M812" s="46">
        <f>IF($B812="","",IF(INDEX('Work Orders'!$AM$11:$AM$1010,$B812)="","",INDEX('Work Orders'!$AM$11:$AM$1010,$B812)))</f>
        <v/>
      </c>
      <c r="N812" s="43">
        <f>IF($B812="","",IF(INDEX('Work Orders'!$AL$11:$AL$1010,$B812)="","",INDEX('Work Orders'!$AL$11:$AL$1010,$B812)))</f>
        <v/>
      </c>
      <c r="O812" s="43">
        <f>IF($B812="","",IF(INDEX('Work Orders'!$N$11:$N$1010,$B812)="","",INDEX('Work Orders'!$N$11:$N$1010,$B812)))</f>
        <v/>
      </c>
    </row>
    <row r="813">
      <c r="A813" s="68" t="n">
        <v>807</v>
      </c>
      <c r="B813">
        <f>IFERROR(MATCH(A813,'Work Orders'!$AO$11:$AO$1010,0),"")</f>
        <v/>
      </c>
      <c r="C813" s="43">
        <f>IF($B813="","",IF(INDEX('Work Orders'!$A$11:$A$1010,$B813)="","",INDEX('Work Orders'!$A$11:$A$1010,$B813)))</f>
        <v/>
      </c>
      <c r="D813" s="43">
        <f>IF($B813="","",IF(INDEX('Work Orders'!$B$11:$B$1010,$B813)="","",INDEX('Work Orders'!$B$11:$B$1010,$B813)))</f>
        <v/>
      </c>
      <c r="E813" s="43">
        <f>IF($B813="","",IF(INDEX('Work Orders'!$D$11:$D$1010,$B813)="","",INDEX('Work Orders'!$D$11:$D$1010,$B813)))</f>
        <v/>
      </c>
      <c r="F813" s="43">
        <f>IF($B813="","",IF(INDEX('Work Orders'!$Q$11:$Q$1010,$B813)="","",INDEX('Work Orders'!$Q$11:$Q$1010,$B813)))</f>
        <v/>
      </c>
      <c r="G813" s="43">
        <f>IF($B813="","",IF(INDEX('Work Orders'!$V$11:$V$1010,$B813)="","",INDEX('Work Orders'!$V$11:$V$1010,$B813)))</f>
        <v/>
      </c>
      <c r="H813" s="47">
        <f>IF($B813="","",IF(INDEX('Work Orders'!$U$11:$U$1010,$B813)="","",INDEX('Work Orders'!$U$11:$U$1010,$B813)))</f>
        <v/>
      </c>
      <c r="I813" s="47">
        <f>IF($B813="","",IF(INDEX('Work Orders'!$X$11:$X$1010,$B813)="","",INDEX('Work Orders'!$X$11:$X$1010,$B813)))</f>
        <v/>
      </c>
      <c r="J813" s="44">
        <f>IF($B813="","",IF(INDEX('Work Orders'!$Z$11:$Z$1010,$B813)="","",INDEX('Work Orders'!$Z$11:$Z$1010,$B813)))</f>
        <v/>
      </c>
      <c r="K813" s="44">
        <f>IF($B813="","",IF(INDEX('Work Orders'!$AG$11:$AG$1010,$B813)="","",INDEX('Work Orders'!$AG$11:$AG$1010,$B813)))</f>
        <v/>
      </c>
      <c r="L813" s="44">
        <f>IF($B813="","",IF(INDEX('Work Orders'!$AH$11:$AH$1010,$B813)="","",INDEX('Work Orders'!$AH$11:$AH$1010,$B813)))</f>
        <v/>
      </c>
      <c r="M813" s="46">
        <f>IF($B813="","",IF(INDEX('Work Orders'!$AM$11:$AM$1010,$B813)="","",INDEX('Work Orders'!$AM$11:$AM$1010,$B813)))</f>
        <v/>
      </c>
      <c r="N813" s="43">
        <f>IF($B813="","",IF(INDEX('Work Orders'!$AL$11:$AL$1010,$B813)="","",INDEX('Work Orders'!$AL$11:$AL$1010,$B813)))</f>
        <v/>
      </c>
      <c r="O813" s="43">
        <f>IF($B813="","",IF(INDEX('Work Orders'!$N$11:$N$1010,$B813)="","",INDEX('Work Orders'!$N$11:$N$1010,$B813)))</f>
        <v/>
      </c>
    </row>
    <row r="814">
      <c r="A814" s="68" t="n">
        <v>808</v>
      </c>
      <c r="B814">
        <f>IFERROR(MATCH(A814,'Work Orders'!$AO$11:$AO$1010,0),"")</f>
        <v/>
      </c>
      <c r="C814" s="43">
        <f>IF($B814="","",IF(INDEX('Work Orders'!$A$11:$A$1010,$B814)="","",INDEX('Work Orders'!$A$11:$A$1010,$B814)))</f>
        <v/>
      </c>
      <c r="D814" s="43">
        <f>IF($B814="","",IF(INDEX('Work Orders'!$B$11:$B$1010,$B814)="","",INDEX('Work Orders'!$B$11:$B$1010,$B814)))</f>
        <v/>
      </c>
      <c r="E814" s="43">
        <f>IF($B814="","",IF(INDEX('Work Orders'!$D$11:$D$1010,$B814)="","",INDEX('Work Orders'!$D$11:$D$1010,$B814)))</f>
        <v/>
      </c>
      <c r="F814" s="43">
        <f>IF($B814="","",IF(INDEX('Work Orders'!$Q$11:$Q$1010,$B814)="","",INDEX('Work Orders'!$Q$11:$Q$1010,$B814)))</f>
        <v/>
      </c>
      <c r="G814" s="43">
        <f>IF($B814="","",IF(INDEX('Work Orders'!$V$11:$V$1010,$B814)="","",INDEX('Work Orders'!$V$11:$V$1010,$B814)))</f>
        <v/>
      </c>
      <c r="H814" s="47">
        <f>IF($B814="","",IF(INDEX('Work Orders'!$U$11:$U$1010,$B814)="","",INDEX('Work Orders'!$U$11:$U$1010,$B814)))</f>
        <v/>
      </c>
      <c r="I814" s="47">
        <f>IF($B814="","",IF(INDEX('Work Orders'!$X$11:$X$1010,$B814)="","",INDEX('Work Orders'!$X$11:$X$1010,$B814)))</f>
        <v/>
      </c>
      <c r="J814" s="44">
        <f>IF($B814="","",IF(INDEX('Work Orders'!$Z$11:$Z$1010,$B814)="","",INDEX('Work Orders'!$Z$11:$Z$1010,$B814)))</f>
        <v/>
      </c>
      <c r="K814" s="44">
        <f>IF($B814="","",IF(INDEX('Work Orders'!$AG$11:$AG$1010,$B814)="","",INDEX('Work Orders'!$AG$11:$AG$1010,$B814)))</f>
        <v/>
      </c>
      <c r="L814" s="44">
        <f>IF($B814="","",IF(INDEX('Work Orders'!$AH$11:$AH$1010,$B814)="","",INDEX('Work Orders'!$AH$11:$AH$1010,$B814)))</f>
        <v/>
      </c>
      <c r="M814" s="46">
        <f>IF($B814="","",IF(INDEX('Work Orders'!$AM$11:$AM$1010,$B814)="","",INDEX('Work Orders'!$AM$11:$AM$1010,$B814)))</f>
        <v/>
      </c>
      <c r="N814" s="43">
        <f>IF($B814="","",IF(INDEX('Work Orders'!$AL$11:$AL$1010,$B814)="","",INDEX('Work Orders'!$AL$11:$AL$1010,$B814)))</f>
        <v/>
      </c>
      <c r="O814" s="43">
        <f>IF($B814="","",IF(INDEX('Work Orders'!$N$11:$N$1010,$B814)="","",INDEX('Work Orders'!$N$11:$N$1010,$B814)))</f>
        <v/>
      </c>
    </row>
    <row r="815">
      <c r="A815" s="68" t="n">
        <v>809</v>
      </c>
      <c r="B815">
        <f>IFERROR(MATCH(A815,'Work Orders'!$AO$11:$AO$1010,0),"")</f>
        <v/>
      </c>
      <c r="C815" s="43">
        <f>IF($B815="","",IF(INDEX('Work Orders'!$A$11:$A$1010,$B815)="","",INDEX('Work Orders'!$A$11:$A$1010,$B815)))</f>
        <v/>
      </c>
      <c r="D815" s="43">
        <f>IF($B815="","",IF(INDEX('Work Orders'!$B$11:$B$1010,$B815)="","",INDEX('Work Orders'!$B$11:$B$1010,$B815)))</f>
        <v/>
      </c>
      <c r="E815" s="43">
        <f>IF($B815="","",IF(INDEX('Work Orders'!$D$11:$D$1010,$B815)="","",INDEX('Work Orders'!$D$11:$D$1010,$B815)))</f>
        <v/>
      </c>
      <c r="F815" s="43">
        <f>IF($B815="","",IF(INDEX('Work Orders'!$Q$11:$Q$1010,$B815)="","",INDEX('Work Orders'!$Q$11:$Q$1010,$B815)))</f>
        <v/>
      </c>
      <c r="G815" s="43">
        <f>IF($B815="","",IF(INDEX('Work Orders'!$V$11:$V$1010,$B815)="","",INDEX('Work Orders'!$V$11:$V$1010,$B815)))</f>
        <v/>
      </c>
      <c r="H815" s="47">
        <f>IF($B815="","",IF(INDEX('Work Orders'!$U$11:$U$1010,$B815)="","",INDEX('Work Orders'!$U$11:$U$1010,$B815)))</f>
        <v/>
      </c>
      <c r="I815" s="47">
        <f>IF($B815="","",IF(INDEX('Work Orders'!$X$11:$X$1010,$B815)="","",INDEX('Work Orders'!$X$11:$X$1010,$B815)))</f>
        <v/>
      </c>
      <c r="J815" s="44">
        <f>IF($B815="","",IF(INDEX('Work Orders'!$Z$11:$Z$1010,$B815)="","",INDEX('Work Orders'!$Z$11:$Z$1010,$B815)))</f>
        <v/>
      </c>
      <c r="K815" s="44">
        <f>IF($B815="","",IF(INDEX('Work Orders'!$AG$11:$AG$1010,$B815)="","",INDEX('Work Orders'!$AG$11:$AG$1010,$B815)))</f>
        <v/>
      </c>
      <c r="L815" s="44">
        <f>IF($B815="","",IF(INDEX('Work Orders'!$AH$11:$AH$1010,$B815)="","",INDEX('Work Orders'!$AH$11:$AH$1010,$B815)))</f>
        <v/>
      </c>
      <c r="M815" s="46">
        <f>IF($B815="","",IF(INDEX('Work Orders'!$AM$11:$AM$1010,$B815)="","",INDEX('Work Orders'!$AM$11:$AM$1010,$B815)))</f>
        <v/>
      </c>
      <c r="N815" s="43">
        <f>IF($B815="","",IF(INDEX('Work Orders'!$AL$11:$AL$1010,$B815)="","",INDEX('Work Orders'!$AL$11:$AL$1010,$B815)))</f>
        <v/>
      </c>
      <c r="O815" s="43">
        <f>IF($B815="","",IF(INDEX('Work Orders'!$N$11:$N$1010,$B815)="","",INDEX('Work Orders'!$N$11:$N$1010,$B815)))</f>
        <v/>
      </c>
    </row>
    <row r="816">
      <c r="A816" s="68" t="n">
        <v>810</v>
      </c>
      <c r="B816">
        <f>IFERROR(MATCH(A816,'Work Orders'!$AO$11:$AO$1010,0),"")</f>
        <v/>
      </c>
      <c r="C816" s="43">
        <f>IF($B816="","",IF(INDEX('Work Orders'!$A$11:$A$1010,$B816)="","",INDEX('Work Orders'!$A$11:$A$1010,$B816)))</f>
        <v/>
      </c>
      <c r="D816" s="43">
        <f>IF($B816="","",IF(INDEX('Work Orders'!$B$11:$B$1010,$B816)="","",INDEX('Work Orders'!$B$11:$B$1010,$B816)))</f>
        <v/>
      </c>
      <c r="E816" s="43">
        <f>IF($B816="","",IF(INDEX('Work Orders'!$D$11:$D$1010,$B816)="","",INDEX('Work Orders'!$D$11:$D$1010,$B816)))</f>
        <v/>
      </c>
      <c r="F816" s="43">
        <f>IF($B816="","",IF(INDEX('Work Orders'!$Q$11:$Q$1010,$B816)="","",INDEX('Work Orders'!$Q$11:$Q$1010,$B816)))</f>
        <v/>
      </c>
      <c r="G816" s="43">
        <f>IF($B816="","",IF(INDEX('Work Orders'!$V$11:$V$1010,$B816)="","",INDEX('Work Orders'!$V$11:$V$1010,$B816)))</f>
        <v/>
      </c>
      <c r="H816" s="47">
        <f>IF($B816="","",IF(INDEX('Work Orders'!$U$11:$U$1010,$B816)="","",INDEX('Work Orders'!$U$11:$U$1010,$B816)))</f>
        <v/>
      </c>
      <c r="I816" s="47">
        <f>IF($B816="","",IF(INDEX('Work Orders'!$X$11:$X$1010,$B816)="","",INDEX('Work Orders'!$X$11:$X$1010,$B816)))</f>
        <v/>
      </c>
      <c r="J816" s="44">
        <f>IF($B816="","",IF(INDEX('Work Orders'!$Z$11:$Z$1010,$B816)="","",INDEX('Work Orders'!$Z$11:$Z$1010,$B816)))</f>
        <v/>
      </c>
      <c r="K816" s="44">
        <f>IF($B816="","",IF(INDEX('Work Orders'!$AG$11:$AG$1010,$B816)="","",INDEX('Work Orders'!$AG$11:$AG$1010,$B816)))</f>
        <v/>
      </c>
      <c r="L816" s="44">
        <f>IF($B816="","",IF(INDEX('Work Orders'!$AH$11:$AH$1010,$B816)="","",INDEX('Work Orders'!$AH$11:$AH$1010,$B816)))</f>
        <v/>
      </c>
      <c r="M816" s="46">
        <f>IF($B816="","",IF(INDEX('Work Orders'!$AM$11:$AM$1010,$B816)="","",INDEX('Work Orders'!$AM$11:$AM$1010,$B816)))</f>
        <v/>
      </c>
      <c r="N816" s="43">
        <f>IF($B816="","",IF(INDEX('Work Orders'!$AL$11:$AL$1010,$B816)="","",INDEX('Work Orders'!$AL$11:$AL$1010,$B816)))</f>
        <v/>
      </c>
      <c r="O816" s="43">
        <f>IF($B816="","",IF(INDEX('Work Orders'!$N$11:$N$1010,$B816)="","",INDEX('Work Orders'!$N$11:$N$1010,$B816)))</f>
        <v/>
      </c>
    </row>
    <row r="817">
      <c r="A817" s="68" t="n">
        <v>811</v>
      </c>
      <c r="B817">
        <f>IFERROR(MATCH(A817,'Work Orders'!$AO$11:$AO$1010,0),"")</f>
        <v/>
      </c>
      <c r="C817" s="43">
        <f>IF($B817="","",IF(INDEX('Work Orders'!$A$11:$A$1010,$B817)="","",INDEX('Work Orders'!$A$11:$A$1010,$B817)))</f>
        <v/>
      </c>
      <c r="D817" s="43">
        <f>IF($B817="","",IF(INDEX('Work Orders'!$B$11:$B$1010,$B817)="","",INDEX('Work Orders'!$B$11:$B$1010,$B817)))</f>
        <v/>
      </c>
      <c r="E817" s="43">
        <f>IF($B817="","",IF(INDEX('Work Orders'!$D$11:$D$1010,$B817)="","",INDEX('Work Orders'!$D$11:$D$1010,$B817)))</f>
        <v/>
      </c>
      <c r="F817" s="43">
        <f>IF($B817="","",IF(INDEX('Work Orders'!$Q$11:$Q$1010,$B817)="","",INDEX('Work Orders'!$Q$11:$Q$1010,$B817)))</f>
        <v/>
      </c>
      <c r="G817" s="43">
        <f>IF($B817="","",IF(INDEX('Work Orders'!$V$11:$V$1010,$B817)="","",INDEX('Work Orders'!$V$11:$V$1010,$B817)))</f>
        <v/>
      </c>
      <c r="H817" s="47">
        <f>IF($B817="","",IF(INDEX('Work Orders'!$U$11:$U$1010,$B817)="","",INDEX('Work Orders'!$U$11:$U$1010,$B817)))</f>
        <v/>
      </c>
      <c r="I817" s="47">
        <f>IF($B817="","",IF(INDEX('Work Orders'!$X$11:$X$1010,$B817)="","",INDEX('Work Orders'!$X$11:$X$1010,$B817)))</f>
        <v/>
      </c>
      <c r="J817" s="44">
        <f>IF($B817="","",IF(INDEX('Work Orders'!$Z$11:$Z$1010,$B817)="","",INDEX('Work Orders'!$Z$11:$Z$1010,$B817)))</f>
        <v/>
      </c>
      <c r="K817" s="44">
        <f>IF($B817="","",IF(INDEX('Work Orders'!$AG$11:$AG$1010,$B817)="","",INDEX('Work Orders'!$AG$11:$AG$1010,$B817)))</f>
        <v/>
      </c>
      <c r="L817" s="44">
        <f>IF($B817="","",IF(INDEX('Work Orders'!$AH$11:$AH$1010,$B817)="","",INDEX('Work Orders'!$AH$11:$AH$1010,$B817)))</f>
        <v/>
      </c>
      <c r="M817" s="46">
        <f>IF($B817="","",IF(INDEX('Work Orders'!$AM$11:$AM$1010,$B817)="","",INDEX('Work Orders'!$AM$11:$AM$1010,$B817)))</f>
        <v/>
      </c>
      <c r="N817" s="43">
        <f>IF($B817="","",IF(INDEX('Work Orders'!$AL$11:$AL$1010,$B817)="","",INDEX('Work Orders'!$AL$11:$AL$1010,$B817)))</f>
        <v/>
      </c>
      <c r="O817" s="43">
        <f>IF($B817="","",IF(INDEX('Work Orders'!$N$11:$N$1010,$B817)="","",INDEX('Work Orders'!$N$11:$N$1010,$B817)))</f>
        <v/>
      </c>
    </row>
    <row r="818">
      <c r="A818" s="68" t="n">
        <v>812</v>
      </c>
      <c r="B818">
        <f>IFERROR(MATCH(A818,'Work Orders'!$AO$11:$AO$1010,0),"")</f>
        <v/>
      </c>
      <c r="C818" s="43">
        <f>IF($B818="","",IF(INDEX('Work Orders'!$A$11:$A$1010,$B818)="","",INDEX('Work Orders'!$A$11:$A$1010,$B818)))</f>
        <v/>
      </c>
      <c r="D818" s="43">
        <f>IF($B818="","",IF(INDEX('Work Orders'!$B$11:$B$1010,$B818)="","",INDEX('Work Orders'!$B$11:$B$1010,$B818)))</f>
        <v/>
      </c>
      <c r="E818" s="43">
        <f>IF($B818="","",IF(INDEX('Work Orders'!$D$11:$D$1010,$B818)="","",INDEX('Work Orders'!$D$11:$D$1010,$B818)))</f>
        <v/>
      </c>
      <c r="F818" s="43">
        <f>IF($B818="","",IF(INDEX('Work Orders'!$Q$11:$Q$1010,$B818)="","",INDEX('Work Orders'!$Q$11:$Q$1010,$B818)))</f>
        <v/>
      </c>
      <c r="G818" s="43">
        <f>IF($B818="","",IF(INDEX('Work Orders'!$V$11:$V$1010,$B818)="","",INDEX('Work Orders'!$V$11:$V$1010,$B818)))</f>
        <v/>
      </c>
      <c r="H818" s="47">
        <f>IF($B818="","",IF(INDEX('Work Orders'!$U$11:$U$1010,$B818)="","",INDEX('Work Orders'!$U$11:$U$1010,$B818)))</f>
        <v/>
      </c>
      <c r="I818" s="47">
        <f>IF($B818="","",IF(INDEX('Work Orders'!$X$11:$X$1010,$B818)="","",INDEX('Work Orders'!$X$11:$X$1010,$B818)))</f>
        <v/>
      </c>
      <c r="J818" s="44">
        <f>IF($B818="","",IF(INDEX('Work Orders'!$Z$11:$Z$1010,$B818)="","",INDEX('Work Orders'!$Z$11:$Z$1010,$B818)))</f>
        <v/>
      </c>
      <c r="K818" s="44">
        <f>IF($B818="","",IF(INDEX('Work Orders'!$AG$11:$AG$1010,$B818)="","",INDEX('Work Orders'!$AG$11:$AG$1010,$B818)))</f>
        <v/>
      </c>
      <c r="L818" s="44">
        <f>IF($B818="","",IF(INDEX('Work Orders'!$AH$11:$AH$1010,$B818)="","",INDEX('Work Orders'!$AH$11:$AH$1010,$B818)))</f>
        <v/>
      </c>
      <c r="M818" s="46">
        <f>IF($B818="","",IF(INDEX('Work Orders'!$AM$11:$AM$1010,$B818)="","",INDEX('Work Orders'!$AM$11:$AM$1010,$B818)))</f>
        <v/>
      </c>
      <c r="N818" s="43">
        <f>IF($B818="","",IF(INDEX('Work Orders'!$AL$11:$AL$1010,$B818)="","",INDEX('Work Orders'!$AL$11:$AL$1010,$B818)))</f>
        <v/>
      </c>
      <c r="O818" s="43">
        <f>IF($B818="","",IF(INDEX('Work Orders'!$N$11:$N$1010,$B818)="","",INDEX('Work Orders'!$N$11:$N$1010,$B818)))</f>
        <v/>
      </c>
    </row>
    <row r="819">
      <c r="A819" s="68" t="n">
        <v>813</v>
      </c>
      <c r="B819">
        <f>IFERROR(MATCH(A819,'Work Orders'!$AO$11:$AO$1010,0),"")</f>
        <v/>
      </c>
      <c r="C819" s="43">
        <f>IF($B819="","",IF(INDEX('Work Orders'!$A$11:$A$1010,$B819)="","",INDEX('Work Orders'!$A$11:$A$1010,$B819)))</f>
        <v/>
      </c>
      <c r="D819" s="43">
        <f>IF($B819="","",IF(INDEX('Work Orders'!$B$11:$B$1010,$B819)="","",INDEX('Work Orders'!$B$11:$B$1010,$B819)))</f>
        <v/>
      </c>
      <c r="E819" s="43">
        <f>IF($B819="","",IF(INDEX('Work Orders'!$D$11:$D$1010,$B819)="","",INDEX('Work Orders'!$D$11:$D$1010,$B819)))</f>
        <v/>
      </c>
      <c r="F819" s="43">
        <f>IF($B819="","",IF(INDEX('Work Orders'!$Q$11:$Q$1010,$B819)="","",INDEX('Work Orders'!$Q$11:$Q$1010,$B819)))</f>
        <v/>
      </c>
      <c r="G819" s="43">
        <f>IF($B819="","",IF(INDEX('Work Orders'!$V$11:$V$1010,$B819)="","",INDEX('Work Orders'!$V$11:$V$1010,$B819)))</f>
        <v/>
      </c>
      <c r="H819" s="47">
        <f>IF($B819="","",IF(INDEX('Work Orders'!$U$11:$U$1010,$B819)="","",INDEX('Work Orders'!$U$11:$U$1010,$B819)))</f>
        <v/>
      </c>
      <c r="I819" s="47">
        <f>IF($B819="","",IF(INDEX('Work Orders'!$X$11:$X$1010,$B819)="","",INDEX('Work Orders'!$X$11:$X$1010,$B819)))</f>
        <v/>
      </c>
      <c r="J819" s="44">
        <f>IF($B819="","",IF(INDEX('Work Orders'!$Z$11:$Z$1010,$B819)="","",INDEX('Work Orders'!$Z$11:$Z$1010,$B819)))</f>
        <v/>
      </c>
      <c r="K819" s="44">
        <f>IF($B819="","",IF(INDEX('Work Orders'!$AG$11:$AG$1010,$B819)="","",INDEX('Work Orders'!$AG$11:$AG$1010,$B819)))</f>
        <v/>
      </c>
      <c r="L819" s="44">
        <f>IF($B819="","",IF(INDEX('Work Orders'!$AH$11:$AH$1010,$B819)="","",INDEX('Work Orders'!$AH$11:$AH$1010,$B819)))</f>
        <v/>
      </c>
      <c r="M819" s="46">
        <f>IF($B819="","",IF(INDEX('Work Orders'!$AM$11:$AM$1010,$B819)="","",INDEX('Work Orders'!$AM$11:$AM$1010,$B819)))</f>
        <v/>
      </c>
      <c r="N819" s="43">
        <f>IF($B819="","",IF(INDEX('Work Orders'!$AL$11:$AL$1010,$B819)="","",INDEX('Work Orders'!$AL$11:$AL$1010,$B819)))</f>
        <v/>
      </c>
      <c r="O819" s="43">
        <f>IF($B819="","",IF(INDEX('Work Orders'!$N$11:$N$1010,$B819)="","",INDEX('Work Orders'!$N$11:$N$1010,$B819)))</f>
        <v/>
      </c>
    </row>
    <row r="820">
      <c r="A820" s="68" t="n">
        <v>814</v>
      </c>
      <c r="B820">
        <f>IFERROR(MATCH(A820,'Work Orders'!$AO$11:$AO$1010,0),"")</f>
        <v/>
      </c>
      <c r="C820" s="43">
        <f>IF($B820="","",IF(INDEX('Work Orders'!$A$11:$A$1010,$B820)="","",INDEX('Work Orders'!$A$11:$A$1010,$B820)))</f>
        <v/>
      </c>
      <c r="D820" s="43">
        <f>IF($B820="","",IF(INDEX('Work Orders'!$B$11:$B$1010,$B820)="","",INDEX('Work Orders'!$B$11:$B$1010,$B820)))</f>
        <v/>
      </c>
      <c r="E820" s="43">
        <f>IF($B820="","",IF(INDEX('Work Orders'!$D$11:$D$1010,$B820)="","",INDEX('Work Orders'!$D$11:$D$1010,$B820)))</f>
        <v/>
      </c>
      <c r="F820" s="43">
        <f>IF($B820="","",IF(INDEX('Work Orders'!$Q$11:$Q$1010,$B820)="","",INDEX('Work Orders'!$Q$11:$Q$1010,$B820)))</f>
        <v/>
      </c>
      <c r="G820" s="43">
        <f>IF($B820="","",IF(INDEX('Work Orders'!$V$11:$V$1010,$B820)="","",INDEX('Work Orders'!$V$11:$V$1010,$B820)))</f>
        <v/>
      </c>
      <c r="H820" s="47">
        <f>IF($B820="","",IF(INDEX('Work Orders'!$U$11:$U$1010,$B820)="","",INDEX('Work Orders'!$U$11:$U$1010,$B820)))</f>
        <v/>
      </c>
      <c r="I820" s="47">
        <f>IF($B820="","",IF(INDEX('Work Orders'!$X$11:$X$1010,$B820)="","",INDEX('Work Orders'!$X$11:$X$1010,$B820)))</f>
        <v/>
      </c>
      <c r="J820" s="44">
        <f>IF($B820="","",IF(INDEX('Work Orders'!$Z$11:$Z$1010,$B820)="","",INDEX('Work Orders'!$Z$11:$Z$1010,$B820)))</f>
        <v/>
      </c>
      <c r="K820" s="44">
        <f>IF($B820="","",IF(INDEX('Work Orders'!$AG$11:$AG$1010,$B820)="","",INDEX('Work Orders'!$AG$11:$AG$1010,$B820)))</f>
        <v/>
      </c>
      <c r="L820" s="44">
        <f>IF($B820="","",IF(INDEX('Work Orders'!$AH$11:$AH$1010,$B820)="","",INDEX('Work Orders'!$AH$11:$AH$1010,$B820)))</f>
        <v/>
      </c>
      <c r="M820" s="46">
        <f>IF($B820="","",IF(INDEX('Work Orders'!$AM$11:$AM$1010,$B820)="","",INDEX('Work Orders'!$AM$11:$AM$1010,$B820)))</f>
        <v/>
      </c>
      <c r="N820" s="43">
        <f>IF($B820="","",IF(INDEX('Work Orders'!$AL$11:$AL$1010,$B820)="","",INDEX('Work Orders'!$AL$11:$AL$1010,$B820)))</f>
        <v/>
      </c>
      <c r="O820" s="43">
        <f>IF($B820="","",IF(INDEX('Work Orders'!$N$11:$N$1010,$B820)="","",INDEX('Work Orders'!$N$11:$N$1010,$B820)))</f>
        <v/>
      </c>
    </row>
    <row r="821">
      <c r="A821" s="68" t="n">
        <v>815</v>
      </c>
      <c r="B821">
        <f>IFERROR(MATCH(A821,'Work Orders'!$AO$11:$AO$1010,0),"")</f>
        <v/>
      </c>
      <c r="C821" s="43">
        <f>IF($B821="","",IF(INDEX('Work Orders'!$A$11:$A$1010,$B821)="","",INDEX('Work Orders'!$A$11:$A$1010,$B821)))</f>
        <v/>
      </c>
      <c r="D821" s="43">
        <f>IF($B821="","",IF(INDEX('Work Orders'!$B$11:$B$1010,$B821)="","",INDEX('Work Orders'!$B$11:$B$1010,$B821)))</f>
        <v/>
      </c>
      <c r="E821" s="43">
        <f>IF($B821="","",IF(INDEX('Work Orders'!$D$11:$D$1010,$B821)="","",INDEX('Work Orders'!$D$11:$D$1010,$B821)))</f>
        <v/>
      </c>
      <c r="F821" s="43">
        <f>IF($B821="","",IF(INDEX('Work Orders'!$Q$11:$Q$1010,$B821)="","",INDEX('Work Orders'!$Q$11:$Q$1010,$B821)))</f>
        <v/>
      </c>
      <c r="G821" s="43">
        <f>IF($B821="","",IF(INDEX('Work Orders'!$V$11:$V$1010,$B821)="","",INDEX('Work Orders'!$V$11:$V$1010,$B821)))</f>
        <v/>
      </c>
      <c r="H821" s="47">
        <f>IF($B821="","",IF(INDEX('Work Orders'!$U$11:$U$1010,$B821)="","",INDEX('Work Orders'!$U$11:$U$1010,$B821)))</f>
        <v/>
      </c>
      <c r="I821" s="47">
        <f>IF($B821="","",IF(INDEX('Work Orders'!$X$11:$X$1010,$B821)="","",INDEX('Work Orders'!$X$11:$X$1010,$B821)))</f>
        <v/>
      </c>
      <c r="J821" s="44">
        <f>IF($B821="","",IF(INDEX('Work Orders'!$Z$11:$Z$1010,$B821)="","",INDEX('Work Orders'!$Z$11:$Z$1010,$B821)))</f>
        <v/>
      </c>
      <c r="K821" s="44">
        <f>IF($B821="","",IF(INDEX('Work Orders'!$AG$11:$AG$1010,$B821)="","",INDEX('Work Orders'!$AG$11:$AG$1010,$B821)))</f>
        <v/>
      </c>
      <c r="L821" s="44">
        <f>IF($B821="","",IF(INDEX('Work Orders'!$AH$11:$AH$1010,$B821)="","",INDEX('Work Orders'!$AH$11:$AH$1010,$B821)))</f>
        <v/>
      </c>
      <c r="M821" s="46">
        <f>IF($B821="","",IF(INDEX('Work Orders'!$AM$11:$AM$1010,$B821)="","",INDEX('Work Orders'!$AM$11:$AM$1010,$B821)))</f>
        <v/>
      </c>
      <c r="N821" s="43">
        <f>IF($B821="","",IF(INDEX('Work Orders'!$AL$11:$AL$1010,$B821)="","",INDEX('Work Orders'!$AL$11:$AL$1010,$B821)))</f>
        <v/>
      </c>
      <c r="O821" s="43">
        <f>IF($B821="","",IF(INDEX('Work Orders'!$N$11:$N$1010,$B821)="","",INDEX('Work Orders'!$N$11:$N$1010,$B821)))</f>
        <v/>
      </c>
    </row>
    <row r="822">
      <c r="A822" s="68" t="n">
        <v>816</v>
      </c>
      <c r="B822">
        <f>IFERROR(MATCH(A822,'Work Orders'!$AO$11:$AO$1010,0),"")</f>
        <v/>
      </c>
      <c r="C822" s="43">
        <f>IF($B822="","",IF(INDEX('Work Orders'!$A$11:$A$1010,$B822)="","",INDEX('Work Orders'!$A$11:$A$1010,$B822)))</f>
        <v/>
      </c>
      <c r="D822" s="43">
        <f>IF($B822="","",IF(INDEX('Work Orders'!$B$11:$B$1010,$B822)="","",INDEX('Work Orders'!$B$11:$B$1010,$B822)))</f>
        <v/>
      </c>
      <c r="E822" s="43">
        <f>IF($B822="","",IF(INDEX('Work Orders'!$D$11:$D$1010,$B822)="","",INDEX('Work Orders'!$D$11:$D$1010,$B822)))</f>
        <v/>
      </c>
      <c r="F822" s="43">
        <f>IF($B822="","",IF(INDEX('Work Orders'!$Q$11:$Q$1010,$B822)="","",INDEX('Work Orders'!$Q$11:$Q$1010,$B822)))</f>
        <v/>
      </c>
      <c r="G822" s="43">
        <f>IF($B822="","",IF(INDEX('Work Orders'!$V$11:$V$1010,$B822)="","",INDEX('Work Orders'!$V$11:$V$1010,$B822)))</f>
        <v/>
      </c>
      <c r="H822" s="47">
        <f>IF($B822="","",IF(INDEX('Work Orders'!$U$11:$U$1010,$B822)="","",INDEX('Work Orders'!$U$11:$U$1010,$B822)))</f>
        <v/>
      </c>
      <c r="I822" s="47">
        <f>IF($B822="","",IF(INDEX('Work Orders'!$X$11:$X$1010,$B822)="","",INDEX('Work Orders'!$X$11:$X$1010,$B822)))</f>
        <v/>
      </c>
      <c r="J822" s="44">
        <f>IF($B822="","",IF(INDEX('Work Orders'!$Z$11:$Z$1010,$B822)="","",INDEX('Work Orders'!$Z$11:$Z$1010,$B822)))</f>
        <v/>
      </c>
      <c r="K822" s="44">
        <f>IF($B822="","",IF(INDEX('Work Orders'!$AG$11:$AG$1010,$B822)="","",INDEX('Work Orders'!$AG$11:$AG$1010,$B822)))</f>
        <v/>
      </c>
      <c r="L822" s="44">
        <f>IF($B822="","",IF(INDEX('Work Orders'!$AH$11:$AH$1010,$B822)="","",INDEX('Work Orders'!$AH$11:$AH$1010,$B822)))</f>
        <v/>
      </c>
      <c r="M822" s="46">
        <f>IF($B822="","",IF(INDEX('Work Orders'!$AM$11:$AM$1010,$B822)="","",INDEX('Work Orders'!$AM$11:$AM$1010,$B822)))</f>
        <v/>
      </c>
      <c r="N822" s="43">
        <f>IF($B822="","",IF(INDEX('Work Orders'!$AL$11:$AL$1010,$B822)="","",INDEX('Work Orders'!$AL$11:$AL$1010,$B822)))</f>
        <v/>
      </c>
      <c r="O822" s="43">
        <f>IF($B822="","",IF(INDEX('Work Orders'!$N$11:$N$1010,$B822)="","",INDEX('Work Orders'!$N$11:$N$1010,$B822)))</f>
        <v/>
      </c>
    </row>
    <row r="823">
      <c r="A823" s="68" t="n">
        <v>817</v>
      </c>
      <c r="B823">
        <f>IFERROR(MATCH(A823,'Work Orders'!$AO$11:$AO$1010,0),"")</f>
        <v/>
      </c>
      <c r="C823" s="43">
        <f>IF($B823="","",IF(INDEX('Work Orders'!$A$11:$A$1010,$B823)="","",INDEX('Work Orders'!$A$11:$A$1010,$B823)))</f>
        <v/>
      </c>
      <c r="D823" s="43">
        <f>IF($B823="","",IF(INDEX('Work Orders'!$B$11:$B$1010,$B823)="","",INDEX('Work Orders'!$B$11:$B$1010,$B823)))</f>
        <v/>
      </c>
      <c r="E823" s="43">
        <f>IF($B823="","",IF(INDEX('Work Orders'!$D$11:$D$1010,$B823)="","",INDEX('Work Orders'!$D$11:$D$1010,$B823)))</f>
        <v/>
      </c>
      <c r="F823" s="43">
        <f>IF($B823="","",IF(INDEX('Work Orders'!$Q$11:$Q$1010,$B823)="","",INDEX('Work Orders'!$Q$11:$Q$1010,$B823)))</f>
        <v/>
      </c>
      <c r="G823" s="43">
        <f>IF($B823="","",IF(INDEX('Work Orders'!$V$11:$V$1010,$B823)="","",INDEX('Work Orders'!$V$11:$V$1010,$B823)))</f>
        <v/>
      </c>
      <c r="H823" s="47">
        <f>IF($B823="","",IF(INDEX('Work Orders'!$U$11:$U$1010,$B823)="","",INDEX('Work Orders'!$U$11:$U$1010,$B823)))</f>
        <v/>
      </c>
      <c r="I823" s="47">
        <f>IF($B823="","",IF(INDEX('Work Orders'!$X$11:$X$1010,$B823)="","",INDEX('Work Orders'!$X$11:$X$1010,$B823)))</f>
        <v/>
      </c>
      <c r="J823" s="44">
        <f>IF($B823="","",IF(INDEX('Work Orders'!$Z$11:$Z$1010,$B823)="","",INDEX('Work Orders'!$Z$11:$Z$1010,$B823)))</f>
        <v/>
      </c>
      <c r="K823" s="44">
        <f>IF($B823="","",IF(INDEX('Work Orders'!$AG$11:$AG$1010,$B823)="","",INDEX('Work Orders'!$AG$11:$AG$1010,$B823)))</f>
        <v/>
      </c>
      <c r="L823" s="44">
        <f>IF($B823="","",IF(INDEX('Work Orders'!$AH$11:$AH$1010,$B823)="","",INDEX('Work Orders'!$AH$11:$AH$1010,$B823)))</f>
        <v/>
      </c>
      <c r="M823" s="46">
        <f>IF($B823="","",IF(INDEX('Work Orders'!$AM$11:$AM$1010,$B823)="","",INDEX('Work Orders'!$AM$11:$AM$1010,$B823)))</f>
        <v/>
      </c>
      <c r="N823" s="43">
        <f>IF($B823="","",IF(INDEX('Work Orders'!$AL$11:$AL$1010,$B823)="","",INDEX('Work Orders'!$AL$11:$AL$1010,$B823)))</f>
        <v/>
      </c>
      <c r="O823" s="43">
        <f>IF($B823="","",IF(INDEX('Work Orders'!$N$11:$N$1010,$B823)="","",INDEX('Work Orders'!$N$11:$N$1010,$B823)))</f>
        <v/>
      </c>
    </row>
    <row r="824">
      <c r="A824" s="68" t="n">
        <v>818</v>
      </c>
      <c r="B824">
        <f>IFERROR(MATCH(A824,'Work Orders'!$AO$11:$AO$1010,0),"")</f>
        <v/>
      </c>
      <c r="C824" s="43">
        <f>IF($B824="","",IF(INDEX('Work Orders'!$A$11:$A$1010,$B824)="","",INDEX('Work Orders'!$A$11:$A$1010,$B824)))</f>
        <v/>
      </c>
      <c r="D824" s="43">
        <f>IF($B824="","",IF(INDEX('Work Orders'!$B$11:$B$1010,$B824)="","",INDEX('Work Orders'!$B$11:$B$1010,$B824)))</f>
        <v/>
      </c>
      <c r="E824" s="43">
        <f>IF($B824="","",IF(INDEX('Work Orders'!$D$11:$D$1010,$B824)="","",INDEX('Work Orders'!$D$11:$D$1010,$B824)))</f>
        <v/>
      </c>
      <c r="F824" s="43">
        <f>IF($B824="","",IF(INDEX('Work Orders'!$Q$11:$Q$1010,$B824)="","",INDEX('Work Orders'!$Q$11:$Q$1010,$B824)))</f>
        <v/>
      </c>
      <c r="G824" s="43">
        <f>IF($B824="","",IF(INDEX('Work Orders'!$V$11:$V$1010,$B824)="","",INDEX('Work Orders'!$V$11:$V$1010,$B824)))</f>
        <v/>
      </c>
      <c r="H824" s="47">
        <f>IF($B824="","",IF(INDEX('Work Orders'!$U$11:$U$1010,$B824)="","",INDEX('Work Orders'!$U$11:$U$1010,$B824)))</f>
        <v/>
      </c>
      <c r="I824" s="47">
        <f>IF($B824="","",IF(INDEX('Work Orders'!$X$11:$X$1010,$B824)="","",INDEX('Work Orders'!$X$11:$X$1010,$B824)))</f>
        <v/>
      </c>
      <c r="J824" s="44">
        <f>IF($B824="","",IF(INDEX('Work Orders'!$Z$11:$Z$1010,$B824)="","",INDEX('Work Orders'!$Z$11:$Z$1010,$B824)))</f>
        <v/>
      </c>
      <c r="K824" s="44">
        <f>IF($B824="","",IF(INDEX('Work Orders'!$AG$11:$AG$1010,$B824)="","",INDEX('Work Orders'!$AG$11:$AG$1010,$B824)))</f>
        <v/>
      </c>
      <c r="L824" s="44">
        <f>IF($B824="","",IF(INDEX('Work Orders'!$AH$11:$AH$1010,$B824)="","",INDEX('Work Orders'!$AH$11:$AH$1010,$B824)))</f>
        <v/>
      </c>
      <c r="M824" s="46">
        <f>IF($B824="","",IF(INDEX('Work Orders'!$AM$11:$AM$1010,$B824)="","",INDEX('Work Orders'!$AM$11:$AM$1010,$B824)))</f>
        <v/>
      </c>
      <c r="N824" s="43">
        <f>IF($B824="","",IF(INDEX('Work Orders'!$AL$11:$AL$1010,$B824)="","",INDEX('Work Orders'!$AL$11:$AL$1010,$B824)))</f>
        <v/>
      </c>
      <c r="O824" s="43">
        <f>IF($B824="","",IF(INDEX('Work Orders'!$N$11:$N$1010,$B824)="","",INDEX('Work Orders'!$N$11:$N$1010,$B824)))</f>
        <v/>
      </c>
    </row>
    <row r="825">
      <c r="A825" s="68" t="n">
        <v>819</v>
      </c>
      <c r="B825">
        <f>IFERROR(MATCH(A825,'Work Orders'!$AO$11:$AO$1010,0),"")</f>
        <v/>
      </c>
      <c r="C825" s="43">
        <f>IF($B825="","",IF(INDEX('Work Orders'!$A$11:$A$1010,$B825)="","",INDEX('Work Orders'!$A$11:$A$1010,$B825)))</f>
        <v/>
      </c>
      <c r="D825" s="43">
        <f>IF($B825="","",IF(INDEX('Work Orders'!$B$11:$B$1010,$B825)="","",INDEX('Work Orders'!$B$11:$B$1010,$B825)))</f>
        <v/>
      </c>
      <c r="E825" s="43">
        <f>IF($B825="","",IF(INDEX('Work Orders'!$D$11:$D$1010,$B825)="","",INDEX('Work Orders'!$D$11:$D$1010,$B825)))</f>
        <v/>
      </c>
      <c r="F825" s="43">
        <f>IF($B825="","",IF(INDEX('Work Orders'!$Q$11:$Q$1010,$B825)="","",INDEX('Work Orders'!$Q$11:$Q$1010,$B825)))</f>
        <v/>
      </c>
      <c r="G825" s="43">
        <f>IF($B825="","",IF(INDEX('Work Orders'!$V$11:$V$1010,$B825)="","",INDEX('Work Orders'!$V$11:$V$1010,$B825)))</f>
        <v/>
      </c>
      <c r="H825" s="47">
        <f>IF($B825="","",IF(INDEX('Work Orders'!$U$11:$U$1010,$B825)="","",INDEX('Work Orders'!$U$11:$U$1010,$B825)))</f>
        <v/>
      </c>
      <c r="I825" s="47">
        <f>IF($B825="","",IF(INDEX('Work Orders'!$X$11:$X$1010,$B825)="","",INDEX('Work Orders'!$X$11:$X$1010,$B825)))</f>
        <v/>
      </c>
      <c r="J825" s="44">
        <f>IF($B825="","",IF(INDEX('Work Orders'!$Z$11:$Z$1010,$B825)="","",INDEX('Work Orders'!$Z$11:$Z$1010,$B825)))</f>
        <v/>
      </c>
      <c r="K825" s="44">
        <f>IF($B825="","",IF(INDEX('Work Orders'!$AG$11:$AG$1010,$B825)="","",INDEX('Work Orders'!$AG$11:$AG$1010,$B825)))</f>
        <v/>
      </c>
      <c r="L825" s="44">
        <f>IF($B825="","",IF(INDEX('Work Orders'!$AH$11:$AH$1010,$B825)="","",INDEX('Work Orders'!$AH$11:$AH$1010,$B825)))</f>
        <v/>
      </c>
      <c r="M825" s="46">
        <f>IF($B825="","",IF(INDEX('Work Orders'!$AM$11:$AM$1010,$B825)="","",INDEX('Work Orders'!$AM$11:$AM$1010,$B825)))</f>
        <v/>
      </c>
      <c r="N825" s="43">
        <f>IF($B825="","",IF(INDEX('Work Orders'!$AL$11:$AL$1010,$B825)="","",INDEX('Work Orders'!$AL$11:$AL$1010,$B825)))</f>
        <v/>
      </c>
      <c r="O825" s="43">
        <f>IF($B825="","",IF(INDEX('Work Orders'!$N$11:$N$1010,$B825)="","",INDEX('Work Orders'!$N$11:$N$1010,$B825)))</f>
        <v/>
      </c>
    </row>
    <row r="826">
      <c r="A826" s="68" t="n">
        <v>820</v>
      </c>
      <c r="B826">
        <f>IFERROR(MATCH(A826,'Work Orders'!$AO$11:$AO$1010,0),"")</f>
        <v/>
      </c>
      <c r="C826" s="43">
        <f>IF($B826="","",IF(INDEX('Work Orders'!$A$11:$A$1010,$B826)="","",INDEX('Work Orders'!$A$11:$A$1010,$B826)))</f>
        <v/>
      </c>
      <c r="D826" s="43">
        <f>IF($B826="","",IF(INDEX('Work Orders'!$B$11:$B$1010,$B826)="","",INDEX('Work Orders'!$B$11:$B$1010,$B826)))</f>
        <v/>
      </c>
      <c r="E826" s="43">
        <f>IF($B826="","",IF(INDEX('Work Orders'!$D$11:$D$1010,$B826)="","",INDEX('Work Orders'!$D$11:$D$1010,$B826)))</f>
        <v/>
      </c>
      <c r="F826" s="43">
        <f>IF($B826="","",IF(INDEX('Work Orders'!$Q$11:$Q$1010,$B826)="","",INDEX('Work Orders'!$Q$11:$Q$1010,$B826)))</f>
        <v/>
      </c>
      <c r="G826" s="43">
        <f>IF($B826="","",IF(INDEX('Work Orders'!$V$11:$V$1010,$B826)="","",INDEX('Work Orders'!$V$11:$V$1010,$B826)))</f>
        <v/>
      </c>
      <c r="H826" s="47">
        <f>IF($B826="","",IF(INDEX('Work Orders'!$U$11:$U$1010,$B826)="","",INDEX('Work Orders'!$U$11:$U$1010,$B826)))</f>
        <v/>
      </c>
      <c r="I826" s="47">
        <f>IF($B826="","",IF(INDEX('Work Orders'!$X$11:$X$1010,$B826)="","",INDEX('Work Orders'!$X$11:$X$1010,$B826)))</f>
        <v/>
      </c>
      <c r="J826" s="44">
        <f>IF($B826="","",IF(INDEX('Work Orders'!$Z$11:$Z$1010,$B826)="","",INDEX('Work Orders'!$Z$11:$Z$1010,$B826)))</f>
        <v/>
      </c>
      <c r="K826" s="44">
        <f>IF($B826="","",IF(INDEX('Work Orders'!$AG$11:$AG$1010,$B826)="","",INDEX('Work Orders'!$AG$11:$AG$1010,$B826)))</f>
        <v/>
      </c>
      <c r="L826" s="44">
        <f>IF($B826="","",IF(INDEX('Work Orders'!$AH$11:$AH$1010,$B826)="","",INDEX('Work Orders'!$AH$11:$AH$1010,$B826)))</f>
        <v/>
      </c>
      <c r="M826" s="46">
        <f>IF($B826="","",IF(INDEX('Work Orders'!$AM$11:$AM$1010,$B826)="","",INDEX('Work Orders'!$AM$11:$AM$1010,$B826)))</f>
        <v/>
      </c>
      <c r="N826" s="43">
        <f>IF($B826="","",IF(INDEX('Work Orders'!$AL$11:$AL$1010,$B826)="","",INDEX('Work Orders'!$AL$11:$AL$1010,$B826)))</f>
        <v/>
      </c>
      <c r="O826" s="43">
        <f>IF($B826="","",IF(INDEX('Work Orders'!$N$11:$N$1010,$B826)="","",INDEX('Work Orders'!$N$11:$N$1010,$B826)))</f>
        <v/>
      </c>
    </row>
    <row r="827">
      <c r="A827" s="68" t="n">
        <v>821</v>
      </c>
      <c r="B827">
        <f>IFERROR(MATCH(A827,'Work Orders'!$AO$11:$AO$1010,0),"")</f>
        <v/>
      </c>
      <c r="C827" s="43">
        <f>IF($B827="","",IF(INDEX('Work Orders'!$A$11:$A$1010,$B827)="","",INDEX('Work Orders'!$A$11:$A$1010,$B827)))</f>
        <v/>
      </c>
      <c r="D827" s="43">
        <f>IF($B827="","",IF(INDEX('Work Orders'!$B$11:$B$1010,$B827)="","",INDEX('Work Orders'!$B$11:$B$1010,$B827)))</f>
        <v/>
      </c>
      <c r="E827" s="43">
        <f>IF($B827="","",IF(INDEX('Work Orders'!$D$11:$D$1010,$B827)="","",INDEX('Work Orders'!$D$11:$D$1010,$B827)))</f>
        <v/>
      </c>
      <c r="F827" s="43">
        <f>IF($B827="","",IF(INDEX('Work Orders'!$Q$11:$Q$1010,$B827)="","",INDEX('Work Orders'!$Q$11:$Q$1010,$B827)))</f>
        <v/>
      </c>
      <c r="G827" s="43">
        <f>IF($B827="","",IF(INDEX('Work Orders'!$V$11:$V$1010,$B827)="","",INDEX('Work Orders'!$V$11:$V$1010,$B827)))</f>
        <v/>
      </c>
      <c r="H827" s="47">
        <f>IF($B827="","",IF(INDEX('Work Orders'!$U$11:$U$1010,$B827)="","",INDEX('Work Orders'!$U$11:$U$1010,$B827)))</f>
        <v/>
      </c>
      <c r="I827" s="47">
        <f>IF($B827="","",IF(INDEX('Work Orders'!$X$11:$X$1010,$B827)="","",INDEX('Work Orders'!$X$11:$X$1010,$B827)))</f>
        <v/>
      </c>
      <c r="J827" s="44">
        <f>IF($B827="","",IF(INDEX('Work Orders'!$Z$11:$Z$1010,$B827)="","",INDEX('Work Orders'!$Z$11:$Z$1010,$B827)))</f>
        <v/>
      </c>
      <c r="K827" s="44">
        <f>IF($B827="","",IF(INDEX('Work Orders'!$AG$11:$AG$1010,$B827)="","",INDEX('Work Orders'!$AG$11:$AG$1010,$B827)))</f>
        <v/>
      </c>
      <c r="L827" s="44">
        <f>IF($B827="","",IF(INDEX('Work Orders'!$AH$11:$AH$1010,$B827)="","",INDEX('Work Orders'!$AH$11:$AH$1010,$B827)))</f>
        <v/>
      </c>
      <c r="M827" s="46">
        <f>IF($B827="","",IF(INDEX('Work Orders'!$AM$11:$AM$1010,$B827)="","",INDEX('Work Orders'!$AM$11:$AM$1010,$B827)))</f>
        <v/>
      </c>
      <c r="N827" s="43">
        <f>IF($B827="","",IF(INDEX('Work Orders'!$AL$11:$AL$1010,$B827)="","",INDEX('Work Orders'!$AL$11:$AL$1010,$B827)))</f>
        <v/>
      </c>
      <c r="O827" s="43">
        <f>IF($B827="","",IF(INDEX('Work Orders'!$N$11:$N$1010,$B827)="","",INDEX('Work Orders'!$N$11:$N$1010,$B827)))</f>
        <v/>
      </c>
    </row>
    <row r="828">
      <c r="A828" s="68" t="n">
        <v>822</v>
      </c>
      <c r="B828">
        <f>IFERROR(MATCH(A828,'Work Orders'!$AO$11:$AO$1010,0),"")</f>
        <v/>
      </c>
      <c r="C828" s="43">
        <f>IF($B828="","",IF(INDEX('Work Orders'!$A$11:$A$1010,$B828)="","",INDEX('Work Orders'!$A$11:$A$1010,$B828)))</f>
        <v/>
      </c>
      <c r="D828" s="43">
        <f>IF($B828="","",IF(INDEX('Work Orders'!$B$11:$B$1010,$B828)="","",INDEX('Work Orders'!$B$11:$B$1010,$B828)))</f>
        <v/>
      </c>
      <c r="E828" s="43">
        <f>IF($B828="","",IF(INDEX('Work Orders'!$D$11:$D$1010,$B828)="","",INDEX('Work Orders'!$D$11:$D$1010,$B828)))</f>
        <v/>
      </c>
      <c r="F828" s="43">
        <f>IF($B828="","",IF(INDEX('Work Orders'!$Q$11:$Q$1010,$B828)="","",INDEX('Work Orders'!$Q$11:$Q$1010,$B828)))</f>
        <v/>
      </c>
      <c r="G828" s="43">
        <f>IF($B828="","",IF(INDEX('Work Orders'!$V$11:$V$1010,$B828)="","",INDEX('Work Orders'!$V$11:$V$1010,$B828)))</f>
        <v/>
      </c>
      <c r="H828" s="47">
        <f>IF($B828="","",IF(INDEX('Work Orders'!$U$11:$U$1010,$B828)="","",INDEX('Work Orders'!$U$11:$U$1010,$B828)))</f>
        <v/>
      </c>
      <c r="I828" s="47">
        <f>IF($B828="","",IF(INDEX('Work Orders'!$X$11:$X$1010,$B828)="","",INDEX('Work Orders'!$X$11:$X$1010,$B828)))</f>
        <v/>
      </c>
      <c r="J828" s="44">
        <f>IF($B828="","",IF(INDEX('Work Orders'!$Z$11:$Z$1010,$B828)="","",INDEX('Work Orders'!$Z$11:$Z$1010,$B828)))</f>
        <v/>
      </c>
      <c r="K828" s="44">
        <f>IF($B828="","",IF(INDEX('Work Orders'!$AG$11:$AG$1010,$B828)="","",INDEX('Work Orders'!$AG$11:$AG$1010,$B828)))</f>
        <v/>
      </c>
      <c r="L828" s="44">
        <f>IF($B828="","",IF(INDEX('Work Orders'!$AH$11:$AH$1010,$B828)="","",INDEX('Work Orders'!$AH$11:$AH$1010,$B828)))</f>
        <v/>
      </c>
      <c r="M828" s="46">
        <f>IF($B828="","",IF(INDEX('Work Orders'!$AM$11:$AM$1010,$B828)="","",INDEX('Work Orders'!$AM$11:$AM$1010,$B828)))</f>
        <v/>
      </c>
      <c r="N828" s="43">
        <f>IF($B828="","",IF(INDEX('Work Orders'!$AL$11:$AL$1010,$B828)="","",INDEX('Work Orders'!$AL$11:$AL$1010,$B828)))</f>
        <v/>
      </c>
      <c r="O828" s="43">
        <f>IF($B828="","",IF(INDEX('Work Orders'!$N$11:$N$1010,$B828)="","",INDEX('Work Orders'!$N$11:$N$1010,$B828)))</f>
        <v/>
      </c>
    </row>
    <row r="829">
      <c r="A829" s="68" t="n">
        <v>823</v>
      </c>
      <c r="B829">
        <f>IFERROR(MATCH(A829,'Work Orders'!$AO$11:$AO$1010,0),"")</f>
        <v/>
      </c>
      <c r="C829" s="43">
        <f>IF($B829="","",IF(INDEX('Work Orders'!$A$11:$A$1010,$B829)="","",INDEX('Work Orders'!$A$11:$A$1010,$B829)))</f>
        <v/>
      </c>
      <c r="D829" s="43">
        <f>IF($B829="","",IF(INDEX('Work Orders'!$B$11:$B$1010,$B829)="","",INDEX('Work Orders'!$B$11:$B$1010,$B829)))</f>
        <v/>
      </c>
      <c r="E829" s="43">
        <f>IF($B829="","",IF(INDEX('Work Orders'!$D$11:$D$1010,$B829)="","",INDEX('Work Orders'!$D$11:$D$1010,$B829)))</f>
        <v/>
      </c>
      <c r="F829" s="43">
        <f>IF($B829="","",IF(INDEX('Work Orders'!$Q$11:$Q$1010,$B829)="","",INDEX('Work Orders'!$Q$11:$Q$1010,$B829)))</f>
        <v/>
      </c>
      <c r="G829" s="43">
        <f>IF($B829="","",IF(INDEX('Work Orders'!$V$11:$V$1010,$B829)="","",INDEX('Work Orders'!$V$11:$V$1010,$B829)))</f>
        <v/>
      </c>
      <c r="H829" s="47">
        <f>IF($B829="","",IF(INDEX('Work Orders'!$U$11:$U$1010,$B829)="","",INDEX('Work Orders'!$U$11:$U$1010,$B829)))</f>
        <v/>
      </c>
      <c r="I829" s="47">
        <f>IF($B829="","",IF(INDEX('Work Orders'!$X$11:$X$1010,$B829)="","",INDEX('Work Orders'!$X$11:$X$1010,$B829)))</f>
        <v/>
      </c>
      <c r="J829" s="44">
        <f>IF($B829="","",IF(INDEX('Work Orders'!$Z$11:$Z$1010,$B829)="","",INDEX('Work Orders'!$Z$11:$Z$1010,$B829)))</f>
        <v/>
      </c>
      <c r="K829" s="44">
        <f>IF($B829="","",IF(INDEX('Work Orders'!$AG$11:$AG$1010,$B829)="","",INDEX('Work Orders'!$AG$11:$AG$1010,$B829)))</f>
        <v/>
      </c>
      <c r="L829" s="44">
        <f>IF($B829="","",IF(INDEX('Work Orders'!$AH$11:$AH$1010,$B829)="","",INDEX('Work Orders'!$AH$11:$AH$1010,$B829)))</f>
        <v/>
      </c>
      <c r="M829" s="46">
        <f>IF($B829="","",IF(INDEX('Work Orders'!$AM$11:$AM$1010,$B829)="","",INDEX('Work Orders'!$AM$11:$AM$1010,$B829)))</f>
        <v/>
      </c>
      <c r="N829" s="43">
        <f>IF($B829="","",IF(INDEX('Work Orders'!$AL$11:$AL$1010,$B829)="","",INDEX('Work Orders'!$AL$11:$AL$1010,$B829)))</f>
        <v/>
      </c>
      <c r="O829" s="43">
        <f>IF($B829="","",IF(INDEX('Work Orders'!$N$11:$N$1010,$B829)="","",INDEX('Work Orders'!$N$11:$N$1010,$B829)))</f>
        <v/>
      </c>
    </row>
    <row r="830">
      <c r="A830" s="68" t="n">
        <v>824</v>
      </c>
      <c r="B830">
        <f>IFERROR(MATCH(A830,'Work Orders'!$AO$11:$AO$1010,0),"")</f>
        <v/>
      </c>
      <c r="C830" s="43">
        <f>IF($B830="","",IF(INDEX('Work Orders'!$A$11:$A$1010,$B830)="","",INDEX('Work Orders'!$A$11:$A$1010,$B830)))</f>
        <v/>
      </c>
      <c r="D830" s="43">
        <f>IF($B830="","",IF(INDEX('Work Orders'!$B$11:$B$1010,$B830)="","",INDEX('Work Orders'!$B$11:$B$1010,$B830)))</f>
        <v/>
      </c>
      <c r="E830" s="43">
        <f>IF($B830="","",IF(INDEX('Work Orders'!$D$11:$D$1010,$B830)="","",INDEX('Work Orders'!$D$11:$D$1010,$B830)))</f>
        <v/>
      </c>
      <c r="F830" s="43">
        <f>IF($B830="","",IF(INDEX('Work Orders'!$Q$11:$Q$1010,$B830)="","",INDEX('Work Orders'!$Q$11:$Q$1010,$B830)))</f>
        <v/>
      </c>
      <c r="G830" s="43">
        <f>IF($B830="","",IF(INDEX('Work Orders'!$V$11:$V$1010,$B830)="","",INDEX('Work Orders'!$V$11:$V$1010,$B830)))</f>
        <v/>
      </c>
      <c r="H830" s="47">
        <f>IF($B830="","",IF(INDEX('Work Orders'!$U$11:$U$1010,$B830)="","",INDEX('Work Orders'!$U$11:$U$1010,$B830)))</f>
        <v/>
      </c>
      <c r="I830" s="47">
        <f>IF($B830="","",IF(INDEX('Work Orders'!$X$11:$X$1010,$B830)="","",INDEX('Work Orders'!$X$11:$X$1010,$B830)))</f>
        <v/>
      </c>
      <c r="J830" s="44">
        <f>IF($B830="","",IF(INDEX('Work Orders'!$Z$11:$Z$1010,$B830)="","",INDEX('Work Orders'!$Z$11:$Z$1010,$B830)))</f>
        <v/>
      </c>
      <c r="K830" s="44">
        <f>IF($B830="","",IF(INDEX('Work Orders'!$AG$11:$AG$1010,$B830)="","",INDEX('Work Orders'!$AG$11:$AG$1010,$B830)))</f>
        <v/>
      </c>
      <c r="L830" s="44">
        <f>IF($B830="","",IF(INDEX('Work Orders'!$AH$11:$AH$1010,$B830)="","",INDEX('Work Orders'!$AH$11:$AH$1010,$B830)))</f>
        <v/>
      </c>
      <c r="M830" s="46">
        <f>IF($B830="","",IF(INDEX('Work Orders'!$AM$11:$AM$1010,$B830)="","",INDEX('Work Orders'!$AM$11:$AM$1010,$B830)))</f>
        <v/>
      </c>
      <c r="N830" s="43">
        <f>IF($B830="","",IF(INDEX('Work Orders'!$AL$11:$AL$1010,$B830)="","",INDEX('Work Orders'!$AL$11:$AL$1010,$B830)))</f>
        <v/>
      </c>
      <c r="O830" s="43">
        <f>IF($B830="","",IF(INDEX('Work Orders'!$N$11:$N$1010,$B830)="","",INDEX('Work Orders'!$N$11:$N$1010,$B830)))</f>
        <v/>
      </c>
    </row>
    <row r="831">
      <c r="A831" s="68" t="n">
        <v>825</v>
      </c>
      <c r="B831">
        <f>IFERROR(MATCH(A831,'Work Orders'!$AO$11:$AO$1010,0),"")</f>
        <v/>
      </c>
      <c r="C831" s="43">
        <f>IF($B831="","",IF(INDEX('Work Orders'!$A$11:$A$1010,$B831)="","",INDEX('Work Orders'!$A$11:$A$1010,$B831)))</f>
        <v/>
      </c>
      <c r="D831" s="43">
        <f>IF($B831="","",IF(INDEX('Work Orders'!$B$11:$B$1010,$B831)="","",INDEX('Work Orders'!$B$11:$B$1010,$B831)))</f>
        <v/>
      </c>
      <c r="E831" s="43">
        <f>IF($B831="","",IF(INDEX('Work Orders'!$D$11:$D$1010,$B831)="","",INDEX('Work Orders'!$D$11:$D$1010,$B831)))</f>
        <v/>
      </c>
      <c r="F831" s="43">
        <f>IF($B831="","",IF(INDEX('Work Orders'!$Q$11:$Q$1010,$B831)="","",INDEX('Work Orders'!$Q$11:$Q$1010,$B831)))</f>
        <v/>
      </c>
      <c r="G831" s="43">
        <f>IF($B831="","",IF(INDEX('Work Orders'!$V$11:$V$1010,$B831)="","",INDEX('Work Orders'!$V$11:$V$1010,$B831)))</f>
        <v/>
      </c>
      <c r="H831" s="47">
        <f>IF($B831="","",IF(INDEX('Work Orders'!$U$11:$U$1010,$B831)="","",INDEX('Work Orders'!$U$11:$U$1010,$B831)))</f>
        <v/>
      </c>
      <c r="I831" s="47">
        <f>IF($B831="","",IF(INDEX('Work Orders'!$X$11:$X$1010,$B831)="","",INDEX('Work Orders'!$X$11:$X$1010,$B831)))</f>
        <v/>
      </c>
      <c r="J831" s="44">
        <f>IF($B831="","",IF(INDEX('Work Orders'!$Z$11:$Z$1010,$B831)="","",INDEX('Work Orders'!$Z$11:$Z$1010,$B831)))</f>
        <v/>
      </c>
      <c r="K831" s="44">
        <f>IF($B831="","",IF(INDEX('Work Orders'!$AG$11:$AG$1010,$B831)="","",INDEX('Work Orders'!$AG$11:$AG$1010,$B831)))</f>
        <v/>
      </c>
      <c r="L831" s="44">
        <f>IF($B831="","",IF(INDEX('Work Orders'!$AH$11:$AH$1010,$B831)="","",INDEX('Work Orders'!$AH$11:$AH$1010,$B831)))</f>
        <v/>
      </c>
      <c r="M831" s="46">
        <f>IF($B831="","",IF(INDEX('Work Orders'!$AM$11:$AM$1010,$B831)="","",INDEX('Work Orders'!$AM$11:$AM$1010,$B831)))</f>
        <v/>
      </c>
      <c r="N831" s="43">
        <f>IF($B831="","",IF(INDEX('Work Orders'!$AL$11:$AL$1010,$B831)="","",INDEX('Work Orders'!$AL$11:$AL$1010,$B831)))</f>
        <v/>
      </c>
      <c r="O831" s="43">
        <f>IF($B831="","",IF(INDEX('Work Orders'!$N$11:$N$1010,$B831)="","",INDEX('Work Orders'!$N$11:$N$1010,$B831)))</f>
        <v/>
      </c>
    </row>
    <row r="832">
      <c r="A832" s="68" t="n">
        <v>826</v>
      </c>
      <c r="B832">
        <f>IFERROR(MATCH(A832,'Work Orders'!$AO$11:$AO$1010,0),"")</f>
        <v/>
      </c>
      <c r="C832" s="43">
        <f>IF($B832="","",IF(INDEX('Work Orders'!$A$11:$A$1010,$B832)="","",INDEX('Work Orders'!$A$11:$A$1010,$B832)))</f>
        <v/>
      </c>
      <c r="D832" s="43">
        <f>IF($B832="","",IF(INDEX('Work Orders'!$B$11:$B$1010,$B832)="","",INDEX('Work Orders'!$B$11:$B$1010,$B832)))</f>
        <v/>
      </c>
      <c r="E832" s="43">
        <f>IF($B832="","",IF(INDEX('Work Orders'!$D$11:$D$1010,$B832)="","",INDEX('Work Orders'!$D$11:$D$1010,$B832)))</f>
        <v/>
      </c>
      <c r="F832" s="43">
        <f>IF($B832="","",IF(INDEX('Work Orders'!$Q$11:$Q$1010,$B832)="","",INDEX('Work Orders'!$Q$11:$Q$1010,$B832)))</f>
        <v/>
      </c>
      <c r="G832" s="43">
        <f>IF($B832="","",IF(INDEX('Work Orders'!$V$11:$V$1010,$B832)="","",INDEX('Work Orders'!$V$11:$V$1010,$B832)))</f>
        <v/>
      </c>
      <c r="H832" s="47">
        <f>IF($B832="","",IF(INDEX('Work Orders'!$U$11:$U$1010,$B832)="","",INDEX('Work Orders'!$U$11:$U$1010,$B832)))</f>
        <v/>
      </c>
      <c r="I832" s="47">
        <f>IF($B832="","",IF(INDEX('Work Orders'!$X$11:$X$1010,$B832)="","",INDEX('Work Orders'!$X$11:$X$1010,$B832)))</f>
        <v/>
      </c>
      <c r="J832" s="44">
        <f>IF($B832="","",IF(INDEX('Work Orders'!$Z$11:$Z$1010,$B832)="","",INDEX('Work Orders'!$Z$11:$Z$1010,$B832)))</f>
        <v/>
      </c>
      <c r="K832" s="44">
        <f>IF($B832="","",IF(INDEX('Work Orders'!$AG$11:$AG$1010,$B832)="","",INDEX('Work Orders'!$AG$11:$AG$1010,$B832)))</f>
        <v/>
      </c>
      <c r="L832" s="44">
        <f>IF($B832="","",IF(INDEX('Work Orders'!$AH$11:$AH$1010,$B832)="","",INDEX('Work Orders'!$AH$11:$AH$1010,$B832)))</f>
        <v/>
      </c>
      <c r="M832" s="46">
        <f>IF($B832="","",IF(INDEX('Work Orders'!$AM$11:$AM$1010,$B832)="","",INDEX('Work Orders'!$AM$11:$AM$1010,$B832)))</f>
        <v/>
      </c>
      <c r="N832" s="43">
        <f>IF($B832="","",IF(INDEX('Work Orders'!$AL$11:$AL$1010,$B832)="","",INDEX('Work Orders'!$AL$11:$AL$1010,$B832)))</f>
        <v/>
      </c>
      <c r="O832" s="43">
        <f>IF($B832="","",IF(INDEX('Work Orders'!$N$11:$N$1010,$B832)="","",INDEX('Work Orders'!$N$11:$N$1010,$B832)))</f>
        <v/>
      </c>
    </row>
    <row r="833">
      <c r="A833" s="68" t="n">
        <v>827</v>
      </c>
      <c r="B833">
        <f>IFERROR(MATCH(A833,'Work Orders'!$AO$11:$AO$1010,0),"")</f>
        <v/>
      </c>
      <c r="C833" s="43">
        <f>IF($B833="","",IF(INDEX('Work Orders'!$A$11:$A$1010,$B833)="","",INDEX('Work Orders'!$A$11:$A$1010,$B833)))</f>
        <v/>
      </c>
      <c r="D833" s="43">
        <f>IF($B833="","",IF(INDEX('Work Orders'!$B$11:$B$1010,$B833)="","",INDEX('Work Orders'!$B$11:$B$1010,$B833)))</f>
        <v/>
      </c>
      <c r="E833" s="43">
        <f>IF($B833="","",IF(INDEX('Work Orders'!$D$11:$D$1010,$B833)="","",INDEX('Work Orders'!$D$11:$D$1010,$B833)))</f>
        <v/>
      </c>
      <c r="F833" s="43">
        <f>IF($B833="","",IF(INDEX('Work Orders'!$Q$11:$Q$1010,$B833)="","",INDEX('Work Orders'!$Q$11:$Q$1010,$B833)))</f>
        <v/>
      </c>
      <c r="G833" s="43">
        <f>IF($B833="","",IF(INDEX('Work Orders'!$V$11:$V$1010,$B833)="","",INDEX('Work Orders'!$V$11:$V$1010,$B833)))</f>
        <v/>
      </c>
      <c r="H833" s="47">
        <f>IF($B833="","",IF(INDEX('Work Orders'!$U$11:$U$1010,$B833)="","",INDEX('Work Orders'!$U$11:$U$1010,$B833)))</f>
        <v/>
      </c>
      <c r="I833" s="47">
        <f>IF($B833="","",IF(INDEX('Work Orders'!$X$11:$X$1010,$B833)="","",INDEX('Work Orders'!$X$11:$X$1010,$B833)))</f>
        <v/>
      </c>
      <c r="J833" s="44">
        <f>IF($B833="","",IF(INDEX('Work Orders'!$Z$11:$Z$1010,$B833)="","",INDEX('Work Orders'!$Z$11:$Z$1010,$B833)))</f>
        <v/>
      </c>
      <c r="K833" s="44">
        <f>IF($B833="","",IF(INDEX('Work Orders'!$AG$11:$AG$1010,$B833)="","",INDEX('Work Orders'!$AG$11:$AG$1010,$B833)))</f>
        <v/>
      </c>
      <c r="L833" s="44">
        <f>IF($B833="","",IF(INDEX('Work Orders'!$AH$11:$AH$1010,$B833)="","",INDEX('Work Orders'!$AH$11:$AH$1010,$B833)))</f>
        <v/>
      </c>
      <c r="M833" s="46">
        <f>IF($B833="","",IF(INDEX('Work Orders'!$AM$11:$AM$1010,$B833)="","",INDEX('Work Orders'!$AM$11:$AM$1010,$B833)))</f>
        <v/>
      </c>
      <c r="N833" s="43">
        <f>IF($B833="","",IF(INDEX('Work Orders'!$AL$11:$AL$1010,$B833)="","",INDEX('Work Orders'!$AL$11:$AL$1010,$B833)))</f>
        <v/>
      </c>
      <c r="O833" s="43">
        <f>IF($B833="","",IF(INDEX('Work Orders'!$N$11:$N$1010,$B833)="","",INDEX('Work Orders'!$N$11:$N$1010,$B833)))</f>
        <v/>
      </c>
    </row>
    <row r="834">
      <c r="A834" s="68" t="n">
        <v>828</v>
      </c>
      <c r="B834">
        <f>IFERROR(MATCH(A834,'Work Orders'!$AO$11:$AO$1010,0),"")</f>
        <v/>
      </c>
      <c r="C834" s="43">
        <f>IF($B834="","",IF(INDEX('Work Orders'!$A$11:$A$1010,$B834)="","",INDEX('Work Orders'!$A$11:$A$1010,$B834)))</f>
        <v/>
      </c>
      <c r="D834" s="43">
        <f>IF($B834="","",IF(INDEX('Work Orders'!$B$11:$B$1010,$B834)="","",INDEX('Work Orders'!$B$11:$B$1010,$B834)))</f>
        <v/>
      </c>
      <c r="E834" s="43">
        <f>IF($B834="","",IF(INDEX('Work Orders'!$D$11:$D$1010,$B834)="","",INDEX('Work Orders'!$D$11:$D$1010,$B834)))</f>
        <v/>
      </c>
      <c r="F834" s="43">
        <f>IF($B834="","",IF(INDEX('Work Orders'!$Q$11:$Q$1010,$B834)="","",INDEX('Work Orders'!$Q$11:$Q$1010,$B834)))</f>
        <v/>
      </c>
      <c r="G834" s="43">
        <f>IF($B834="","",IF(INDEX('Work Orders'!$V$11:$V$1010,$B834)="","",INDEX('Work Orders'!$V$11:$V$1010,$B834)))</f>
        <v/>
      </c>
      <c r="H834" s="47">
        <f>IF($B834="","",IF(INDEX('Work Orders'!$U$11:$U$1010,$B834)="","",INDEX('Work Orders'!$U$11:$U$1010,$B834)))</f>
        <v/>
      </c>
      <c r="I834" s="47">
        <f>IF($B834="","",IF(INDEX('Work Orders'!$X$11:$X$1010,$B834)="","",INDEX('Work Orders'!$X$11:$X$1010,$B834)))</f>
        <v/>
      </c>
      <c r="J834" s="44">
        <f>IF($B834="","",IF(INDEX('Work Orders'!$Z$11:$Z$1010,$B834)="","",INDEX('Work Orders'!$Z$11:$Z$1010,$B834)))</f>
        <v/>
      </c>
      <c r="K834" s="44">
        <f>IF($B834="","",IF(INDEX('Work Orders'!$AG$11:$AG$1010,$B834)="","",INDEX('Work Orders'!$AG$11:$AG$1010,$B834)))</f>
        <v/>
      </c>
      <c r="L834" s="44">
        <f>IF($B834="","",IF(INDEX('Work Orders'!$AH$11:$AH$1010,$B834)="","",INDEX('Work Orders'!$AH$11:$AH$1010,$B834)))</f>
        <v/>
      </c>
      <c r="M834" s="46">
        <f>IF($B834="","",IF(INDEX('Work Orders'!$AM$11:$AM$1010,$B834)="","",INDEX('Work Orders'!$AM$11:$AM$1010,$B834)))</f>
        <v/>
      </c>
      <c r="N834" s="43">
        <f>IF($B834="","",IF(INDEX('Work Orders'!$AL$11:$AL$1010,$B834)="","",INDEX('Work Orders'!$AL$11:$AL$1010,$B834)))</f>
        <v/>
      </c>
      <c r="O834" s="43">
        <f>IF($B834="","",IF(INDEX('Work Orders'!$N$11:$N$1010,$B834)="","",INDEX('Work Orders'!$N$11:$N$1010,$B834)))</f>
        <v/>
      </c>
    </row>
    <row r="835">
      <c r="A835" s="68" t="n">
        <v>829</v>
      </c>
      <c r="B835">
        <f>IFERROR(MATCH(A835,'Work Orders'!$AO$11:$AO$1010,0),"")</f>
        <v/>
      </c>
      <c r="C835" s="43">
        <f>IF($B835="","",IF(INDEX('Work Orders'!$A$11:$A$1010,$B835)="","",INDEX('Work Orders'!$A$11:$A$1010,$B835)))</f>
        <v/>
      </c>
      <c r="D835" s="43">
        <f>IF($B835="","",IF(INDEX('Work Orders'!$B$11:$B$1010,$B835)="","",INDEX('Work Orders'!$B$11:$B$1010,$B835)))</f>
        <v/>
      </c>
      <c r="E835" s="43">
        <f>IF($B835="","",IF(INDEX('Work Orders'!$D$11:$D$1010,$B835)="","",INDEX('Work Orders'!$D$11:$D$1010,$B835)))</f>
        <v/>
      </c>
      <c r="F835" s="43">
        <f>IF($B835="","",IF(INDEX('Work Orders'!$Q$11:$Q$1010,$B835)="","",INDEX('Work Orders'!$Q$11:$Q$1010,$B835)))</f>
        <v/>
      </c>
      <c r="G835" s="43">
        <f>IF($B835="","",IF(INDEX('Work Orders'!$V$11:$V$1010,$B835)="","",INDEX('Work Orders'!$V$11:$V$1010,$B835)))</f>
        <v/>
      </c>
      <c r="H835" s="47">
        <f>IF($B835="","",IF(INDEX('Work Orders'!$U$11:$U$1010,$B835)="","",INDEX('Work Orders'!$U$11:$U$1010,$B835)))</f>
        <v/>
      </c>
      <c r="I835" s="47">
        <f>IF($B835="","",IF(INDEX('Work Orders'!$X$11:$X$1010,$B835)="","",INDEX('Work Orders'!$X$11:$X$1010,$B835)))</f>
        <v/>
      </c>
      <c r="J835" s="44">
        <f>IF($B835="","",IF(INDEX('Work Orders'!$Z$11:$Z$1010,$B835)="","",INDEX('Work Orders'!$Z$11:$Z$1010,$B835)))</f>
        <v/>
      </c>
      <c r="K835" s="44">
        <f>IF($B835="","",IF(INDEX('Work Orders'!$AG$11:$AG$1010,$B835)="","",INDEX('Work Orders'!$AG$11:$AG$1010,$B835)))</f>
        <v/>
      </c>
      <c r="L835" s="44">
        <f>IF($B835="","",IF(INDEX('Work Orders'!$AH$11:$AH$1010,$B835)="","",INDEX('Work Orders'!$AH$11:$AH$1010,$B835)))</f>
        <v/>
      </c>
      <c r="M835" s="46">
        <f>IF($B835="","",IF(INDEX('Work Orders'!$AM$11:$AM$1010,$B835)="","",INDEX('Work Orders'!$AM$11:$AM$1010,$B835)))</f>
        <v/>
      </c>
      <c r="N835" s="43">
        <f>IF($B835="","",IF(INDEX('Work Orders'!$AL$11:$AL$1010,$B835)="","",INDEX('Work Orders'!$AL$11:$AL$1010,$B835)))</f>
        <v/>
      </c>
      <c r="O835" s="43">
        <f>IF($B835="","",IF(INDEX('Work Orders'!$N$11:$N$1010,$B835)="","",INDEX('Work Orders'!$N$11:$N$1010,$B835)))</f>
        <v/>
      </c>
    </row>
    <row r="836">
      <c r="A836" s="68" t="n">
        <v>830</v>
      </c>
      <c r="B836">
        <f>IFERROR(MATCH(A836,'Work Orders'!$AO$11:$AO$1010,0),"")</f>
        <v/>
      </c>
      <c r="C836" s="43">
        <f>IF($B836="","",IF(INDEX('Work Orders'!$A$11:$A$1010,$B836)="","",INDEX('Work Orders'!$A$11:$A$1010,$B836)))</f>
        <v/>
      </c>
      <c r="D836" s="43">
        <f>IF($B836="","",IF(INDEX('Work Orders'!$B$11:$B$1010,$B836)="","",INDEX('Work Orders'!$B$11:$B$1010,$B836)))</f>
        <v/>
      </c>
      <c r="E836" s="43">
        <f>IF($B836="","",IF(INDEX('Work Orders'!$D$11:$D$1010,$B836)="","",INDEX('Work Orders'!$D$11:$D$1010,$B836)))</f>
        <v/>
      </c>
      <c r="F836" s="43">
        <f>IF($B836="","",IF(INDEX('Work Orders'!$Q$11:$Q$1010,$B836)="","",INDEX('Work Orders'!$Q$11:$Q$1010,$B836)))</f>
        <v/>
      </c>
      <c r="G836" s="43">
        <f>IF($B836="","",IF(INDEX('Work Orders'!$V$11:$V$1010,$B836)="","",INDEX('Work Orders'!$V$11:$V$1010,$B836)))</f>
        <v/>
      </c>
      <c r="H836" s="47">
        <f>IF($B836="","",IF(INDEX('Work Orders'!$U$11:$U$1010,$B836)="","",INDEX('Work Orders'!$U$11:$U$1010,$B836)))</f>
        <v/>
      </c>
      <c r="I836" s="47">
        <f>IF($B836="","",IF(INDEX('Work Orders'!$X$11:$X$1010,$B836)="","",INDEX('Work Orders'!$X$11:$X$1010,$B836)))</f>
        <v/>
      </c>
      <c r="J836" s="44">
        <f>IF($B836="","",IF(INDEX('Work Orders'!$Z$11:$Z$1010,$B836)="","",INDEX('Work Orders'!$Z$11:$Z$1010,$B836)))</f>
        <v/>
      </c>
      <c r="K836" s="44">
        <f>IF($B836="","",IF(INDEX('Work Orders'!$AG$11:$AG$1010,$B836)="","",INDEX('Work Orders'!$AG$11:$AG$1010,$B836)))</f>
        <v/>
      </c>
      <c r="L836" s="44">
        <f>IF($B836="","",IF(INDEX('Work Orders'!$AH$11:$AH$1010,$B836)="","",INDEX('Work Orders'!$AH$11:$AH$1010,$B836)))</f>
        <v/>
      </c>
      <c r="M836" s="46">
        <f>IF($B836="","",IF(INDEX('Work Orders'!$AM$11:$AM$1010,$B836)="","",INDEX('Work Orders'!$AM$11:$AM$1010,$B836)))</f>
        <v/>
      </c>
      <c r="N836" s="43">
        <f>IF($B836="","",IF(INDEX('Work Orders'!$AL$11:$AL$1010,$B836)="","",INDEX('Work Orders'!$AL$11:$AL$1010,$B836)))</f>
        <v/>
      </c>
      <c r="O836" s="43">
        <f>IF($B836="","",IF(INDEX('Work Orders'!$N$11:$N$1010,$B836)="","",INDEX('Work Orders'!$N$11:$N$1010,$B836)))</f>
        <v/>
      </c>
    </row>
    <row r="837">
      <c r="A837" s="68" t="n">
        <v>831</v>
      </c>
      <c r="B837">
        <f>IFERROR(MATCH(A837,'Work Orders'!$AO$11:$AO$1010,0),"")</f>
        <v/>
      </c>
      <c r="C837" s="43">
        <f>IF($B837="","",IF(INDEX('Work Orders'!$A$11:$A$1010,$B837)="","",INDEX('Work Orders'!$A$11:$A$1010,$B837)))</f>
        <v/>
      </c>
      <c r="D837" s="43">
        <f>IF($B837="","",IF(INDEX('Work Orders'!$B$11:$B$1010,$B837)="","",INDEX('Work Orders'!$B$11:$B$1010,$B837)))</f>
        <v/>
      </c>
      <c r="E837" s="43">
        <f>IF($B837="","",IF(INDEX('Work Orders'!$D$11:$D$1010,$B837)="","",INDEX('Work Orders'!$D$11:$D$1010,$B837)))</f>
        <v/>
      </c>
      <c r="F837" s="43">
        <f>IF($B837="","",IF(INDEX('Work Orders'!$Q$11:$Q$1010,$B837)="","",INDEX('Work Orders'!$Q$11:$Q$1010,$B837)))</f>
        <v/>
      </c>
      <c r="G837" s="43">
        <f>IF($B837="","",IF(INDEX('Work Orders'!$V$11:$V$1010,$B837)="","",INDEX('Work Orders'!$V$11:$V$1010,$B837)))</f>
        <v/>
      </c>
      <c r="H837" s="47">
        <f>IF($B837="","",IF(INDEX('Work Orders'!$U$11:$U$1010,$B837)="","",INDEX('Work Orders'!$U$11:$U$1010,$B837)))</f>
        <v/>
      </c>
      <c r="I837" s="47">
        <f>IF($B837="","",IF(INDEX('Work Orders'!$X$11:$X$1010,$B837)="","",INDEX('Work Orders'!$X$11:$X$1010,$B837)))</f>
        <v/>
      </c>
      <c r="J837" s="44">
        <f>IF($B837="","",IF(INDEX('Work Orders'!$Z$11:$Z$1010,$B837)="","",INDEX('Work Orders'!$Z$11:$Z$1010,$B837)))</f>
        <v/>
      </c>
      <c r="K837" s="44">
        <f>IF($B837="","",IF(INDEX('Work Orders'!$AG$11:$AG$1010,$B837)="","",INDEX('Work Orders'!$AG$11:$AG$1010,$B837)))</f>
        <v/>
      </c>
      <c r="L837" s="44">
        <f>IF($B837="","",IF(INDEX('Work Orders'!$AH$11:$AH$1010,$B837)="","",INDEX('Work Orders'!$AH$11:$AH$1010,$B837)))</f>
        <v/>
      </c>
      <c r="M837" s="46">
        <f>IF($B837="","",IF(INDEX('Work Orders'!$AM$11:$AM$1010,$B837)="","",INDEX('Work Orders'!$AM$11:$AM$1010,$B837)))</f>
        <v/>
      </c>
      <c r="N837" s="43">
        <f>IF($B837="","",IF(INDEX('Work Orders'!$AL$11:$AL$1010,$B837)="","",INDEX('Work Orders'!$AL$11:$AL$1010,$B837)))</f>
        <v/>
      </c>
      <c r="O837" s="43">
        <f>IF($B837="","",IF(INDEX('Work Orders'!$N$11:$N$1010,$B837)="","",INDEX('Work Orders'!$N$11:$N$1010,$B837)))</f>
        <v/>
      </c>
    </row>
    <row r="838">
      <c r="A838" s="68" t="n">
        <v>832</v>
      </c>
      <c r="B838">
        <f>IFERROR(MATCH(A838,'Work Orders'!$AO$11:$AO$1010,0),"")</f>
        <v/>
      </c>
      <c r="C838" s="43">
        <f>IF($B838="","",IF(INDEX('Work Orders'!$A$11:$A$1010,$B838)="","",INDEX('Work Orders'!$A$11:$A$1010,$B838)))</f>
        <v/>
      </c>
      <c r="D838" s="43">
        <f>IF($B838="","",IF(INDEX('Work Orders'!$B$11:$B$1010,$B838)="","",INDEX('Work Orders'!$B$11:$B$1010,$B838)))</f>
        <v/>
      </c>
      <c r="E838" s="43">
        <f>IF($B838="","",IF(INDEX('Work Orders'!$D$11:$D$1010,$B838)="","",INDEX('Work Orders'!$D$11:$D$1010,$B838)))</f>
        <v/>
      </c>
      <c r="F838" s="43">
        <f>IF($B838="","",IF(INDEX('Work Orders'!$Q$11:$Q$1010,$B838)="","",INDEX('Work Orders'!$Q$11:$Q$1010,$B838)))</f>
        <v/>
      </c>
      <c r="G838" s="43">
        <f>IF($B838="","",IF(INDEX('Work Orders'!$V$11:$V$1010,$B838)="","",INDEX('Work Orders'!$V$11:$V$1010,$B838)))</f>
        <v/>
      </c>
      <c r="H838" s="47">
        <f>IF($B838="","",IF(INDEX('Work Orders'!$U$11:$U$1010,$B838)="","",INDEX('Work Orders'!$U$11:$U$1010,$B838)))</f>
        <v/>
      </c>
      <c r="I838" s="47">
        <f>IF($B838="","",IF(INDEX('Work Orders'!$X$11:$X$1010,$B838)="","",INDEX('Work Orders'!$X$11:$X$1010,$B838)))</f>
        <v/>
      </c>
      <c r="J838" s="44">
        <f>IF($B838="","",IF(INDEX('Work Orders'!$Z$11:$Z$1010,$B838)="","",INDEX('Work Orders'!$Z$11:$Z$1010,$B838)))</f>
        <v/>
      </c>
      <c r="K838" s="44">
        <f>IF($B838="","",IF(INDEX('Work Orders'!$AG$11:$AG$1010,$B838)="","",INDEX('Work Orders'!$AG$11:$AG$1010,$B838)))</f>
        <v/>
      </c>
      <c r="L838" s="44">
        <f>IF($B838="","",IF(INDEX('Work Orders'!$AH$11:$AH$1010,$B838)="","",INDEX('Work Orders'!$AH$11:$AH$1010,$B838)))</f>
        <v/>
      </c>
      <c r="M838" s="46">
        <f>IF($B838="","",IF(INDEX('Work Orders'!$AM$11:$AM$1010,$B838)="","",INDEX('Work Orders'!$AM$11:$AM$1010,$B838)))</f>
        <v/>
      </c>
      <c r="N838" s="43">
        <f>IF($B838="","",IF(INDEX('Work Orders'!$AL$11:$AL$1010,$B838)="","",INDEX('Work Orders'!$AL$11:$AL$1010,$B838)))</f>
        <v/>
      </c>
      <c r="O838" s="43">
        <f>IF($B838="","",IF(INDEX('Work Orders'!$N$11:$N$1010,$B838)="","",INDEX('Work Orders'!$N$11:$N$1010,$B838)))</f>
        <v/>
      </c>
    </row>
    <row r="839">
      <c r="A839" s="68" t="n">
        <v>833</v>
      </c>
      <c r="B839">
        <f>IFERROR(MATCH(A839,'Work Orders'!$AO$11:$AO$1010,0),"")</f>
        <v/>
      </c>
      <c r="C839" s="43">
        <f>IF($B839="","",IF(INDEX('Work Orders'!$A$11:$A$1010,$B839)="","",INDEX('Work Orders'!$A$11:$A$1010,$B839)))</f>
        <v/>
      </c>
      <c r="D839" s="43">
        <f>IF($B839="","",IF(INDEX('Work Orders'!$B$11:$B$1010,$B839)="","",INDEX('Work Orders'!$B$11:$B$1010,$B839)))</f>
        <v/>
      </c>
      <c r="E839" s="43">
        <f>IF($B839="","",IF(INDEX('Work Orders'!$D$11:$D$1010,$B839)="","",INDEX('Work Orders'!$D$11:$D$1010,$B839)))</f>
        <v/>
      </c>
      <c r="F839" s="43">
        <f>IF($B839="","",IF(INDEX('Work Orders'!$Q$11:$Q$1010,$B839)="","",INDEX('Work Orders'!$Q$11:$Q$1010,$B839)))</f>
        <v/>
      </c>
      <c r="G839" s="43">
        <f>IF($B839="","",IF(INDEX('Work Orders'!$V$11:$V$1010,$B839)="","",INDEX('Work Orders'!$V$11:$V$1010,$B839)))</f>
        <v/>
      </c>
      <c r="H839" s="47">
        <f>IF($B839="","",IF(INDEX('Work Orders'!$U$11:$U$1010,$B839)="","",INDEX('Work Orders'!$U$11:$U$1010,$B839)))</f>
        <v/>
      </c>
      <c r="I839" s="47">
        <f>IF($B839="","",IF(INDEX('Work Orders'!$X$11:$X$1010,$B839)="","",INDEX('Work Orders'!$X$11:$X$1010,$B839)))</f>
        <v/>
      </c>
      <c r="J839" s="44">
        <f>IF($B839="","",IF(INDEX('Work Orders'!$Z$11:$Z$1010,$B839)="","",INDEX('Work Orders'!$Z$11:$Z$1010,$B839)))</f>
        <v/>
      </c>
      <c r="K839" s="44">
        <f>IF($B839="","",IF(INDEX('Work Orders'!$AG$11:$AG$1010,$B839)="","",INDEX('Work Orders'!$AG$11:$AG$1010,$B839)))</f>
        <v/>
      </c>
      <c r="L839" s="44">
        <f>IF($B839="","",IF(INDEX('Work Orders'!$AH$11:$AH$1010,$B839)="","",INDEX('Work Orders'!$AH$11:$AH$1010,$B839)))</f>
        <v/>
      </c>
      <c r="M839" s="46">
        <f>IF($B839="","",IF(INDEX('Work Orders'!$AM$11:$AM$1010,$B839)="","",INDEX('Work Orders'!$AM$11:$AM$1010,$B839)))</f>
        <v/>
      </c>
      <c r="N839" s="43">
        <f>IF($B839="","",IF(INDEX('Work Orders'!$AL$11:$AL$1010,$B839)="","",INDEX('Work Orders'!$AL$11:$AL$1010,$B839)))</f>
        <v/>
      </c>
      <c r="O839" s="43">
        <f>IF($B839="","",IF(INDEX('Work Orders'!$N$11:$N$1010,$B839)="","",INDEX('Work Orders'!$N$11:$N$1010,$B839)))</f>
        <v/>
      </c>
    </row>
    <row r="840">
      <c r="A840" s="68" t="n">
        <v>834</v>
      </c>
      <c r="B840">
        <f>IFERROR(MATCH(A840,'Work Orders'!$AO$11:$AO$1010,0),"")</f>
        <v/>
      </c>
      <c r="C840" s="43">
        <f>IF($B840="","",IF(INDEX('Work Orders'!$A$11:$A$1010,$B840)="","",INDEX('Work Orders'!$A$11:$A$1010,$B840)))</f>
        <v/>
      </c>
      <c r="D840" s="43">
        <f>IF($B840="","",IF(INDEX('Work Orders'!$B$11:$B$1010,$B840)="","",INDEX('Work Orders'!$B$11:$B$1010,$B840)))</f>
        <v/>
      </c>
      <c r="E840" s="43">
        <f>IF($B840="","",IF(INDEX('Work Orders'!$D$11:$D$1010,$B840)="","",INDEX('Work Orders'!$D$11:$D$1010,$B840)))</f>
        <v/>
      </c>
      <c r="F840" s="43">
        <f>IF($B840="","",IF(INDEX('Work Orders'!$Q$11:$Q$1010,$B840)="","",INDEX('Work Orders'!$Q$11:$Q$1010,$B840)))</f>
        <v/>
      </c>
      <c r="G840" s="43">
        <f>IF($B840="","",IF(INDEX('Work Orders'!$V$11:$V$1010,$B840)="","",INDEX('Work Orders'!$V$11:$V$1010,$B840)))</f>
        <v/>
      </c>
      <c r="H840" s="47">
        <f>IF($B840="","",IF(INDEX('Work Orders'!$U$11:$U$1010,$B840)="","",INDEX('Work Orders'!$U$11:$U$1010,$B840)))</f>
        <v/>
      </c>
      <c r="I840" s="47">
        <f>IF($B840="","",IF(INDEX('Work Orders'!$X$11:$X$1010,$B840)="","",INDEX('Work Orders'!$X$11:$X$1010,$B840)))</f>
        <v/>
      </c>
      <c r="J840" s="44">
        <f>IF($B840="","",IF(INDEX('Work Orders'!$Z$11:$Z$1010,$B840)="","",INDEX('Work Orders'!$Z$11:$Z$1010,$B840)))</f>
        <v/>
      </c>
      <c r="K840" s="44">
        <f>IF($B840="","",IF(INDEX('Work Orders'!$AG$11:$AG$1010,$B840)="","",INDEX('Work Orders'!$AG$11:$AG$1010,$B840)))</f>
        <v/>
      </c>
      <c r="L840" s="44">
        <f>IF($B840="","",IF(INDEX('Work Orders'!$AH$11:$AH$1010,$B840)="","",INDEX('Work Orders'!$AH$11:$AH$1010,$B840)))</f>
        <v/>
      </c>
      <c r="M840" s="46">
        <f>IF($B840="","",IF(INDEX('Work Orders'!$AM$11:$AM$1010,$B840)="","",INDEX('Work Orders'!$AM$11:$AM$1010,$B840)))</f>
        <v/>
      </c>
      <c r="N840" s="43">
        <f>IF($B840="","",IF(INDEX('Work Orders'!$AL$11:$AL$1010,$B840)="","",INDEX('Work Orders'!$AL$11:$AL$1010,$B840)))</f>
        <v/>
      </c>
      <c r="O840" s="43">
        <f>IF($B840="","",IF(INDEX('Work Orders'!$N$11:$N$1010,$B840)="","",INDEX('Work Orders'!$N$11:$N$1010,$B840)))</f>
        <v/>
      </c>
    </row>
    <row r="841">
      <c r="A841" s="68" t="n">
        <v>835</v>
      </c>
      <c r="B841">
        <f>IFERROR(MATCH(A841,'Work Orders'!$AO$11:$AO$1010,0),"")</f>
        <v/>
      </c>
      <c r="C841" s="43">
        <f>IF($B841="","",IF(INDEX('Work Orders'!$A$11:$A$1010,$B841)="","",INDEX('Work Orders'!$A$11:$A$1010,$B841)))</f>
        <v/>
      </c>
      <c r="D841" s="43">
        <f>IF($B841="","",IF(INDEX('Work Orders'!$B$11:$B$1010,$B841)="","",INDEX('Work Orders'!$B$11:$B$1010,$B841)))</f>
        <v/>
      </c>
      <c r="E841" s="43">
        <f>IF($B841="","",IF(INDEX('Work Orders'!$D$11:$D$1010,$B841)="","",INDEX('Work Orders'!$D$11:$D$1010,$B841)))</f>
        <v/>
      </c>
      <c r="F841" s="43">
        <f>IF($B841="","",IF(INDEX('Work Orders'!$Q$11:$Q$1010,$B841)="","",INDEX('Work Orders'!$Q$11:$Q$1010,$B841)))</f>
        <v/>
      </c>
      <c r="G841" s="43">
        <f>IF($B841="","",IF(INDEX('Work Orders'!$V$11:$V$1010,$B841)="","",INDEX('Work Orders'!$V$11:$V$1010,$B841)))</f>
        <v/>
      </c>
      <c r="H841" s="47">
        <f>IF($B841="","",IF(INDEX('Work Orders'!$U$11:$U$1010,$B841)="","",INDEX('Work Orders'!$U$11:$U$1010,$B841)))</f>
        <v/>
      </c>
      <c r="I841" s="47">
        <f>IF($B841="","",IF(INDEX('Work Orders'!$X$11:$X$1010,$B841)="","",INDEX('Work Orders'!$X$11:$X$1010,$B841)))</f>
        <v/>
      </c>
      <c r="J841" s="44">
        <f>IF($B841="","",IF(INDEX('Work Orders'!$Z$11:$Z$1010,$B841)="","",INDEX('Work Orders'!$Z$11:$Z$1010,$B841)))</f>
        <v/>
      </c>
      <c r="K841" s="44">
        <f>IF($B841="","",IF(INDEX('Work Orders'!$AG$11:$AG$1010,$B841)="","",INDEX('Work Orders'!$AG$11:$AG$1010,$B841)))</f>
        <v/>
      </c>
      <c r="L841" s="44">
        <f>IF($B841="","",IF(INDEX('Work Orders'!$AH$11:$AH$1010,$B841)="","",INDEX('Work Orders'!$AH$11:$AH$1010,$B841)))</f>
        <v/>
      </c>
      <c r="M841" s="46">
        <f>IF($B841="","",IF(INDEX('Work Orders'!$AM$11:$AM$1010,$B841)="","",INDEX('Work Orders'!$AM$11:$AM$1010,$B841)))</f>
        <v/>
      </c>
      <c r="N841" s="43">
        <f>IF($B841="","",IF(INDEX('Work Orders'!$AL$11:$AL$1010,$B841)="","",INDEX('Work Orders'!$AL$11:$AL$1010,$B841)))</f>
        <v/>
      </c>
      <c r="O841" s="43">
        <f>IF($B841="","",IF(INDEX('Work Orders'!$N$11:$N$1010,$B841)="","",INDEX('Work Orders'!$N$11:$N$1010,$B841)))</f>
        <v/>
      </c>
    </row>
    <row r="842">
      <c r="A842" s="68" t="n">
        <v>836</v>
      </c>
      <c r="B842">
        <f>IFERROR(MATCH(A842,'Work Orders'!$AO$11:$AO$1010,0),"")</f>
        <v/>
      </c>
      <c r="C842" s="43">
        <f>IF($B842="","",IF(INDEX('Work Orders'!$A$11:$A$1010,$B842)="","",INDEX('Work Orders'!$A$11:$A$1010,$B842)))</f>
        <v/>
      </c>
      <c r="D842" s="43">
        <f>IF($B842="","",IF(INDEX('Work Orders'!$B$11:$B$1010,$B842)="","",INDEX('Work Orders'!$B$11:$B$1010,$B842)))</f>
        <v/>
      </c>
      <c r="E842" s="43">
        <f>IF($B842="","",IF(INDEX('Work Orders'!$D$11:$D$1010,$B842)="","",INDEX('Work Orders'!$D$11:$D$1010,$B842)))</f>
        <v/>
      </c>
      <c r="F842" s="43">
        <f>IF($B842="","",IF(INDEX('Work Orders'!$Q$11:$Q$1010,$B842)="","",INDEX('Work Orders'!$Q$11:$Q$1010,$B842)))</f>
        <v/>
      </c>
      <c r="G842" s="43">
        <f>IF($B842="","",IF(INDEX('Work Orders'!$V$11:$V$1010,$B842)="","",INDEX('Work Orders'!$V$11:$V$1010,$B842)))</f>
        <v/>
      </c>
      <c r="H842" s="47">
        <f>IF($B842="","",IF(INDEX('Work Orders'!$U$11:$U$1010,$B842)="","",INDEX('Work Orders'!$U$11:$U$1010,$B842)))</f>
        <v/>
      </c>
      <c r="I842" s="47">
        <f>IF($B842="","",IF(INDEX('Work Orders'!$X$11:$X$1010,$B842)="","",INDEX('Work Orders'!$X$11:$X$1010,$B842)))</f>
        <v/>
      </c>
      <c r="J842" s="44">
        <f>IF($B842="","",IF(INDEX('Work Orders'!$Z$11:$Z$1010,$B842)="","",INDEX('Work Orders'!$Z$11:$Z$1010,$B842)))</f>
        <v/>
      </c>
      <c r="K842" s="44">
        <f>IF($B842="","",IF(INDEX('Work Orders'!$AG$11:$AG$1010,$B842)="","",INDEX('Work Orders'!$AG$11:$AG$1010,$B842)))</f>
        <v/>
      </c>
      <c r="L842" s="44">
        <f>IF($B842="","",IF(INDEX('Work Orders'!$AH$11:$AH$1010,$B842)="","",INDEX('Work Orders'!$AH$11:$AH$1010,$B842)))</f>
        <v/>
      </c>
      <c r="M842" s="46">
        <f>IF($B842="","",IF(INDEX('Work Orders'!$AM$11:$AM$1010,$B842)="","",INDEX('Work Orders'!$AM$11:$AM$1010,$B842)))</f>
        <v/>
      </c>
      <c r="N842" s="43">
        <f>IF($B842="","",IF(INDEX('Work Orders'!$AL$11:$AL$1010,$B842)="","",INDEX('Work Orders'!$AL$11:$AL$1010,$B842)))</f>
        <v/>
      </c>
      <c r="O842" s="43">
        <f>IF($B842="","",IF(INDEX('Work Orders'!$N$11:$N$1010,$B842)="","",INDEX('Work Orders'!$N$11:$N$1010,$B842)))</f>
        <v/>
      </c>
    </row>
    <row r="843">
      <c r="A843" s="68" t="n">
        <v>837</v>
      </c>
      <c r="B843">
        <f>IFERROR(MATCH(A843,'Work Orders'!$AO$11:$AO$1010,0),"")</f>
        <v/>
      </c>
      <c r="C843" s="43">
        <f>IF($B843="","",IF(INDEX('Work Orders'!$A$11:$A$1010,$B843)="","",INDEX('Work Orders'!$A$11:$A$1010,$B843)))</f>
        <v/>
      </c>
      <c r="D843" s="43">
        <f>IF($B843="","",IF(INDEX('Work Orders'!$B$11:$B$1010,$B843)="","",INDEX('Work Orders'!$B$11:$B$1010,$B843)))</f>
        <v/>
      </c>
      <c r="E843" s="43">
        <f>IF($B843="","",IF(INDEX('Work Orders'!$D$11:$D$1010,$B843)="","",INDEX('Work Orders'!$D$11:$D$1010,$B843)))</f>
        <v/>
      </c>
      <c r="F843" s="43">
        <f>IF($B843="","",IF(INDEX('Work Orders'!$Q$11:$Q$1010,$B843)="","",INDEX('Work Orders'!$Q$11:$Q$1010,$B843)))</f>
        <v/>
      </c>
      <c r="G843" s="43">
        <f>IF($B843="","",IF(INDEX('Work Orders'!$V$11:$V$1010,$B843)="","",INDEX('Work Orders'!$V$11:$V$1010,$B843)))</f>
        <v/>
      </c>
      <c r="H843" s="47">
        <f>IF($B843="","",IF(INDEX('Work Orders'!$U$11:$U$1010,$B843)="","",INDEX('Work Orders'!$U$11:$U$1010,$B843)))</f>
        <v/>
      </c>
      <c r="I843" s="47">
        <f>IF($B843="","",IF(INDEX('Work Orders'!$X$11:$X$1010,$B843)="","",INDEX('Work Orders'!$X$11:$X$1010,$B843)))</f>
        <v/>
      </c>
      <c r="J843" s="44">
        <f>IF($B843="","",IF(INDEX('Work Orders'!$Z$11:$Z$1010,$B843)="","",INDEX('Work Orders'!$Z$11:$Z$1010,$B843)))</f>
        <v/>
      </c>
      <c r="K843" s="44">
        <f>IF($B843="","",IF(INDEX('Work Orders'!$AG$11:$AG$1010,$B843)="","",INDEX('Work Orders'!$AG$11:$AG$1010,$B843)))</f>
        <v/>
      </c>
      <c r="L843" s="44">
        <f>IF($B843="","",IF(INDEX('Work Orders'!$AH$11:$AH$1010,$B843)="","",INDEX('Work Orders'!$AH$11:$AH$1010,$B843)))</f>
        <v/>
      </c>
      <c r="M843" s="46">
        <f>IF($B843="","",IF(INDEX('Work Orders'!$AM$11:$AM$1010,$B843)="","",INDEX('Work Orders'!$AM$11:$AM$1010,$B843)))</f>
        <v/>
      </c>
      <c r="N843" s="43">
        <f>IF($B843="","",IF(INDEX('Work Orders'!$AL$11:$AL$1010,$B843)="","",INDEX('Work Orders'!$AL$11:$AL$1010,$B843)))</f>
        <v/>
      </c>
      <c r="O843" s="43">
        <f>IF($B843="","",IF(INDEX('Work Orders'!$N$11:$N$1010,$B843)="","",INDEX('Work Orders'!$N$11:$N$1010,$B843)))</f>
        <v/>
      </c>
    </row>
    <row r="844">
      <c r="A844" s="68" t="n">
        <v>838</v>
      </c>
      <c r="B844">
        <f>IFERROR(MATCH(A844,'Work Orders'!$AO$11:$AO$1010,0),"")</f>
        <v/>
      </c>
      <c r="C844" s="43">
        <f>IF($B844="","",IF(INDEX('Work Orders'!$A$11:$A$1010,$B844)="","",INDEX('Work Orders'!$A$11:$A$1010,$B844)))</f>
        <v/>
      </c>
      <c r="D844" s="43">
        <f>IF($B844="","",IF(INDEX('Work Orders'!$B$11:$B$1010,$B844)="","",INDEX('Work Orders'!$B$11:$B$1010,$B844)))</f>
        <v/>
      </c>
      <c r="E844" s="43">
        <f>IF($B844="","",IF(INDEX('Work Orders'!$D$11:$D$1010,$B844)="","",INDEX('Work Orders'!$D$11:$D$1010,$B844)))</f>
        <v/>
      </c>
      <c r="F844" s="43">
        <f>IF($B844="","",IF(INDEX('Work Orders'!$Q$11:$Q$1010,$B844)="","",INDEX('Work Orders'!$Q$11:$Q$1010,$B844)))</f>
        <v/>
      </c>
      <c r="G844" s="43">
        <f>IF($B844="","",IF(INDEX('Work Orders'!$V$11:$V$1010,$B844)="","",INDEX('Work Orders'!$V$11:$V$1010,$B844)))</f>
        <v/>
      </c>
      <c r="H844" s="47">
        <f>IF($B844="","",IF(INDEX('Work Orders'!$U$11:$U$1010,$B844)="","",INDEX('Work Orders'!$U$11:$U$1010,$B844)))</f>
        <v/>
      </c>
      <c r="I844" s="47">
        <f>IF($B844="","",IF(INDEX('Work Orders'!$X$11:$X$1010,$B844)="","",INDEX('Work Orders'!$X$11:$X$1010,$B844)))</f>
        <v/>
      </c>
      <c r="J844" s="44">
        <f>IF($B844="","",IF(INDEX('Work Orders'!$Z$11:$Z$1010,$B844)="","",INDEX('Work Orders'!$Z$11:$Z$1010,$B844)))</f>
        <v/>
      </c>
      <c r="K844" s="44">
        <f>IF($B844="","",IF(INDEX('Work Orders'!$AG$11:$AG$1010,$B844)="","",INDEX('Work Orders'!$AG$11:$AG$1010,$B844)))</f>
        <v/>
      </c>
      <c r="L844" s="44">
        <f>IF($B844="","",IF(INDEX('Work Orders'!$AH$11:$AH$1010,$B844)="","",INDEX('Work Orders'!$AH$11:$AH$1010,$B844)))</f>
        <v/>
      </c>
      <c r="M844" s="46">
        <f>IF($B844="","",IF(INDEX('Work Orders'!$AM$11:$AM$1010,$B844)="","",INDEX('Work Orders'!$AM$11:$AM$1010,$B844)))</f>
        <v/>
      </c>
      <c r="N844" s="43">
        <f>IF($B844="","",IF(INDEX('Work Orders'!$AL$11:$AL$1010,$B844)="","",INDEX('Work Orders'!$AL$11:$AL$1010,$B844)))</f>
        <v/>
      </c>
      <c r="O844" s="43">
        <f>IF($B844="","",IF(INDEX('Work Orders'!$N$11:$N$1010,$B844)="","",INDEX('Work Orders'!$N$11:$N$1010,$B844)))</f>
        <v/>
      </c>
    </row>
    <row r="845">
      <c r="A845" s="68" t="n">
        <v>839</v>
      </c>
      <c r="B845">
        <f>IFERROR(MATCH(A845,'Work Orders'!$AO$11:$AO$1010,0),"")</f>
        <v/>
      </c>
      <c r="C845" s="43">
        <f>IF($B845="","",IF(INDEX('Work Orders'!$A$11:$A$1010,$B845)="","",INDEX('Work Orders'!$A$11:$A$1010,$B845)))</f>
        <v/>
      </c>
      <c r="D845" s="43">
        <f>IF($B845="","",IF(INDEX('Work Orders'!$B$11:$B$1010,$B845)="","",INDEX('Work Orders'!$B$11:$B$1010,$B845)))</f>
        <v/>
      </c>
      <c r="E845" s="43">
        <f>IF($B845="","",IF(INDEX('Work Orders'!$D$11:$D$1010,$B845)="","",INDEX('Work Orders'!$D$11:$D$1010,$B845)))</f>
        <v/>
      </c>
      <c r="F845" s="43">
        <f>IF($B845="","",IF(INDEX('Work Orders'!$Q$11:$Q$1010,$B845)="","",INDEX('Work Orders'!$Q$11:$Q$1010,$B845)))</f>
        <v/>
      </c>
      <c r="G845" s="43">
        <f>IF($B845="","",IF(INDEX('Work Orders'!$V$11:$V$1010,$B845)="","",INDEX('Work Orders'!$V$11:$V$1010,$B845)))</f>
        <v/>
      </c>
      <c r="H845" s="47">
        <f>IF($B845="","",IF(INDEX('Work Orders'!$U$11:$U$1010,$B845)="","",INDEX('Work Orders'!$U$11:$U$1010,$B845)))</f>
        <v/>
      </c>
      <c r="I845" s="47">
        <f>IF($B845="","",IF(INDEX('Work Orders'!$X$11:$X$1010,$B845)="","",INDEX('Work Orders'!$X$11:$X$1010,$B845)))</f>
        <v/>
      </c>
      <c r="J845" s="44">
        <f>IF($B845="","",IF(INDEX('Work Orders'!$Z$11:$Z$1010,$B845)="","",INDEX('Work Orders'!$Z$11:$Z$1010,$B845)))</f>
        <v/>
      </c>
      <c r="K845" s="44">
        <f>IF($B845="","",IF(INDEX('Work Orders'!$AG$11:$AG$1010,$B845)="","",INDEX('Work Orders'!$AG$11:$AG$1010,$B845)))</f>
        <v/>
      </c>
      <c r="L845" s="44">
        <f>IF($B845="","",IF(INDEX('Work Orders'!$AH$11:$AH$1010,$B845)="","",INDEX('Work Orders'!$AH$11:$AH$1010,$B845)))</f>
        <v/>
      </c>
      <c r="M845" s="46">
        <f>IF($B845="","",IF(INDEX('Work Orders'!$AM$11:$AM$1010,$B845)="","",INDEX('Work Orders'!$AM$11:$AM$1010,$B845)))</f>
        <v/>
      </c>
      <c r="N845" s="43">
        <f>IF($B845="","",IF(INDEX('Work Orders'!$AL$11:$AL$1010,$B845)="","",INDEX('Work Orders'!$AL$11:$AL$1010,$B845)))</f>
        <v/>
      </c>
      <c r="O845" s="43">
        <f>IF($B845="","",IF(INDEX('Work Orders'!$N$11:$N$1010,$B845)="","",INDEX('Work Orders'!$N$11:$N$1010,$B845)))</f>
        <v/>
      </c>
    </row>
    <row r="846">
      <c r="A846" s="68" t="n">
        <v>840</v>
      </c>
      <c r="B846">
        <f>IFERROR(MATCH(A846,'Work Orders'!$AO$11:$AO$1010,0),"")</f>
        <v/>
      </c>
      <c r="C846" s="43">
        <f>IF($B846="","",IF(INDEX('Work Orders'!$A$11:$A$1010,$B846)="","",INDEX('Work Orders'!$A$11:$A$1010,$B846)))</f>
        <v/>
      </c>
      <c r="D846" s="43">
        <f>IF($B846="","",IF(INDEX('Work Orders'!$B$11:$B$1010,$B846)="","",INDEX('Work Orders'!$B$11:$B$1010,$B846)))</f>
        <v/>
      </c>
      <c r="E846" s="43">
        <f>IF($B846="","",IF(INDEX('Work Orders'!$D$11:$D$1010,$B846)="","",INDEX('Work Orders'!$D$11:$D$1010,$B846)))</f>
        <v/>
      </c>
      <c r="F846" s="43">
        <f>IF($B846="","",IF(INDEX('Work Orders'!$Q$11:$Q$1010,$B846)="","",INDEX('Work Orders'!$Q$11:$Q$1010,$B846)))</f>
        <v/>
      </c>
      <c r="G846" s="43">
        <f>IF($B846="","",IF(INDEX('Work Orders'!$V$11:$V$1010,$B846)="","",INDEX('Work Orders'!$V$11:$V$1010,$B846)))</f>
        <v/>
      </c>
      <c r="H846" s="47">
        <f>IF($B846="","",IF(INDEX('Work Orders'!$U$11:$U$1010,$B846)="","",INDEX('Work Orders'!$U$11:$U$1010,$B846)))</f>
        <v/>
      </c>
      <c r="I846" s="47">
        <f>IF($B846="","",IF(INDEX('Work Orders'!$X$11:$X$1010,$B846)="","",INDEX('Work Orders'!$X$11:$X$1010,$B846)))</f>
        <v/>
      </c>
      <c r="J846" s="44">
        <f>IF($B846="","",IF(INDEX('Work Orders'!$Z$11:$Z$1010,$B846)="","",INDEX('Work Orders'!$Z$11:$Z$1010,$B846)))</f>
        <v/>
      </c>
      <c r="K846" s="44">
        <f>IF($B846="","",IF(INDEX('Work Orders'!$AG$11:$AG$1010,$B846)="","",INDEX('Work Orders'!$AG$11:$AG$1010,$B846)))</f>
        <v/>
      </c>
      <c r="L846" s="44">
        <f>IF($B846="","",IF(INDEX('Work Orders'!$AH$11:$AH$1010,$B846)="","",INDEX('Work Orders'!$AH$11:$AH$1010,$B846)))</f>
        <v/>
      </c>
      <c r="M846" s="46">
        <f>IF($B846="","",IF(INDEX('Work Orders'!$AM$11:$AM$1010,$B846)="","",INDEX('Work Orders'!$AM$11:$AM$1010,$B846)))</f>
        <v/>
      </c>
      <c r="N846" s="43">
        <f>IF($B846="","",IF(INDEX('Work Orders'!$AL$11:$AL$1010,$B846)="","",INDEX('Work Orders'!$AL$11:$AL$1010,$B846)))</f>
        <v/>
      </c>
      <c r="O846" s="43">
        <f>IF($B846="","",IF(INDEX('Work Orders'!$N$11:$N$1010,$B846)="","",INDEX('Work Orders'!$N$11:$N$1010,$B846)))</f>
        <v/>
      </c>
    </row>
    <row r="847">
      <c r="A847" s="68" t="n">
        <v>841</v>
      </c>
      <c r="B847">
        <f>IFERROR(MATCH(A847,'Work Orders'!$AO$11:$AO$1010,0),"")</f>
        <v/>
      </c>
      <c r="C847" s="43">
        <f>IF($B847="","",IF(INDEX('Work Orders'!$A$11:$A$1010,$B847)="","",INDEX('Work Orders'!$A$11:$A$1010,$B847)))</f>
        <v/>
      </c>
      <c r="D847" s="43">
        <f>IF($B847="","",IF(INDEX('Work Orders'!$B$11:$B$1010,$B847)="","",INDEX('Work Orders'!$B$11:$B$1010,$B847)))</f>
        <v/>
      </c>
      <c r="E847" s="43">
        <f>IF($B847="","",IF(INDEX('Work Orders'!$D$11:$D$1010,$B847)="","",INDEX('Work Orders'!$D$11:$D$1010,$B847)))</f>
        <v/>
      </c>
      <c r="F847" s="43">
        <f>IF($B847="","",IF(INDEX('Work Orders'!$Q$11:$Q$1010,$B847)="","",INDEX('Work Orders'!$Q$11:$Q$1010,$B847)))</f>
        <v/>
      </c>
      <c r="G847" s="43">
        <f>IF($B847="","",IF(INDEX('Work Orders'!$V$11:$V$1010,$B847)="","",INDEX('Work Orders'!$V$11:$V$1010,$B847)))</f>
        <v/>
      </c>
      <c r="H847" s="47">
        <f>IF($B847="","",IF(INDEX('Work Orders'!$U$11:$U$1010,$B847)="","",INDEX('Work Orders'!$U$11:$U$1010,$B847)))</f>
        <v/>
      </c>
      <c r="I847" s="47">
        <f>IF($B847="","",IF(INDEX('Work Orders'!$X$11:$X$1010,$B847)="","",INDEX('Work Orders'!$X$11:$X$1010,$B847)))</f>
        <v/>
      </c>
      <c r="J847" s="44">
        <f>IF($B847="","",IF(INDEX('Work Orders'!$Z$11:$Z$1010,$B847)="","",INDEX('Work Orders'!$Z$11:$Z$1010,$B847)))</f>
        <v/>
      </c>
      <c r="K847" s="44">
        <f>IF($B847="","",IF(INDEX('Work Orders'!$AG$11:$AG$1010,$B847)="","",INDEX('Work Orders'!$AG$11:$AG$1010,$B847)))</f>
        <v/>
      </c>
      <c r="L847" s="44">
        <f>IF($B847="","",IF(INDEX('Work Orders'!$AH$11:$AH$1010,$B847)="","",INDEX('Work Orders'!$AH$11:$AH$1010,$B847)))</f>
        <v/>
      </c>
      <c r="M847" s="46">
        <f>IF($B847="","",IF(INDEX('Work Orders'!$AM$11:$AM$1010,$B847)="","",INDEX('Work Orders'!$AM$11:$AM$1010,$B847)))</f>
        <v/>
      </c>
      <c r="N847" s="43">
        <f>IF($B847="","",IF(INDEX('Work Orders'!$AL$11:$AL$1010,$B847)="","",INDEX('Work Orders'!$AL$11:$AL$1010,$B847)))</f>
        <v/>
      </c>
      <c r="O847" s="43">
        <f>IF($B847="","",IF(INDEX('Work Orders'!$N$11:$N$1010,$B847)="","",INDEX('Work Orders'!$N$11:$N$1010,$B847)))</f>
        <v/>
      </c>
    </row>
    <row r="848">
      <c r="A848" s="68" t="n">
        <v>842</v>
      </c>
      <c r="B848">
        <f>IFERROR(MATCH(A848,'Work Orders'!$AO$11:$AO$1010,0),"")</f>
        <v/>
      </c>
      <c r="C848" s="43">
        <f>IF($B848="","",IF(INDEX('Work Orders'!$A$11:$A$1010,$B848)="","",INDEX('Work Orders'!$A$11:$A$1010,$B848)))</f>
        <v/>
      </c>
      <c r="D848" s="43">
        <f>IF($B848="","",IF(INDEX('Work Orders'!$B$11:$B$1010,$B848)="","",INDEX('Work Orders'!$B$11:$B$1010,$B848)))</f>
        <v/>
      </c>
      <c r="E848" s="43">
        <f>IF($B848="","",IF(INDEX('Work Orders'!$D$11:$D$1010,$B848)="","",INDEX('Work Orders'!$D$11:$D$1010,$B848)))</f>
        <v/>
      </c>
      <c r="F848" s="43">
        <f>IF($B848="","",IF(INDEX('Work Orders'!$Q$11:$Q$1010,$B848)="","",INDEX('Work Orders'!$Q$11:$Q$1010,$B848)))</f>
        <v/>
      </c>
      <c r="G848" s="43">
        <f>IF($B848="","",IF(INDEX('Work Orders'!$V$11:$V$1010,$B848)="","",INDEX('Work Orders'!$V$11:$V$1010,$B848)))</f>
        <v/>
      </c>
      <c r="H848" s="47">
        <f>IF($B848="","",IF(INDEX('Work Orders'!$U$11:$U$1010,$B848)="","",INDEX('Work Orders'!$U$11:$U$1010,$B848)))</f>
        <v/>
      </c>
      <c r="I848" s="47">
        <f>IF($B848="","",IF(INDEX('Work Orders'!$X$11:$X$1010,$B848)="","",INDEX('Work Orders'!$X$11:$X$1010,$B848)))</f>
        <v/>
      </c>
      <c r="J848" s="44">
        <f>IF($B848="","",IF(INDEX('Work Orders'!$Z$11:$Z$1010,$B848)="","",INDEX('Work Orders'!$Z$11:$Z$1010,$B848)))</f>
        <v/>
      </c>
      <c r="K848" s="44">
        <f>IF($B848="","",IF(INDEX('Work Orders'!$AG$11:$AG$1010,$B848)="","",INDEX('Work Orders'!$AG$11:$AG$1010,$B848)))</f>
        <v/>
      </c>
      <c r="L848" s="44">
        <f>IF($B848="","",IF(INDEX('Work Orders'!$AH$11:$AH$1010,$B848)="","",INDEX('Work Orders'!$AH$11:$AH$1010,$B848)))</f>
        <v/>
      </c>
      <c r="M848" s="46">
        <f>IF($B848="","",IF(INDEX('Work Orders'!$AM$11:$AM$1010,$B848)="","",INDEX('Work Orders'!$AM$11:$AM$1010,$B848)))</f>
        <v/>
      </c>
      <c r="N848" s="43">
        <f>IF($B848="","",IF(INDEX('Work Orders'!$AL$11:$AL$1010,$B848)="","",INDEX('Work Orders'!$AL$11:$AL$1010,$B848)))</f>
        <v/>
      </c>
      <c r="O848" s="43">
        <f>IF($B848="","",IF(INDEX('Work Orders'!$N$11:$N$1010,$B848)="","",INDEX('Work Orders'!$N$11:$N$1010,$B848)))</f>
        <v/>
      </c>
    </row>
    <row r="849">
      <c r="A849" s="68" t="n">
        <v>843</v>
      </c>
      <c r="B849">
        <f>IFERROR(MATCH(A849,'Work Orders'!$AO$11:$AO$1010,0),"")</f>
        <v/>
      </c>
      <c r="C849" s="43">
        <f>IF($B849="","",IF(INDEX('Work Orders'!$A$11:$A$1010,$B849)="","",INDEX('Work Orders'!$A$11:$A$1010,$B849)))</f>
        <v/>
      </c>
      <c r="D849" s="43">
        <f>IF($B849="","",IF(INDEX('Work Orders'!$B$11:$B$1010,$B849)="","",INDEX('Work Orders'!$B$11:$B$1010,$B849)))</f>
        <v/>
      </c>
      <c r="E849" s="43">
        <f>IF($B849="","",IF(INDEX('Work Orders'!$D$11:$D$1010,$B849)="","",INDEX('Work Orders'!$D$11:$D$1010,$B849)))</f>
        <v/>
      </c>
      <c r="F849" s="43">
        <f>IF($B849="","",IF(INDEX('Work Orders'!$Q$11:$Q$1010,$B849)="","",INDEX('Work Orders'!$Q$11:$Q$1010,$B849)))</f>
        <v/>
      </c>
      <c r="G849" s="43">
        <f>IF($B849="","",IF(INDEX('Work Orders'!$V$11:$V$1010,$B849)="","",INDEX('Work Orders'!$V$11:$V$1010,$B849)))</f>
        <v/>
      </c>
      <c r="H849" s="47">
        <f>IF($B849="","",IF(INDEX('Work Orders'!$U$11:$U$1010,$B849)="","",INDEX('Work Orders'!$U$11:$U$1010,$B849)))</f>
        <v/>
      </c>
      <c r="I849" s="47">
        <f>IF($B849="","",IF(INDEX('Work Orders'!$X$11:$X$1010,$B849)="","",INDEX('Work Orders'!$X$11:$X$1010,$B849)))</f>
        <v/>
      </c>
      <c r="J849" s="44">
        <f>IF($B849="","",IF(INDEX('Work Orders'!$Z$11:$Z$1010,$B849)="","",INDEX('Work Orders'!$Z$11:$Z$1010,$B849)))</f>
        <v/>
      </c>
      <c r="K849" s="44">
        <f>IF($B849="","",IF(INDEX('Work Orders'!$AG$11:$AG$1010,$B849)="","",INDEX('Work Orders'!$AG$11:$AG$1010,$B849)))</f>
        <v/>
      </c>
      <c r="L849" s="44">
        <f>IF($B849="","",IF(INDEX('Work Orders'!$AH$11:$AH$1010,$B849)="","",INDEX('Work Orders'!$AH$11:$AH$1010,$B849)))</f>
        <v/>
      </c>
      <c r="M849" s="46">
        <f>IF($B849="","",IF(INDEX('Work Orders'!$AM$11:$AM$1010,$B849)="","",INDEX('Work Orders'!$AM$11:$AM$1010,$B849)))</f>
        <v/>
      </c>
      <c r="N849" s="43">
        <f>IF($B849="","",IF(INDEX('Work Orders'!$AL$11:$AL$1010,$B849)="","",INDEX('Work Orders'!$AL$11:$AL$1010,$B849)))</f>
        <v/>
      </c>
      <c r="O849" s="43">
        <f>IF($B849="","",IF(INDEX('Work Orders'!$N$11:$N$1010,$B849)="","",INDEX('Work Orders'!$N$11:$N$1010,$B849)))</f>
        <v/>
      </c>
    </row>
    <row r="850">
      <c r="A850" s="68" t="n">
        <v>844</v>
      </c>
      <c r="B850">
        <f>IFERROR(MATCH(A850,'Work Orders'!$AO$11:$AO$1010,0),"")</f>
        <v/>
      </c>
      <c r="C850" s="43">
        <f>IF($B850="","",IF(INDEX('Work Orders'!$A$11:$A$1010,$B850)="","",INDEX('Work Orders'!$A$11:$A$1010,$B850)))</f>
        <v/>
      </c>
      <c r="D850" s="43">
        <f>IF($B850="","",IF(INDEX('Work Orders'!$B$11:$B$1010,$B850)="","",INDEX('Work Orders'!$B$11:$B$1010,$B850)))</f>
        <v/>
      </c>
      <c r="E850" s="43">
        <f>IF($B850="","",IF(INDEX('Work Orders'!$D$11:$D$1010,$B850)="","",INDEX('Work Orders'!$D$11:$D$1010,$B850)))</f>
        <v/>
      </c>
      <c r="F850" s="43">
        <f>IF($B850="","",IF(INDEX('Work Orders'!$Q$11:$Q$1010,$B850)="","",INDEX('Work Orders'!$Q$11:$Q$1010,$B850)))</f>
        <v/>
      </c>
      <c r="G850" s="43">
        <f>IF($B850="","",IF(INDEX('Work Orders'!$V$11:$V$1010,$B850)="","",INDEX('Work Orders'!$V$11:$V$1010,$B850)))</f>
        <v/>
      </c>
      <c r="H850" s="47">
        <f>IF($B850="","",IF(INDEX('Work Orders'!$U$11:$U$1010,$B850)="","",INDEX('Work Orders'!$U$11:$U$1010,$B850)))</f>
        <v/>
      </c>
      <c r="I850" s="47">
        <f>IF($B850="","",IF(INDEX('Work Orders'!$X$11:$X$1010,$B850)="","",INDEX('Work Orders'!$X$11:$X$1010,$B850)))</f>
        <v/>
      </c>
      <c r="J850" s="44">
        <f>IF($B850="","",IF(INDEX('Work Orders'!$Z$11:$Z$1010,$B850)="","",INDEX('Work Orders'!$Z$11:$Z$1010,$B850)))</f>
        <v/>
      </c>
      <c r="K850" s="44">
        <f>IF($B850="","",IF(INDEX('Work Orders'!$AG$11:$AG$1010,$B850)="","",INDEX('Work Orders'!$AG$11:$AG$1010,$B850)))</f>
        <v/>
      </c>
      <c r="L850" s="44">
        <f>IF($B850="","",IF(INDEX('Work Orders'!$AH$11:$AH$1010,$B850)="","",INDEX('Work Orders'!$AH$11:$AH$1010,$B850)))</f>
        <v/>
      </c>
      <c r="M850" s="46">
        <f>IF($B850="","",IF(INDEX('Work Orders'!$AM$11:$AM$1010,$B850)="","",INDEX('Work Orders'!$AM$11:$AM$1010,$B850)))</f>
        <v/>
      </c>
      <c r="N850" s="43">
        <f>IF($B850="","",IF(INDEX('Work Orders'!$AL$11:$AL$1010,$B850)="","",INDEX('Work Orders'!$AL$11:$AL$1010,$B850)))</f>
        <v/>
      </c>
      <c r="O850" s="43">
        <f>IF($B850="","",IF(INDEX('Work Orders'!$N$11:$N$1010,$B850)="","",INDEX('Work Orders'!$N$11:$N$1010,$B850)))</f>
        <v/>
      </c>
    </row>
    <row r="851">
      <c r="A851" s="68" t="n">
        <v>845</v>
      </c>
      <c r="B851">
        <f>IFERROR(MATCH(A851,'Work Orders'!$AO$11:$AO$1010,0),"")</f>
        <v/>
      </c>
      <c r="C851" s="43">
        <f>IF($B851="","",IF(INDEX('Work Orders'!$A$11:$A$1010,$B851)="","",INDEX('Work Orders'!$A$11:$A$1010,$B851)))</f>
        <v/>
      </c>
      <c r="D851" s="43">
        <f>IF($B851="","",IF(INDEX('Work Orders'!$B$11:$B$1010,$B851)="","",INDEX('Work Orders'!$B$11:$B$1010,$B851)))</f>
        <v/>
      </c>
      <c r="E851" s="43">
        <f>IF($B851="","",IF(INDEX('Work Orders'!$D$11:$D$1010,$B851)="","",INDEX('Work Orders'!$D$11:$D$1010,$B851)))</f>
        <v/>
      </c>
      <c r="F851" s="43">
        <f>IF($B851="","",IF(INDEX('Work Orders'!$Q$11:$Q$1010,$B851)="","",INDEX('Work Orders'!$Q$11:$Q$1010,$B851)))</f>
        <v/>
      </c>
      <c r="G851" s="43">
        <f>IF($B851="","",IF(INDEX('Work Orders'!$V$11:$V$1010,$B851)="","",INDEX('Work Orders'!$V$11:$V$1010,$B851)))</f>
        <v/>
      </c>
      <c r="H851" s="47">
        <f>IF($B851="","",IF(INDEX('Work Orders'!$U$11:$U$1010,$B851)="","",INDEX('Work Orders'!$U$11:$U$1010,$B851)))</f>
        <v/>
      </c>
      <c r="I851" s="47">
        <f>IF($B851="","",IF(INDEX('Work Orders'!$X$11:$X$1010,$B851)="","",INDEX('Work Orders'!$X$11:$X$1010,$B851)))</f>
        <v/>
      </c>
      <c r="J851" s="44">
        <f>IF($B851="","",IF(INDEX('Work Orders'!$Z$11:$Z$1010,$B851)="","",INDEX('Work Orders'!$Z$11:$Z$1010,$B851)))</f>
        <v/>
      </c>
      <c r="K851" s="44">
        <f>IF($B851="","",IF(INDEX('Work Orders'!$AG$11:$AG$1010,$B851)="","",INDEX('Work Orders'!$AG$11:$AG$1010,$B851)))</f>
        <v/>
      </c>
      <c r="L851" s="44">
        <f>IF($B851="","",IF(INDEX('Work Orders'!$AH$11:$AH$1010,$B851)="","",INDEX('Work Orders'!$AH$11:$AH$1010,$B851)))</f>
        <v/>
      </c>
      <c r="M851" s="46">
        <f>IF($B851="","",IF(INDEX('Work Orders'!$AM$11:$AM$1010,$B851)="","",INDEX('Work Orders'!$AM$11:$AM$1010,$B851)))</f>
        <v/>
      </c>
      <c r="N851" s="43">
        <f>IF($B851="","",IF(INDEX('Work Orders'!$AL$11:$AL$1010,$B851)="","",INDEX('Work Orders'!$AL$11:$AL$1010,$B851)))</f>
        <v/>
      </c>
      <c r="O851" s="43">
        <f>IF($B851="","",IF(INDEX('Work Orders'!$N$11:$N$1010,$B851)="","",INDEX('Work Orders'!$N$11:$N$1010,$B851)))</f>
        <v/>
      </c>
    </row>
    <row r="852">
      <c r="A852" s="68" t="n">
        <v>846</v>
      </c>
      <c r="B852">
        <f>IFERROR(MATCH(A852,'Work Orders'!$AO$11:$AO$1010,0),"")</f>
        <v/>
      </c>
      <c r="C852" s="43">
        <f>IF($B852="","",IF(INDEX('Work Orders'!$A$11:$A$1010,$B852)="","",INDEX('Work Orders'!$A$11:$A$1010,$B852)))</f>
        <v/>
      </c>
      <c r="D852" s="43">
        <f>IF($B852="","",IF(INDEX('Work Orders'!$B$11:$B$1010,$B852)="","",INDEX('Work Orders'!$B$11:$B$1010,$B852)))</f>
        <v/>
      </c>
      <c r="E852" s="43">
        <f>IF($B852="","",IF(INDEX('Work Orders'!$D$11:$D$1010,$B852)="","",INDEX('Work Orders'!$D$11:$D$1010,$B852)))</f>
        <v/>
      </c>
      <c r="F852" s="43">
        <f>IF($B852="","",IF(INDEX('Work Orders'!$Q$11:$Q$1010,$B852)="","",INDEX('Work Orders'!$Q$11:$Q$1010,$B852)))</f>
        <v/>
      </c>
      <c r="G852" s="43">
        <f>IF($B852="","",IF(INDEX('Work Orders'!$V$11:$V$1010,$B852)="","",INDEX('Work Orders'!$V$11:$V$1010,$B852)))</f>
        <v/>
      </c>
      <c r="H852" s="47">
        <f>IF($B852="","",IF(INDEX('Work Orders'!$U$11:$U$1010,$B852)="","",INDEX('Work Orders'!$U$11:$U$1010,$B852)))</f>
        <v/>
      </c>
      <c r="I852" s="47">
        <f>IF($B852="","",IF(INDEX('Work Orders'!$X$11:$X$1010,$B852)="","",INDEX('Work Orders'!$X$11:$X$1010,$B852)))</f>
        <v/>
      </c>
      <c r="J852" s="44">
        <f>IF($B852="","",IF(INDEX('Work Orders'!$Z$11:$Z$1010,$B852)="","",INDEX('Work Orders'!$Z$11:$Z$1010,$B852)))</f>
        <v/>
      </c>
      <c r="K852" s="44">
        <f>IF($B852="","",IF(INDEX('Work Orders'!$AG$11:$AG$1010,$B852)="","",INDEX('Work Orders'!$AG$11:$AG$1010,$B852)))</f>
        <v/>
      </c>
      <c r="L852" s="44">
        <f>IF($B852="","",IF(INDEX('Work Orders'!$AH$11:$AH$1010,$B852)="","",INDEX('Work Orders'!$AH$11:$AH$1010,$B852)))</f>
        <v/>
      </c>
      <c r="M852" s="46">
        <f>IF($B852="","",IF(INDEX('Work Orders'!$AM$11:$AM$1010,$B852)="","",INDEX('Work Orders'!$AM$11:$AM$1010,$B852)))</f>
        <v/>
      </c>
      <c r="N852" s="43">
        <f>IF($B852="","",IF(INDEX('Work Orders'!$AL$11:$AL$1010,$B852)="","",INDEX('Work Orders'!$AL$11:$AL$1010,$B852)))</f>
        <v/>
      </c>
      <c r="O852" s="43">
        <f>IF($B852="","",IF(INDEX('Work Orders'!$N$11:$N$1010,$B852)="","",INDEX('Work Orders'!$N$11:$N$1010,$B852)))</f>
        <v/>
      </c>
    </row>
    <row r="853">
      <c r="A853" s="68" t="n">
        <v>847</v>
      </c>
      <c r="B853">
        <f>IFERROR(MATCH(A853,'Work Orders'!$AO$11:$AO$1010,0),"")</f>
        <v/>
      </c>
      <c r="C853" s="43">
        <f>IF($B853="","",IF(INDEX('Work Orders'!$A$11:$A$1010,$B853)="","",INDEX('Work Orders'!$A$11:$A$1010,$B853)))</f>
        <v/>
      </c>
      <c r="D853" s="43">
        <f>IF($B853="","",IF(INDEX('Work Orders'!$B$11:$B$1010,$B853)="","",INDEX('Work Orders'!$B$11:$B$1010,$B853)))</f>
        <v/>
      </c>
      <c r="E853" s="43">
        <f>IF($B853="","",IF(INDEX('Work Orders'!$D$11:$D$1010,$B853)="","",INDEX('Work Orders'!$D$11:$D$1010,$B853)))</f>
        <v/>
      </c>
      <c r="F853" s="43">
        <f>IF($B853="","",IF(INDEX('Work Orders'!$Q$11:$Q$1010,$B853)="","",INDEX('Work Orders'!$Q$11:$Q$1010,$B853)))</f>
        <v/>
      </c>
      <c r="G853" s="43">
        <f>IF($B853="","",IF(INDEX('Work Orders'!$V$11:$V$1010,$B853)="","",INDEX('Work Orders'!$V$11:$V$1010,$B853)))</f>
        <v/>
      </c>
      <c r="H853" s="47">
        <f>IF($B853="","",IF(INDEX('Work Orders'!$U$11:$U$1010,$B853)="","",INDEX('Work Orders'!$U$11:$U$1010,$B853)))</f>
        <v/>
      </c>
      <c r="I853" s="47">
        <f>IF($B853="","",IF(INDEX('Work Orders'!$X$11:$X$1010,$B853)="","",INDEX('Work Orders'!$X$11:$X$1010,$B853)))</f>
        <v/>
      </c>
      <c r="J853" s="44">
        <f>IF($B853="","",IF(INDEX('Work Orders'!$Z$11:$Z$1010,$B853)="","",INDEX('Work Orders'!$Z$11:$Z$1010,$B853)))</f>
        <v/>
      </c>
      <c r="K853" s="44">
        <f>IF($B853="","",IF(INDEX('Work Orders'!$AG$11:$AG$1010,$B853)="","",INDEX('Work Orders'!$AG$11:$AG$1010,$B853)))</f>
        <v/>
      </c>
      <c r="L853" s="44">
        <f>IF($B853="","",IF(INDEX('Work Orders'!$AH$11:$AH$1010,$B853)="","",INDEX('Work Orders'!$AH$11:$AH$1010,$B853)))</f>
        <v/>
      </c>
      <c r="M853" s="46">
        <f>IF($B853="","",IF(INDEX('Work Orders'!$AM$11:$AM$1010,$B853)="","",INDEX('Work Orders'!$AM$11:$AM$1010,$B853)))</f>
        <v/>
      </c>
      <c r="N853" s="43">
        <f>IF($B853="","",IF(INDEX('Work Orders'!$AL$11:$AL$1010,$B853)="","",INDEX('Work Orders'!$AL$11:$AL$1010,$B853)))</f>
        <v/>
      </c>
      <c r="O853" s="43">
        <f>IF($B853="","",IF(INDEX('Work Orders'!$N$11:$N$1010,$B853)="","",INDEX('Work Orders'!$N$11:$N$1010,$B853)))</f>
        <v/>
      </c>
    </row>
    <row r="854">
      <c r="A854" s="68" t="n">
        <v>848</v>
      </c>
      <c r="B854">
        <f>IFERROR(MATCH(A854,'Work Orders'!$AO$11:$AO$1010,0),"")</f>
        <v/>
      </c>
      <c r="C854" s="43">
        <f>IF($B854="","",IF(INDEX('Work Orders'!$A$11:$A$1010,$B854)="","",INDEX('Work Orders'!$A$11:$A$1010,$B854)))</f>
        <v/>
      </c>
      <c r="D854" s="43">
        <f>IF($B854="","",IF(INDEX('Work Orders'!$B$11:$B$1010,$B854)="","",INDEX('Work Orders'!$B$11:$B$1010,$B854)))</f>
        <v/>
      </c>
      <c r="E854" s="43">
        <f>IF($B854="","",IF(INDEX('Work Orders'!$D$11:$D$1010,$B854)="","",INDEX('Work Orders'!$D$11:$D$1010,$B854)))</f>
        <v/>
      </c>
      <c r="F854" s="43">
        <f>IF($B854="","",IF(INDEX('Work Orders'!$Q$11:$Q$1010,$B854)="","",INDEX('Work Orders'!$Q$11:$Q$1010,$B854)))</f>
        <v/>
      </c>
      <c r="G854" s="43">
        <f>IF($B854="","",IF(INDEX('Work Orders'!$V$11:$V$1010,$B854)="","",INDEX('Work Orders'!$V$11:$V$1010,$B854)))</f>
        <v/>
      </c>
      <c r="H854" s="47">
        <f>IF($B854="","",IF(INDEX('Work Orders'!$U$11:$U$1010,$B854)="","",INDEX('Work Orders'!$U$11:$U$1010,$B854)))</f>
        <v/>
      </c>
      <c r="I854" s="47">
        <f>IF($B854="","",IF(INDEX('Work Orders'!$X$11:$X$1010,$B854)="","",INDEX('Work Orders'!$X$11:$X$1010,$B854)))</f>
        <v/>
      </c>
      <c r="J854" s="44">
        <f>IF($B854="","",IF(INDEX('Work Orders'!$Z$11:$Z$1010,$B854)="","",INDEX('Work Orders'!$Z$11:$Z$1010,$B854)))</f>
        <v/>
      </c>
      <c r="K854" s="44">
        <f>IF($B854="","",IF(INDEX('Work Orders'!$AG$11:$AG$1010,$B854)="","",INDEX('Work Orders'!$AG$11:$AG$1010,$B854)))</f>
        <v/>
      </c>
      <c r="L854" s="44">
        <f>IF($B854="","",IF(INDEX('Work Orders'!$AH$11:$AH$1010,$B854)="","",INDEX('Work Orders'!$AH$11:$AH$1010,$B854)))</f>
        <v/>
      </c>
      <c r="M854" s="46">
        <f>IF($B854="","",IF(INDEX('Work Orders'!$AM$11:$AM$1010,$B854)="","",INDEX('Work Orders'!$AM$11:$AM$1010,$B854)))</f>
        <v/>
      </c>
      <c r="N854" s="43">
        <f>IF($B854="","",IF(INDEX('Work Orders'!$AL$11:$AL$1010,$B854)="","",INDEX('Work Orders'!$AL$11:$AL$1010,$B854)))</f>
        <v/>
      </c>
      <c r="O854" s="43">
        <f>IF($B854="","",IF(INDEX('Work Orders'!$N$11:$N$1010,$B854)="","",INDEX('Work Orders'!$N$11:$N$1010,$B854)))</f>
        <v/>
      </c>
    </row>
    <row r="855">
      <c r="A855" s="68" t="n">
        <v>849</v>
      </c>
      <c r="B855">
        <f>IFERROR(MATCH(A855,'Work Orders'!$AO$11:$AO$1010,0),"")</f>
        <v/>
      </c>
      <c r="C855" s="43">
        <f>IF($B855="","",IF(INDEX('Work Orders'!$A$11:$A$1010,$B855)="","",INDEX('Work Orders'!$A$11:$A$1010,$B855)))</f>
        <v/>
      </c>
      <c r="D855" s="43">
        <f>IF($B855="","",IF(INDEX('Work Orders'!$B$11:$B$1010,$B855)="","",INDEX('Work Orders'!$B$11:$B$1010,$B855)))</f>
        <v/>
      </c>
      <c r="E855" s="43">
        <f>IF($B855="","",IF(INDEX('Work Orders'!$D$11:$D$1010,$B855)="","",INDEX('Work Orders'!$D$11:$D$1010,$B855)))</f>
        <v/>
      </c>
      <c r="F855" s="43">
        <f>IF($B855="","",IF(INDEX('Work Orders'!$Q$11:$Q$1010,$B855)="","",INDEX('Work Orders'!$Q$11:$Q$1010,$B855)))</f>
        <v/>
      </c>
      <c r="G855" s="43">
        <f>IF($B855="","",IF(INDEX('Work Orders'!$V$11:$V$1010,$B855)="","",INDEX('Work Orders'!$V$11:$V$1010,$B855)))</f>
        <v/>
      </c>
      <c r="H855" s="47">
        <f>IF($B855="","",IF(INDEX('Work Orders'!$U$11:$U$1010,$B855)="","",INDEX('Work Orders'!$U$11:$U$1010,$B855)))</f>
        <v/>
      </c>
      <c r="I855" s="47">
        <f>IF($B855="","",IF(INDEX('Work Orders'!$X$11:$X$1010,$B855)="","",INDEX('Work Orders'!$X$11:$X$1010,$B855)))</f>
        <v/>
      </c>
      <c r="J855" s="44">
        <f>IF($B855="","",IF(INDEX('Work Orders'!$Z$11:$Z$1010,$B855)="","",INDEX('Work Orders'!$Z$11:$Z$1010,$B855)))</f>
        <v/>
      </c>
      <c r="K855" s="44">
        <f>IF($B855="","",IF(INDEX('Work Orders'!$AG$11:$AG$1010,$B855)="","",INDEX('Work Orders'!$AG$11:$AG$1010,$B855)))</f>
        <v/>
      </c>
      <c r="L855" s="44">
        <f>IF($B855="","",IF(INDEX('Work Orders'!$AH$11:$AH$1010,$B855)="","",INDEX('Work Orders'!$AH$11:$AH$1010,$B855)))</f>
        <v/>
      </c>
      <c r="M855" s="46">
        <f>IF($B855="","",IF(INDEX('Work Orders'!$AM$11:$AM$1010,$B855)="","",INDEX('Work Orders'!$AM$11:$AM$1010,$B855)))</f>
        <v/>
      </c>
      <c r="N855" s="43">
        <f>IF($B855="","",IF(INDEX('Work Orders'!$AL$11:$AL$1010,$B855)="","",INDEX('Work Orders'!$AL$11:$AL$1010,$B855)))</f>
        <v/>
      </c>
      <c r="O855" s="43">
        <f>IF($B855="","",IF(INDEX('Work Orders'!$N$11:$N$1010,$B855)="","",INDEX('Work Orders'!$N$11:$N$1010,$B855)))</f>
        <v/>
      </c>
    </row>
    <row r="856">
      <c r="A856" s="68" t="n">
        <v>850</v>
      </c>
      <c r="B856">
        <f>IFERROR(MATCH(A856,'Work Orders'!$AO$11:$AO$1010,0),"")</f>
        <v/>
      </c>
      <c r="C856" s="43">
        <f>IF($B856="","",IF(INDEX('Work Orders'!$A$11:$A$1010,$B856)="","",INDEX('Work Orders'!$A$11:$A$1010,$B856)))</f>
        <v/>
      </c>
      <c r="D856" s="43">
        <f>IF($B856="","",IF(INDEX('Work Orders'!$B$11:$B$1010,$B856)="","",INDEX('Work Orders'!$B$11:$B$1010,$B856)))</f>
        <v/>
      </c>
      <c r="E856" s="43">
        <f>IF($B856="","",IF(INDEX('Work Orders'!$D$11:$D$1010,$B856)="","",INDEX('Work Orders'!$D$11:$D$1010,$B856)))</f>
        <v/>
      </c>
      <c r="F856" s="43">
        <f>IF($B856="","",IF(INDEX('Work Orders'!$Q$11:$Q$1010,$B856)="","",INDEX('Work Orders'!$Q$11:$Q$1010,$B856)))</f>
        <v/>
      </c>
      <c r="G856" s="43">
        <f>IF($B856="","",IF(INDEX('Work Orders'!$V$11:$V$1010,$B856)="","",INDEX('Work Orders'!$V$11:$V$1010,$B856)))</f>
        <v/>
      </c>
      <c r="H856" s="47">
        <f>IF($B856="","",IF(INDEX('Work Orders'!$U$11:$U$1010,$B856)="","",INDEX('Work Orders'!$U$11:$U$1010,$B856)))</f>
        <v/>
      </c>
      <c r="I856" s="47">
        <f>IF($B856="","",IF(INDEX('Work Orders'!$X$11:$X$1010,$B856)="","",INDEX('Work Orders'!$X$11:$X$1010,$B856)))</f>
        <v/>
      </c>
      <c r="J856" s="44">
        <f>IF($B856="","",IF(INDEX('Work Orders'!$Z$11:$Z$1010,$B856)="","",INDEX('Work Orders'!$Z$11:$Z$1010,$B856)))</f>
        <v/>
      </c>
      <c r="K856" s="44">
        <f>IF($B856="","",IF(INDEX('Work Orders'!$AG$11:$AG$1010,$B856)="","",INDEX('Work Orders'!$AG$11:$AG$1010,$B856)))</f>
        <v/>
      </c>
      <c r="L856" s="44">
        <f>IF($B856="","",IF(INDEX('Work Orders'!$AH$11:$AH$1010,$B856)="","",INDEX('Work Orders'!$AH$11:$AH$1010,$B856)))</f>
        <v/>
      </c>
      <c r="M856" s="46">
        <f>IF($B856="","",IF(INDEX('Work Orders'!$AM$11:$AM$1010,$B856)="","",INDEX('Work Orders'!$AM$11:$AM$1010,$B856)))</f>
        <v/>
      </c>
      <c r="N856" s="43">
        <f>IF($B856="","",IF(INDEX('Work Orders'!$AL$11:$AL$1010,$B856)="","",INDEX('Work Orders'!$AL$11:$AL$1010,$B856)))</f>
        <v/>
      </c>
      <c r="O856" s="43">
        <f>IF($B856="","",IF(INDEX('Work Orders'!$N$11:$N$1010,$B856)="","",INDEX('Work Orders'!$N$11:$N$1010,$B856)))</f>
        <v/>
      </c>
    </row>
    <row r="857">
      <c r="A857" s="68" t="n">
        <v>851</v>
      </c>
      <c r="B857">
        <f>IFERROR(MATCH(A857,'Work Orders'!$AO$11:$AO$1010,0),"")</f>
        <v/>
      </c>
      <c r="C857" s="43">
        <f>IF($B857="","",IF(INDEX('Work Orders'!$A$11:$A$1010,$B857)="","",INDEX('Work Orders'!$A$11:$A$1010,$B857)))</f>
        <v/>
      </c>
      <c r="D857" s="43">
        <f>IF($B857="","",IF(INDEX('Work Orders'!$B$11:$B$1010,$B857)="","",INDEX('Work Orders'!$B$11:$B$1010,$B857)))</f>
        <v/>
      </c>
      <c r="E857" s="43">
        <f>IF($B857="","",IF(INDEX('Work Orders'!$D$11:$D$1010,$B857)="","",INDEX('Work Orders'!$D$11:$D$1010,$B857)))</f>
        <v/>
      </c>
      <c r="F857" s="43">
        <f>IF($B857="","",IF(INDEX('Work Orders'!$Q$11:$Q$1010,$B857)="","",INDEX('Work Orders'!$Q$11:$Q$1010,$B857)))</f>
        <v/>
      </c>
      <c r="G857" s="43">
        <f>IF($B857="","",IF(INDEX('Work Orders'!$V$11:$V$1010,$B857)="","",INDEX('Work Orders'!$V$11:$V$1010,$B857)))</f>
        <v/>
      </c>
      <c r="H857" s="47">
        <f>IF($B857="","",IF(INDEX('Work Orders'!$U$11:$U$1010,$B857)="","",INDEX('Work Orders'!$U$11:$U$1010,$B857)))</f>
        <v/>
      </c>
      <c r="I857" s="47">
        <f>IF($B857="","",IF(INDEX('Work Orders'!$X$11:$X$1010,$B857)="","",INDEX('Work Orders'!$X$11:$X$1010,$B857)))</f>
        <v/>
      </c>
      <c r="J857" s="44">
        <f>IF($B857="","",IF(INDEX('Work Orders'!$Z$11:$Z$1010,$B857)="","",INDEX('Work Orders'!$Z$11:$Z$1010,$B857)))</f>
        <v/>
      </c>
      <c r="K857" s="44">
        <f>IF($B857="","",IF(INDEX('Work Orders'!$AG$11:$AG$1010,$B857)="","",INDEX('Work Orders'!$AG$11:$AG$1010,$B857)))</f>
        <v/>
      </c>
      <c r="L857" s="44">
        <f>IF($B857="","",IF(INDEX('Work Orders'!$AH$11:$AH$1010,$B857)="","",INDEX('Work Orders'!$AH$11:$AH$1010,$B857)))</f>
        <v/>
      </c>
      <c r="M857" s="46">
        <f>IF($B857="","",IF(INDEX('Work Orders'!$AM$11:$AM$1010,$B857)="","",INDEX('Work Orders'!$AM$11:$AM$1010,$B857)))</f>
        <v/>
      </c>
      <c r="N857" s="43">
        <f>IF($B857="","",IF(INDEX('Work Orders'!$AL$11:$AL$1010,$B857)="","",INDEX('Work Orders'!$AL$11:$AL$1010,$B857)))</f>
        <v/>
      </c>
      <c r="O857" s="43">
        <f>IF($B857="","",IF(INDEX('Work Orders'!$N$11:$N$1010,$B857)="","",INDEX('Work Orders'!$N$11:$N$1010,$B857)))</f>
        <v/>
      </c>
    </row>
    <row r="858">
      <c r="A858" s="68" t="n">
        <v>852</v>
      </c>
      <c r="B858">
        <f>IFERROR(MATCH(A858,'Work Orders'!$AO$11:$AO$1010,0),"")</f>
        <v/>
      </c>
      <c r="C858" s="43">
        <f>IF($B858="","",IF(INDEX('Work Orders'!$A$11:$A$1010,$B858)="","",INDEX('Work Orders'!$A$11:$A$1010,$B858)))</f>
        <v/>
      </c>
      <c r="D858" s="43">
        <f>IF($B858="","",IF(INDEX('Work Orders'!$B$11:$B$1010,$B858)="","",INDEX('Work Orders'!$B$11:$B$1010,$B858)))</f>
        <v/>
      </c>
      <c r="E858" s="43">
        <f>IF($B858="","",IF(INDEX('Work Orders'!$D$11:$D$1010,$B858)="","",INDEX('Work Orders'!$D$11:$D$1010,$B858)))</f>
        <v/>
      </c>
      <c r="F858" s="43">
        <f>IF($B858="","",IF(INDEX('Work Orders'!$Q$11:$Q$1010,$B858)="","",INDEX('Work Orders'!$Q$11:$Q$1010,$B858)))</f>
        <v/>
      </c>
      <c r="G858" s="43">
        <f>IF($B858="","",IF(INDEX('Work Orders'!$V$11:$V$1010,$B858)="","",INDEX('Work Orders'!$V$11:$V$1010,$B858)))</f>
        <v/>
      </c>
      <c r="H858" s="47">
        <f>IF($B858="","",IF(INDEX('Work Orders'!$U$11:$U$1010,$B858)="","",INDEX('Work Orders'!$U$11:$U$1010,$B858)))</f>
        <v/>
      </c>
      <c r="I858" s="47">
        <f>IF($B858="","",IF(INDEX('Work Orders'!$X$11:$X$1010,$B858)="","",INDEX('Work Orders'!$X$11:$X$1010,$B858)))</f>
        <v/>
      </c>
      <c r="J858" s="44">
        <f>IF($B858="","",IF(INDEX('Work Orders'!$Z$11:$Z$1010,$B858)="","",INDEX('Work Orders'!$Z$11:$Z$1010,$B858)))</f>
        <v/>
      </c>
      <c r="K858" s="44">
        <f>IF($B858="","",IF(INDEX('Work Orders'!$AG$11:$AG$1010,$B858)="","",INDEX('Work Orders'!$AG$11:$AG$1010,$B858)))</f>
        <v/>
      </c>
      <c r="L858" s="44">
        <f>IF($B858="","",IF(INDEX('Work Orders'!$AH$11:$AH$1010,$B858)="","",INDEX('Work Orders'!$AH$11:$AH$1010,$B858)))</f>
        <v/>
      </c>
      <c r="M858" s="46">
        <f>IF($B858="","",IF(INDEX('Work Orders'!$AM$11:$AM$1010,$B858)="","",INDEX('Work Orders'!$AM$11:$AM$1010,$B858)))</f>
        <v/>
      </c>
      <c r="N858" s="43">
        <f>IF($B858="","",IF(INDEX('Work Orders'!$AL$11:$AL$1010,$B858)="","",INDEX('Work Orders'!$AL$11:$AL$1010,$B858)))</f>
        <v/>
      </c>
      <c r="O858" s="43">
        <f>IF($B858="","",IF(INDEX('Work Orders'!$N$11:$N$1010,$B858)="","",INDEX('Work Orders'!$N$11:$N$1010,$B858)))</f>
        <v/>
      </c>
    </row>
    <row r="859">
      <c r="A859" s="68" t="n">
        <v>853</v>
      </c>
      <c r="B859">
        <f>IFERROR(MATCH(A859,'Work Orders'!$AO$11:$AO$1010,0),"")</f>
        <v/>
      </c>
      <c r="C859" s="43">
        <f>IF($B859="","",IF(INDEX('Work Orders'!$A$11:$A$1010,$B859)="","",INDEX('Work Orders'!$A$11:$A$1010,$B859)))</f>
        <v/>
      </c>
      <c r="D859" s="43">
        <f>IF($B859="","",IF(INDEX('Work Orders'!$B$11:$B$1010,$B859)="","",INDEX('Work Orders'!$B$11:$B$1010,$B859)))</f>
        <v/>
      </c>
      <c r="E859" s="43">
        <f>IF($B859="","",IF(INDEX('Work Orders'!$D$11:$D$1010,$B859)="","",INDEX('Work Orders'!$D$11:$D$1010,$B859)))</f>
        <v/>
      </c>
      <c r="F859" s="43">
        <f>IF($B859="","",IF(INDEX('Work Orders'!$Q$11:$Q$1010,$B859)="","",INDEX('Work Orders'!$Q$11:$Q$1010,$B859)))</f>
        <v/>
      </c>
      <c r="G859" s="43">
        <f>IF($B859="","",IF(INDEX('Work Orders'!$V$11:$V$1010,$B859)="","",INDEX('Work Orders'!$V$11:$V$1010,$B859)))</f>
        <v/>
      </c>
      <c r="H859" s="47">
        <f>IF($B859="","",IF(INDEX('Work Orders'!$U$11:$U$1010,$B859)="","",INDEX('Work Orders'!$U$11:$U$1010,$B859)))</f>
        <v/>
      </c>
      <c r="I859" s="47">
        <f>IF($B859="","",IF(INDEX('Work Orders'!$X$11:$X$1010,$B859)="","",INDEX('Work Orders'!$X$11:$X$1010,$B859)))</f>
        <v/>
      </c>
      <c r="J859" s="44">
        <f>IF($B859="","",IF(INDEX('Work Orders'!$Z$11:$Z$1010,$B859)="","",INDEX('Work Orders'!$Z$11:$Z$1010,$B859)))</f>
        <v/>
      </c>
      <c r="K859" s="44">
        <f>IF($B859="","",IF(INDEX('Work Orders'!$AG$11:$AG$1010,$B859)="","",INDEX('Work Orders'!$AG$11:$AG$1010,$B859)))</f>
        <v/>
      </c>
      <c r="L859" s="44">
        <f>IF($B859="","",IF(INDEX('Work Orders'!$AH$11:$AH$1010,$B859)="","",INDEX('Work Orders'!$AH$11:$AH$1010,$B859)))</f>
        <v/>
      </c>
      <c r="M859" s="46">
        <f>IF($B859="","",IF(INDEX('Work Orders'!$AM$11:$AM$1010,$B859)="","",INDEX('Work Orders'!$AM$11:$AM$1010,$B859)))</f>
        <v/>
      </c>
      <c r="N859" s="43">
        <f>IF($B859="","",IF(INDEX('Work Orders'!$AL$11:$AL$1010,$B859)="","",INDEX('Work Orders'!$AL$11:$AL$1010,$B859)))</f>
        <v/>
      </c>
      <c r="O859" s="43">
        <f>IF($B859="","",IF(INDEX('Work Orders'!$N$11:$N$1010,$B859)="","",INDEX('Work Orders'!$N$11:$N$1010,$B859)))</f>
        <v/>
      </c>
    </row>
    <row r="860">
      <c r="A860" s="68" t="n">
        <v>854</v>
      </c>
      <c r="B860">
        <f>IFERROR(MATCH(A860,'Work Orders'!$AO$11:$AO$1010,0),"")</f>
        <v/>
      </c>
      <c r="C860" s="43">
        <f>IF($B860="","",IF(INDEX('Work Orders'!$A$11:$A$1010,$B860)="","",INDEX('Work Orders'!$A$11:$A$1010,$B860)))</f>
        <v/>
      </c>
      <c r="D860" s="43">
        <f>IF($B860="","",IF(INDEX('Work Orders'!$B$11:$B$1010,$B860)="","",INDEX('Work Orders'!$B$11:$B$1010,$B860)))</f>
        <v/>
      </c>
      <c r="E860" s="43">
        <f>IF($B860="","",IF(INDEX('Work Orders'!$D$11:$D$1010,$B860)="","",INDEX('Work Orders'!$D$11:$D$1010,$B860)))</f>
        <v/>
      </c>
      <c r="F860" s="43">
        <f>IF($B860="","",IF(INDEX('Work Orders'!$Q$11:$Q$1010,$B860)="","",INDEX('Work Orders'!$Q$11:$Q$1010,$B860)))</f>
        <v/>
      </c>
      <c r="G860" s="43">
        <f>IF($B860="","",IF(INDEX('Work Orders'!$V$11:$V$1010,$B860)="","",INDEX('Work Orders'!$V$11:$V$1010,$B860)))</f>
        <v/>
      </c>
      <c r="H860" s="47">
        <f>IF($B860="","",IF(INDEX('Work Orders'!$U$11:$U$1010,$B860)="","",INDEX('Work Orders'!$U$11:$U$1010,$B860)))</f>
        <v/>
      </c>
      <c r="I860" s="47">
        <f>IF($B860="","",IF(INDEX('Work Orders'!$X$11:$X$1010,$B860)="","",INDEX('Work Orders'!$X$11:$X$1010,$B860)))</f>
        <v/>
      </c>
      <c r="J860" s="44">
        <f>IF($B860="","",IF(INDEX('Work Orders'!$Z$11:$Z$1010,$B860)="","",INDEX('Work Orders'!$Z$11:$Z$1010,$B860)))</f>
        <v/>
      </c>
      <c r="K860" s="44">
        <f>IF($B860="","",IF(INDEX('Work Orders'!$AG$11:$AG$1010,$B860)="","",INDEX('Work Orders'!$AG$11:$AG$1010,$B860)))</f>
        <v/>
      </c>
      <c r="L860" s="44">
        <f>IF($B860="","",IF(INDEX('Work Orders'!$AH$11:$AH$1010,$B860)="","",INDEX('Work Orders'!$AH$11:$AH$1010,$B860)))</f>
        <v/>
      </c>
      <c r="M860" s="46">
        <f>IF($B860="","",IF(INDEX('Work Orders'!$AM$11:$AM$1010,$B860)="","",INDEX('Work Orders'!$AM$11:$AM$1010,$B860)))</f>
        <v/>
      </c>
      <c r="N860" s="43">
        <f>IF($B860="","",IF(INDEX('Work Orders'!$AL$11:$AL$1010,$B860)="","",INDEX('Work Orders'!$AL$11:$AL$1010,$B860)))</f>
        <v/>
      </c>
      <c r="O860" s="43">
        <f>IF($B860="","",IF(INDEX('Work Orders'!$N$11:$N$1010,$B860)="","",INDEX('Work Orders'!$N$11:$N$1010,$B860)))</f>
        <v/>
      </c>
    </row>
    <row r="861">
      <c r="A861" s="68" t="n">
        <v>855</v>
      </c>
      <c r="B861">
        <f>IFERROR(MATCH(A861,'Work Orders'!$AO$11:$AO$1010,0),"")</f>
        <v/>
      </c>
      <c r="C861" s="43">
        <f>IF($B861="","",IF(INDEX('Work Orders'!$A$11:$A$1010,$B861)="","",INDEX('Work Orders'!$A$11:$A$1010,$B861)))</f>
        <v/>
      </c>
      <c r="D861" s="43">
        <f>IF($B861="","",IF(INDEX('Work Orders'!$B$11:$B$1010,$B861)="","",INDEX('Work Orders'!$B$11:$B$1010,$B861)))</f>
        <v/>
      </c>
      <c r="E861" s="43">
        <f>IF($B861="","",IF(INDEX('Work Orders'!$D$11:$D$1010,$B861)="","",INDEX('Work Orders'!$D$11:$D$1010,$B861)))</f>
        <v/>
      </c>
      <c r="F861" s="43">
        <f>IF($B861="","",IF(INDEX('Work Orders'!$Q$11:$Q$1010,$B861)="","",INDEX('Work Orders'!$Q$11:$Q$1010,$B861)))</f>
        <v/>
      </c>
      <c r="G861" s="43">
        <f>IF($B861="","",IF(INDEX('Work Orders'!$V$11:$V$1010,$B861)="","",INDEX('Work Orders'!$V$11:$V$1010,$B861)))</f>
        <v/>
      </c>
      <c r="H861" s="47">
        <f>IF($B861="","",IF(INDEX('Work Orders'!$U$11:$U$1010,$B861)="","",INDEX('Work Orders'!$U$11:$U$1010,$B861)))</f>
        <v/>
      </c>
      <c r="I861" s="47">
        <f>IF($B861="","",IF(INDEX('Work Orders'!$X$11:$X$1010,$B861)="","",INDEX('Work Orders'!$X$11:$X$1010,$B861)))</f>
        <v/>
      </c>
      <c r="J861" s="44">
        <f>IF($B861="","",IF(INDEX('Work Orders'!$Z$11:$Z$1010,$B861)="","",INDEX('Work Orders'!$Z$11:$Z$1010,$B861)))</f>
        <v/>
      </c>
      <c r="K861" s="44">
        <f>IF($B861="","",IF(INDEX('Work Orders'!$AG$11:$AG$1010,$B861)="","",INDEX('Work Orders'!$AG$11:$AG$1010,$B861)))</f>
        <v/>
      </c>
      <c r="L861" s="44">
        <f>IF($B861="","",IF(INDEX('Work Orders'!$AH$11:$AH$1010,$B861)="","",INDEX('Work Orders'!$AH$11:$AH$1010,$B861)))</f>
        <v/>
      </c>
      <c r="M861" s="46">
        <f>IF($B861="","",IF(INDEX('Work Orders'!$AM$11:$AM$1010,$B861)="","",INDEX('Work Orders'!$AM$11:$AM$1010,$B861)))</f>
        <v/>
      </c>
      <c r="N861" s="43">
        <f>IF($B861="","",IF(INDEX('Work Orders'!$AL$11:$AL$1010,$B861)="","",INDEX('Work Orders'!$AL$11:$AL$1010,$B861)))</f>
        <v/>
      </c>
      <c r="O861" s="43">
        <f>IF($B861="","",IF(INDEX('Work Orders'!$N$11:$N$1010,$B861)="","",INDEX('Work Orders'!$N$11:$N$1010,$B861)))</f>
        <v/>
      </c>
    </row>
    <row r="862">
      <c r="A862" s="68" t="n">
        <v>856</v>
      </c>
      <c r="B862">
        <f>IFERROR(MATCH(A862,'Work Orders'!$AO$11:$AO$1010,0),"")</f>
        <v/>
      </c>
      <c r="C862" s="43">
        <f>IF($B862="","",IF(INDEX('Work Orders'!$A$11:$A$1010,$B862)="","",INDEX('Work Orders'!$A$11:$A$1010,$B862)))</f>
        <v/>
      </c>
      <c r="D862" s="43">
        <f>IF($B862="","",IF(INDEX('Work Orders'!$B$11:$B$1010,$B862)="","",INDEX('Work Orders'!$B$11:$B$1010,$B862)))</f>
        <v/>
      </c>
      <c r="E862" s="43">
        <f>IF($B862="","",IF(INDEX('Work Orders'!$D$11:$D$1010,$B862)="","",INDEX('Work Orders'!$D$11:$D$1010,$B862)))</f>
        <v/>
      </c>
      <c r="F862" s="43">
        <f>IF($B862="","",IF(INDEX('Work Orders'!$Q$11:$Q$1010,$B862)="","",INDEX('Work Orders'!$Q$11:$Q$1010,$B862)))</f>
        <v/>
      </c>
      <c r="G862" s="43">
        <f>IF($B862="","",IF(INDEX('Work Orders'!$V$11:$V$1010,$B862)="","",INDEX('Work Orders'!$V$11:$V$1010,$B862)))</f>
        <v/>
      </c>
      <c r="H862" s="47">
        <f>IF($B862="","",IF(INDEX('Work Orders'!$U$11:$U$1010,$B862)="","",INDEX('Work Orders'!$U$11:$U$1010,$B862)))</f>
        <v/>
      </c>
      <c r="I862" s="47">
        <f>IF($B862="","",IF(INDEX('Work Orders'!$X$11:$X$1010,$B862)="","",INDEX('Work Orders'!$X$11:$X$1010,$B862)))</f>
        <v/>
      </c>
      <c r="J862" s="44">
        <f>IF($B862="","",IF(INDEX('Work Orders'!$Z$11:$Z$1010,$B862)="","",INDEX('Work Orders'!$Z$11:$Z$1010,$B862)))</f>
        <v/>
      </c>
      <c r="K862" s="44">
        <f>IF($B862="","",IF(INDEX('Work Orders'!$AG$11:$AG$1010,$B862)="","",INDEX('Work Orders'!$AG$11:$AG$1010,$B862)))</f>
        <v/>
      </c>
      <c r="L862" s="44">
        <f>IF($B862="","",IF(INDEX('Work Orders'!$AH$11:$AH$1010,$B862)="","",INDEX('Work Orders'!$AH$11:$AH$1010,$B862)))</f>
        <v/>
      </c>
      <c r="M862" s="46">
        <f>IF($B862="","",IF(INDEX('Work Orders'!$AM$11:$AM$1010,$B862)="","",INDEX('Work Orders'!$AM$11:$AM$1010,$B862)))</f>
        <v/>
      </c>
      <c r="N862" s="43">
        <f>IF($B862="","",IF(INDEX('Work Orders'!$AL$11:$AL$1010,$B862)="","",INDEX('Work Orders'!$AL$11:$AL$1010,$B862)))</f>
        <v/>
      </c>
      <c r="O862" s="43">
        <f>IF($B862="","",IF(INDEX('Work Orders'!$N$11:$N$1010,$B862)="","",INDEX('Work Orders'!$N$11:$N$1010,$B862)))</f>
        <v/>
      </c>
    </row>
    <row r="863">
      <c r="A863" s="68" t="n">
        <v>857</v>
      </c>
      <c r="B863">
        <f>IFERROR(MATCH(A863,'Work Orders'!$AO$11:$AO$1010,0),"")</f>
        <v/>
      </c>
      <c r="C863" s="43">
        <f>IF($B863="","",IF(INDEX('Work Orders'!$A$11:$A$1010,$B863)="","",INDEX('Work Orders'!$A$11:$A$1010,$B863)))</f>
        <v/>
      </c>
      <c r="D863" s="43">
        <f>IF($B863="","",IF(INDEX('Work Orders'!$B$11:$B$1010,$B863)="","",INDEX('Work Orders'!$B$11:$B$1010,$B863)))</f>
        <v/>
      </c>
      <c r="E863" s="43">
        <f>IF($B863="","",IF(INDEX('Work Orders'!$D$11:$D$1010,$B863)="","",INDEX('Work Orders'!$D$11:$D$1010,$B863)))</f>
        <v/>
      </c>
      <c r="F863" s="43">
        <f>IF($B863="","",IF(INDEX('Work Orders'!$Q$11:$Q$1010,$B863)="","",INDEX('Work Orders'!$Q$11:$Q$1010,$B863)))</f>
        <v/>
      </c>
      <c r="G863" s="43">
        <f>IF($B863="","",IF(INDEX('Work Orders'!$V$11:$V$1010,$B863)="","",INDEX('Work Orders'!$V$11:$V$1010,$B863)))</f>
        <v/>
      </c>
      <c r="H863" s="47">
        <f>IF($B863="","",IF(INDEX('Work Orders'!$U$11:$U$1010,$B863)="","",INDEX('Work Orders'!$U$11:$U$1010,$B863)))</f>
        <v/>
      </c>
      <c r="I863" s="47">
        <f>IF($B863="","",IF(INDEX('Work Orders'!$X$11:$X$1010,$B863)="","",INDEX('Work Orders'!$X$11:$X$1010,$B863)))</f>
        <v/>
      </c>
      <c r="J863" s="44">
        <f>IF($B863="","",IF(INDEX('Work Orders'!$Z$11:$Z$1010,$B863)="","",INDEX('Work Orders'!$Z$11:$Z$1010,$B863)))</f>
        <v/>
      </c>
      <c r="K863" s="44">
        <f>IF($B863="","",IF(INDEX('Work Orders'!$AG$11:$AG$1010,$B863)="","",INDEX('Work Orders'!$AG$11:$AG$1010,$B863)))</f>
        <v/>
      </c>
      <c r="L863" s="44">
        <f>IF($B863="","",IF(INDEX('Work Orders'!$AH$11:$AH$1010,$B863)="","",INDEX('Work Orders'!$AH$11:$AH$1010,$B863)))</f>
        <v/>
      </c>
      <c r="M863" s="46">
        <f>IF($B863="","",IF(INDEX('Work Orders'!$AM$11:$AM$1010,$B863)="","",INDEX('Work Orders'!$AM$11:$AM$1010,$B863)))</f>
        <v/>
      </c>
      <c r="N863" s="43">
        <f>IF($B863="","",IF(INDEX('Work Orders'!$AL$11:$AL$1010,$B863)="","",INDEX('Work Orders'!$AL$11:$AL$1010,$B863)))</f>
        <v/>
      </c>
      <c r="O863" s="43">
        <f>IF($B863="","",IF(INDEX('Work Orders'!$N$11:$N$1010,$B863)="","",INDEX('Work Orders'!$N$11:$N$1010,$B863)))</f>
        <v/>
      </c>
    </row>
    <row r="864">
      <c r="A864" s="68" t="n">
        <v>858</v>
      </c>
      <c r="B864">
        <f>IFERROR(MATCH(A864,'Work Orders'!$AO$11:$AO$1010,0),"")</f>
        <v/>
      </c>
      <c r="C864" s="43">
        <f>IF($B864="","",IF(INDEX('Work Orders'!$A$11:$A$1010,$B864)="","",INDEX('Work Orders'!$A$11:$A$1010,$B864)))</f>
        <v/>
      </c>
      <c r="D864" s="43">
        <f>IF($B864="","",IF(INDEX('Work Orders'!$B$11:$B$1010,$B864)="","",INDEX('Work Orders'!$B$11:$B$1010,$B864)))</f>
        <v/>
      </c>
      <c r="E864" s="43">
        <f>IF($B864="","",IF(INDEX('Work Orders'!$D$11:$D$1010,$B864)="","",INDEX('Work Orders'!$D$11:$D$1010,$B864)))</f>
        <v/>
      </c>
      <c r="F864" s="43">
        <f>IF($B864="","",IF(INDEX('Work Orders'!$Q$11:$Q$1010,$B864)="","",INDEX('Work Orders'!$Q$11:$Q$1010,$B864)))</f>
        <v/>
      </c>
      <c r="G864" s="43">
        <f>IF($B864="","",IF(INDEX('Work Orders'!$V$11:$V$1010,$B864)="","",INDEX('Work Orders'!$V$11:$V$1010,$B864)))</f>
        <v/>
      </c>
      <c r="H864" s="47">
        <f>IF($B864="","",IF(INDEX('Work Orders'!$U$11:$U$1010,$B864)="","",INDEX('Work Orders'!$U$11:$U$1010,$B864)))</f>
        <v/>
      </c>
      <c r="I864" s="47">
        <f>IF($B864="","",IF(INDEX('Work Orders'!$X$11:$X$1010,$B864)="","",INDEX('Work Orders'!$X$11:$X$1010,$B864)))</f>
        <v/>
      </c>
      <c r="J864" s="44">
        <f>IF($B864="","",IF(INDEX('Work Orders'!$Z$11:$Z$1010,$B864)="","",INDEX('Work Orders'!$Z$11:$Z$1010,$B864)))</f>
        <v/>
      </c>
      <c r="K864" s="44">
        <f>IF($B864="","",IF(INDEX('Work Orders'!$AG$11:$AG$1010,$B864)="","",INDEX('Work Orders'!$AG$11:$AG$1010,$B864)))</f>
        <v/>
      </c>
      <c r="L864" s="44">
        <f>IF($B864="","",IF(INDEX('Work Orders'!$AH$11:$AH$1010,$B864)="","",INDEX('Work Orders'!$AH$11:$AH$1010,$B864)))</f>
        <v/>
      </c>
      <c r="M864" s="46">
        <f>IF($B864="","",IF(INDEX('Work Orders'!$AM$11:$AM$1010,$B864)="","",INDEX('Work Orders'!$AM$11:$AM$1010,$B864)))</f>
        <v/>
      </c>
      <c r="N864" s="43">
        <f>IF($B864="","",IF(INDEX('Work Orders'!$AL$11:$AL$1010,$B864)="","",INDEX('Work Orders'!$AL$11:$AL$1010,$B864)))</f>
        <v/>
      </c>
      <c r="O864" s="43">
        <f>IF($B864="","",IF(INDEX('Work Orders'!$N$11:$N$1010,$B864)="","",INDEX('Work Orders'!$N$11:$N$1010,$B864)))</f>
        <v/>
      </c>
    </row>
    <row r="865">
      <c r="A865" s="68" t="n">
        <v>859</v>
      </c>
      <c r="B865">
        <f>IFERROR(MATCH(A865,'Work Orders'!$AO$11:$AO$1010,0),"")</f>
        <v/>
      </c>
      <c r="C865" s="43">
        <f>IF($B865="","",IF(INDEX('Work Orders'!$A$11:$A$1010,$B865)="","",INDEX('Work Orders'!$A$11:$A$1010,$B865)))</f>
        <v/>
      </c>
      <c r="D865" s="43">
        <f>IF($B865="","",IF(INDEX('Work Orders'!$B$11:$B$1010,$B865)="","",INDEX('Work Orders'!$B$11:$B$1010,$B865)))</f>
        <v/>
      </c>
      <c r="E865" s="43">
        <f>IF($B865="","",IF(INDEX('Work Orders'!$D$11:$D$1010,$B865)="","",INDEX('Work Orders'!$D$11:$D$1010,$B865)))</f>
        <v/>
      </c>
      <c r="F865" s="43">
        <f>IF($B865="","",IF(INDEX('Work Orders'!$Q$11:$Q$1010,$B865)="","",INDEX('Work Orders'!$Q$11:$Q$1010,$B865)))</f>
        <v/>
      </c>
      <c r="G865" s="43">
        <f>IF($B865="","",IF(INDEX('Work Orders'!$V$11:$V$1010,$B865)="","",INDEX('Work Orders'!$V$11:$V$1010,$B865)))</f>
        <v/>
      </c>
      <c r="H865" s="47">
        <f>IF($B865="","",IF(INDEX('Work Orders'!$U$11:$U$1010,$B865)="","",INDEX('Work Orders'!$U$11:$U$1010,$B865)))</f>
        <v/>
      </c>
      <c r="I865" s="47">
        <f>IF($B865="","",IF(INDEX('Work Orders'!$X$11:$X$1010,$B865)="","",INDEX('Work Orders'!$X$11:$X$1010,$B865)))</f>
        <v/>
      </c>
      <c r="J865" s="44">
        <f>IF($B865="","",IF(INDEX('Work Orders'!$Z$11:$Z$1010,$B865)="","",INDEX('Work Orders'!$Z$11:$Z$1010,$B865)))</f>
        <v/>
      </c>
      <c r="K865" s="44">
        <f>IF($B865="","",IF(INDEX('Work Orders'!$AG$11:$AG$1010,$B865)="","",INDEX('Work Orders'!$AG$11:$AG$1010,$B865)))</f>
        <v/>
      </c>
      <c r="L865" s="44">
        <f>IF($B865="","",IF(INDEX('Work Orders'!$AH$11:$AH$1010,$B865)="","",INDEX('Work Orders'!$AH$11:$AH$1010,$B865)))</f>
        <v/>
      </c>
      <c r="M865" s="46">
        <f>IF($B865="","",IF(INDEX('Work Orders'!$AM$11:$AM$1010,$B865)="","",INDEX('Work Orders'!$AM$11:$AM$1010,$B865)))</f>
        <v/>
      </c>
      <c r="N865" s="43">
        <f>IF($B865="","",IF(INDEX('Work Orders'!$AL$11:$AL$1010,$B865)="","",INDEX('Work Orders'!$AL$11:$AL$1010,$B865)))</f>
        <v/>
      </c>
      <c r="O865" s="43">
        <f>IF($B865="","",IF(INDEX('Work Orders'!$N$11:$N$1010,$B865)="","",INDEX('Work Orders'!$N$11:$N$1010,$B865)))</f>
        <v/>
      </c>
    </row>
    <row r="866">
      <c r="A866" s="68" t="n">
        <v>860</v>
      </c>
      <c r="B866">
        <f>IFERROR(MATCH(A866,'Work Orders'!$AO$11:$AO$1010,0),"")</f>
        <v/>
      </c>
      <c r="C866" s="43">
        <f>IF($B866="","",IF(INDEX('Work Orders'!$A$11:$A$1010,$B866)="","",INDEX('Work Orders'!$A$11:$A$1010,$B866)))</f>
        <v/>
      </c>
      <c r="D866" s="43">
        <f>IF($B866="","",IF(INDEX('Work Orders'!$B$11:$B$1010,$B866)="","",INDEX('Work Orders'!$B$11:$B$1010,$B866)))</f>
        <v/>
      </c>
      <c r="E866" s="43">
        <f>IF($B866="","",IF(INDEX('Work Orders'!$D$11:$D$1010,$B866)="","",INDEX('Work Orders'!$D$11:$D$1010,$B866)))</f>
        <v/>
      </c>
      <c r="F866" s="43">
        <f>IF($B866="","",IF(INDEX('Work Orders'!$Q$11:$Q$1010,$B866)="","",INDEX('Work Orders'!$Q$11:$Q$1010,$B866)))</f>
        <v/>
      </c>
      <c r="G866" s="43">
        <f>IF($B866="","",IF(INDEX('Work Orders'!$V$11:$V$1010,$B866)="","",INDEX('Work Orders'!$V$11:$V$1010,$B866)))</f>
        <v/>
      </c>
      <c r="H866" s="47">
        <f>IF($B866="","",IF(INDEX('Work Orders'!$U$11:$U$1010,$B866)="","",INDEX('Work Orders'!$U$11:$U$1010,$B866)))</f>
        <v/>
      </c>
      <c r="I866" s="47">
        <f>IF($B866="","",IF(INDEX('Work Orders'!$X$11:$X$1010,$B866)="","",INDEX('Work Orders'!$X$11:$X$1010,$B866)))</f>
        <v/>
      </c>
      <c r="J866" s="44">
        <f>IF($B866="","",IF(INDEX('Work Orders'!$Z$11:$Z$1010,$B866)="","",INDEX('Work Orders'!$Z$11:$Z$1010,$B866)))</f>
        <v/>
      </c>
      <c r="K866" s="44">
        <f>IF($B866="","",IF(INDEX('Work Orders'!$AG$11:$AG$1010,$B866)="","",INDEX('Work Orders'!$AG$11:$AG$1010,$B866)))</f>
        <v/>
      </c>
      <c r="L866" s="44">
        <f>IF($B866="","",IF(INDEX('Work Orders'!$AH$11:$AH$1010,$B866)="","",INDEX('Work Orders'!$AH$11:$AH$1010,$B866)))</f>
        <v/>
      </c>
      <c r="M866" s="46">
        <f>IF($B866="","",IF(INDEX('Work Orders'!$AM$11:$AM$1010,$B866)="","",INDEX('Work Orders'!$AM$11:$AM$1010,$B866)))</f>
        <v/>
      </c>
      <c r="N866" s="43">
        <f>IF($B866="","",IF(INDEX('Work Orders'!$AL$11:$AL$1010,$B866)="","",INDEX('Work Orders'!$AL$11:$AL$1010,$B866)))</f>
        <v/>
      </c>
      <c r="O866" s="43">
        <f>IF($B866="","",IF(INDEX('Work Orders'!$N$11:$N$1010,$B866)="","",INDEX('Work Orders'!$N$11:$N$1010,$B866)))</f>
        <v/>
      </c>
    </row>
    <row r="867">
      <c r="A867" s="68" t="n">
        <v>861</v>
      </c>
      <c r="B867">
        <f>IFERROR(MATCH(A867,'Work Orders'!$AO$11:$AO$1010,0),"")</f>
        <v/>
      </c>
      <c r="C867" s="43">
        <f>IF($B867="","",IF(INDEX('Work Orders'!$A$11:$A$1010,$B867)="","",INDEX('Work Orders'!$A$11:$A$1010,$B867)))</f>
        <v/>
      </c>
      <c r="D867" s="43">
        <f>IF($B867="","",IF(INDEX('Work Orders'!$B$11:$B$1010,$B867)="","",INDEX('Work Orders'!$B$11:$B$1010,$B867)))</f>
        <v/>
      </c>
      <c r="E867" s="43">
        <f>IF($B867="","",IF(INDEX('Work Orders'!$D$11:$D$1010,$B867)="","",INDEX('Work Orders'!$D$11:$D$1010,$B867)))</f>
        <v/>
      </c>
      <c r="F867" s="43">
        <f>IF($B867="","",IF(INDEX('Work Orders'!$Q$11:$Q$1010,$B867)="","",INDEX('Work Orders'!$Q$11:$Q$1010,$B867)))</f>
        <v/>
      </c>
      <c r="G867" s="43">
        <f>IF($B867="","",IF(INDEX('Work Orders'!$V$11:$V$1010,$B867)="","",INDEX('Work Orders'!$V$11:$V$1010,$B867)))</f>
        <v/>
      </c>
      <c r="H867" s="47">
        <f>IF($B867="","",IF(INDEX('Work Orders'!$U$11:$U$1010,$B867)="","",INDEX('Work Orders'!$U$11:$U$1010,$B867)))</f>
        <v/>
      </c>
      <c r="I867" s="47">
        <f>IF($B867="","",IF(INDEX('Work Orders'!$X$11:$X$1010,$B867)="","",INDEX('Work Orders'!$X$11:$X$1010,$B867)))</f>
        <v/>
      </c>
      <c r="J867" s="44">
        <f>IF($B867="","",IF(INDEX('Work Orders'!$Z$11:$Z$1010,$B867)="","",INDEX('Work Orders'!$Z$11:$Z$1010,$B867)))</f>
        <v/>
      </c>
      <c r="K867" s="44">
        <f>IF($B867="","",IF(INDEX('Work Orders'!$AG$11:$AG$1010,$B867)="","",INDEX('Work Orders'!$AG$11:$AG$1010,$B867)))</f>
        <v/>
      </c>
      <c r="L867" s="44">
        <f>IF($B867="","",IF(INDEX('Work Orders'!$AH$11:$AH$1010,$B867)="","",INDEX('Work Orders'!$AH$11:$AH$1010,$B867)))</f>
        <v/>
      </c>
      <c r="M867" s="46">
        <f>IF($B867="","",IF(INDEX('Work Orders'!$AM$11:$AM$1010,$B867)="","",INDEX('Work Orders'!$AM$11:$AM$1010,$B867)))</f>
        <v/>
      </c>
      <c r="N867" s="43">
        <f>IF($B867="","",IF(INDEX('Work Orders'!$AL$11:$AL$1010,$B867)="","",INDEX('Work Orders'!$AL$11:$AL$1010,$B867)))</f>
        <v/>
      </c>
      <c r="O867" s="43">
        <f>IF($B867="","",IF(INDEX('Work Orders'!$N$11:$N$1010,$B867)="","",INDEX('Work Orders'!$N$11:$N$1010,$B867)))</f>
        <v/>
      </c>
    </row>
    <row r="868">
      <c r="A868" s="68" t="n">
        <v>862</v>
      </c>
      <c r="B868">
        <f>IFERROR(MATCH(A868,'Work Orders'!$AO$11:$AO$1010,0),"")</f>
        <v/>
      </c>
      <c r="C868" s="43">
        <f>IF($B868="","",IF(INDEX('Work Orders'!$A$11:$A$1010,$B868)="","",INDEX('Work Orders'!$A$11:$A$1010,$B868)))</f>
        <v/>
      </c>
      <c r="D868" s="43">
        <f>IF($B868="","",IF(INDEX('Work Orders'!$B$11:$B$1010,$B868)="","",INDEX('Work Orders'!$B$11:$B$1010,$B868)))</f>
        <v/>
      </c>
      <c r="E868" s="43">
        <f>IF($B868="","",IF(INDEX('Work Orders'!$D$11:$D$1010,$B868)="","",INDEX('Work Orders'!$D$11:$D$1010,$B868)))</f>
        <v/>
      </c>
      <c r="F868" s="43">
        <f>IF($B868="","",IF(INDEX('Work Orders'!$Q$11:$Q$1010,$B868)="","",INDEX('Work Orders'!$Q$11:$Q$1010,$B868)))</f>
        <v/>
      </c>
      <c r="G868" s="43">
        <f>IF($B868="","",IF(INDEX('Work Orders'!$V$11:$V$1010,$B868)="","",INDEX('Work Orders'!$V$11:$V$1010,$B868)))</f>
        <v/>
      </c>
      <c r="H868" s="47">
        <f>IF($B868="","",IF(INDEX('Work Orders'!$U$11:$U$1010,$B868)="","",INDEX('Work Orders'!$U$11:$U$1010,$B868)))</f>
        <v/>
      </c>
      <c r="I868" s="47">
        <f>IF($B868="","",IF(INDEX('Work Orders'!$X$11:$X$1010,$B868)="","",INDEX('Work Orders'!$X$11:$X$1010,$B868)))</f>
        <v/>
      </c>
      <c r="J868" s="44">
        <f>IF($B868="","",IF(INDEX('Work Orders'!$Z$11:$Z$1010,$B868)="","",INDEX('Work Orders'!$Z$11:$Z$1010,$B868)))</f>
        <v/>
      </c>
      <c r="K868" s="44">
        <f>IF($B868="","",IF(INDEX('Work Orders'!$AG$11:$AG$1010,$B868)="","",INDEX('Work Orders'!$AG$11:$AG$1010,$B868)))</f>
        <v/>
      </c>
      <c r="L868" s="44">
        <f>IF($B868="","",IF(INDEX('Work Orders'!$AH$11:$AH$1010,$B868)="","",INDEX('Work Orders'!$AH$11:$AH$1010,$B868)))</f>
        <v/>
      </c>
      <c r="M868" s="46">
        <f>IF($B868="","",IF(INDEX('Work Orders'!$AM$11:$AM$1010,$B868)="","",INDEX('Work Orders'!$AM$11:$AM$1010,$B868)))</f>
        <v/>
      </c>
      <c r="N868" s="43">
        <f>IF($B868="","",IF(INDEX('Work Orders'!$AL$11:$AL$1010,$B868)="","",INDEX('Work Orders'!$AL$11:$AL$1010,$B868)))</f>
        <v/>
      </c>
      <c r="O868" s="43">
        <f>IF($B868="","",IF(INDEX('Work Orders'!$N$11:$N$1010,$B868)="","",INDEX('Work Orders'!$N$11:$N$1010,$B868)))</f>
        <v/>
      </c>
    </row>
    <row r="869">
      <c r="A869" s="68" t="n">
        <v>863</v>
      </c>
      <c r="B869">
        <f>IFERROR(MATCH(A869,'Work Orders'!$AO$11:$AO$1010,0),"")</f>
        <v/>
      </c>
      <c r="C869" s="43">
        <f>IF($B869="","",IF(INDEX('Work Orders'!$A$11:$A$1010,$B869)="","",INDEX('Work Orders'!$A$11:$A$1010,$B869)))</f>
        <v/>
      </c>
      <c r="D869" s="43">
        <f>IF($B869="","",IF(INDEX('Work Orders'!$B$11:$B$1010,$B869)="","",INDEX('Work Orders'!$B$11:$B$1010,$B869)))</f>
        <v/>
      </c>
      <c r="E869" s="43">
        <f>IF($B869="","",IF(INDEX('Work Orders'!$D$11:$D$1010,$B869)="","",INDEX('Work Orders'!$D$11:$D$1010,$B869)))</f>
        <v/>
      </c>
      <c r="F869" s="43">
        <f>IF($B869="","",IF(INDEX('Work Orders'!$Q$11:$Q$1010,$B869)="","",INDEX('Work Orders'!$Q$11:$Q$1010,$B869)))</f>
        <v/>
      </c>
      <c r="G869" s="43">
        <f>IF($B869="","",IF(INDEX('Work Orders'!$V$11:$V$1010,$B869)="","",INDEX('Work Orders'!$V$11:$V$1010,$B869)))</f>
        <v/>
      </c>
      <c r="H869" s="47">
        <f>IF($B869="","",IF(INDEX('Work Orders'!$U$11:$U$1010,$B869)="","",INDEX('Work Orders'!$U$11:$U$1010,$B869)))</f>
        <v/>
      </c>
      <c r="I869" s="47">
        <f>IF($B869="","",IF(INDEX('Work Orders'!$X$11:$X$1010,$B869)="","",INDEX('Work Orders'!$X$11:$X$1010,$B869)))</f>
        <v/>
      </c>
      <c r="J869" s="44">
        <f>IF($B869="","",IF(INDEX('Work Orders'!$Z$11:$Z$1010,$B869)="","",INDEX('Work Orders'!$Z$11:$Z$1010,$B869)))</f>
        <v/>
      </c>
      <c r="K869" s="44">
        <f>IF($B869="","",IF(INDEX('Work Orders'!$AG$11:$AG$1010,$B869)="","",INDEX('Work Orders'!$AG$11:$AG$1010,$B869)))</f>
        <v/>
      </c>
      <c r="L869" s="44">
        <f>IF($B869="","",IF(INDEX('Work Orders'!$AH$11:$AH$1010,$B869)="","",INDEX('Work Orders'!$AH$11:$AH$1010,$B869)))</f>
        <v/>
      </c>
      <c r="M869" s="46">
        <f>IF($B869="","",IF(INDEX('Work Orders'!$AM$11:$AM$1010,$B869)="","",INDEX('Work Orders'!$AM$11:$AM$1010,$B869)))</f>
        <v/>
      </c>
      <c r="N869" s="43">
        <f>IF($B869="","",IF(INDEX('Work Orders'!$AL$11:$AL$1010,$B869)="","",INDEX('Work Orders'!$AL$11:$AL$1010,$B869)))</f>
        <v/>
      </c>
      <c r="O869" s="43">
        <f>IF($B869="","",IF(INDEX('Work Orders'!$N$11:$N$1010,$B869)="","",INDEX('Work Orders'!$N$11:$N$1010,$B869)))</f>
        <v/>
      </c>
    </row>
    <row r="870">
      <c r="A870" s="68" t="n">
        <v>864</v>
      </c>
      <c r="B870">
        <f>IFERROR(MATCH(A870,'Work Orders'!$AO$11:$AO$1010,0),"")</f>
        <v/>
      </c>
      <c r="C870" s="43">
        <f>IF($B870="","",IF(INDEX('Work Orders'!$A$11:$A$1010,$B870)="","",INDEX('Work Orders'!$A$11:$A$1010,$B870)))</f>
        <v/>
      </c>
      <c r="D870" s="43">
        <f>IF($B870="","",IF(INDEX('Work Orders'!$B$11:$B$1010,$B870)="","",INDEX('Work Orders'!$B$11:$B$1010,$B870)))</f>
        <v/>
      </c>
      <c r="E870" s="43">
        <f>IF($B870="","",IF(INDEX('Work Orders'!$D$11:$D$1010,$B870)="","",INDEX('Work Orders'!$D$11:$D$1010,$B870)))</f>
        <v/>
      </c>
      <c r="F870" s="43">
        <f>IF($B870="","",IF(INDEX('Work Orders'!$Q$11:$Q$1010,$B870)="","",INDEX('Work Orders'!$Q$11:$Q$1010,$B870)))</f>
        <v/>
      </c>
      <c r="G870" s="43">
        <f>IF($B870="","",IF(INDEX('Work Orders'!$V$11:$V$1010,$B870)="","",INDEX('Work Orders'!$V$11:$V$1010,$B870)))</f>
        <v/>
      </c>
      <c r="H870" s="47">
        <f>IF($B870="","",IF(INDEX('Work Orders'!$U$11:$U$1010,$B870)="","",INDEX('Work Orders'!$U$11:$U$1010,$B870)))</f>
        <v/>
      </c>
      <c r="I870" s="47">
        <f>IF($B870="","",IF(INDEX('Work Orders'!$X$11:$X$1010,$B870)="","",INDEX('Work Orders'!$X$11:$X$1010,$B870)))</f>
        <v/>
      </c>
      <c r="J870" s="44">
        <f>IF($B870="","",IF(INDEX('Work Orders'!$Z$11:$Z$1010,$B870)="","",INDEX('Work Orders'!$Z$11:$Z$1010,$B870)))</f>
        <v/>
      </c>
      <c r="K870" s="44">
        <f>IF($B870="","",IF(INDEX('Work Orders'!$AG$11:$AG$1010,$B870)="","",INDEX('Work Orders'!$AG$11:$AG$1010,$B870)))</f>
        <v/>
      </c>
      <c r="L870" s="44">
        <f>IF($B870="","",IF(INDEX('Work Orders'!$AH$11:$AH$1010,$B870)="","",INDEX('Work Orders'!$AH$11:$AH$1010,$B870)))</f>
        <v/>
      </c>
      <c r="M870" s="46">
        <f>IF($B870="","",IF(INDEX('Work Orders'!$AM$11:$AM$1010,$B870)="","",INDEX('Work Orders'!$AM$11:$AM$1010,$B870)))</f>
        <v/>
      </c>
      <c r="N870" s="43">
        <f>IF($B870="","",IF(INDEX('Work Orders'!$AL$11:$AL$1010,$B870)="","",INDEX('Work Orders'!$AL$11:$AL$1010,$B870)))</f>
        <v/>
      </c>
      <c r="O870" s="43">
        <f>IF($B870="","",IF(INDEX('Work Orders'!$N$11:$N$1010,$B870)="","",INDEX('Work Orders'!$N$11:$N$1010,$B870)))</f>
        <v/>
      </c>
    </row>
    <row r="871">
      <c r="A871" s="68" t="n">
        <v>865</v>
      </c>
      <c r="B871">
        <f>IFERROR(MATCH(A871,'Work Orders'!$AO$11:$AO$1010,0),"")</f>
        <v/>
      </c>
      <c r="C871" s="43">
        <f>IF($B871="","",IF(INDEX('Work Orders'!$A$11:$A$1010,$B871)="","",INDEX('Work Orders'!$A$11:$A$1010,$B871)))</f>
        <v/>
      </c>
      <c r="D871" s="43">
        <f>IF($B871="","",IF(INDEX('Work Orders'!$B$11:$B$1010,$B871)="","",INDEX('Work Orders'!$B$11:$B$1010,$B871)))</f>
        <v/>
      </c>
      <c r="E871" s="43">
        <f>IF($B871="","",IF(INDEX('Work Orders'!$D$11:$D$1010,$B871)="","",INDEX('Work Orders'!$D$11:$D$1010,$B871)))</f>
        <v/>
      </c>
      <c r="F871" s="43">
        <f>IF($B871="","",IF(INDEX('Work Orders'!$Q$11:$Q$1010,$B871)="","",INDEX('Work Orders'!$Q$11:$Q$1010,$B871)))</f>
        <v/>
      </c>
      <c r="G871" s="43">
        <f>IF($B871="","",IF(INDEX('Work Orders'!$V$11:$V$1010,$B871)="","",INDEX('Work Orders'!$V$11:$V$1010,$B871)))</f>
        <v/>
      </c>
      <c r="H871" s="47">
        <f>IF($B871="","",IF(INDEX('Work Orders'!$U$11:$U$1010,$B871)="","",INDEX('Work Orders'!$U$11:$U$1010,$B871)))</f>
        <v/>
      </c>
      <c r="I871" s="47">
        <f>IF($B871="","",IF(INDEX('Work Orders'!$X$11:$X$1010,$B871)="","",INDEX('Work Orders'!$X$11:$X$1010,$B871)))</f>
        <v/>
      </c>
      <c r="J871" s="44">
        <f>IF($B871="","",IF(INDEX('Work Orders'!$Z$11:$Z$1010,$B871)="","",INDEX('Work Orders'!$Z$11:$Z$1010,$B871)))</f>
        <v/>
      </c>
      <c r="K871" s="44">
        <f>IF($B871="","",IF(INDEX('Work Orders'!$AG$11:$AG$1010,$B871)="","",INDEX('Work Orders'!$AG$11:$AG$1010,$B871)))</f>
        <v/>
      </c>
      <c r="L871" s="44">
        <f>IF($B871="","",IF(INDEX('Work Orders'!$AH$11:$AH$1010,$B871)="","",INDEX('Work Orders'!$AH$11:$AH$1010,$B871)))</f>
        <v/>
      </c>
      <c r="M871" s="46">
        <f>IF($B871="","",IF(INDEX('Work Orders'!$AM$11:$AM$1010,$B871)="","",INDEX('Work Orders'!$AM$11:$AM$1010,$B871)))</f>
        <v/>
      </c>
      <c r="N871" s="43">
        <f>IF($B871="","",IF(INDEX('Work Orders'!$AL$11:$AL$1010,$B871)="","",INDEX('Work Orders'!$AL$11:$AL$1010,$B871)))</f>
        <v/>
      </c>
      <c r="O871" s="43">
        <f>IF($B871="","",IF(INDEX('Work Orders'!$N$11:$N$1010,$B871)="","",INDEX('Work Orders'!$N$11:$N$1010,$B871)))</f>
        <v/>
      </c>
    </row>
    <row r="872">
      <c r="A872" s="68" t="n">
        <v>866</v>
      </c>
      <c r="B872">
        <f>IFERROR(MATCH(A872,'Work Orders'!$AO$11:$AO$1010,0),"")</f>
        <v/>
      </c>
      <c r="C872" s="43">
        <f>IF($B872="","",IF(INDEX('Work Orders'!$A$11:$A$1010,$B872)="","",INDEX('Work Orders'!$A$11:$A$1010,$B872)))</f>
        <v/>
      </c>
      <c r="D872" s="43">
        <f>IF($B872="","",IF(INDEX('Work Orders'!$B$11:$B$1010,$B872)="","",INDEX('Work Orders'!$B$11:$B$1010,$B872)))</f>
        <v/>
      </c>
      <c r="E872" s="43">
        <f>IF($B872="","",IF(INDEX('Work Orders'!$D$11:$D$1010,$B872)="","",INDEX('Work Orders'!$D$11:$D$1010,$B872)))</f>
        <v/>
      </c>
      <c r="F872" s="43">
        <f>IF($B872="","",IF(INDEX('Work Orders'!$Q$11:$Q$1010,$B872)="","",INDEX('Work Orders'!$Q$11:$Q$1010,$B872)))</f>
        <v/>
      </c>
      <c r="G872" s="43">
        <f>IF($B872="","",IF(INDEX('Work Orders'!$V$11:$V$1010,$B872)="","",INDEX('Work Orders'!$V$11:$V$1010,$B872)))</f>
        <v/>
      </c>
      <c r="H872" s="47">
        <f>IF($B872="","",IF(INDEX('Work Orders'!$U$11:$U$1010,$B872)="","",INDEX('Work Orders'!$U$11:$U$1010,$B872)))</f>
        <v/>
      </c>
      <c r="I872" s="47">
        <f>IF($B872="","",IF(INDEX('Work Orders'!$X$11:$X$1010,$B872)="","",INDEX('Work Orders'!$X$11:$X$1010,$B872)))</f>
        <v/>
      </c>
      <c r="J872" s="44">
        <f>IF($B872="","",IF(INDEX('Work Orders'!$Z$11:$Z$1010,$B872)="","",INDEX('Work Orders'!$Z$11:$Z$1010,$B872)))</f>
        <v/>
      </c>
      <c r="K872" s="44">
        <f>IF($B872="","",IF(INDEX('Work Orders'!$AG$11:$AG$1010,$B872)="","",INDEX('Work Orders'!$AG$11:$AG$1010,$B872)))</f>
        <v/>
      </c>
      <c r="L872" s="44">
        <f>IF($B872="","",IF(INDEX('Work Orders'!$AH$11:$AH$1010,$B872)="","",INDEX('Work Orders'!$AH$11:$AH$1010,$B872)))</f>
        <v/>
      </c>
      <c r="M872" s="46">
        <f>IF($B872="","",IF(INDEX('Work Orders'!$AM$11:$AM$1010,$B872)="","",INDEX('Work Orders'!$AM$11:$AM$1010,$B872)))</f>
        <v/>
      </c>
      <c r="N872" s="43">
        <f>IF($B872="","",IF(INDEX('Work Orders'!$AL$11:$AL$1010,$B872)="","",INDEX('Work Orders'!$AL$11:$AL$1010,$B872)))</f>
        <v/>
      </c>
      <c r="O872" s="43">
        <f>IF($B872="","",IF(INDEX('Work Orders'!$N$11:$N$1010,$B872)="","",INDEX('Work Orders'!$N$11:$N$1010,$B872)))</f>
        <v/>
      </c>
    </row>
    <row r="873">
      <c r="A873" s="68" t="n">
        <v>867</v>
      </c>
      <c r="B873">
        <f>IFERROR(MATCH(A873,'Work Orders'!$AO$11:$AO$1010,0),"")</f>
        <v/>
      </c>
      <c r="C873" s="43">
        <f>IF($B873="","",IF(INDEX('Work Orders'!$A$11:$A$1010,$B873)="","",INDEX('Work Orders'!$A$11:$A$1010,$B873)))</f>
        <v/>
      </c>
      <c r="D873" s="43">
        <f>IF($B873="","",IF(INDEX('Work Orders'!$B$11:$B$1010,$B873)="","",INDEX('Work Orders'!$B$11:$B$1010,$B873)))</f>
        <v/>
      </c>
      <c r="E873" s="43">
        <f>IF($B873="","",IF(INDEX('Work Orders'!$D$11:$D$1010,$B873)="","",INDEX('Work Orders'!$D$11:$D$1010,$B873)))</f>
        <v/>
      </c>
      <c r="F873" s="43">
        <f>IF($B873="","",IF(INDEX('Work Orders'!$Q$11:$Q$1010,$B873)="","",INDEX('Work Orders'!$Q$11:$Q$1010,$B873)))</f>
        <v/>
      </c>
      <c r="G873" s="43">
        <f>IF($B873="","",IF(INDEX('Work Orders'!$V$11:$V$1010,$B873)="","",INDEX('Work Orders'!$V$11:$V$1010,$B873)))</f>
        <v/>
      </c>
      <c r="H873" s="47">
        <f>IF($B873="","",IF(INDEX('Work Orders'!$U$11:$U$1010,$B873)="","",INDEX('Work Orders'!$U$11:$U$1010,$B873)))</f>
        <v/>
      </c>
      <c r="I873" s="47">
        <f>IF($B873="","",IF(INDEX('Work Orders'!$X$11:$X$1010,$B873)="","",INDEX('Work Orders'!$X$11:$X$1010,$B873)))</f>
        <v/>
      </c>
      <c r="J873" s="44">
        <f>IF($B873="","",IF(INDEX('Work Orders'!$Z$11:$Z$1010,$B873)="","",INDEX('Work Orders'!$Z$11:$Z$1010,$B873)))</f>
        <v/>
      </c>
      <c r="K873" s="44">
        <f>IF($B873="","",IF(INDEX('Work Orders'!$AG$11:$AG$1010,$B873)="","",INDEX('Work Orders'!$AG$11:$AG$1010,$B873)))</f>
        <v/>
      </c>
      <c r="L873" s="44">
        <f>IF($B873="","",IF(INDEX('Work Orders'!$AH$11:$AH$1010,$B873)="","",INDEX('Work Orders'!$AH$11:$AH$1010,$B873)))</f>
        <v/>
      </c>
      <c r="M873" s="46">
        <f>IF($B873="","",IF(INDEX('Work Orders'!$AM$11:$AM$1010,$B873)="","",INDEX('Work Orders'!$AM$11:$AM$1010,$B873)))</f>
        <v/>
      </c>
      <c r="N873" s="43">
        <f>IF($B873="","",IF(INDEX('Work Orders'!$AL$11:$AL$1010,$B873)="","",INDEX('Work Orders'!$AL$11:$AL$1010,$B873)))</f>
        <v/>
      </c>
      <c r="O873" s="43">
        <f>IF($B873="","",IF(INDEX('Work Orders'!$N$11:$N$1010,$B873)="","",INDEX('Work Orders'!$N$11:$N$1010,$B873)))</f>
        <v/>
      </c>
    </row>
    <row r="874">
      <c r="A874" s="68" t="n">
        <v>868</v>
      </c>
      <c r="B874">
        <f>IFERROR(MATCH(A874,'Work Orders'!$AO$11:$AO$1010,0),"")</f>
        <v/>
      </c>
      <c r="C874" s="43">
        <f>IF($B874="","",IF(INDEX('Work Orders'!$A$11:$A$1010,$B874)="","",INDEX('Work Orders'!$A$11:$A$1010,$B874)))</f>
        <v/>
      </c>
      <c r="D874" s="43">
        <f>IF($B874="","",IF(INDEX('Work Orders'!$B$11:$B$1010,$B874)="","",INDEX('Work Orders'!$B$11:$B$1010,$B874)))</f>
        <v/>
      </c>
      <c r="E874" s="43">
        <f>IF($B874="","",IF(INDEX('Work Orders'!$D$11:$D$1010,$B874)="","",INDEX('Work Orders'!$D$11:$D$1010,$B874)))</f>
        <v/>
      </c>
      <c r="F874" s="43">
        <f>IF($B874="","",IF(INDEX('Work Orders'!$Q$11:$Q$1010,$B874)="","",INDEX('Work Orders'!$Q$11:$Q$1010,$B874)))</f>
        <v/>
      </c>
      <c r="G874" s="43">
        <f>IF($B874="","",IF(INDEX('Work Orders'!$V$11:$V$1010,$B874)="","",INDEX('Work Orders'!$V$11:$V$1010,$B874)))</f>
        <v/>
      </c>
      <c r="H874" s="47">
        <f>IF($B874="","",IF(INDEX('Work Orders'!$U$11:$U$1010,$B874)="","",INDEX('Work Orders'!$U$11:$U$1010,$B874)))</f>
        <v/>
      </c>
      <c r="I874" s="47">
        <f>IF($B874="","",IF(INDEX('Work Orders'!$X$11:$X$1010,$B874)="","",INDEX('Work Orders'!$X$11:$X$1010,$B874)))</f>
        <v/>
      </c>
      <c r="J874" s="44">
        <f>IF($B874="","",IF(INDEX('Work Orders'!$Z$11:$Z$1010,$B874)="","",INDEX('Work Orders'!$Z$11:$Z$1010,$B874)))</f>
        <v/>
      </c>
      <c r="K874" s="44">
        <f>IF($B874="","",IF(INDEX('Work Orders'!$AG$11:$AG$1010,$B874)="","",INDEX('Work Orders'!$AG$11:$AG$1010,$B874)))</f>
        <v/>
      </c>
      <c r="L874" s="44">
        <f>IF($B874="","",IF(INDEX('Work Orders'!$AH$11:$AH$1010,$B874)="","",INDEX('Work Orders'!$AH$11:$AH$1010,$B874)))</f>
        <v/>
      </c>
      <c r="M874" s="46">
        <f>IF($B874="","",IF(INDEX('Work Orders'!$AM$11:$AM$1010,$B874)="","",INDEX('Work Orders'!$AM$11:$AM$1010,$B874)))</f>
        <v/>
      </c>
      <c r="N874" s="43">
        <f>IF($B874="","",IF(INDEX('Work Orders'!$AL$11:$AL$1010,$B874)="","",INDEX('Work Orders'!$AL$11:$AL$1010,$B874)))</f>
        <v/>
      </c>
      <c r="O874" s="43">
        <f>IF($B874="","",IF(INDEX('Work Orders'!$N$11:$N$1010,$B874)="","",INDEX('Work Orders'!$N$11:$N$1010,$B874)))</f>
        <v/>
      </c>
    </row>
    <row r="875">
      <c r="A875" s="68" t="n">
        <v>869</v>
      </c>
      <c r="B875">
        <f>IFERROR(MATCH(A875,'Work Orders'!$AO$11:$AO$1010,0),"")</f>
        <v/>
      </c>
      <c r="C875" s="43">
        <f>IF($B875="","",IF(INDEX('Work Orders'!$A$11:$A$1010,$B875)="","",INDEX('Work Orders'!$A$11:$A$1010,$B875)))</f>
        <v/>
      </c>
      <c r="D875" s="43">
        <f>IF($B875="","",IF(INDEX('Work Orders'!$B$11:$B$1010,$B875)="","",INDEX('Work Orders'!$B$11:$B$1010,$B875)))</f>
        <v/>
      </c>
      <c r="E875" s="43">
        <f>IF($B875="","",IF(INDEX('Work Orders'!$D$11:$D$1010,$B875)="","",INDEX('Work Orders'!$D$11:$D$1010,$B875)))</f>
        <v/>
      </c>
      <c r="F875" s="43">
        <f>IF($B875="","",IF(INDEX('Work Orders'!$Q$11:$Q$1010,$B875)="","",INDEX('Work Orders'!$Q$11:$Q$1010,$B875)))</f>
        <v/>
      </c>
      <c r="G875" s="43">
        <f>IF($B875="","",IF(INDEX('Work Orders'!$V$11:$V$1010,$B875)="","",INDEX('Work Orders'!$V$11:$V$1010,$B875)))</f>
        <v/>
      </c>
      <c r="H875" s="47">
        <f>IF($B875="","",IF(INDEX('Work Orders'!$U$11:$U$1010,$B875)="","",INDEX('Work Orders'!$U$11:$U$1010,$B875)))</f>
        <v/>
      </c>
      <c r="I875" s="47">
        <f>IF($B875="","",IF(INDEX('Work Orders'!$X$11:$X$1010,$B875)="","",INDEX('Work Orders'!$X$11:$X$1010,$B875)))</f>
        <v/>
      </c>
      <c r="J875" s="44">
        <f>IF($B875="","",IF(INDEX('Work Orders'!$Z$11:$Z$1010,$B875)="","",INDEX('Work Orders'!$Z$11:$Z$1010,$B875)))</f>
        <v/>
      </c>
      <c r="K875" s="44">
        <f>IF($B875="","",IF(INDEX('Work Orders'!$AG$11:$AG$1010,$B875)="","",INDEX('Work Orders'!$AG$11:$AG$1010,$B875)))</f>
        <v/>
      </c>
      <c r="L875" s="44">
        <f>IF($B875="","",IF(INDEX('Work Orders'!$AH$11:$AH$1010,$B875)="","",INDEX('Work Orders'!$AH$11:$AH$1010,$B875)))</f>
        <v/>
      </c>
      <c r="M875" s="46">
        <f>IF($B875="","",IF(INDEX('Work Orders'!$AM$11:$AM$1010,$B875)="","",INDEX('Work Orders'!$AM$11:$AM$1010,$B875)))</f>
        <v/>
      </c>
      <c r="N875" s="43">
        <f>IF($B875="","",IF(INDEX('Work Orders'!$AL$11:$AL$1010,$B875)="","",INDEX('Work Orders'!$AL$11:$AL$1010,$B875)))</f>
        <v/>
      </c>
      <c r="O875" s="43">
        <f>IF($B875="","",IF(INDEX('Work Orders'!$N$11:$N$1010,$B875)="","",INDEX('Work Orders'!$N$11:$N$1010,$B875)))</f>
        <v/>
      </c>
    </row>
    <row r="876">
      <c r="A876" s="68" t="n">
        <v>870</v>
      </c>
      <c r="B876">
        <f>IFERROR(MATCH(A876,'Work Orders'!$AO$11:$AO$1010,0),"")</f>
        <v/>
      </c>
      <c r="C876" s="43">
        <f>IF($B876="","",IF(INDEX('Work Orders'!$A$11:$A$1010,$B876)="","",INDEX('Work Orders'!$A$11:$A$1010,$B876)))</f>
        <v/>
      </c>
      <c r="D876" s="43">
        <f>IF($B876="","",IF(INDEX('Work Orders'!$B$11:$B$1010,$B876)="","",INDEX('Work Orders'!$B$11:$B$1010,$B876)))</f>
        <v/>
      </c>
      <c r="E876" s="43">
        <f>IF($B876="","",IF(INDEX('Work Orders'!$D$11:$D$1010,$B876)="","",INDEX('Work Orders'!$D$11:$D$1010,$B876)))</f>
        <v/>
      </c>
      <c r="F876" s="43">
        <f>IF($B876="","",IF(INDEX('Work Orders'!$Q$11:$Q$1010,$B876)="","",INDEX('Work Orders'!$Q$11:$Q$1010,$B876)))</f>
        <v/>
      </c>
      <c r="G876" s="43">
        <f>IF($B876="","",IF(INDEX('Work Orders'!$V$11:$V$1010,$B876)="","",INDEX('Work Orders'!$V$11:$V$1010,$B876)))</f>
        <v/>
      </c>
      <c r="H876" s="47">
        <f>IF($B876="","",IF(INDEX('Work Orders'!$U$11:$U$1010,$B876)="","",INDEX('Work Orders'!$U$11:$U$1010,$B876)))</f>
        <v/>
      </c>
      <c r="I876" s="47">
        <f>IF($B876="","",IF(INDEX('Work Orders'!$X$11:$X$1010,$B876)="","",INDEX('Work Orders'!$X$11:$X$1010,$B876)))</f>
        <v/>
      </c>
      <c r="J876" s="44">
        <f>IF($B876="","",IF(INDEX('Work Orders'!$Z$11:$Z$1010,$B876)="","",INDEX('Work Orders'!$Z$11:$Z$1010,$B876)))</f>
        <v/>
      </c>
      <c r="K876" s="44">
        <f>IF($B876="","",IF(INDEX('Work Orders'!$AG$11:$AG$1010,$B876)="","",INDEX('Work Orders'!$AG$11:$AG$1010,$B876)))</f>
        <v/>
      </c>
      <c r="L876" s="44">
        <f>IF($B876="","",IF(INDEX('Work Orders'!$AH$11:$AH$1010,$B876)="","",INDEX('Work Orders'!$AH$11:$AH$1010,$B876)))</f>
        <v/>
      </c>
      <c r="M876" s="46">
        <f>IF($B876="","",IF(INDEX('Work Orders'!$AM$11:$AM$1010,$B876)="","",INDEX('Work Orders'!$AM$11:$AM$1010,$B876)))</f>
        <v/>
      </c>
      <c r="N876" s="43">
        <f>IF($B876="","",IF(INDEX('Work Orders'!$AL$11:$AL$1010,$B876)="","",INDEX('Work Orders'!$AL$11:$AL$1010,$B876)))</f>
        <v/>
      </c>
      <c r="O876" s="43">
        <f>IF($B876="","",IF(INDEX('Work Orders'!$N$11:$N$1010,$B876)="","",INDEX('Work Orders'!$N$11:$N$1010,$B876)))</f>
        <v/>
      </c>
    </row>
    <row r="877">
      <c r="A877" s="68" t="n">
        <v>871</v>
      </c>
      <c r="B877">
        <f>IFERROR(MATCH(A877,'Work Orders'!$AO$11:$AO$1010,0),"")</f>
        <v/>
      </c>
      <c r="C877" s="43">
        <f>IF($B877="","",IF(INDEX('Work Orders'!$A$11:$A$1010,$B877)="","",INDEX('Work Orders'!$A$11:$A$1010,$B877)))</f>
        <v/>
      </c>
      <c r="D877" s="43">
        <f>IF($B877="","",IF(INDEX('Work Orders'!$B$11:$B$1010,$B877)="","",INDEX('Work Orders'!$B$11:$B$1010,$B877)))</f>
        <v/>
      </c>
      <c r="E877" s="43">
        <f>IF($B877="","",IF(INDEX('Work Orders'!$D$11:$D$1010,$B877)="","",INDEX('Work Orders'!$D$11:$D$1010,$B877)))</f>
        <v/>
      </c>
      <c r="F877" s="43">
        <f>IF($B877="","",IF(INDEX('Work Orders'!$Q$11:$Q$1010,$B877)="","",INDEX('Work Orders'!$Q$11:$Q$1010,$B877)))</f>
        <v/>
      </c>
      <c r="G877" s="43">
        <f>IF($B877="","",IF(INDEX('Work Orders'!$V$11:$V$1010,$B877)="","",INDEX('Work Orders'!$V$11:$V$1010,$B877)))</f>
        <v/>
      </c>
      <c r="H877" s="47">
        <f>IF($B877="","",IF(INDEX('Work Orders'!$U$11:$U$1010,$B877)="","",INDEX('Work Orders'!$U$11:$U$1010,$B877)))</f>
        <v/>
      </c>
      <c r="I877" s="47">
        <f>IF($B877="","",IF(INDEX('Work Orders'!$X$11:$X$1010,$B877)="","",INDEX('Work Orders'!$X$11:$X$1010,$B877)))</f>
        <v/>
      </c>
      <c r="J877" s="44">
        <f>IF($B877="","",IF(INDEX('Work Orders'!$Z$11:$Z$1010,$B877)="","",INDEX('Work Orders'!$Z$11:$Z$1010,$B877)))</f>
        <v/>
      </c>
      <c r="K877" s="44">
        <f>IF($B877="","",IF(INDEX('Work Orders'!$AG$11:$AG$1010,$B877)="","",INDEX('Work Orders'!$AG$11:$AG$1010,$B877)))</f>
        <v/>
      </c>
      <c r="L877" s="44">
        <f>IF($B877="","",IF(INDEX('Work Orders'!$AH$11:$AH$1010,$B877)="","",INDEX('Work Orders'!$AH$11:$AH$1010,$B877)))</f>
        <v/>
      </c>
      <c r="M877" s="46">
        <f>IF($B877="","",IF(INDEX('Work Orders'!$AM$11:$AM$1010,$B877)="","",INDEX('Work Orders'!$AM$11:$AM$1010,$B877)))</f>
        <v/>
      </c>
      <c r="N877" s="43">
        <f>IF($B877="","",IF(INDEX('Work Orders'!$AL$11:$AL$1010,$B877)="","",INDEX('Work Orders'!$AL$11:$AL$1010,$B877)))</f>
        <v/>
      </c>
      <c r="O877" s="43">
        <f>IF($B877="","",IF(INDEX('Work Orders'!$N$11:$N$1010,$B877)="","",INDEX('Work Orders'!$N$11:$N$1010,$B877)))</f>
        <v/>
      </c>
    </row>
    <row r="878">
      <c r="A878" s="68" t="n">
        <v>872</v>
      </c>
      <c r="B878">
        <f>IFERROR(MATCH(A878,'Work Orders'!$AO$11:$AO$1010,0),"")</f>
        <v/>
      </c>
      <c r="C878" s="43">
        <f>IF($B878="","",IF(INDEX('Work Orders'!$A$11:$A$1010,$B878)="","",INDEX('Work Orders'!$A$11:$A$1010,$B878)))</f>
        <v/>
      </c>
      <c r="D878" s="43">
        <f>IF($B878="","",IF(INDEX('Work Orders'!$B$11:$B$1010,$B878)="","",INDEX('Work Orders'!$B$11:$B$1010,$B878)))</f>
        <v/>
      </c>
      <c r="E878" s="43">
        <f>IF($B878="","",IF(INDEX('Work Orders'!$D$11:$D$1010,$B878)="","",INDEX('Work Orders'!$D$11:$D$1010,$B878)))</f>
        <v/>
      </c>
      <c r="F878" s="43">
        <f>IF($B878="","",IF(INDEX('Work Orders'!$Q$11:$Q$1010,$B878)="","",INDEX('Work Orders'!$Q$11:$Q$1010,$B878)))</f>
        <v/>
      </c>
      <c r="G878" s="43">
        <f>IF($B878="","",IF(INDEX('Work Orders'!$V$11:$V$1010,$B878)="","",INDEX('Work Orders'!$V$11:$V$1010,$B878)))</f>
        <v/>
      </c>
      <c r="H878" s="47">
        <f>IF($B878="","",IF(INDEX('Work Orders'!$U$11:$U$1010,$B878)="","",INDEX('Work Orders'!$U$11:$U$1010,$B878)))</f>
        <v/>
      </c>
      <c r="I878" s="47">
        <f>IF($B878="","",IF(INDEX('Work Orders'!$X$11:$X$1010,$B878)="","",INDEX('Work Orders'!$X$11:$X$1010,$B878)))</f>
        <v/>
      </c>
      <c r="J878" s="44">
        <f>IF($B878="","",IF(INDEX('Work Orders'!$Z$11:$Z$1010,$B878)="","",INDEX('Work Orders'!$Z$11:$Z$1010,$B878)))</f>
        <v/>
      </c>
      <c r="K878" s="44">
        <f>IF($B878="","",IF(INDEX('Work Orders'!$AG$11:$AG$1010,$B878)="","",INDEX('Work Orders'!$AG$11:$AG$1010,$B878)))</f>
        <v/>
      </c>
      <c r="L878" s="44">
        <f>IF($B878="","",IF(INDEX('Work Orders'!$AH$11:$AH$1010,$B878)="","",INDEX('Work Orders'!$AH$11:$AH$1010,$B878)))</f>
        <v/>
      </c>
      <c r="M878" s="46">
        <f>IF($B878="","",IF(INDEX('Work Orders'!$AM$11:$AM$1010,$B878)="","",INDEX('Work Orders'!$AM$11:$AM$1010,$B878)))</f>
        <v/>
      </c>
      <c r="N878" s="43">
        <f>IF($B878="","",IF(INDEX('Work Orders'!$AL$11:$AL$1010,$B878)="","",INDEX('Work Orders'!$AL$11:$AL$1010,$B878)))</f>
        <v/>
      </c>
      <c r="O878" s="43">
        <f>IF($B878="","",IF(INDEX('Work Orders'!$N$11:$N$1010,$B878)="","",INDEX('Work Orders'!$N$11:$N$1010,$B878)))</f>
        <v/>
      </c>
    </row>
    <row r="879">
      <c r="A879" s="68" t="n">
        <v>873</v>
      </c>
      <c r="B879">
        <f>IFERROR(MATCH(A879,'Work Orders'!$AO$11:$AO$1010,0),"")</f>
        <v/>
      </c>
      <c r="C879" s="43">
        <f>IF($B879="","",IF(INDEX('Work Orders'!$A$11:$A$1010,$B879)="","",INDEX('Work Orders'!$A$11:$A$1010,$B879)))</f>
        <v/>
      </c>
      <c r="D879" s="43">
        <f>IF($B879="","",IF(INDEX('Work Orders'!$B$11:$B$1010,$B879)="","",INDEX('Work Orders'!$B$11:$B$1010,$B879)))</f>
        <v/>
      </c>
      <c r="E879" s="43">
        <f>IF($B879="","",IF(INDEX('Work Orders'!$D$11:$D$1010,$B879)="","",INDEX('Work Orders'!$D$11:$D$1010,$B879)))</f>
        <v/>
      </c>
      <c r="F879" s="43">
        <f>IF($B879="","",IF(INDEX('Work Orders'!$Q$11:$Q$1010,$B879)="","",INDEX('Work Orders'!$Q$11:$Q$1010,$B879)))</f>
        <v/>
      </c>
      <c r="G879" s="43">
        <f>IF($B879="","",IF(INDEX('Work Orders'!$V$11:$V$1010,$B879)="","",INDEX('Work Orders'!$V$11:$V$1010,$B879)))</f>
        <v/>
      </c>
      <c r="H879" s="47">
        <f>IF($B879="","",IF(INDEX('Work Orders'!$U$11:$U$1010,$B879)="","",INDEX('Work Orders'!$U$11:$U$1010,$B879)))</f>
        <v/>
      </c>
      <c r="I879" s="47">
        <f>IF($B879="","",IF(INDEX('Work Orders'!$X$11:$X$1010,$B879)="","",INDEX('Work Orders'!$X$11:$X$1010,$B879)))</f>
        <v/>
      </c>
      <c r="J879" s="44">
        <f>IF($B879="","",IF(INDEX('Work Orders'!$Z$11:$Z$1010,$B879)="","",INDEX('Work Orders'!$Z$11:$Z$1010,$B879)))</f>
        <v/>
      </c>
      <c r="K879" s="44">
        <f>IF($B879="","",IF(INDEX('Work Orders'!$AG$11:$AG$1010,$B879)="","",INDEX('Work Orders'!$AG$11:$AG$1010,$B879)))</f>
        <v/>
      </c>
      <c r="L879" s="44">
        <f>IF($B879="","",IF(INDEX('Work Orders'!$AH$11:$AH$1010,$B879)="","",INDEX('Work Orders'!$AH$11:$AH$1010,$B879)))</f>
        <v/>
      </c>
      <c r="M879" s="46">
        <f>IF($B879="","",IF(INDEX('Work Orders'!$AM$11:$AM$1010,$B879)="","",INDEX('Work Orders'!$AM$11:$AM$1010,$B879)))</f>
        <v/>
      </c>
      <c r="N879" s="43">
        <f>IF($B879="","",IF(INDEX('Work Orders'!$AL$11:$AL$1010,$B879)="","",INDEX('Work Orders'!$AL$11:$AL$1010,$B879)))</f>
        <v/>
      </c>
      <c r="O879" s="43">
        <f>IF($B879="","",IF(INDEX('Work Orders'!$N$11:$N$1010,$B879)="","",INDEX('Work Orders'!$N$11:$N$1010,$B879)))</f>
        <v/>
      </c>
    </row>
    <row r="880">
      <c r="A880" s="68" t="n">
        <v>874</v>
      </c>
      <c r="B880">
        <f>IFERROR(MATCH(A880,'Work Orders'!$AO$11:$AO$1010,0),"")</f>
        <v/>
      </c>
      <c r="C880" s="43">
        <f>IF($B880="","",IF(INDEX('Work Orders'!$A$11:$A$1010,$B880)="","",INDEX('Work Orders'!$A$11:$A$1010,$B880)))</f>
        <v/>
      </c>
      <c r="D880" s="43">
        <f>IF($B880="","",IF(INDEX('Work Orders'!$B$11:$B$1010,$B880)="","",INDEX('Work Orders'!$B$11:$B$1010,$B880)))</f>
        <v/>
      </c>
      <c r="E880" s="43">
        <f>IF($B880="","",IF(INDEX('Work Orders'!$D$11:$D$1010,$B880)="","",INDEX('Work Orders'!$D$11:$D$1010,$B880)))</f>
        <v/>
      </c>
      <c r="F880" s="43">
        <f>IF($B880="","",IF(INDEX('Work Orders'!$Q$11:$Q$1010,$B880)="","",INDEX('Work Orders'!$Q$11:$Q$1010,$B880)))</f>
        <v/>
      </c>
      <c r="G880" s="43">
        <f>IF($B880="","",IF(INDEX('Work Orders'!$V$11:$V$1010,$B880)="","",INDEX('Work Orders'!$V$11:$V$1010,$B880)))</f>
        <v/>
      </c>
      <c r="H880" s="47">
        <f>IF($B880="","",IF(INDEX('Work Orders'!$U$11:$U$1010,$B880)="","",INDEX('Work Orders'!$U$11:$U$1010,$B880)))</f>
        <v/>
      </c>
      <c r="I880" s="47">
        <f>IF($B880="","",IF(INDEX('Work Orders'!$X$11:$X$1010,$B880)="","",INDEX('Work Orders'!$X$11:$X$1010,$B880)))</f>
        <v/>
      </c>
      <c r="J880" s="44">
        <f>IF($B880="","",IF(INDEX('Work Orders'!$Z$11:$Z$1010,$B880)="","",INDEX('Work Orders'!$Z$11:$Z$1010,$B880)))</f>
        <v/>
      </c>
      <c r="K880" s="44">
        <f>IF($B880="","",IF(INDEX('Work Orders'!$AG$11:$AG$1010,$B880)="","",INDEX('Work Orders'!$AG$11:$AG$1010,$B880)))</f>
        <v/>
      </c>
      <c r="L880" s="44">
        <f>IF($B880="","",IF(INDEX('Work Orders'!$AH$11:$AH$1010,$B880)="","",INDEX('Work Orders'!$AH$11:$AH$1010,$B880)))</f>
        <v/>
      </c>
      <c r="M880" s="46">
        <f>IF($B880="","",IF(INDEX('Work Orders'!$AM$11:$AM$1010,$B880)="","",INDEX('Work Orders'!$AM$11:$AM$1010,$B880)))</f>
        <v/>
      </c>
      <c r="N880" s="43">
        <f>IF($B880="","",IF(INDEX('Work Orders'!$AL$11:$AL$1010,$B880)="","",INDEX('Work Orders'!$AL$11:$AL$1010,$B880)))</f>
        <v/>
      </c>
      <c r="O880" s="43">
        <f>IF($B880="","",IF(INDEX('Work Orders'!$N$11:$N$1010,$B880)="","",INDEX('Work Orders'!$N$11:$N$1010,$B880)))</f>
        <v/>
      </c>
    </row>
    <row r="881">
      <c r="A881" s="68" t="n">
        <v>875</v>
      </c>
      <c r="B881">
        <f>IFERROR(MATCH(A881,'Work Orders'!$AO$11:$AO$1010,0),"")</f>
        <v/>
      </c>
      <c r="C881" s="43">
        <f>IF($B881="","",IF(INDEX('Work Orders'!$A$11:$A$1010,$B881)="","",INDEX('Work Orders'!$A$11:$A$1010,$B881)))</f>
        <v/>
      </c>
      <c r="D881" s="43">
        <f>IF($B881="","",IF(INDEX('Work Orders'!$B$11:$B$1010,$B881)="","",INDEX('Work Orders'!$B$11:$B$1010,$B881)))</f>
        <v/>
      </c>
      <c r="E881" s="43">
        <f>IF($B881="","",IF(INDEX('Work Orders'!$D$11:$D$1010,$B881)="","",INDEX('Work Orders'!$D$11:$D$1010,$B881)))</f>
        <v/>
      </c>
      <c r="F881" s="43">
        <f>IF($B881="","",IF(INDEX('Work Orders'!$Q$11:$Q$1010,$B881)="","",INDEX('Work Orders'!$Q$11:$Q$1010,$B881)))</f>
        <v/>
      </c>
      <c r="G881" s="43">
        <f>IF($B881="","",IF(INDEX('Work Orders'!$V$11:$V$1010,$B881)="","",INDEX('Work Orders'!$V$11:$V$1010,$B881)))</f>
        <v/>
      </c>
      <c r="H881" s="47">
        <f>IF($B881="","",IF(INDEX('Work Orders'!$U$11:$U$1010,$B881)="","",INDEX('Work Orders'!$U$11:$U$1010,$B881)))</f>
        <v/>
      </c>
      <c r="I881" s="47">
        <f>IF($B881="","",IF(INDEX('Work Orders'!$X$11:$X$1010,$B881)="","",INDEX('Work Orders'!$X$11:$X$1010,$B881)))</f>
        <v/>
      </c>
      <c r="J881" s="44">
        <f>IF($B881="","",IF(INDEX('Work Orders'!$Z$11:$Z$1010,$B881)="","",INDEX('Work Orders'!$Z$11:$Z$1010,$B881)))</f>
        <v/>
      </c>
      <c r="K881" s="44">
        <f>IF($B881="","",IF(INDEX('Work Orders'!$AG$11:$AG$1010,$B881)="","",INDEX('Work Orders'!$AG$11:$AG$1010,$B881)))</f>
        <v/>
      </c>
      <c r="L881" s="44">
        <f>IF($B881="","",IF(INDEX('Work Orders'!$AH$11:$AH$1010,$B881)="","",INDEX('Work Orders'!$AH$11:$AH$1010,$B881)))</f>
        <v/>
      </c>
      <c r="M881" s="46">
        <f>IF($B881="","",IF(INDEX('Work Orders'!$AM$11:$AM$1010,$B881)="","",INDEX('Work Orders'!$AM$11:$AM$1010,$B881)))</f>
        <v/>
      </c>
      <c r="N881" s="43">
        <f>IF($B881="","",IF(INDEX('Work Orders'!$AL$11:$AL$1010,$B881)="","",INDEX('Work Orders'!$AL$11:$AL$1010,$B881)))</f>
        <v/>
      </c>
      <c r="O881" s="43">
        <f>IF($B881="","",IF(INDEX('Work Orders'!$N$11:$N$1010,$B881)="","",INDEX('Work Orders'!$N$11:$N$1010,$B881)))</f>
        <v/>
      </c>
    </row>
    <row r="882">
      <c r="A882" s="68" t="n">
        <v>876</v>
      </c>
      <c r="B882">
        <f>IFERROR(MATCH(A882,'Work Orders'!$AO$11:$AO$1010,0),"")</f>
        <v/>
      </c>
      <c r="C882" s="43">
        <f>IF($B882="","",IF(INDEX('Work Orders'!$A$11:$A$1010,$B882)="","",INDEX('Work Orders'!$A$11:$A$1010,$B882)))</f>
        <v/>
      </c>
      <c r="D882" s="43">
        <f>IF($B882="","",IF(INDEX('Work Orders'!$B$11:$B$1010,$B882)="","",INDEX('Work Orders'!$B$11:$B$1010,$B882)))</f>
        <v/>
      </c>
      <c r="E882" s="43">
        <f>IF($B882="","",IF(INDEX('Work Orders'!$D$11:$D$1010,$B882)="","",INDEX('Work Orders'!$D$11:$D$1010,$B882)))</f>
        <v/>
      </c>
      <c r="F882" s="43">
        <f>IF($B882="","",IF(INDEX('Work Orders'!$Q$11:$Q$1010,$B882)="","",INDEX('Work Orders'!$Q$11:$Q$1010,$B882)))</f>
        <v/>
      </c>
      <c r="G882" s="43">
        <f>IF($B882="","",IF(INDEX('Work Orders'!$V$11:$V$1010,$B882)="","",INDEX('Work Orders'!$V$11:$V$1010,$B882)))</f>
        <v/>
      </c>
      <c r="H882" s="47">
        <f>IF($B882="","",IF(INDEX('Work Orders'!$U$11:$U$1010,$B882)="","",INDEX('Work Orders'!$U$11:$U$1010,$B882)))</f>
        <v/>
      </c>
      <c r="I882" s="47">
        <f>IF($B882="","",IF(INDEX('Work Orders'!$X$11:$X$1010,$B882)="","",INDEX('Work Orders'!$X$11:$X$1010,$B882)))</f>
        <v/>
      </c>
      <c r="J882" s="44">
        <f>IF($B882="","",IF(INDEX('Work Orders'!$Z$11:$Z$1010,$B882)="","",INDEX('Work Orders'!$Z$11:$Z$1010,$B882)))</f>
        <v/>
      </c>
      <c r="K882" s="44">
        <f>IF($B882="","",IF(INDEX('Work Orders'!$AG$11:$AG$1010,$B882)="","",INDEX('Work Orders'!$AG$11:$AG$1010,$B882)))</f>
        <v/>
      </c>
      <c r="L882" s="44">
        <f>IF($B882="","",IF(INDEX('Work Orders'!$AH$11:$AH$1010,$B882)="","",INDEX('Work Orders'!$AH$11:$AH$1010,$B882)))</f>
        <v/>
      </c>
      <c r="M882" s="46">
        <f>IF($B882="","",IF(INDEX('Work Orders'!$AM$11:$AM$1010,$B882)="","",INDEX('Work Orders'!$AM$11:$AM$1010,$B882)))</f>
        <v/>
      </c>
      <c r="N882" s="43">
        <f>IF($B882="","",IF(INDEX('Work Orders'!$AL$11:$AL$1010,$B882)="","",INDEX('Work Orders'!$AL$11:$AL$1010,$B882)))</f>
        <v/>
      </c>
      <c r="O882" s="43">
        <f>IF($B882="","",IF(INDEX('Work Orders'!$N$11:$N$1010,$B882)="","",INDEX('Work Orders'!$N$11:$N$1010,$B882)))</f>
        <v/>
      </c>
    </row>
    <row r="883">
      <c r="A883" s="68" t="n">
        <v>877</v>
      </c>
      <c r="B883">
        <f>IFERROR(MATCH(A883,'Work Orders'!$AO$11:$AO$1010,0),"")</f>
        <v/>
      </c>
      <c r="C883" s="43">
        <f>IF($B883="","",IF(INDEX('Work Orders'!$A$11:$A$1010,$B883)="","",INDEX('Work Orders'!$A$11:$A$1010,$B883)))</f>
        <v/>
      </c>
      <c r="D883" s="43">
        <f>IF($B883="","",IF(INDEX('Work Orders'!$B$11:$B$1010,$B883)="","",INDEX('Work Orders'!$B$11:$B$1010,$B883)))</f>
        <v/>
      </c>
      <c r="E883" s="43">
        <f>IF($B883="","",IF(INDEX('Work Orders'!$D$11:$D$1010,$B883)="","",INDEX('Work Orders'!$D$11:$D$1010,$B883)))</f>
        <v/>
      </c>
      <c r="F883" s="43">
        <f>IF($B883="","",IF(INDEX('Work Orders'!$Q$11:$Q$1010,$B883)="","",INDEX('Work Orders'!$Q$11:$Q$1010,$B883)))</f>
        <v/>
      </c>
      <c r="G883" s="43">
        <f>IF($B883="","",IF(INDEX('Work Orders'!$V$11:$V$1010,$B883)="","",INDEX('Work Orders'!$V$11:$V$1010,$B883)))</f>
        <v/>
      </c>
      <c r="H883" s="47">
        <f>IF($B883="","",IF(INDEX('Work Orders'!$U$11:$U$1010,$B883)="","",INDEX('Work Orders'!$U$11:$U$1010,$B883)))</f>
        <v/>
      </c>
      <c r="I883" s="47">
        <f>IF($B883="","",IF(INDEX('Work Orders'!$X$11:$X$1010,$B883)="","",INDEX('Work Orders'!$X$11:$X$1010,$B883)))</f>
        <v/>
      </c>
      <c r="J883" s="44">
        <f>IF($B883="","",IF(INDEX('Work Orders'!$Z$11:$Z$1010,$B883)="","",INDEX('Work Orders'!$Z$11:$Z$1010,$B883)))</f>
        <v/>
      </c>
      <c r="K883" s="44">
        <f>IF($B883="","",IF(INDEX('Work Orders'!$AG$11:$AG$1010,$B883)="","",INDEX('Work Orders'!$AG$11:$AG$1010,$B883)))</f>
        <v/>
      </c>
      <c r="L883" s="44">
        <f>IF($B883="","",IF(INDEX('Work Orders'!$AH$11:$AH$1010,$B883)="","",INDEX('Work Orders'!$AH$11:$AH$1010,$B883)))</f>
        <v/>
      </c>
      <c r="M883" s="46">
        <f>IF($B883="","",IF(INDEX('Work Orders'!$AM$11:$AM$1010,$B883)="","",INDEX('Work Orders'!$AM$11:$AM$1010,$B883)))</f>
        <v/>
      </c>
      <c r="N883" s="43">
        <f>IF($B883="","",IF(INDEX('Work Orders'!$AL$11:$AL$1010,$B883)="","",INDEX('Work Orders'!$AL$11:$AL$1010,$B883)))</f>
        <v/>
      </c>
      <c r="O883" s="43">
        <f>IF($B883="","",IF(INDEX('Work Orders'!$N$11:$N$1010,$B883)="","",INDEX('Work Orders'!$N$11:$N$1010,$B883)))</f>
        <v/>
      </c>
    </row>
    <row r="884">
      <c r="A884" s="68" t="n">
        <v>878</v>
      </c>
      <c r="B884">
        <f>IFERROR(MATCH(A884,'Work Orders'!$AO$11:$AO$1010,0),"")</f>
        <v/>
      </c>
      <c r="C884" s="43">
        <f>IF($B884="","",IF(INDEX('Work Orders'!$A$11:$A$1010,$B884)="","",INDEX('Work Orders'!$A$11:$A$1010,$B884)))</f>
        <v/>
      </c>
      <c r="D884" s="43">
        <f>IF($B884="","",IF(INDEX('Work Orders'!$B$11:$B$1010,$B884)="","",INDEX('Work Orders'!$B$11:$B$1010,$B884)))</f>
        <v/>
      </c>
      <c r="E884" s="43">
        <f>IF($B884="","",IF(INDEX('Work Orders'!$D$11:$D$1010,$B884)="","",INDEX('Work Orders'!$D$11:$D$1010,$B884)))</f>
        <v/>
      </c>
      <c r="F884" s="43">
        <f>IF($B884="","",IF(INDEX('Work Orders'!$Q$11:$Q$1010,$B884)="","",INDEX('Work Orders'!$Q$11:$Q$1010,$B884)))</f>
        <v/>
      </c>
      <c r="G884" s="43">
        <f>IF($B884="","",IF(INDEX('Work Orders'!$V$11:$V$1010,$B884)="","",INDEX('Work Orders'!$V$11:$V$1010,$B884)))</f>
        <v/>
      </c>
      <c r="H884" s="47">
        <f>IF($B884="","",IF(INDEX('Work Orders'!$U$11:$U$1010,$B884)="","",INDEX('Work Orders'!$U$11:$U$1010,$B884)))</f>
        <v/>
      </c>
      <c r="I884" s="47">
        <f>IF($B884="","",IF(INDEX('Work Orders'!$X$11:$X$1010,$B884)="","",INDEX('Work Orders'!$X$11:$X$1010,$B884)))</f>
        <v/>
      </c>
      <c r="J884" s="44">
        <f>IF($B884="","",IF(INDEX('Work Orders'!$Z$11:$Z$1010,$B884)="","",INDEX('Work Orders'!$Z$11:$Z$1010,$B884)))</f>
        <v/>
      </c>
      <c r="K884" s="44">
        <f>IF($B884="","",IF(INDEX('Work Orders'!$AG$11:$AG$1010,$B884)="","",INDEX('Work Orders'!$AG$11:$AG$1010,$B884)))</f>
        <v/>
      </c>
      <c r="L884" s="44">
        <f>IF($B884="","",IF(INDEX('Work Orders'!$AH$11:$AH$1010,$B884)="","",INDEX('Work Orders'!$AH$11:$AH$1010,$B884)))</f>
        <v/>
      </c>
      <c r="M884" s="46">
        <f>IF($B884="","",IF(INDEX('Work Orders'!$AM$11:$AM$1010,$B884)="","",INDEX('Work Orders'!$AM$11:$AM$1010,$B884)))</f>
        <v/>
      </c>
      <c r="N884" s="43">
        <f>IF($B884="","",IF(INDEX('Work Orders'!$AL$11:$AL$1010,$B884)="","",INDEX('Work Orders'!$AL$11:$AL$1010,$B884)))</f>
        <v/>
      </c>
      <c r="O884" s="43">
        <f>IF($B884="","",IF(INDEX('Work Orders'!$N$11:$N$1010,$B884)="","",INDEX('Work Orders'!$N$11:$N$1010,$B884)))</f>
        <v/>
      </c>
    </row>
    <row r="885">
      <c r="A885" s="68" t="n">
        <v>879</v>
      </c>
      <c r="B885">
        <f>IFERROR(MATCH(A885,'Work Orders'!$AO$11:$AO$1010,0),"")</f>
        <v/>
      </c>
      <c r="C885" s="43">
        <f>IF($B885="","",IF(INDEX('Work Orders'!$A$11:$A$1010,$B885)="","",INDEX('Work Orders'!$A$11:$A$1010,$B885)))</f>
        <v/>
      </c>
      <c r="D885" s="43">
        <f>IF($B885="","",IF(INDEX('Work Orders'!$B$11:$B$1010,$B885)="","",INDEX('Work Orders'!$B$11:$B$1010,$B885)))</f>
        <v/>
      </c>
      <c r="E885" s="43">
        <f>IF($B885="","",IF(INDEX('Work Orders'!$D$11:$D$1010,$B885)="","",INDEX('Work Orders'!$D$11:$D$1010,$B885)))</f>
        <v/>
      </c>
      <c r="F885" s="43">
        <f>IF($B885="","",IF(INDEX('Work Orders'!$Q$11:$Q$1010,$B885)="","",INDEX('Work Orders'!$Q$11:$Q$1010,$B885)))</f>
        <v/>
      </c>
      <c r="G885" s="43">
        <f>IF($B885="","",IF(INDEX('Work Orders'!$V$11:$V$1010,$B885)="","",INDEX('Work Orders'!$V$11:$V$1010,$B885)))</f>
        <v/>
      </c>
      <c r="H885" s="47">
        <f>IF($B885="","",IF(INDEX('Work Orders'!$U$11:$U$1010,$B885)="","",INDEX('Work Orders'!$U$11:$U$1010,$B885)))</f>
        <v/>
      </c>
      <c r="I885" s="47">
        <f>IF($B885="","",IF(INDEX('Work Orders'!$X$11:$X$1010,$B885)="","",INDEX('Work Orders'!$X$11:$X$1010,$B885)))</f>
        <v/>
      </c>
      <c r="J885" s="44">
        <f>IF($B885="","",IF(INDEX('Work Orders'!$Z$11:$Z$1010,$B885)="","",INDEX('Work Orders'!$Z$11:$Z$1010,$B885)))</f>
        <v/>
      </c>
      <c r="K885" s="44">
        <f>IF($B885="","",IF(INDEX('Work Orders'!$AG$11:$AG$1010,$B885)="","",INDEX('Work Orders'!$AG$11:$AG$1010,$B885)))</f>
        <v/>
      </c>
      <c r="L885" s="44">
        <f>IF($B885="","",IF(INDEX('Work Orders'!$AH$11:$AH$1010,$B885)="","",INDEX('Work Orders'!$AH$11:$AH$1010,$B885)))</f>
        <v/>
      </c>
      <c r="M885" s="46">
        <f>IF($B885="","",IF(INDEX('Work Orders'!$AM$11:$AM$1010,$B885)="","",INDEX('Work Orders'!$AM$11:$AM$1010,$B885)))</f>
        <v/>
      </c>
      <c r="N885" s="43">
        <f>IF($B885="","",IF(INDEX('Work Orders'!$AL$11:$AL$1010,$B885)="","",INDEX('Work Orders'!$AL$11:$AL$1010,$B885)))</f>
        <v/>
      </c>
      <c r="O885" s="43">
        <f>IF($B885="","",IF(INDEX('Work Orders'!$N$11:$N$1010,$B885)="","",INDEX('Work Orders'!$N$11:$N$1010,$B885)))</f>
        <v/>
      </c>
    </row>
    <row r="886">
      <c r="A886" s="68" t="n">
        <v>880</v>
      </c>
      <c r="B886">
        <f>IFERROR(MATCH(A886,'Work Orders'!$AO$11:$AO$1010,0),"")</f>
        <v/>
      </c>
      <c r="C886" s="43">
        <f>IF($B886="","",IF(INDEX('Work Orders'!$A$11:$A$1010,$B886)="","",INDEX('Work Orders'!$A$11:$A$1010,$B886)))</f>
        <v/>
      </c>
      <c r="D886" s="43">
        <f>IF($B886="","",IF(INDEX('Work Orders'!$B$11:$B$1010,$B886)="","",INDEX('Work Orders'!$B$11:$B$1010,$B886)))</f>
        <v/>
      </c>
      <c r="E886" s="43">
        <f>IF($B886="","",IF(INDEX('Work Orders'!$D$11:$D$1010,$B886)="","",INDEX('Work Orders'!$D$11:$D$1010,$B886)))</f>
        <v/>
      </c>
      <c r="F886" s="43">
        <f>IF($B886="","",IF(INDEX('Work Orders'!$Q$11:$Q$1010,$B886)="","",INDEX('Work Orders'!$Q$11:$Q$1010,$B886)))</f>
        <v/>
      </c>
      <c r="G886" s="43">
        <f>IF($B886="","",IF(INDEX('Work Orders'!$V$11:$V$1010,$B886)="","",INDEX('Work Orders'!$V$11:$V$1010,$B886)))</f>
        <v/>
      </c>
      <c r="H886" s="47">
        <f>IF($B886="","",IF(INDEX('Work Orders'!$U$11:$U$1010,$B886)="","",INDEX('Work Orders'!$U$11:$U$1010,$B886)))</f>
        <v/>
      </c>
      <c r="I886" s="47">
        <f>IF($B886="","",IF(INDEX('Work Orders'!$X$11:$X$1010,$B886)="","",INDEX('Work Orders'!$X$11:$X$1010,$B886)))</f>
        <v/>
      </c>
      <c r="J886" s="44">
        <f>IF($B886="","",IF(INDEX('Work Orders'!$Z$11:$Z$1010,$B886)="","",INDEX('Work Orders'!$Z$11:$Z$1010,$B886)))</f>
        <v/>
      </c>
      <c r="K886" s="44">
        <f>IF($B886="","",IF(INDEX('Work Orders'!$AG$11:$AG$1010,$B886)="","",INDEX('Work Orders'!$AG$11:$AG$1010,$B886)))</f>
        <v/>
      </c>
      <c r="L886" s="44">
        <f>IF($B886="","",IF(INDEX('Work Orders'!$AH$11:$AH$1010,$B886)="","",INDEX('Work Orders'!$AH$11:$AH$1010,$B886)))</f>
        <v/>
      </c>
      <c r="M886" s="46">
        <f>IF($B886="","",IF(INDEX('Work Orders'!$AM$11:$AM$1010,$B886)="","",INDEX('Work Orders'!$AM$11:$AM$1010,$B886)))</f>
        <v/>
      </c>
      <c r="N886" s="43">
        <f>IF($B886="","",IF(INDEX('Work Orders'!$AL$11:$AL$1010,$B886)="","",INDEX('Work Orders'!$AL$11:$AL$1010,$B886)))</f>
        <v/>
      </c>
      <c r="O886" s="43">
        <f>IF($B886="","",IF(INDEX('Work Orders'!$N$11:$N$1010,$B886)="","",INDEX('Work Orders'!$N$11:$N$1010,$B886)))</f>
        <v/>
      </c>
    </row>
    <row r="887">
      <c r="A887" s="68" t="n">
        <v>881</v>
      </c>
      <c r="B887">
        <f>IFERROR(MATCH(A887,'Work Orders'!$AO$11:$AO$1010,0),"")</f>
        <v/>
      </c>
      <c r="C887" s="43">
        <f>IF($B887="","",IF(INDEX('Work Orders'!$A$11:$A$1010,$B887)="","",INDEX('Work Orders'!$A$11:$A$1010,$B887)))</f>
        <v/>
      </c>
      <c r="D887" s="43">
        <f>IF($B887="","",IF(INDEX('Work Orders'!$B$11:$B$1010,$B887)="","",INDEX('Work Orders'!$B$11:$B$1010,$B887)))</f>
        <v/>
      </c>
      <c r="E887" s="43">
        <f>IF($B887="","",IF(INDEX('Work Orders'!$D$11:$D$1010,$B887)="","",INDEX('Work Orders'!$D$11:$D$1010,$B887)))</f>
        <v/>
      </c>
      <c r="F887" s="43">
        <f>IF($B887="","",IF(INDEX('Work Orders'!$Q$11:$Q$1010,$B887)="","",INDEX('Work Orders'!$Q$11:$Q$1010,$B887)))</f>
        <v/>
      </c>
      <c r="G887" s="43">
        <f>IF($B887="","",IF(INDEX('Work Orders'!$V$11:$V$1010,$B887)="","",INDEX('Work Orders'!$V$11:$V$1010,$B887)))</f>
        <v/>
      </c>
      <c r="H887" s="47">
        <f>IF($B887="","",IF(INDEX('Work Orders'!$U$11:$U$1010,$B887)="","",INDEX('Work Orders'!$U$11:$U$1010,$B887)))</f>
        <v/>
      </c>
      <c r="I887" s="47">
        <f>IF($B887="","",IF(INDEX('Work Orders'!$X$11:$X$1010,$B887)="","",INDEX('Work Orders'!$X$11:$X$1010,$B887)))</f>
        <v/>
      </c>
      <c r="J887" s="44">
        <f>IF($B887="","",IF(INDEX('Work Orders'!$Z$11:$Z$1010,$B887)="","",INDEX('Work Orders'!$Z$11:$Z$1010,$B887)))</f>
        <v/>
      </c>
      <c r="K887" s="44">
        <f>IF($B887="","",IF(INDEX('Work Orders'!$AG$11:$AG$1010,$B887)="","",INDEX('Work Orders'!$AG$11:$AG$1010,$B887)))</f>
        <v/>
      </c>
      <c r="L887" s="44">
        <f>IF($B887="","",IF(INDEX('Work Orders'!$AH$11:$AH$1010,$B887)="","",INDEX('Work Orders'!$AH$11:$AH$1010,$B887)))</f>
        <v/>
      </c>
      <c r="M887" s="46">
        <f>IF($B887="","",IF(INDEX('Work Orders'!$AM$11:$AM$1010,$B887)="","",INDEX('Work Orders'!$AM$11:$AM$1010,$B887)))</f>
        <v/>
      </c>
      <c r="N887" s="43">
        <f>IF($B887="","",IF(INDEX('Work Orders'!$AL$11:$AL$1010,$B887)="","",INDEX('Work Orders'!$AL$11:$AL$1010,$B887)))</f>
        <v/>
      </c>
      <c r="O887" s="43">
        <f>IF($B887="","",IF(INDEX('Work Orders'!$N$11:$N$1010,$B887)="","",INDEX('Work Orders'!$N$11:$N$1010,$B887)))</f>
        <v/>
      </c>
    </row>
    <row r="888">
      <c r="A888" s="68" t="n">
        <v>882</v>
      </c>
      <c r="B888">
        <f>IFERROR(MATCH(A888,'Work Orders'!$AO$11:$AO$1010,0),"")</f>
        <v/>
      </c>
      <c r="C888" s="43">
        <f>IF($B888="","",IF(INDEX('Work Orders'!$A$11:$A$1010,$B888)="","",INDEX('Work Orders'!$A$11:$A$1010,$B888)))</f>
        <v/>
      </c>
      <c r="D888" s="43">
        <f>IF($B888="","",IF(INDEX('Work Orders'!$B$11:$B$1010,$B888)="","",INDEX('Work Orders'!$B$11:$B$1010,$B888)))</f>
        <v/>
      </c>
      <c r="E888" s="43">
        <f>IF($B888="","",IF(INDEX('Work Orders'!$D$11:$D$1010,$B888)="","",INDEX('Work Orders'!$D$11:$D$1010,$B888)))</f>
        <v/>
      </c>
      <c r="F888" s="43">
        <f>IF($B888="","",IF(INDEX('Work Orders'!$Q$11:$Q$1010,$B888)="","",INDEX('Work Orders'!$Q$11:$Q$1010,$B888)))</f>
        <v/>
      </c>
      <c r="G888" s="43">
        <f>IF($B888="","",IF(INDEX('Work Orders'!$V$11:$V$1010,$B888)="","",INDEX('Work Orders'!$V$11:$V$1010,$B888)))</f>
        <v/>
      </c>
      <c r="H888" s="47">
        <f>IF($B888="","",IF(INDEX('Work Orders'!$U$11:$U$1010,$B888)="","",INDEX('Work Orders'!$U$11:$U$1010,$B888)))</f>
        <v/>
      </c>
      <c r="I888" s="47">
        <f>IF($B888="","",IF(INDEX('Work Orders'!$X$11:$X$1010,$B888)="","",INDEX('Work Orders'!$X$11:$X$1010,$B888)))</f>
        <v/>
      </c>
      <c r="J888" s="44">
        <f>IF($B888="","",IF(INDEX('Work Orders'!$Z$11:$Z$1010,$B888)="","",INDEX('Work Orders'!$Z$11:$Z$1010,$B888)))</f>
        <v/>
      </c>
      <c r="K888" s="44">
        <f>IF($B888="","",IF(INDEX('Work Orders'!$AG$11:$AG$1010,$B888)="","",INDEX('Work Orders'!$AG$11:$AG$1010,$B888)))</f>
        <v/>
      </c>
      <c r="L888" s="44">
        <f>IF($B888="","",IF(INDEX('Work Orders'!$AH$11:$AH$1010,$B888)="","",INDEX('Work Orders'!$AH$11:$AH$1010,$B888)))</f>
        <v/>
      </c>
      <c r="M888" s="46">
        <f>IF($B888="","",IF(INDEX('Work Orders'!$AM$11:$AM$1010,$B888)="","",INDEX('Work Orders'!$AM$11:$AM$1010,$B888)))</f>
        <v/>
      </c>
      <c r="N888" s="43">
        <f>IF($B888="","",IF(INDEX('Work Orders'!$AL$11:$AL$1010,$B888)="","",INDEX('Work Orders'!$AL$11:$AL$1010,$B888)))</f>
        <v/>
      </c>
      <c r="O888" s="43">
        <f>IF($B888="","",IF(INDEX('Work Orders'!$N$11:$N$1010,$B888)="","",INDEX('Work Orders'!$N$11:$N$1010,$B888)))</f>
        <v/>
      </c>
    </row>
    <row r="889">
      <c r="A889" s="68" t="n">
        <v>883</v>
      </c>
      <c r="B889">
        <f>IFERROR(MATCH(A889,'Work Orders'!$AO$11:$AO$1010,0),"")</f>
        <v/>
      </c>
      <c r="C889" s="43">
        <f>IF($B889="","",IF(INDEX('Work Orders'!$A$11:$A$1010,$B889)="","",INDEX('Work Orders'!$A$11:$A$1010,$B889)))</f>
        <v/>
      </c>
      <c r="D889" s="43">
        <f>IF($B889="","",IF(INDEX('Work Orders'!$B$11:$B$1010,$B889)="","",INDEX('Work Orders'!$B$11:$B$1010,$B889)))</f>
        <v/>
      </c>
      <c r="E889" s="43">
        <f>IF($B889="","",IF(INDEX('Work Orders'!$D$11:$D$1010,$B889)="","",INDEX('Work Orders'!$D$11:$D$1010,$B889)))</f>
        <v/>
      </c>
      <c r="F889" s="43">
        <f>IF($B889="","",IF(INDEX('Work Orders'!$Q$11:$Q$1010,$B889)="","",INDEX('Work Orders'!$Q$11:$Q$1010,$B889)))</f>
        <v/>
      </c>
      <c r="G889" s="43">
        <f>IF($B889="","",IF(INDEX('Work Orders'!$V$11:$V$1010,$B889)="","",INDEX('Work Orders'!$V$11:$V$1010,$B889)))</f>
        <v/>
      </c>
      <c r="H889" s="47">
        <f>IF($B889="","",IF(INDEX('Work Orders'!$U$11:$U$1010,$B889)="","",INDEX('Work Orders'!$U$11:$U$1010,$B889)))</f>
        <v/>
      </c>
      <c r="I889" s="47">
        <f>IF($B889="","",IF(INDEX('Work Orders'!$X$11:$X$1010,$B889)="","",INDEX('Work Orders'!$X$11:$X$1010,$B889)))</f>
        <v/>
      </c>
      <c r="J889" s="44">
        <f>IF($B889="","",IF(INDEX('Work Orders'!$Z$11:$Z$1010,$B889)="","",INDEX('Work Orders'!$Z$11:$Z$1010,$B889)))</f>
        <v/>
      </c>
      <c r="K889" s="44">
        <f>IF($B889="","",IF(INDEX('Work Orders'!$AG$11:$AG$1010,$B889)="","",INDEX('Work Orders'!$AG$11:$AG$1010,$B889)))</f>
        <v/>
      </c>
      <c r="L889" s="44">
        <f>IF($B889="","",IF(INDEX('Work Orders'!$AH$11:$AH$1010,$B889)="","",INDEX('Work Orders'!$AH$11:$AH$1010,$B889)))</f>
        <v/>
      </c>
      <c r="M889" s="46">
        <f>IF($B889="","",IF(INDEX('Work Orders'!$AM$11:$AM$1010,$B889)="","",INDEX('Work Orders'!$AM$11:$AM$1010,$B889)))</f>
        <v/>
      </c>
      <c r="N889" s="43">
        <f>IF($B889="","",IF(INDEX('Work Orders'!$AL$11:$AL$1010,$B889)="","",INDEX('Work Orders'!$AL$11:$AL$1010,$B889)))</f>
        <v/>
      </c>
      <c r="O889" s="43">
        <f>IF($B889="","",IF(INDEX('Work Orders'!$N$11:$N$1010,$B889)="","",INDEX('Work Orders'!$N$11:$N$1010,$B889)))</f>
        <v/>
      </c>
    </row>
    <row r="890">
      <c r="A890" s="68" t="n">
        <v>884</v>
      </c>
      <c r="B890">
        <f>IFERROR(MATCH(A890,'Work Orders'!$AO$11:$AO$1010,0),"")</f>
        <v/>
      </c>
      <c r="C890" s="43">
        <f>IF($B890="","",IF(INDEX('Work Orders'!$A$11:$A$1010,$B890)="","",INDEX('Work Orders'!$A$11:$A$1010,$B890)))</f>
        <v/>
      </c>
      <c r="D890" s="43">
        <f>IF($B890="","",IF(INDEX('Work Orders'!$B$11:$B$1010,$B890)="","",INDEX('Work Orders'!$B$11:$B$1010,$B890)))</f>
        <v/>
      </c>
      <c r="E890" s="43">
        <f>IF($B890="","",IF(INDEX('Work Orders'!$D$11:$D$1010,$B890)="","",INDEX('Work Orders'!$D$11:$D$1010,$B890)))</f>
        <v/>
      </c>
      <c r="F890" s="43">
        <f>IF($B890="","",IF(INDEX('Work Orders'!$Q$11:$Q$1010,$B890)="","",INDEX('Work Orders'!$Q$11:$Q$1010,$B890)))</f>
        <v/>
      </c>
      <c r="G890" s="43">
        <f>IF($B890="","",IF(INDEX('Work Orders'!$V$11:$V$1010,$B890)="","",INDEX('Work Orders'!$V$11:$V$1010,$B890)))</f>
        <v/>
      </c>
      <c r="H890" s="47">
        <f>IF($B890="","",IF(INDEX('Work Orders'!$U$11:$U$1010,$B890)="","",INDEX('Work Orders'!$U$11:$U$1010,$B890)))</f>
        <v/>
      </c>
      <c r="I890" s="47">
        <f>IF($B890="","",IF(INDEX('Work Orders'!$X$11:$X$1010,$B890)="","",INDEX('Work Orders'!$X$11:$X$1010,$B890)))</f>
        <v/>
      </c>
      <c r="J890" s="44">
        <f>IF($B890="","",IF(INDEX('Work Orders'!$Z$11:$Z$1010,$B890)="","",INDEX('Work Orders'!$Z$11:$Z$1010,$B890)))</f>
        <v/>
      </c>
      <c r="K890" s="44">
        <f>IF($B890="","",IF(INDEX('Work Orders'!$AG$11:$AG$1010,$B890)="","",INDEX('Work Orders'!$AG$11:$AG$1010,$B890)))</f>
        <v/>
      </c>
      <c r="L890" s="44">
        <f>IF($B890="","",IF(INDEX('Work Orders'!$AH$11:$AH$1010,$B890)="","",INDEX('Work Orders'!$AH$11:$AH$1010,$B890)))</f>
        <v/>
      </c>
      <c r="M890" s="46">
        <f>IF($B890="","",IF(INDEX('Work Orders'!$AM$11:$AM$1010,$B890)="","",INDEX('Work Orders'!$AM$11:$AM$1010,$B890)))</f>
        <v/>
      </c>
      <c r="N890" s="43">
        <f>IF($B890="","",IF(INDEX('Work Orders'!$AL$11:$AL$1010,$B890)="","",INDEX('Work Orders'!$AL$11:$AL$1010,$B890)))</f>
        <v/>
      </c>
      <c r="O890" s="43">
        <f>IF($B890="","",IF(INDEX('Work Orders'!$N$11:$N$1010,$B890)="","",INDEX('Work Orders'!$N$11:$N$1010,$B890)))</f>
        <v/>
      </c>
    </row>
    <row r="891">
      <c r="A891" s="68" t="n">
        <v>885</v>
      </c>
      <c r="B891">
        <f>IFERROR(MATCH(A891,'Work Orders'!$AO$11:$AO$1010,0),"")</f>
        <v/>
      </c>
      <c r="C891" s="43">
        <f>IF($B891="","",IF(INDEX('Work Orders'!$A$11:$A$1010,$B891)="","",INDEX('Work Orders'!$A$11:$A$1010,$B891)))</f>
        <v/>
      </c>
      <c r="D891" s="43">
        <f>IF($B891="","",IF(INDEX('Work Orders'!$B$11:$B$1010,$B891)="","",INDEX('Work Orders'!$B$11:$B$1010,$B891)))</f>
        <v/>
      </c>
      <c r="E891" s="43">
        <f>IF($B891="","",IF(INDEX('Work Orders'!$D$11:$D$1010,$B891)="","",INDEX('Work Orders'!$D$11:$D$1010,$B891)))</f>
        <v/>
      </c>
      <c r="F891" s="43">
        <f>IF($B891="","",IF(INDEX('Work Orders'!$Q$11:$Q$1010,$B891)="","",INDEX('Work Orders'!$Q$11:$Q$1010,$B891)))</f>
        <v/>
      </c>
      <c r="G891" s="43">
        <f>IF($B891="","",IF(INDEX('Work Orders'!$V$11:$V$1010,$B891)="","",INDEX('Work Orders'!$V$11:$V$1010,$B891)))</f>
        <v/>
      </c>
      <c r="H891" s="47">
        <f>IF($B891="","",IF(INDEX('Work Orders'!$U$11:$U$1010,$B891)="","",INDEX('Work Orders'!$U$11:$U$1010,$B891)))</f>
        <v/>
      </c>
      <c r="I891" s="47">
        <f>IF($B891="","",IF(INDEX('Work Orders'!$X$11:$X$1010,$B891)="","",INDEX('Work Orders'!$X$11:$X$1010,$B891)))</f>
        <v/>
      </c>
      <c r="J891" s="44">
        <f>IF($B891="","",IF(INDEX('Work Orders'!$Z$11:$Z$1010,$B891)="","",INDEX('Work Orders'!$Z$11:$Z$1010,$B891)))</f>
        <v/>
      </c>
      <c r="K891" s="44">
        <f>IF($B891="","",IF(INDEX('Work Orders'!$AG$11:$AG$1010,$B891)="","",INDEX('Work Orders'!$AG$11:$AG$1010,$B891)))</f>
        <v/>
      </c>
      <c r="L891" s="44">
        <f>IF($B891="","",IF(INDEX('Work Orders'!$AH$11:$AH$1010,$B891)="","",INDEX('Work Orders'!$AH$11:$AH$1010,$B891)))</f>
        <v/>
      </c>
      <c r="M891" s="46">
        <f>IF($B891="","",IF(INDEX('Work Orders'!$AM$11:$AM$1010,$B891)="","",INDEX('Work Orders'!$AM$11:$AM$1010,$B891)))</f>
        <v/>
      </c>
      <c r="N891" s="43">
        <f>IF($B891="","",IF(INDEX('Work Orders'!$AL$11:$AL$1010,$B891)="","",INDEX('Work Orders'!$AL$11:$AL$1010,$B891)))</f>
        <v/>
      </c>
      <c r="O891" s="43">
        <f>IF($B891="","",IF(INDEX('Work Orders'!$N$11:$N$1010,$B891)="","",INDEX('Work Orders'!$N$11:$N$1010,$B891)))</f>
        <v/>
      </c>
    </row>
    <row r="892">
      <c r="A892" s="68" t="n">
        <v>886</v>
      </c>
      <c r="B892">
        <f>IFERROR(MATCH(A892,'Work Orders'!$AO$11:$AO$1010,0),"")</f>
        <v/>
      </c>
      <c r="C892" s="43">
        <f>IF($B892="","",IF(INDEX('Work Orders'!$A$11:$A$1010,$B892)="","",INDEX('Work Orders'!$A$11:$A$1010,$B892)))</f>
        <v/>
      </c>
      <c r="D892" s="43">
        <f>IF($B892="","",IF(INDEX('Work Orders'!$B$11:$B$1010,$B892)="","",INDEX('Work Orders'!$B$11:$B$1010,$B892)))</f>
        <v/>
      </c>
      <c r="E892" s="43">
        <f>IF($B892="","",IF(INDEX('Work Orders'!$D$11:$D$1010,$B892)="","",INDEX('Work Orders'!$D$11:$D$1010,$B892)))</f>
        <v/>
      </c>
      <c r="F892" s="43">
        <f>IF($B892="","",IF(INDEX('Work Orders'!$Q$11:$Q$1010,$B892)="","",INDEX('Work Orders'!$Q$11:$Q$1010,$B892)))</f>
        <v/>
      </c>
      <c r="G892" s="43">
        <f>IF($B892="","",IF(INDEX('Work Orders'!$V$11:$V$1010,$B892)="","",INDEX('Work Orders'!$V$11:$V$1010,$B892)))</f>
        <v/>
      </c>
      <c r="H892" s="47">
        <f>IF($B892="","",IF(INDEX('Work Orders'!$U$11:$U$1010,$B892)="","",INDEX('Work Orders'!$U$11:$U$1010,$B892)))</f>
        <v/>
      </c>
      <c r="I892" s="47">
        <f>IF($B892="","",IF(INDEX('Work Orders'!$X$11:$X$1010,$B892)="","",INDEX('Work Orders'!$X$11:$X$1010,$B892)))</f>
        <v/>
      </c>
      <c r="J892" s="44">
        <f>IF($B892="","",IF(INDEX('Work Orders'!$Z$11:$Z$1010,$B892)="","",INDEX('Work Orders'!$Z$11:$Z$1010,$B892)))</f>
        <v/>
      </c>
      <c r="K892" s="44">
        <f>IF($B892="","",IF(INDEX('Work Orders'!$AG$11:$AG$1010,$B892)="","",INDEX('Work Orders'!$AG$11:$AG$1010,$B892)))</f>
        <v/>
      </c>
      <c r="L892" s="44">
        <f>IF($B892="","",IF(INDEX('Work Orders'!$AH$11:$AH$1010,$B892)="","",INDEX('Work Orders'!$AH$11:$AH$1010,$B892)))</f>
        <v/>
      </c>
      <c r="M892" s="46">
        <f>IF($B892="","",IF(INDEX('Work Orders'!$AM$11:$AM$1010,$B892)="","",INDEX('Work Orders'!$AM$11:$AM$1010,$B892)))</f>
        <v/>
      </c>
      <c r="N892" s="43">
        <f>IF($B892="","",IF(INDEX('Work Orders'!$AL$11:$AL$1010,$B892)="","",INDEX('Work Orders'!$AL$11:$AL$1010,$B892)))</f>
        <v/>
      </c>
      <c r="O892" s="43">
        <f>IF($B892="","",IF(INDEX('Work Orders'!$N$11:$N$1010,$B892)="","",INDEX('Work Orders'!$N$11:$N$1010,$B892)))</f>
        <v/>
      </c>
    </row>
    <row r="893">
      <c r="A893" s="68" t="n">
        <v>887</v>
      </c>
      <c r="B893">
        <f>IFERROR(MATCH(A893,'Work Orders'!$AO$11:$AO$1010,0),"")</f>
        <v/>
      </c>
      <c r="C893" s="43">
        <f>IF($B893="","",IF(INDEX('Work Orders'!$A$11:$A$1010,$B893)="","",INDEX('Work Orders'!$A$11:$A$1010,$B893)))</f>
        <v/>
      </c>
      <c r="D893" s="43">
        <f>IF($B893="","",IF(INDEX('Work Orders'!$B$11:$B$1010,$B893)="","",INDEX('Work Orders'!$B$11:$B$1010,$B893)))</f>
        <v/>
      </c>
      <c r="E893" s="43">
        <f>IF($B893="","",IF(INDEX('Work Orders'!$D$11:$D$1010,$B893)="","",INDEX('Work Orders'!$D$11:$D$1010,$B893)))</f>
        <v/>
      </c>
      <c r="F893" s="43">
        <f>IF($B893="","",IF(INDEX('Work Orders'!$Q$11:$Q$1010,$B893)="","",INDEX('Work Orders'!$Q$11:$Q$1010,$B893)))</f>
        <v/>
      </c>
      <c r="G893" s="43">
        <f>IF($B893="","",IF(INDEX('Work Orders'!$V$11:$V$1010,$B893)="","",INDEX('Work Orders'!$V$11:$V$1010,$B893)))</f>
        <v/>
      </c>
      <c r="H893" s="47">
        <f>IF($B893="","",IF(INDEX('Work Orders'!$U$11:$U$1010,$B893)="","",INDEX('Work Orders'!$U$11:$U$1010,$B893)))</f>
        <v/>
      </c>
      <c r="I893" s="47">
        <f>IF($B893="","",IF(INDEX('Work Orders'!$X$11:$X$1010,$B893)="","",INDEX('Work Orders'!$X$11:$X$1010,$B893)))</f>
        <v/>
      </c>
      <c r="J893" s="44">
        <f>IF($B893="","",IF(INDEX('Work Orders'!$Z$11:$Z$1010,$B893)="","",INDEX('Work Orders'!$Z$11:$Z$1010,$B893)))</f>
        <v/>
      </c>
      <c r="K893" s="44">
        <f>IF($B893="","",IF(INDEX('Work Orders'!$AG$11:$AG$1010,$B893)="","",INDEX('Work Orders'!$AG$11:$AG$1010,$B893)))</f>
        <v/>
      </c>
      <c r="L893" s="44">
        <f>IF($B893="","",IF(INDEX('Work Orders'!$AH$11:$AH$1010,$B893)="","",INDEX('Work Orders'!$AH$11:$AH$1010,$B893)))</f>
        <v/>
      </c>
      <c r="M893" s="46">
        <f>IF($B893="","",IF(INDEX('Work Orders'!$AM$11:$AM$1010,$B893)="","",INDEX('Work Orders'!$AM$11:$AM$1010,$B893)))</f>
        <v/>
      </c>
      <c r="N893" s="43">
        <f>IF($B893="","",IF(INDEX('Work Orders'!$AL$11:$AL$1010,$B893)="","",INDEX('Work Orders'!$AL$11:$AL$1010,$B893)))</f>
        <v/>
      </c>
      <c r="O893" s="43">
        <f>IF($B893="","",IF(INDEX('Work Orders'!$N$11:$N$1010,$B893)="","",INDEX('Work Orders'!$N$11:$N$1010,$B893)))</f>
        <v/>
      </c>
    </row>
    <row r="894">
      <c r="A894" s="68" t="n">
        <v>888</v>
      </c>
      <c r="B894">
        <f>IFERROR(MATCH(A894,'Work Orders'!$AO$11:$AO$1010,0),"")</f>
        <v/>
      </c>
      <c r="C894" s="43">
        <f>IF($B894="","",IF(INDEX('Work Orders'!$A$11:$A$1010,$B894)="","",INDEX('Work Orders'!$A$11:$A$1010,$B894)))</f>
        <v/>
      </c>
      <c r="D894" s="43">
        <f>IF($B894="","",IF(INDEX('Work Orders'!$B$11:$B$1010,$B894)="","",INDEX('Work Orders'!$B$11:$B$1010,$B894)))</f>
        <v/>
      </c>
      <c r="E894" s="43">
        <f>IF($B894="","",IF(INDEX('Work Orders'!$D$11:$D$1010,$B894)="","",INDEX('Work Orders'!$D$11:$D$1010,$B894)))</f>
        <v/>
      </c>
      <c r="F894" s="43">
        <f>IF($B894="","",IF(INDEX('Work Orders'!$Q$11:$Q$1010,$B894)="","",INDEX('Work Orders'!$Q$11:$Q$1010,$B894)))</f>
        <v/>
      </c>
      <c r="G894" s="43">
        <f>IF($B894="","",IF(INDEX('Work Orders'!$V$11:$V$1010,$B894)="","",INDEX('Work Orders'!$V$11:$V$1010,$B894)))</f>
        <v/>
      </c>
      <c r="H894" s="47">
        <f>IF($B894="","",IF(INDEX('Work Orders'!$U$11:$U$1010,$B894)="","",INDEX('Work Orders'!$U$11:$U$1010,$B894)))</f>
        <v/>
      </c>
      <c r="I894" s="47">
        <f>IF($B894="","",IF(INDEX('Work Orders'!$X$11:$X$1010,$B894)="","",INDEX('Work Orders'!$X$11:$X$1010,$B894)))</f>
        <v/>
      </c>
      <c r="J894" s="44">
        <f>IF($B894="","",IF(INDEX('Work Orders'!$Z$11:$Z$1010,$B894)="","",INDEX('Work Orders'!$Z$11:$Z$1010,$B894)))</f>
        <v/>
      </c>
      <c r="K894" s="44">
        <f>IF($B894="","",IF(INDEX('Work Orders'!$AG$11:$AG$1010,$B894)="","",INDEX('Work Orders'!$AG$11:$AG$1010,$B894)))</f>
        <v/>
      </c>
      <c r="L894" s="44">
        <f>IF($B894="","",IF(INDEX('Work Orders'!$AH$11:$AH$1010,$B894)="","",INDEX('Work Orders'!$AH$11:$AH$1010,$B894)))</f>
        <v/>
      </c>
      <c r="M894" s="46">
        <f>IF($B894="","",IF(INDEX('Work Orders'!$AM$11:$AM$1010,$B894)="","",INDEX('Work Orders'!$AM$11:$AM$1010,$B894)))</f>
        <v/>
      </c>
      <c r="N894" s="43">
        <f>IF($B894="","",IF(INDEX('Work Orders'!$AL$11:$AL$1010,$B894)="","",INDEX('Work Orders'!$AL$11:$AL$1010,$B894)))</f>
        <v/>
      </c>
      <c r="O894" s="43">
        <f>IF($B894="","",IF(INDEX('Work Orders'!$N$11:$N$1010,$B894)="","",INDEX('Work Orders'!$N$11:$N$1010,$B894)))</f>
        <v/>
      </c>
    </row>
    <row r="895">
      <c r="A895" s="68" t="n">
        <v>889</v>
      </c>
      <c r="B895">
        <f>IFERROR(MATCH(A895,'Work Orders'!$AO$11:$AO$1010,0),"")</f>
        <v/>
      </c>
      <c r="C895" s="43">
        <f>IF($B895="","",IF(INDEX('Work Orders'!$A$11:$A$1010,$B895)="","",INDEX('Work Orders'!$A$11:$A$1010,$B895)))</f>
        <v/>
      </c>
      <c r="D895" s="43">
        <f>IF($B895="","",IF(INDEX('Work Orders'!$B$11:$B$1010,$B895)="","",INDEX('Work Orders'!$B$11:$B$1010,$B895)))</f>
        <v/>
      </c>
      <c r="E895" s="43">
        <f>IF($B895="","",IF(INDEX('Work Orders'!$D$11:$D$1010,$B895)="","",INDEX('Work Orders'!$D$11:$D$1010,$B895)))</f>
        <v/>
      </c>
      <c r="F895" s="43">
        <f>IF($B895="","",IF(INDEX('Work Orders'!$Q$11:$Q$1010,$B895)="","",INDEX('Work Orders'!$Q$11:$Q$1010,$B895)))</f>
        <v/>
      </c>
      <c r="G895" s="43">
        <f>IF($B895="","",IF(INDEX('Work Orders'!$V$11:$V$1010,$B895)="","",INDEX('Work Orders'!$V$11:$V$1010,$B895)))</f>
        <v/>
      </c>
      <c r="H895" s="47">
        <f>IF($B895="","",IF(INDEX('Work Orders'!$U$11:$U$1010,$B895)="","",INDEX('Work Orders'!$U$11:$U$1010,$B895)))</f>
        <v/>
      </c>
      <c r="I895" s="47">
        <f>IF($B895="","",IF(INDEX('Work Orders'!$X$11:$X$1010,$B895)="","",INDEX('Work Orders'!$X$11:$X$1010,$B895)))</f>
        <v/>
      </c>
      <c r="J895" s="44">
        <f>IF($B895="","",IF(INDEX('Work Orders'!$Z$11:$Z$1010,$B895)="","",INDEX('Work Orders'!$Z$11:$Z$1010,$B895)))</f>
        <v/>
      </c>
      <c r="K895" s="44">
        <f>IF($B895="","",IF(INDEX('Work Orders'!$AG$11:$AG$1010,$B895)="","",INDEX('Work Orders'!$AG$11:$AG$1010,$B895)))</f>
        <v/>
      </c>
      <c r="L895" s="44">
        <f>IF($B895="","",IF(INDEX('Work Orders'!$AH$11:$AH$1010,$B895)="","",INDEX('Work Orders'!$AH$11:$AH$1010,$B895)))</f>
        <v/>
      </c>
      <c r="M895" s="46">
        <f>IF($B895="","",IF(INDEX('Work Orders'!$AM$11:$AM$1010,$B895)="","",INDEX('Work Orders'!$AM$11:$AM$1010,$B895)))</f>
        <v/>
      </c>
      <c r="N895" s="43">
        <f>IF($B895="","",IF(INDEX('Work Orders'!$AL$11:$AL$1010,$B895)="","",INDEX('Work Orders'!$AL$11:$AL$1010,$B895)))</f>
        <v/>
      </c>
      <c r="O895" s="43">
        <f>IF($B895="","",IF(INDEX('Work Orders'!$N$11:$N$1010,$B895)="","",INDEX('Work Orders'!$N$11:$N$1010,$B895)))</f>
        <v/>
      </c>
    </row>
    <row r="896">
      <c r="A896" s="68" t="n">
        <v>890</v>
      </c>
      <c r="B896">
        <f>IFERROR(MATCH(A896,'Work Orders'!$AO$11:$AO$1010,0),"")</f>
        <v/>
      </c>
      <c r="C896" s="43">
        <f>IF($B896="","",IF(INDEX('Work Orders'!$A$11:$A$1010,$B896)="","",INDEX('Work Orders'!$A$11:$A$1010,$B896)))</f>
        <v/>
      </c>
      <c r="D896" s="43">
        <f>IF($B896="","",IF(INDEX('Work Orders'!$B$11:$B$1010,$B896)="","",INDEX('Work Orders'!$B$11:$B$1010,$B896)))</f>
        <v/>
      </c>
      <c r="E896" s="43">
        <f>IF($B896="","",IF(INDEX('Work Orders'!$D$11:$D$1010,$B896)="","",INDEX('Work Orders'!$D$11:$D$1010,$B896)))</f>
        <v/>
      </c>
      <c r="F896" s="43">
        <f>IF($B896="","",IF(INDEX('Work Orders'!$Q$11:$Q$1010,$B896)="","",INDEX('Work Orders'!$Q$11:$Q$1010,$B896)))</f>
        <v/>
      </c>
      <c r="G896" s="43">
        <f>IF($B896="","",IF(INDEX('Work Orders'!$V$11:$V$1010,$B896)="","",INDEX('Work Orders'!$V$11:$V$1010,$B896)))</f>
        <v/>
      </c>
      <c r="H896" s="47">
        <f>IF($B896="","",IF(INDEX('Work Orders'!$U$11:$U$1010,$B896)="","",INDEX('Work Orders'!$U$11:$U$1010,$B896)))</f>
        <v/>
      </c>
      <c r="I896" s="47">
        <f>IF($B896="","",IF(INDEX('Work Orders'!$X$11:$X$1010,$B896)="","",INDEX('Work Orders'!$X$11:$X$1010,$B896)))</f>
        <v/>
      </c>
      <c r="J896" s="44">
        <f>IF($B896="","",IF(INDEX('Work Orders'!$Z$11:$Z$1010,$B896)="","",INDEX('Work Orders'!$Z$11:$Z$1010,$B896)))</f>
        <v/>
      </c>
      <c r="K896" s="44">
        <f>IF($B896="","",IF(INDEX('Work Orders'!$AG$11:$AG$1010,$B896)="","",INDEX('Work Orders'!$AG$11:$AG$1010,$B896)))</f>
        <v/>
      </c>
      <c r="L896" s="44">
        <f>IF($B896="","",IF(INDEX('Work Orders'!$AH$11:$AH$1010,$B896)="","",INDEX('Work Orders'!$AH$11:$AH$1010,$B896)))</f>
        <v/>
      </c>
      <c r="M896" s="46">
        <f>IF($B896="","",IF(INDEX('Work Orders'!$AM$11:$AM$1010,$B896)="","",INDEX('Work Orders'!$AM$11:$AM$1010,$B896)))</f>
        <v/>
      </c>
      <c r="N896" s="43">
        <f>IF($B896="","",IF(INDEX('Work Orders'!$AL$11:$AL$1010,$B896)="","",INDEX('Work Orders'!$AL$11:$AL$1010,$B896)))</f>
        <v/>
      </c>
      <c r="O896" s="43">
        <f>IF($B896="","",IF(INDEX('Work Orders'!$N$11:$N$1010,$B896)="","",INDEX('Work Orders'!$N$11:$N$1010,$B896)))</f>
        <v/>
      </c>
    </row>
    <row r="897">
      <c r="A897" s="68" t="n">
        <v>891</v>
      </c>
      <c r="B897">
        <f>IFERROR(MATCH(A897,'Work Orders'!$AO$11:$AO$1010,0),"")</f>
        <v/>
      </c>
      <c r="C897" s="43">
        <f>IF($B897="","",IF(INDEX('Work Orders'!$A$11:$A$1010,$B897)="","",INDEX('Work Orders'!$A$11:$A$1010,$B897)))</f>
        <v/>
      </c>
      <c r="D897" s="43">
        <f>IF($B897="","",IF(INDEX('Work Orders'!$B$11:$B$1010,$B897)="","",INDEX('Work Orders'!$B$11:$B$1010,$B897)))</f>
        <v/>
      </c>
      <c r="E897" s="43">
        <f>IF($B897="","",IF(INDEX('Work Orders'!$D$11:$D$1010,$B897)="","",INDEX('Work Orders'!$D$11:$D$1010,$B897)))</f>
        <v/>
      </c>
      <c r="F897" s="43">
        <f>IF($B897="","",IF(INDEX('Work Orders'!$Q$11:$Q$1010,$B897)="","",INDEX('Work Orders'!$Q$11:$Q$1010,$B897)))</f>
        <v/>
      </c>
      <c r="G897" s="43">
        <f>IF($B897="","",IF(INDEX('Work Orders'!$V$11:$V$1010,$B897)="","",INDEX('Work Orders'!$V$11:$V$1010,$B897)))</f>
        <v/>
      </c>
      <c r="H897" s="47">
        <f>IF($B897="","",IF(INDEX('Work Orders'!$U$11:$U$1010,$B897)="","",INDEX('Work Orders'!$U$11:$U$1010,$B897)))</f>
        <v/>
      </c>
      <c r="I897" s="47">
        <f>IF($B897="","",IF(INDEX('Work Orders'!$X$11:$X$1010,$B897)="","",INDEX('Work Orders'!$X$11:$X$1010,$B897)))</f>
        <v/>
      </c>
      <c r="J897" s="44">
        <f>IF($B897="","",IF(INDEX('Work Orders'!$Z$11:$Z$1010,$B897)="","",INDEX('Work Orders'!$Z$11:$Z$1010,$B897)))</f>
        <v/>
      </c>
      <c r="K897" s="44">
        <f>IF($B897="","",IF(INDEX('Work Orders'!$AG$11:$AG$1010,$B897)="","",INDEX('Work Orders'!$AG$11:$AG$1010,$B897)))</f>
        <v/>
      </c>
      <c r="L897" s="44">
        <f>IF($B897="","",IF(INDEX('Work Orders'!$AH$11:$AH$1010,$B897)="","",INDEX('Work Orders'!$AH$11:$AH$1010,$B897)))</f>
        <v/>
      </c>
      <c r="M897" s="46">
        <f>IF($B897="","",IF(INDEX('Work Orders'!$AM$11:$AM$1010,$B897)="","",INDEX('Work Orders'!$AM$11:$AM$1010,$B897)))</f>
        <v/>
      </c>
      <c r="N897" s="43">
        <f>IF($B897="","",IF(INDEX('Work Orders'!$AL$11:$AL$1010,$B897)="","",INDEX('Work Orders'!$AL$11:$AL$1010,$B897)))</f>
        <v/>
      </c>
      <c r="O897" s="43">
        <f>IF($B897="","",IF(INDEX('Work Orders'!$N$11:$N$1010,$B897)="","",INDEX('Work Orders'!$N$11:$N$1010,$B897)))</f>
        <v/>
      </c>
    </row>
    <row r="898">
      <c r="A898" s="68" t="n">
        <v>892</v>
      </c>
      <c r="B898">
        <f>IFERROR(MATCH(A898,'Work Orders'!$AO$11:$AO$1010,0),"")</f>
        <v/>
      </c>
      <c r="C898" s="43">
        <f>IF($B898="","",IF(INDEX('Work Orders'!$A$11:$A$1010,$B898)="","",INDEX('Work Orders'!$A$11:$A$1010,$B898)))</f>
        <v/>
      </c>
      <c r="D898" s="43">
        <f>IF($B898="","",IF(INDEX('Work Orders'!$B$11:$B$1010,$B898)="","",INDEX('Work Orders'!$B$11:$B$1010,$B898)))</f>
        <v/>
      </c>
      <c r="E898" s="43">
        <f>IF($B898="","",IF(INDEX('Work Orders'!$D$11:$D$1010,$B898)="","",INDEX('Work Orders'!$D$11:$D$1010,$B898)))</f>
        <v/>
      </c>
      <c r="F898" s="43">
        <f>IF($B898="","",IF(INDEX('Work Orders'!$Q$11:$Q$1010,$B898)="","",INDEX('Work Orders'!$Q$11:$Q$1010,$B898)))</f>
        <v/>
      </c>
      <c r="G898" s="43">
        <f>IF($B898="","",IF(INDEX('Work Orders'!$V$11:$V$1010,$B898)="","",INDEX('Work Orders'!$V$11:$V$1010,$B898)))</f>
        <v/>
      </c>
      <c r="H898" s="47">
        <f>IF($B898="","",IF(INDEX('Work Orders'!$U$11:$U$1010,$B898)="","",INDEX('Work Orders'!$U$11:$U$1010,$B898)))</f>
        <v/>
      </c>
      <c r="I898" s="47">
        <f>IF($B898="","",IF(INDEX('Work Orders'!$X$11:$X$1010,$B898)="","",INDEX('Work Orders'!$X$11:$X$1010,$B898)))</f>
        <v/>
      </c>
      <c r="J898" s="44">
        <f>IF($B898="","",IF(INDEX('Work Orders'!$Z$11:$Z$1010,$B898)="","",INDEX('Work Orders'!$Z$11:$Z$1010,$B898)))</f>
        <v/>
      </c>
      <c r="K898" s="44">
        <f>IF($B898="","",IF(INDEX('Work Orders'!$AG$11:$AG$1010,$B898)="","",INDEX('Work Orders'!$AG$11:$AG$1010,$B898)))</f>
        <v/>
      </c>
      <c r="L898" s="44">
        <f>IF($B898="","",IF(INDEX('Work Orders'!$AH$11:$AH$1010,$B898)="","",INDEX('Work Orders'!$AH$11:$AH$1010,$B898)))</f>
        <v/>
      </c>
      <c r="M898" s="46">
        <f>IF($B898="","",IF(INDEX('Work Orders'!$AM$11:$AM$1010,$B898)="","",INDEX('Work Orders'!$AM$11:$AM$1010,$B898)))</f>
        <v/>
      </c>
      <c r="N898" s="43">
        <f>IF($B898="","",IF(INDEX('Work Orders'!$AL$11:$AL$1010,$B898)="","",INDEX('Work Orders'!$AL$11:$AL$1010,$B898)))</f>
        <v/>
      </c>
      <c r="O898" s="43">
        <f>IF($B898="","",IF(INDEX('Work Orders'!$N$11:$N$1010,$B898)="","",INDEX('Work Orders'!$N$11:$N$1010,$B898)))</f>
        <v/>
      </c>
    </row>
    <row r="899">
      <c r="A899" s="68" t="n">
        <v>893</v>
      </c>
      <c r="B899">
        <f>IFERROR(MATCH(A899,'Work Orders'!$AO$11:$AO$1010,0),"")</f>
        <v/>
      </c>
      <c r="C899" s="43">
        <f>IF($B899="","",IF(INDEX('Work Orders'!$A$11:$A$1010,$B899)="","",INDEX('Work Orders'!$A$11:$A$1010,$B899)))</f>
        <v/>
      </c>
      <c r="D899" s="43">
        <f>IF($B899="","",IF(INDEX('Work Orders'!$B$11:$B$1010,$B899)="","",INDEX('Work Orders'!$B$11:$B$1010,$B899)))</f>
        <v/>
      </c>
      <c r="E899" s="43">
        <f>IF($B899="","",IF(INDEX('Work Orders'!$D$11:$D$1010,$B899)="","",INDEX('Work Orders'!$D$11:$D$1010,$B899)))</f>
        <v/>
      </c>
      <c r="F899" s="43">
        <f>IF($B899="","",IF(INDEX('Work Orders'!$Q$11:$Q$1010,$B899)="","",INDEX('Work Orders'!$Q$11:$Q$1010,$B899)))</f>
        <v/>
      </c>
      <c r="G899" s="43">
        <f>IF($B899="","",IF(INDEX('Work Orders'!$V$11:$V$1010,$B899)="","",INDEX('Work Orders'!$V$11:$V$1010,$B899)))</f>
        <v/>
      </c>
      <c r="H899" s="47">
        <f>IF($B899="","",IF(INDEX('Work Orders'!$U$11:$U$1010,$B899)="","",INDEX('Work Orders'!$U$11:$U$1010,$B899)))</f>
        <v/>
      </c>
      <c r="I899" s="47">
        <f>IF($B899="","",IF(INDEX('Work Orders'!$X$11:$X$1010,$B899)="","",INDEX('Work Orders'!$X$11:$X$1010,$B899)))</f>
        <v/>
      </c>
      <c r="J899" s="44">
        <f>IF($B899="","",IF(INDEX('Work Orders'!$Z$11:$Z$1010,$B899)="","",INDEX('Work Orders'!$Z$11:$Z$1010,$B899)))</f>
        <v/>
      </c>
      <c r="K899" s="44">
        <f>IF($B899="","",IF(INDEX('Work Orders'!$AG$11:$AG$1010,$B899)="","",INDEX('Work Orders'!$AG$11:$AG$1010,$B899)))</f>
        <v/>
      </c>
      <c r="L899" s="44">
        <f>IF($B899="","",IF(INDEX('Work Orders'!$AH$11:$AH$1010,$B899)="","",INDEX('Work Orders'!$AH$11:$AH$1010,$B899)))</f>
        <v/>
      </c>
      <c r="M899" s="46">
        <f>IF($B899="","",IF(INDEX('Work Orders'!$AM$11:$AM$1010,$B899)="","",INDEX('Work Orders'!$AM$11:$AM$1010,$B899)))</f>
        <v/>
      </c>
      <c r="N899" s="43">
        <f>IF($B899="","",IF(INDEX('Work Orders'!$AL$11:$AL$1010,$B899)="","",INDEX('Work Orders'!$AL$11:$AL$1010,$B899)))</f>
        <v/>
      </c>
      <c r="O899" s="43">
        <f>IF($B899="","",IF(INDEX('Work Orders'!$N$11:$N$1010,$B899)="","",INDEX('Work Orders'!$N$11:$N$1010,$B899)))</f>
        <v/>
      </c>
    </row>
    <row r="900">
      <c r="A900" s="68" t="n">
        <v>894</v>
      </c>
      <c r="B900">
        <f>IFERROR(MATCH(A900,'Work Orders'!$AO$11:$AO$1010,0),"")</f>
        <v/>
      </c>
      <c r="C900" s="43">
        <f>IF($B900="","",IF(INDEX('Work Orders'!$A$11:$A$1010,$B900)="","",INDEX('Work Orders'!$A$11:$A$1010,$B900)))</f>
        <v/>
      </c>
      <c r="D900" s="43">
        <f>IF($B900="","",IF(INDEX('Work Orders'!$B$11:$B$1010,$B900)="","",INDEX('Work Orders'!$B$11:$B$1010,$B900)))</f>
        <v/>
      </c>
      <c r="E900" s="43">
        <f>IF($B900="","",IF(INDEX('Work Orders'!$D$11:$D$1010,$B900)="","",INDEX('Work Orders'!$D$11:$D$1010,$B900)))</f>
        <v/>
      </c>
      <c r="F900" s="43">
        <f>IF($B900="","",IF(INDEX('Work Orders'!$Q$11:$Q$1010,$B900)="","",INDEX('Work Orders'!$Q$11:$Q$1010,$B900)))</f>
        <v/>
      </c>
      <c r="G900" s="43">
        <f>IF($B900="","",IF(INDEX('Work Orders'!$V$11:$V$1010,$B900)="","",INDEX('Work Orders'!$V$11:$V$1010,$B900)))</f>
        <v/>
      </c>
      <c r="H900" s="47">
        <f>IF($B900="","",IF(INDEX('Work Orders'!$U$11:$U$1010,$B900)="","",INDEX('Work Orders'!$U$11:$U$1010,$B900)))</f>
        <v/>
      </c>
      <c r="I900" s="47">
        <f>IF($B900="","",IF(INDEX('Work Orders'!$X$11:$X$1010,$B900)="","",INDEX('Work Orders'!$X$11:$X$1010,$B900)))</f>
        <v/>
      </c>
      <c r="J900" s="44">
        <f>IF($B900="","",IF(INDEX('Work Orders'!$Z$11:$Z$1010,$B900)="","",INDEX('Work Orders'!$Z$11:$Z$1010,$B900)))</f>
        <v/>
      </c>
      <c r="K900" s="44">
        <f>IF($B900="","",IF(INDEX('Work Orders'!$AG$11:$AG$1010,$B900)="","",INDEX('Work Orders'!$AG$11:$AG$1010,$B900)))</f>
        <v/>
      </c>
      <c r="L900" s="44">
        <f>IF($B900="","",IF(INDEX('Work Orders'!$AH$11:$AH$1010,$B900)="","",INDEX('Work Orders'!$AH$11:$AH$1010,$B900)))</f>
        <v/>
      </c>
      <c r="M900" s="46">
        <f>IF($B900="","",IF(INDEX('Work Orders'!$AM$11:$AM$1010,$B900)="","",INDEX('Work Orders'!$AM$11:$AM$1010,$B900)))</f>
        <v/>
      </c>
      <c r="N900" s="43">
        <f>IF($B900="","",IF(INDEX('Work Orders'!$AL$11:$AL$1010,$B900)="","",INDEX('Work Orders'!$AL$11:$AL$1010,$B900)))</f>
        <v/>
      </c>
      <c r="O900" s="43">
        <f>IF($B900="","",IF(INDEX('Work Orders'!$N$11:$N$1010,$B900)="","",INDEX('Work Orders'!$N$11:$N$1010,$B900)))</f>
        <v/>
      </c>
    </row>
    <row r="901">
      <c r="A901" s="68" t="n">
        <v>895</v>
      </c>
      <c r="B901">
        <f>IFERROR(MATCH(A901,'Work Orders'!$AO$11:$AO$1010,0),"")</f>
        <v/>
      </c>
      <c r="C901" s="43">
        <f>IF($B901="","",IF(INDEX('Work Orders'!$A$11:$A$1010,$B901)="","",INDEX('Work Orders'!$A$11:$A$1010,$B901)))</f>
        <v/>
      </c>
      <c r="D901" s="43">
        <f>IF($B901="","",IF(INDEX('Work Orders'!$B$11:$B$1010,$B901)="","",INDEX('Work Orders'!$B$11:$B$1010,$B901)))</f>
        <v/>
      </c>
      <c r="E901" s="43">
        <f>IF($B901="","",IF(INDEX('Work Orders'!$D$11:$D$1010,$B901)="","",INDEX('Work Orders'!$D$11:$D$1010,$B901)))</f>
        <v/>
      </c>
      <c r="F901" s="43">
        <f>IF($B901="","",IF(INDEX('Work Orders'!$Q$11:$Q$1010,$B901)="","",INDEX('Work Orders'!$Q$11:$Q$1010,$B901)))</f>
        <v/>
      </c>
      <c r="G901" s="43">
        <f>IF($B901="","",IF(INDEX('Work Orders'!$V$11:$V$1010,$B901)="","",INDEX('Work Orders'!$V$11:$V$1010,$B901)))</f>
        <v/>
      </c>
      <c r="H901" s="47">
        <f>IF($B901="","",IF(INDEX('Work Orders'!$U$11:$U$1010,$B901)="","",INDEX('Work Orders'!$U$11:$U$1010,$B901)))</f>
        <v/>
      </c>
      <c r="I901" s="47">
        <f>IF($B901="","",IF(INDEX('Work Orders'!$X$11:$X$1010,$B901)="","",INDEX('Work Orders'!$X$11:$X$1010,$B901)))</f>
        <v/>
      </c>
      <c r="J901" s="44">
        <f>IF($B901="","",IF(INDEX('Work Orders'!$Z$11:$Z$1010,$B901)="","",INDEX('Work Orders'!$Z$11:$Z$1010,$B901)))</f>
        <v/>
      </c>
      <c r="K901" s="44">
        <f>IF($B901="","",IF(INDEX('Work Orders'!$AG$11:$AG$1010,$B901)="","",INDEX('Work Orders'!$AG$11:$AG$1010,$B901)))</f>
        <v/>
      </c>
      <c r="L901" s="44">
        <f>IF($B901="","",IF(INDEX('Work Orders'!$AH$11:$AH$1010,$B901)="","",INDEX('Work Orders'!$AH$11:$AH$1010,$B901)))</f>
        <v/>
      </c>
      <c r="M901" s="46">
        <f>IF($B901="","",IF(INDEX('Work Orders'!$AM$11:$AM$1010,$B901)="","",INDEX('Work Orders'!$AM$11:$AM$1010,$B901)))</f>
        <v/>
      </c>
      <c r="N901" s="43">
        <f>IF($B901="","",IF(INDEX('Work Orders'!$AL$11:$AL$1010,$B901)="","",INDEX('Work Orders'!$AL$11:$AL$1010,$B901)))</f>
        <v/>
      </c>
      <c r="O901" s="43">
        <f>IF($B901="","",IF(INDEX('Work Orders'!$N$11:$N$1010,$B901)="","",INDEX('Work Orders'!$N$11:$N$1010,$B901)))</f>
        <v/>
      </c>
    </row>
    <row r="902">
      <c r="A902" s="68" t="n">
        <v>896</v>
      </c>
      <c r="B902">
        <f>IFERROR(MATCH(A902,'Work Orders'!$AO$11:$AO$1010,0),"")</f>
        <v/>
      </c>
      <c r="C902" s="43">
        <f>IF($B902="","",IF(INDEX('Work Orders'!$A$11:$A$1010,$B902)="","",INDEX('Work Orders'!$A$11:$A$1010,$B902)))</f>
        <v/>
      </c>
      <c r="D902" s="43">
        <f>IF($B902="","",IF(INDEX('Work Orders'!$B$11:$B$1010,$B902)="","",INDEX('Work Orders'!$B$11:$B$1010,$B902)))</f>
        <v/>
      </c>
      <c r="E902" s="43">
        <f>IF($B902="","",IF(INDEX('Work Orders'!$D$11:$D$1010,$B902)="","",INDEX('Work Orders'!$D$11:$D$1010,$B902)))</f>
        <v/>
      </c>
      <c r="F902" s="43">
        <f>IF($B902="","",IF(INDEX('Work Orders'!$Q$11:$Q$1010,$B902)="","",INDEX('Work Orders'!$Q$11:$Q$1010,$B902)))</f>
        <v/>
      </c>
      <c r="G902" s="43">
        <f>IF($B902="","",IF(INDEX('Work Orders'!$V$11:$V$1010,$B902)="","",INDEX('Work Orders'!$V$11:$V$1010,$B902)))</f>
        <v/>
      </c>
      <c r="H902" s="47">
        <f>IF($B902="","",IF(INDEX('Work Orders'!$U$11:$U$1010,$B902)="","",INDEX('Work Orders'!$U$11:$U$1010,$B902)))</f>
        <v/>
      </c>
      <c r="I902" s="47">
        <f>IF($B902="","",IF(INDEX('Work Orders'!$X$11:$X$1010,$B902)="","",INDEX('Work Orders'!$X$11:$X$1010,$B902)))</f>
        <v/>
      </c>
      <c r="J902" s="44">
        <f>IF($B902="","",IF(INDEX('Work Orders'!$Z$11:$Z$1010,$B902)="","",INDEX('Work Orders'!$Z$11:$Z$1010,$B902)))</f>
        <v/>
      </c>
      <c r="K902" s="44">
        <f>IF($B902="","",IF(INDEX('Work Orders'!$AG$11:$AG$1010,$B902)="","",INDEX('Work Orders'!$AG$11:$AG$1010,$B902)))</f>
        <v/>
      </c>
      <c r="L902" s="44">
        <f>IF($B902="","",IF(INDEX('Work Orders'!$AH$11:$AH$1010,$B902)="","",INDEX('Work Orders'!$AH$11:$AH$1010,$B902)))</f>
        <v/>
      </c>
      <c r="M902" s="46">
        <f>IF($B902="","",IF(INDEX('Work Orders'!$AM$11:$AM$1010,$B902)="","",INDEX('Work Orders'!$AM$11:$AM$1010,$B902)))</f>
        <v/>
      </c>
      <c r="N902" s="43">
        <f>IF($B902="","",IF(INDEX('Work Orders'!$AL$11:$AL$1010,$B902)="","",INDEX('Work Orders'!$AL$11:$AL$1010,$B902)))</f>
        <v/>
      </c>
      <c r="O902" s="43">
        <f>IF($B902="","",IF(INDEX('Work Orders'!$N$11:$N$1010,$B902)="","",INDEX('Work Orders'!$N$11:$N$1010,$B902)))</f>
        <v/>
      </c>
    </row>
    <row r="903">
      <c r="A903" s="68" t="n">
        <v>897</v>
      </c>
      <c r="B903">
        <f>IFERROR(MATCH(A903,'Work Orders'!$AO$11:$AO$1010,0),"")</f>
        <v/>
      </c>
      <c r="C903" s="43">
        <f>IF($B903="","",IF(INDEX('Work Orders'!$A$11:$A$1010,$B903)="","",INDEX('Work Orders'!$A$11:$A$1010,$B903)))</f>
        <v/>
      </c>
      <c r="D903" s="43">
        <f>IF($B903="","",IF(INDEX('Work Orders'!$B$11:$B$1010,$B903)="","",INDEX('Work Orders'!$B$11:$B$1010,$B903)))</f>
        <v/>
      </c>
      <c r="E903" s="43">
        <f>IF($B903="","",IF(INDEX('Work Orders'!$D$11:$D$1010,$B903)="","",INDEX('Work Orders'!$D$11:$D$1010,$B903)))</f>
        <v/>
      </c>
      <c r="F903" s="43">
        <f>IF($B903="","",IF(INDEX('Work Orders'!$Q$11:$Q$1010,$B903)="","",INDEX('Work Orders'!$Q$11:$Q$1010,$B903)))</f>
        <v/>
      </c>
      <c r="G903" s="43">
        <f>IF($B903="","",IF(INDEX('Work Orders'!$V$11:$V$1010,$B903)="","",INDEX('Work Orders'!$V$11:$V$1010,$B903)))</f>
        <v/>
      </c>
      <c r="H903" s="47">
        <f>IF($B903="","",IF(INDEX('Work Orders'!$U$11:$U$1010,$B903)="","",INDEX('Work Orders'!$U$11:$U$1010,$B903)))</f>
        <v/>
      </c>
      <c r="I903" s="47">
        <f>IF($B903="","",IF(INDEX('Work Orders'!$X$11:$X$1010,$B903)="","",INDEX('Work Orders'!$X$11:$X$1010,$B903)))</f>
        <v/>
      </c>
      <c r="J903" s="44">
        <f>IF($B903="","",IF(INDEX('Work Orders'!$Z$11:$Z$1010,$B903)="","",INDEX('Work Orders'!$Z$11:$Z$1010,$B903)))</f>
        <v/>
      </c>
      <c r="K903" s="44">
        <f>IF($B903="","",IF(INDEX('Work Orders'!$AG$11:$AG$1010,$B903)="","",INDEX('Work Orders'!$AG$11:$AG$1010,$B903)))</f>
        <v/>
      </c>
      <c r="L903" s="44">
        <f>IF($B903="","",IF(INDEX('Work Orders'!$AH$11:$AH$1010,$B903)="","",INDEX('Work Orders'!$AH$11:$AH$1010,$B903)))</f>
        <v/>
      </c>
      <c r="M903" s="46">
        <f>IF($B903="","",IF(INDEX('Work Orders'!$AM$11:$AM$1010,$B903)="","",INDEX('Work Orders'!$AM$11:$AM$1010,$B903)))</f>
        <v/>
      </c>
      <c r="N903" s="43">
        <f>IF($B903="","",IF(INDEX('Work Orders'!$AL$11:$AL$1010,$B903)="","",INDEX('Work Orders'!$AL$11:$AL$1010,$B903)))</f>
        <v/>
      </c>
      <c r="O903" s="43">
        <f>IF($B903="","",IF(INDEX('Work Orders'!$N$11:$N$1010,$B903)="","",INDEX('Work Orders'!$N$11:$N$1010,$B903)))</f>
        <v/>
      </c>
    </row>
    <row r="904">
      <c r="A904" s="68" t="n">
        <v>898</v>
      </c>
      <c r="B904">
        <f>IFERROR(MATCH(A904,'Work Orders'!$AO$11:$AO$1010,0),"")</f>
        <v/>
      </c>
      <c r="C904" s="43">
        <f>IF($B904="","",IF(INDEX('Work Orders'!$A$11:$A$1010,$B904)="","",INDEX('Work Orders'!$A$11:$A$1010,$B904)))</f>
        <v/>
      </c>
      <c r="D904" s="43">
        <f>IF($B904="","",IF(INDEX('Work Orders'!$B$11:$B$1010,$B904)="","",INDEX('Work Orders'!$B$11:$B$1010,$B904)))</f>
        <v/>
      </c>
      <c r="E904" s="43">
        <f>IF($B904="","",IF(INDEX('Work Orders'!$D$11:$D$1010,$B904)="","",INDEX('Work Orders'!$D$11:$D$1010,$B904)))</f>
        <v/>
      </c>
      <c r="F904" s="43">
        <f>IF($B904="","",IF(INDEX('Work Orders'!$Q$11:$Q$1010,$B904)="","",INDEX('Work Orders'!$Q$11:$Q$1010,$B904)))</f>
        <v/>
      </c>
      <c r="G904" s="43">
        <f>IF($B904="","",IF(INDEX('Work Orders'!$V$11:$V$1010,$B904)="","",INDEX('Work Orders'!$V$11:$V$1010,$B904)))</f>
        <v/>
      </c>
      <c r="H904" s="47">
        <f>IF($B904="","",IF(INDEX('Work Orders'!$U$11:$U$1010,$B904)="","",INDEX('Work Orders'!$U$11:$U$1010,$B904)))</f>
        <v/>
      </c>
      <c r="I904" s="47">
        <f>IF($B904="","",IF(INDEX('Work Orders'!$X$11:$X$1010,$B904)="","",INDEX('Work Orders'!$X$11:$X$1010,$B904)))</f>
        <v/>
      </c>
      <c r="J904" s="44">
        <f>IF($B904="","",IF(INDEX('Work Orders'!$Z$11:$Z$1010,$B904)="","",INDEX('Work Orders'!$Z$11:$Z$1010,$B904)))</f>
        <v/>
      </c>
      <c r="K904" s="44">
        <f>IF($B904="","",IF(INDEX('Work Orders'!$AG$11:$AG$1010,$B904)="","",INDEX('Work Orders'!$AG$11:$AG$1010,$B904)))</f>
        <v/>
      </c>
      <c r="L904" s="44">
        <f>IF($B904="","",IF(INDEX('Work Orders'!$AH$11:$AH$1010,$B904)="","",INDEX('Work Orders'!$AH$11:$AH$1010,$B904)))</f>
        <v/>
      </c>
      <c r="M904" s="46">
        <f>IF($B904="","",IF(INDEX('Work Orders'!$AM$11:$AM$1010,$B904)="","",INDEX('Work Orders'!$AM$11:$AM$1010,$B904)))</f>
        <v/>
      </c>
      <c r="N904" s="43">
        <f>IF($B904="","",IF(INDEX('Work Orders'!$AL$11:$AL$1010,$B904)="","",INDEX('Work Orders'!$AL$11:$AL$1010,$B904)))</f>
        <v/>
      </c>
      <c r="O904" s="43">
        <f>IF($B904="","",IF(INDEX('Work Orders'!$N$11:$N$1010,$B904)="","",INDEX('Work Orders'!$N$11:$N$1010,$B904)))</f>
        <v/>
      </c>
    </row>
    <row r="905">
      <c r="A905" s="68" t="n">
        <v>899</v>
      </c>
      <c r="B905">
        <f>IFERROR(MATCH(A905,'Work Orders'!$AO$11:$AO$1010,0),"")</f>
        <v/>
      </c>
      <c r="C905" s="43">
        <f>IF($B905="","",IF(INDEX('Work Orders'!$A$11:$A$1010,$B905)="","",INDEX('Work Orders'!$A$11:$A$1010,$B905)))</f>
        <v/>
      </c>
      <c r="D905" s="43">
        <f>IF($B905="","",IF(INDEX('Work Orders'!$B$11:$B$1010,$B905)="","",INDEX('Work Orders'!$B$11:$B$1010,$B905)))</f>
        <v/>
      </c>
      <c r="E905" s="43">
        <f>IF($B905="","",IF(INDEX('Work Orders'!$D$11:$D$1010,$B905)="","",INDEX('Work Orders'!$D$11:$D$1010,$B905)))</f>
        <v/>
      </c>
      <c r="F905" s="43">
        <f>IF($B905="","",IF(INDEX('Work Orders'!$Q$11:$Q$1010,$B905)="","",INDEX('Work Orders'!$Q$11:$Q$1010,$B905)))</f>
        <v/>
      </c>
      <c r="G905" s="43">
        <f>IF($B905="","",IF(INDEX('Work Orders'!$V$11:$V$1010,$B905)="","",INDEX('Work Orders'!$V$11:$V$1010,$B905)))</f>
        <v/>
      </c>
      <c r="H905" s="47">
        <f>IF($B905="","",IF(INDEX('Work Orders'!$U$11:$U$1010,$B905)="","",INDEX('Work Orders'!$U$11:$U$1010,$B905)))</f>
        <v/>
      </c>
      <c r="I905" s="47">
        <f>IF($B905="","",IF(INDEX('Work Orders'!$X$11:$X$1010,$B905)="","",INDEX('Work Orders'!$X$11:$X$1010,$B905)))</f>
        <v/>
      </c>
      <c r="J905" s="44">
        <f>IF($B905="","",IF(INDEX('Work Orders'!$Z$11:$Z$1010,$B905)="","",INDEX('Work Orders'!$Z$11:$Z$1010,$B905)))</f>
        <v/>
      </c>
      <c r="K905" s="44">
        <f>IF($B905="","",IF(INDEX('Work Orders'!$AG$11:$AG$1010,$B905)="","",INDEX('Work Orders'!$AG$11:$AG$1010,$B905)))</f>
        <v/>
      </c>
      <c r="L905" s="44">
        <f>IF($B905="","",IF(INDEX('Work Orders'!$AH$11:$AH$1010,$B905)="","",INDEX('Work Orders'!$AH$11:$AH$1010,$B905)))</f>
        <v/>
      </c>
      <c r="M905" s="46">
        <f>IF($B905="","",IF(INDEX('Work Orders'!$AM$11:$AM$1010,$B905)="","",INDEX('Work Orders'!$AM$11:$AM$1010,$B905)))</f>
        <v/>
      </c>
      <c r="N905" s="43">
        <f>IF($B905="","",IF(INDEX('Work Orders'!$AL$11:$AL$1010,$B905)="","",INDEX('Work Orders'!$AL$11:$AL$1010,$B905)))</f>
        <v/>
      </c>
      <c r="O905" s="43">
        <f>IF($B905="","",IF(INDEX('Work Orders'!$N$11:$N$1010,$B905)="","",INDEX('Work Orders'!$N$11:$N$1010,$B905)))</f>
        <v/>
      </c>
    </row>
    <row r="906">
      <c r="A906" s="68" t="n">
        <v>900</v>
      </c>
      <c r="B906">
        <f>IFERROR(MATCH(A906,'Work Orders'!$AO$11:$AO$1010,0),"")</f>
        <v/>
      </c>
      <c r="C906" s="43">
        <f>IF($B906="","",IF(INDEX('Work Orders'!$A$11:$A$1010,$B906)="","",INDEX('Work Orders'!$A$11:$A$1010,$B906)))</f>
        <v/>
      </c>
      <c r="D906" s="43">
        <f>IF($B906="","",IF(INDEX('Work Orders'!$B$11:$B$1010,$B906)="","",INDEX('Work Orders'!$B$11:$B$1010,$B906)))</f>
        <v/>
      </c>
      <c r="E906" s="43">
        <f>IF($B906="","",IF(INDEX('Work Orders'!$D$11:$D$1010,$B906)="","",INDEX('Work Orders'!$D$11:$D$1010,$B906)))</f>
        <v/>
      </c>
      <c r="F906" s="43">
        <f>IF($B906="","",IF(INDEX('Work Orders'!$Q$11:$Q$1010,$B906)="","",INDEX('Work Orders'!$Q$11:$Q$1010,$B906)))</f>
        <v/>
      </c>
      <c r="G906" s="43">
        <f>IF($B906="","",IF(INDEX('Work Orders'!$V$11:$V$1010,$B906)="","",INDEX('Work Orders'!$V$11:$V$1010,$B906)))</f>
        <v/>
      </c>
      <c r="H906" s="47">
        <f>IF($B906="","",IF(INDEX('Work Orders'!$U$11:$U$1010,$B906)="","",INDEX('Work Orders'!$U$11:$U$1010,$B906)))</f>
        <v/>
      </c>
      <c r="I906" s="47">
        <f>IF($B906="","",IF(INDEX('Work Orders'!$X$11:$X$1010,$B906)="","",INDEX('Work Orders'!$X$11:$X$1010,$B906)))</f>
        <v/>
      </c>
      <c r="J906" s="44">
        <f>IF($B906="","",IF(INDEX('Work Orders'!$Z$11:$Z$1010,$B906)="","",INDEX('Work Orders'!$Z$11:$Z$1010,$B906)))</f>
        <v/>
      </c>
      <c r="K906" s="44">
        <f>IF($B906="","",IF(INDEX('Work Orders'!$AG$11:$AG$1010,$B906)="","",INDEX('Work Orders'!$AG$11:$AG$1010,$B906)))</f>
        <v/>
      </c>
      <c r="L906" s="44">
        <f>IF($B906="","",IF(INDEX('Work Orders'!$AH$11:$AH$1010,$B906)="","",INDEX('Work Orders'!$AH$11:$AH$1010,$B906)))</f>
        <v/>
      </c>
      <c r="M906" s="46">
        <f>IF($B906="","",IF(INDEX('Work Orders'!$AM$11:$AM$1010,$B906)="","",INDEX('Work Orders'!$AM$11:$AM$1010,$B906)))</f>
        <v/>
      </c>
      <c r="N906" s="43">
        <f>IF($B906="","",IF(INDEX('Work Orders'!$AL$11:$AL$1010,$B906)="","",INDEX('Work Orders'!$AL$11:$AL$1010,$B906)))</f>
        <v/>
      </c>
      <c r="O906" s="43">
        <f>IF($B906="","",IF(INDEX('Work Orders'!$N$11:$N$1010,$B906)="","",INDEX('Work Orders'!$N$11:$N$1010,$B906)))</f>
        <v/>
      </c>
    </row>
    <row r="907">
      <c r="A907" s="68" t="n">
        <v>901</v>
      </c>
      <c r="B907">
        <f>IFERROR(MATCH(A907,'Work Orders'!$AO$11:$AO$1010,0),"")</f>
        <v/>
      </c>
      <c r="C907" s="43">
        <f>IF($B907="","",IF(INDEX('Work Orders'!$A$11:$A$1010,$B907)="","",INDEX('Work Orders'!$A$11:$A$1010,$B907)))</f>
        <v/>
      </c>
      <c r="D907" s="43">
        <f>IF($B907="","",IF(INDEX('Work Orders'!$B$11:$B$1010,$B907)="","",INDEX('Work Orders'!$B$11:$B$1010,$B907)))</f>
        <v/>
      </c>
      <c r="E907" s="43">
        <f>IF($B907="","",IF(INDEX('Work Orders'!$D$11:$D$1010,$B907)="","",INDEX('Work Orders'!$D$11:$D$1010,$B907)))</f>
        <v/>
      </c>
      <c r="F907" s="43">
        <f>IF($B907="","",IF(INDEX('Work Orders'!$Q$11:$Q$1010,$B907)="","",INDEX('Work Orders'!$Q$11:$Q$1010,$B907)))</f>
        <v/>
      </c>
      <c r="G907" s="43">
        <f>IF($B907="","",IF(INDEX('Work Orders'!$V$11:$V$1010,$B907)="","",INDEX('Work Orders'!$V$11:$V$1010,$B907)))</f>
        <v/>
      </c>
      <c r="H907" s="47">
        <f>IF($B907="","",IF(INDEX('Work Orders'!$U$11:$U$1010,$B907)="","",INDEX('Work Orders'!$U$11:$U$1010,$B907)))</f>
        <v/>
      </c>
      <c r="I907" s="47">
        <f>IF($B907="","",IF(INDEX('Work Orders'!$X$11:$X$1010,$B907)="","",INDEX('Work Orders'!$X$11:$X$1010,$B907)))</f>
        <v/>
      </c>
      <c r="J907" s="44">
        <f>IF($B907="","",IF(INDEX('Work Orders'!$Z$11:$Z$1010,$B907)="","",INDEX('Work Orders'!$Z$11:$Z$1010,$B907)))</f>
        <v/>
      </c>
      <c r="K907" s="44">
        <f>IF($B907="","",IF(INDEX('Work Orders'!$AG$11:$AG$1010,$B907)="","",INDEX('Work Orders'!$AG$11:$AG$1010,$B907)))</f>
        <v/>
      </c>
      <c r="L907" s="44">
        <f>IF($B907="","",IF(INDEX('Work Orders'!$AH$11:$AH$1010,$B907)="","",INDEX('Work Orders'!$AH$11:$AH$1010,$B907)))</f>
        <v/>
      </c>
      <c r="M907" s="46">
        <f>IF($B907="","",IF(INDEX('Work Orders'!$AM$11:$AM$1010,$B907)="","",INDEX('Work Orders'!$AM$11:$AM$1010,$B907)))</f>
        <v/>
      </c>
      <c r="N907" s="43">
        <f>IF($B907="","",IF(INDEX('Work Orders'!$AL$11:$AL$1010,$B907)="","",INDEX('Work Orders'!$AL$11:$AL$1010,$B907)))</f>
        <v/>
      </c>
      <c r="O907" s="43">
        <f>IF($B907="","",IF(INDEX('Work Orders'!$N$11:$N$1010,$B907)="","",INDEX('Work Orders'!$N$11:$N$1010,$B907)))</f>
        <v/>
      </c>
    </row>
    <row r="908">
      <c r="A908" s="68" t="n">
        <v>902</v>
      </c>
      <c r="B908">
        <f>IFERROR(MATCH(A908,'Work Orders'!$AO$11:$AO$1010,0),"")</f>
        <v/>
      </c>
      <c r="C908" s="43">
        <f>IF($B908="","",IF(INDEX('Work Orders'!$A$11:$A$1010,$B908)="","",INDEX('Work Orders'!$A$11:$A$1010,$B908)))</f>
        <v/>
      </c>
      <c r="D908" s="43">
        <f>IF($B908="","",IF(INDEX('Work Orders'!$B$11:$B$1010,$B908)="","",INDEX('Work Orders'!$B$11:$B$1010,$B908)))</f>
        <v/>
      </c>
      <c r="E908" s="43">
        <f>IF($B908="","",IF(INDEX('Work Orders'!$D$11:$D$1010,$B908)="","",INDEX('Work Orders'!$D$11:$D$1010,$B908)))</f>
        <v/>
      </c>
      <c r="F908" s="43">
        <f>IF($B908="","",IF(INDEX('Work Orders'!$Q$11:$Q$1010,$B908)="","",INDEX('Work Orders'!$Q$11:$Q$1010,$B908)))</f>
        <v/>
      </c>
      <c r="G908" s="43">
        <f>IF($B908="","",IF(INDEX('Work Orders'!$V$11:$V$1010,$B908)="","",INDEX('Work Orders'!$V$11:$V$1010,$B908)))</f>
        <v/>
      </c>
      <c r="H908" s="47">
        <f>IF($B908="","",IF(INDEX('Work Orders'!$U$11:$U$1010,$B908)="","",INDEX('Work Orders'!$U$11:$U$1010,$B908)))</f>
        <v/>
      </c>
      <c r="I908" s="47">
        <f>IF($B908="","",IF(INDEX('Work Orders'!$X$11:$X$1010,$B908)="","",INDEX('Work Orders'!$X$11:$X$1010,$B908)))</f>
        <v/>
      </c>
      <c r="J908" s="44">
        <f>IF($B908="","",IF(INDEX('Work Orders'!$Z$11:$Z$1010,$B908)="","",INDEX('Work Orders'!$Z$11:$Z$1010,$B908)))</f>
        <v/>
      </c>
      <c r="K908" s="44">
        <f>IF($B908="","",IF(INDEX('Work Orders'!$AG$11:$AG$1010,$B908)="","",INDEX('Work Orders'!$AG$11:$AG$1010,$B908)))</f>
        <v/>
      </c>
      <c r="L908" s="44">
        <f>IF($B908="","",IF(INDEX('Work Orders'!$AH$11:$AH$1010,$B908)="","",INDEX('Work Orders'!$AH$11:$AH$1010,$B908)))</f>
        <v/>
      </c>
      <c r="M908" s="46">
        <f>IF($B908="","",IF(INDEX('Work Orders'!$AM$11:$AM$1010,$B908)="","",INDEX('Work Orders'!$AM$11:$AM$1010,$B908)))</f>
        <v/>
      </c>
      <c r="N908" s="43">
        <f>IF($B908="","",IF(INDEX('Work Orders'!$AL$11:$AL$1010,$B908)="","",INDEX('Work Orders'!$AL$11:$AL$1010,$B908)))</f>
        <v/>
      </c>
      <c r="O908" s="43">
        <f>IF($B908="","",IF(INDEX('Work Orders'!$N$11:$N$1010,$B908)="","",INDEX('Work Orders'!$N$11:$N$1010,$B908)))</f>
        <v/>
      </c>
    </row>
    <row r="909">
      <c r="A909" s="68" t="n">
        <v>903</v>
      </c>
      <c r="B909">
        <f>IFERROR(MATCH(A909,'Work Orders'!$AO$11:$AO$1010,0),"")</f>
        <v/>
      </c>
      <c r="C909" s="43">
        <f>IF($B909="","",IF(INDEX('Work Orders'!$A$11:$A$1010,$B909)="","",INDEX('Work Orders'!$A$11:$A$1010,$B909)))</f>
        <v/>
      </c>
      <c r="D909" s="43">
        <f>IF($B909="","",IF(INDEX('Work Orders'!$B$11:$B$1010,$B909)="","",INDEX('Work Orders'!$B$11:$B$1010,$B909)))</f>
        <v/>
      </c>
      <c r="E909" s="43">
        <f>IF($B909="","",IF(INDEX('Work Orders'!$D$11:$D$1010,$B909)="","",INDEX('Work Orders'!$D$11:$D$1010,$B909)))</f>
        <v/>
      </c>
      <c r="F909" s="43">
        <f>IF($B909="","",IF(INDEX('Work Orders'!$Q$11:$Q$1010,$B909)="","",INDEX('Work Orders'!$Q$11:$Q$1010,$B909)))</f>
        <v/>
      </c>
      <c r="G909" s="43">
        <f>IF($B909="","",IF(INDEX('Work Orders'!$V$11:$V$1010,$B909)="","",INDEX('Work Orders'!$V$11:$V$1010,$B909)))</f>
        <v/>
      </c>
      <c r="H909" s="47">
        <f>IF($B909="","",IF(INDEX('Work Orders'!$U$11:$U$1010,$B909)="","",INDEX('Work Orders'!$U$11:$U$1010,$B909)))</f>
        <v/>
      </c>
      <c r="I909" s="47">
        <f>IF($B909="","",IF(INDEX('Work Orders'!$X$11:$X$1010,$B909)="","",INDEX('Work Orders'!$X$11:$X$1010,$B909)))</f>
        <v/>
      </c>
      <c r="J909" s="44">
        <f>IF($B909="","",IF(INDEX('Work Orders'!$Z$11:$Z$1010,$B909)="","",INDEX('Work Orders'!$Z$11:$Z$1010,$B909)))</f>
        <v/>
      </c>
      <c r="K909" s="44">
        <f>IF($B909="","",IF(INDEX('Work Orders'!$AG$11:$AG$1010,$B909)="","",INDEX('Work Orders'!$AG$11:$AG$1010,$B909)))</f>
        <v/>
      </c>
      <c r="L909" s="44">
        <f>IF($B909="","",IF(INDEX('Work Orders'!$AH$11:$AH$1010,$B909)="","",INDEX('Work Orders'!$AH$11:$AH$1010,$B909)))</f>
        <v/>
      </c>
      <c r="M909" s="46">
        <f>IF($B909="","",IF(INDEX('Work Orders'!$AM$11:$AM$1010,$B909)="","",INDEX('Work Orders'!$AM$11:$AM$1010,$B909)))</f>
        <v/>
      </c>
      <c r="N909" s="43">
        <f>IF($B909="","",IF(INDEX('Work Orders'!$AL$11:$AL$1010,$B909)="","",INDEX('Work Orders'!$AL$11:$AL$1010,$B909)))</f>
        <v/>
      </c>
      <c r="O909" s="43">
        <f>IF($B909="","",IF(INDEX('Work Orders'!$N$11:$N$1010,$B909)="","",INDEX('Work Orders'!$N$11:$N$1010,$B909)))</f>
        <v/>
      </c>
    </row>
    <row r="910">
      <c r="A910" s="68" t="n">
        <v>904</v>
      </c>
      <c r="B910">
        <f>IFERROR(MATCH(A910,'Work Orders'!$AO$11:$AO$1010,0),"")</f>
        <v/>
      </c>
      <c r="C910" s="43">
        <f>IF($B910="","",IF(INDEX('Work Orders'!$A$11:$A$1010,$B910)="","",INDEX('Work Orders'!$A$11:$A$1010,$B910)))</f>
        <v/>
      </c>
      <c r="D910" s="43">
        <f>IF($B910="","",IF(INDEX('Work Orders'!$B$11:$B$1010,$B910)="","",INDEX('Work Orders'!$B$11:$B$1010,$B910)))</f>
        <v/>
      </c>
      <c r="E910" s="43">
        <f>IF($B910="","",IF(INDEX('Work Orders'!$D$11:$D$1010,$B910)="","",INDEX('Work Orders'!$D$11:$D$1010,$B910)))</f>
        <v/>
      </c>
      <c r="F910" s="43">
        <f>IF($B910="","",IF(INDEX('Work Orders'!$Q$11:$Q$1010,$B910)="","",INDEX('Work Orders'!$Q$11:$Q$1010,$B910)))</f>
        <v/>
      </c>
      <c r="G910" s="43">
        <f>IF($B910="","",IF(INDEX('Work Orders'!$V$11:$V$1010,$B910)="","",INDEX('Work Orders'!$V$11:$V$1010,$B910)))</f>
        <v/>
      </c>
      <c r="H910" s="47">
        <f>IF($B910="","",IF(INDEX('Work Orders'!$U$11:$U$1010,$B910)="","",INDEX('Work Orders'!$U$11:$U$1010,$B910)))</f>
        <v/>
      </c>
      <c r="I910" s="47">
        <f>IF($B910="","",IF(INDEX('Work Orders'!$X$11:$X$1010,$B910)="","",INDEX('Work Orders'!$X$11:$X$1010,$B910)))</f>
        <v/>
      </c>
      <c r="J910" s="44">
        <f>IF($B910="","",IF(INDEX('Work Orders'!$Z$11:$Z$1010,$B910)="","",INDEX('Work Orders'!$Z$11:$Z$1010,$B910)))</f>
        <v/>
      </c>
      <c r="K910" s="44">
        <f>IF($B910="","",IF(INDEX('Work Orders'!$AG$11:$AG$1010,$B910)="","",INDEX('Work Orders'!$AG$11:$AG$1010,$B910)))</f>
        <v/>
      </c>
      <c r="L910" s="44">
        <f>IF($B910="","",IF(INDEX('Work Orders'!$AH$11:$AH$1010,$B910)="","",INDEX('Work Orders'!$AH$11:$AH$1010,$B910)))</f>
        <v/>
      </c>
      <c r="M910" s="46">
        <f>IF($B910="","",IF(INDEX('Work Orders'!$AM$11:$AM$1010,$B910)="","",INDEX('Work Orders'!$AM$11:$AM$1010,$B910)))</f>
        <v/>
      </c>
      <c r="N910" s="43">
        <f>IF($B910="","",IF(INDEX('Work Orders'!$AL$11:$AL$1010,$B910)="","",INDEX('Work Orders'!$AL$11:$AL$1010,$B910)))</f>
        <v/>
      </c>
      <c r="O910" s="43">
        <f>IF($B910="","",IF(INDEX('Work Orders'!$N$11:$N$1010,$B910)="","",INDEX('Work Orders'!$N$11:$N$1010,$B910)))</f>
        <v/>
      </c>
    </row>
    <row r="911">
      <c r="A911" s="68" t="n">
        <v>905</v>
      </c>
      <c r="B911">
        <f>IFERROR(MATCH(A911,'Work Orders'!$AO$11:$AO$1010,0),"")</f>
        <v/>
      </c>
      <c r="C911" s="43">
        <f>IF($B911="","",IF(INDEX('Work Orders'!$A$11:$A$1010,$B911)="","",INDEX('Work Orders'!$A$11:$A$1010,$B911)))</f>
        <v/>
      </c>
      <c r="D911" s="43">
        <f>IF($B911="","",IF(INDEX('Work Orders'!$B$11:$B$1010,$B911)="","",INDEX('Work Orders'!$B$11:$B$1010,$B911)))</f>
        <v/>
      </c>
      <c r="E911" s="43">
        <f>IF($B911="","",IF(INDEX('Work Orders'!$D$11:$D$1010,$B911)="","",INDEX('Work Orders'!$D$11:$D$1010,$B911)))</f>
        <v/>
      </c>
      <c r="F911" s="43">
        <f>IF($B911="","",IF(INDEX('Work Orders'!$Q$11:$Q$1010,$B911)="","",INDEX('Work Orders'!$Q$11:$Q$1010,$B911)))</f>
        <v/>
      </c>
      <c r="G911" s="43">
        <f>IF($B911="","",IF(INDEX('Work Orders'!$V$11:$V$1010,$B911)="","",INDEX('Work Orders'!$V$11:$V$1010,$B911)))</f>
        <v/>
      </c>
      <c r="H911" s="47">
        <f>IF($B911="","",IF(INDEX('Work Orders'!$U$11:$U$1010,$B911)="","",INDEX('Work Orders'!$U$11:$U$1010,$B911)))</f>
        <v/>
      </c>
      <c r="I911" s="47">
        <f>IF($B911="","",IF(INDEX('Work Orders'!$X$11:$X$1010,$B911)="","",INDEX('Work Orders'!$X$11:$X$1010,$B911)))</f>
        <v/>
      </c>
      <c r="J911" s="44">
        <f>IF($B911="","",IF(INDEX('Work Orders'!$Z$11:$Z$1010,$B911)="","",INDEX('Work Orders'!$Z$11:$Z$1010,$B911)))</f>
        <v/>
      </c>
      <c r="K911" s="44">
        <f>IF($B911="","",IF(INDEX('Work Orders'!$AG$11:$AG$1010,$B911)="","",INDEX('Work Orders'!$AG$11:$AG$1010,$B911)))</f>
        <v/>
      </c>
      <c r="L911" s="44">
        <f>IF($B911="","",IF(INDEX('Work Orders'!$AH$11:$AH$1010,$B911)="","",INDEX('Work Orders'!$AH$11:$AH$1010,$B911)))</f>
        <v/>
      </c>
      <c r="M911" s="46">
        <f>IF($B911="","",IF(INDEX('Work Orders'!$AM$11:$AM$1010,$B911)="","",INDEX('Work Orders'!$AM$11:$AM$1010,$B911)))</f>
        <v/>
      </c>
      <c r="N911" s="43">
        <f>IF($B911="","",IF(INDEX('Work Orders'!$AL$11:$AL$1010,$B911)="","",INDEX('Work Orders'!$AL$11:$AL$1010,$B911)))</f>
        <v/>
      </c>
      <c r="O911" s="43">
        <f>IF($B911="","",IF(INDEX('Work Orders'!$N$11:$N$1010,$B911)="","",INDEX('Work Orders'!$N$11:$N$1010,$B911)))</f>
        <v/>
      </c>
    </row>
    <row r="912">
      <c r="A912" s="68" t="n">
        <v>906</v>
      </c>
      <c r="B912">
        <f>IFERROR(MATCH(A912,'Work Orders'!$AO$11:$AO$1010,0),"")</f>
        <v/>
      </c>
      <c r="C912" s="43">
        <f>IF($B912="","",IF(INDEX('Work Orders'!$A$11:$A$1010,$B912)="","",INDEX('Work Orders'!$A$11:$A$1010,$B912)))</f>
        <v/>
      </c>
      <c r="D912" s="43">
        <f>IF($B912="","",IF(INDEX('Work Orders'!$B$11:$B$1010,$B912)="","",INDEX('Work Orders'!$B$11:$B$1010,$B912)))</f>
        <v/>
      </c>
      <c r="E912" s="43">
        <f>IF($B912="","",IF(INDEX('Work Orders'!$D$11:$D$1010,$B912)="","",INDEX('Work Orders'!$D$11:$D$1010,$B912)))</f>
        <v/>
      </c>
      <c r="F912" s="43">
        <f>IF($B912="","",IF(INDEX('Work Orders'!$Q$11:$Q$1010,$B912)="","",INDEX('Work Orders'!$Q$11:$Q$1010,$B912)))</f>
        <v/>
      </c>
      <c r="G912" s="43">
        <f>IF($B912="","",IF(INDEX('Work Orders'!$V$11:$V$1010,$B912)="","",INDEX('Work Orders'!$V$11:$V$1010,$B912)))</f>
        <v/>
      </c>
      <c r="H912" s="47">
        <f>IF($B912="","",IF(INDEX('Work Orders'!$U$11:$U$1010,$B912)="","",INDEX('Work Orders'!$U$11:$U$1010,$B912)))</f>
        <v/>
      </c>
      <c r="I912" s="47">
        <f>IF($B912="","",IF(INDEX('Work Orders'!$X$11:$X$1010,$B912)="","",INDEX('Work Orders'!$X$11:$X$1010,$B912)))</f>
        <v/>
      </c>
      <c r="J912" s="44">
        <f>IF($B912="","",IF(INDEX('Work Orders'!$Z$11:$Z$1010,$B912)="","",INDEX('Work Orders'!$Z$11:$Z$1010,$B912)))</f>
        <v/>
      </c>
      <c r="K912" s="44">
        <f>IF($B912="","",IF(INDEX('Work Orders'!$AG$11:$AG$1010,$B912)="","",INDEX('Work Orders'!$AG$11:$AG$1010,$B912)))</f>
        <v/>
      </c>
      <c r="L912" s="44">
        <f>IF($B912="","",IF(INDEX('Work Orders'!$AH$11:$AH$1010,$B912)="","",INDEX('Work Orders'!$AH$11:$AH$1010,$B912)))</f>
        <v/>
      </c>
      <c r="M912" s="46">
        <f>IF($B912="","",IF(INDEX('Work Orders'!$AM$11:$AM$1010,$B912)="","",INDEX('Work Orders'!$AM$11:$AM$1010,$B912)))</f>
        <v/>
      </c>
      <c r="N912" s="43">
        <f>IF($B912="","",IF(INDEX('Work Orders'!$AL$11:$AL$1010,$B912)="","",INDEX('Work Orders'!$AL$11:$AL$1010,$B912)))</f>
        <v/>
      </c>
      <c r="O912" s="43">
        <f>IF($B912="","",IF(INDEX('Work Orders'!$N$11:$N$1010,$B912)="","",INDEX('Work Orders'!$N$11:$N$1010,$B912)))</f>
        <v/>
      </c>
    </row>
    <row r="913">
      <c r="A913" s="68" t="n">
        <v>907</v>
      </c>
      <c r="B913">
        <f>IFERROR(MATCH(A913,'Work Orders'!$AO$11:$AO$1010,0),"")</f>
        <v/>
      </c>
      <c r="C913" s="43">
        <f>IF($B913="","",IF(INDEX('Work Orders'!$A$11:$A$1010,$B913)="","",INDEX('Work Orders'!$A$11:$A$1010,$B913)))</f>
        <v/>
      </c>
      <c r="D913" s="43">
        <f>IF($B913="","",IF(INDEX('Work Orders'!$B$11:$B$1010,$B913)="","",INDEX('Work Orders'!$B$11:$B$1010,$B913)))</f>
        <v/>
      </c>
      <c r="E913" s="43">
        <f>IF($B913="","",IF(INDEX('Work Orders'!$D$11:$D$1010,$B913)="","",INDEX('Work Orders'!$D$11:$D$1010,$B913)))</f>
        <v/>
      </c>
      <c r="F913" s="43">
        <f>IF($B913="","",IF(INDEX('Work Orders'!$Q$11:$Q$1010,$B913)="","",INDEX('Work Orders'!$Q$11:$Q$1010,$B913)))</f>
        <v/>
      </c>
      <c r="G913" s="43">
        <f>IF($B913="","",IF(INDEX('Work Orders'!$V$11:$V$1010,$B913)="","",INDEX('Work Orders'!$V$11:$V$1010,$B913)))</f>
        <v/>
      </c>
      <c r="H913" s="47">
        <f>IF($B913="","",IF(INDEX('Work Orders'!$U$11:$U$1010,$B913)="","",INDEX('Work Orders'!$U$11:$U$1010,$B913)))</f>
        <v/>
      </c>
      <c r="I913" s="47">
        <f>IF($B913="","",IF(INDEX('Work Orders'!$X$11:$X$1010,$B913)="","",INDEX('Work Orders'!$X$11:$X$1010,$B913)))</f>
        <v/>
      </c>
      <c r="J913" s="44">
        <f>IF($B913="","",IF(INDEX('Work Orders'!$Z$11:$Z$1010,$B913)="","",INDEX('Work Orders'!$Z$11:$Z$1010,$B913)))</f>
        <v/>
      </c>
      <c r="K913" s="44">
        <f>IF($B913="","",IF(INDEX('Work Orders'!$AG$11:$AG$1010,$B913)="","",INDEX('Work Orders'!$AG$11:$AG$1010,$B913)))</f>
        <v/>
      </c>
      <c r="L913" s="44">
        <f>IF($B913="","",IF(INDEX('Work Orders'!$AH$11:$AH$1010,$B913)="","",INDEX('Work Orders'!$AH$11:$AH$1010,$B913)))</f>
        <v/>
      </c>
      <c r="M913" s="46">
        <f>IF($B913="","",IF(INDEX('Work Orders'!$AM$11:$AM$1010,$B913)="","",INDEX('Work Orders'!$AM$11:$AM$1010,$B913)))</f>
        <v/>
      </c>
      <c r="N913" s="43">
        <f>IF($B913="","",IF(INDEX('Work Orders'!$AL$11:$AL$1010,$B913)="","",INDEX('Work Orders'!$AL$11:$AL$1010,$B913)))</f>
        <v/>
      </c>
      <c r="O913" s="43">
        <f>IF($B913="","",IF(INDEX('Work Orders'!$N$11:$N$1010,$B913)="","",INDEX('Work Orders'!$N$11:$N$1010,$B913)))</f>
        <v/>
      </c>
    </row>
    <row r="914">
      <c r="A914" s="68" t="n">
        <v>908</v>
      </c>
      <c r="B914">
        <f>IFERROR(MATCH(A914,'Work Orders'!$AO$11:$AO$1010,0),"")</f>
        <v/>
      </c>
      <c r="C914" s="43">
        <f>IF($B914="","",IF(INDEX('Work Orders'!$A$11:$A$1010,$B914)="","",INDEX('Work Orders'!$A$11:$A$1010,$B914)))</f>
        <v/>
      </c>
      <c r="D914" s="43">
        <f>IF($B914="","",IF(INDEX('Work Orders'!$B$11:$B$1010,$B914)="","",INDEX('Work Orders'!$B$11:$B$1010,$B914)))</f>
        <v/>
      </c>
      <c r="E914" s="43">
        <f>IF($B914="","",IF(INDEX('Work Orders'!$D$11:$D$1010,$B914)="","",INDEX('Work Orders'!$D$11:$D$1010,$B914)))</f>
        <v/>
      </c>
      <c r="F914" s="43">
        <f>IF($B914="","",IF(INDEX('Work Orders'!$Q$11:$Q$1010,$B914)="","",INDEX('Work Orders'!$Q$11:$Q$1010,$B914)))</f>
        <v/>
      </c>
      <c r="G914" s="43">
        <f>IF($B914="","",IF(INDEX('Work Orders'!$V$11:$V$1010,$B914)="","",INDEX('Work Orders'!$V$11:$V$1010,$B914)))</f>
        <v/>
      </c>
      <c r="H914" s="47">
        <f>IF($B914="","",IF(INDEX('Work Orders'!$U$11:$U$1010,$B914)="","",INDEX('Work Orders'!$U$11:$U$1010,$B914)))</f>
        <v/>
      </c>
      <c r="I914" s="47">
        <f>IF($B914="","",IF(INDEX('Work Orders'!$X$11:$X$1010,$B914)="","",INDEX('Work Orders'!$X$11:$X$1010,$B914)))</f>
        <v/>
      </c>
      <c r="J914" s="44">
        <f>IF($B914="","",IF(INDEX('Work Orders'!$Z$11:$Z$1010,$B914)="","",INDEX('Work Orders'!$Z$11:$Z$1010,$B914)))</f>
        <v/>
      </c>
      <c r="K914" s="44">
        <f>IF($B914="","",IF(INDEX('Work Orders'!$AG$11:$AG$1010,$B914)="","",INDEX('Work Orders'!$AG$11:$AG$1010,$B914)))</f>
        <v/>
      </c>
      <c r="L914" s="44">
        <f>IF($B914="","",IF(INDEX('Work Orders'!$AH$11:$AH$1010,$B914)="","",INDEX('Work Orders'!$AH$11:$AH$1010,$B914)))</f>
        <v/>
      </c>
      <c r="M914" s="46">
        <f>IF($B914="","",IF(INDEX('Work Orders'!$AM$11:$AM$1010,$B914)="","",INDEX('Work Orders'!$AM$11:$AM$1010,$B914)))</f>
        <v/>
      </c>
      <c r="N914" s="43">
        <f>IF($B914="","",IF(INDEX('Work Orders'!$AL$11:$AL$1010,$B914)="","",INDEX('Work Orders'!$AL$11:$AL$1010,$B914)))</f>
        <v/>
      </c>
      <c r="O914" s="43">
        <f>IF($B914="","",IF(INDEX('Work Orders'!$N$11:$N$1010,$B914)="","",INDEX('Work Orders'!$N$11:$N$1010,$B914)))</f>
        <v/>
      </c>
    </row>
    <row r="915">
      <c r="A915" s="68" t="n">
        <v>909</v>
      </c>
      <c r="B915">
        <f>IFERROR(MATCH(A915,'Work Orders'!$AO$11:$AO$1010,0),"")</f>
        <v/>
      </c>
      <c r="C915" s="43">
        <f>IF($B915="","",IF(INDEX('Work Orders'!$A$11:$A$1010,$B915)="","",INDEX('Work Orders'!$A$11:$A$1010,$B915)))</f>
        <v/>
      </c>
      <c r="D915" s="43">
        <f>IF($B915="","",IF(INDEX('Work Orders'!$B$11:$B$1010,$B915)="","",INDEX('Work Orders'!$B$11:$B$1010,$B915)))</f>
        <v/>
      </c>
      <c r="E915" s="43">
        <f>IF($B915="","",IF(INDEX('Work Orders'!$D$11:$D$1010,$B915)="","",INDEX('Work Orders'!$D$11:$D$1010,$B915)))</f>
        <v/>
      </c>
      <c r="F915" s="43">
        <f>IF($B915="","",IF(INDEX('Work Orders'!$Q$11:$Q$1010,$B915)="","",INDEX('Work Orders'!$Q$11:$Q$1010,$B915)))</f>
        <v/>
      </c>
      <c r="G915" s="43">
        <f>IF($B915="","",IF(INDEX('Work Orders'!$V$11:$V$1010,$B915)="","",INDEX('Work Orders'!$V$11:$V$1010,$B915)))</f>
        <v/>
      </c>
      <c r="H915" s="47">
        <f>IF($B915="","",IF(INDEX('Work Orders'!$U$11:$U$1010,$B915)="","",INDEX('Work Orders'!$U$11:$U$1010,$B915)))</f>
        <v/>
      </c>
      <c r="I915" s="47">
        <f>IF($B915="","",IF(INDEX('Work Orders'!$X$11:$X$1010,$B915)="","",INDEX('Work Orders'!$X$11:$X$1010,$B915)))</f>
        <v/>
      </c>
      <c r="J915" s="44">
        <f>IF($B915="","",IF(INDEX('Work Orders'!$Z$11:$Z$1010,$B915)="","",INDEX('Work Orders'!$Z$11:$Z$1010,$B915)))</f>
        <v/>
      </c>
      <c r="K915" s="44">
        <f>IF($B915="","",IF(INDEX('Work Orders'!$AG$11:$AG$1010,$B915)="","",INDEX('Work Orders'!$AG$11:$AG$1010,$B915)))</f>
        <v/>
      </c>
      <c r="L915" s="44">
        <f>IF($B915="","",IF(INDEX('Work Orders'!$AH$11:$AH$1010,$B915)="","",INDEX('Work Orders'!$AH$11:$AH$1010,$B915)))</f>
        <v/>
      </c>
      <c r="M915" s="46">
        <f>IF($B915="","",IF(INDEX('Work Orders'!$AM$11:$AM$1010,$B915)="","",INDEX('Work Orders'!$AM$11:$AM$1010,$B915)))</f>
        <v/>
      </c>
      <c r="N915" s="43">
        <f>IF($B915="","",IF(INDEX('Work Orders'!$AL$11:$AL$1010,$B915)="","",INDEX('Work Orders'!$AL$11:$AL$1010,$B915)))</f>
        <v/>
      </c>
      <c r="O915" s="43">
        <f>IF($B915="","",IF(INDEX('Work Orders'!$N$11:$N$1010,$B915)="","",INDEX('Work Orders'!$N$11:$N$1010,$B915)))</f>
        <v/>
      </c>
    </row>
    <row r="916">
      <c r="A916" s="68" t="n">
        <v>910</v>
      </c>
      <c r="B916">
        <f>IFERROR(MATCH(A916,'Work Orders'!$AO$11:$AO$1010,0),"")</f>
        <v/>
      </c>
      <c r="C916" s="43">
        <f>IF($B916="","",IF(INDEX('Work Orders'!$A$11:$A$1010,$B916)="","",INDEX('Work Orders'!$A$11:$A$1010,$B916)))</f>
        <v/>
      </c>
      <c r="D916" s="43">
        <f>IF($B916="","",IF(INDEX('Work Orders'!$B$11:$B$1010,$B916)="","",INDEX('Work Orders'!$B$11:$B$1010,$B916)))</f>
        <v/>
      </c>
      <c r="E916" s="43">
        <f>IF($B916="","",IF(INDEX('Work Orders'!$D$11:$D$1010,$B916)="","",INDEX('Work Orders'!$D$11:$D$1010,$B916)))</f>
        <v/>
      </c>
      <c r="F916" s="43">
        <f>IF($B916="","",IF(INDEX('Work Orders'!$Q$11:$Q$1010,$B916)="","",INDEX('Work Orders'!$Q$11:$Q$1010,$B916)))</f>
        <v/>
      </c>
      <c r="G916" s="43">
        <f>IF($B916="","",IF(INDEX('Work Orders'!$V$11:$V$1010,$B916)="","",INDEX('Work Orders'!$V$11:$V$1010,$B916)))</f>
        <v/>
      </c>
      <c r="H916" s="47">
        <f>IF($B916="","",IF(INDEX('Work Orders'!$U$11:$U$1010,$B916)="","",INDEX('Work Orders'!$U$11:$U$1010,$B916)))</f>
        <v/>
      </c>
      <c r="I916" s="47">
        <f>IF($B916="","",IF(INDEX('Work Orders'!$X$11:$X$1010,$B916)="","",INDEX('Work Orders'!$X$11:$X$1010,$B916)))</f>
        <v/>
      </c>
      <c r="J916" s="44">
        <f>IF($B916="","",IF(INDEX('Work Orders'!$Z$11:$Z$1010,$B916)="","",INDEX('Work Orders'!$Z$11:$Z$1010,$B916)))</f>
        <v/>
      </c>
      <c r="K916" s="44">
        <f>IF($B916="","",IF(INDEX('Work Orders'!$AG$11:$AG$1010,$B916)="","",INDEX('Work Orders'!$AG$11:$AG$1010,$B916)))</f>
        <v/>
      </c>
      <c r="L916" s="44">
        <f>IF($B916="","",IF(INDEX('Work Orders'!$AH$11:$AH$1010,$B916)="","",INDEX('Work Orders'!$AH$11:$AH$1010,$B916)))</f>
        <v/>
      </c>
      <c r="M916" s="46">
        <f>IF($B916="","",IF(INDEX('Work Orders'!$AM$11:$AM$1010,$B916)="","",INDEX('Work Orders'!$AM$11:$AM$1010,$B916)))</f>
        <v/>
      </c>
      <c r="N916" s="43">
        <f>IF($B916="","",IF(INDEX('Work Orders'!$AL$11:$AL$1010,$B916)="","",INDEX('Work Orders'!$AL$11:$AL$1010,$B916)))</f>
        <v/>
      </c>
      <c r="O916" s="43">
        <f>IF($B916="","",IF(INDEX('Work Orders'!$N$11:$N$1010,$B916)="","",INDEX('Work Orders'!$N$11:$N$1010,$B916)))</f>
        <v/>
      </c>
    </row>
    <row r="917">
      <c r="A917" s="68" t="n">
        <v>911</v>
      </c>
      <c r="B917">
        <f>IFERROR(MATCH(A917,'Work Orders'!$AO$11:$AO$1010,0),"")</f>
        <v/>
      </c>
      <c r="C917" s="43">
        <f>IF($B917="","",IF(INDEX('Work Orders'!$A$11:$A$1010,$B917)="","",INDEX('Work Orders'!$A$11:$A$1010,$B917)))</f>
        <v/>
      </c>
      <c r="D917" s="43">
        <f>IF($B917="","",IF(INDEX('Work Orders'!$B$11:$B$1010,$B917)="","",INDEX('Work Orders'!$B$11:$B$1010,$B917)))</f>
        <v/>
      </c>
      <c r="E917" s="43">
        <f>IF($B917="","",IF(INDEX('Work Orders'!$D$11:$D$1010,$B917)="","",INDEX('Work Orders'!$D$11:$D$1010,$B917)))</f>
        <v/>
      </c>
      <c r="F917" s="43">
        <f>IF($B917="","",IF(INDEX('Work Orders'!$Q$11:$Q$1010,$B917)="","",INDEX('Work Orders'!$Q$11:$Q$1010,$B917)))</f>
        <v/>
      </c>
      <c r="G917" s="43">
        <f>IF($B917="","",IF(INDEX('Work Orders'!$V$11:$V$1010,$B917)="","",INDEX('Work Orders'!$V$11:$V$1010,$B917)))</f>
        <v/>
      </c>
      <c r="H917" s="47">
        <f>IF($B917="","",IF(INDEX('Work Orders'!$U$11:$U$1010,$B917)="","",INDEX('Work Orders'!$U$11:$U$1010,$B917)))</f>
        <v/>
      </c>
      <c r="I917" s="47">
        <f>IF($B917="","",IF(INDEX('Work Orders'!$X$11:$X$1010,$B917)="","",INDEX('Work Orders'!$X$11:$X$1010,$B917)))</f>
        <v/>
      </c>
      <c r="J917" s="44">
        <f>IF($B917="","",IF(INDEX('Work Orders'!$Z$11:$Z$1010,$B917)="","",INDEX('Work Orders'!$Z$11:$Z$1010,$B917)))</f>
        <v/>
      </c>
      <c r="K917" s="44">
        <f>IF($B917="","",IF(INDEX('Work Orders'!$AG$11:$AG$1010,$B917)="","",INDEX('Work Orders'!$AG$11:$AG$1010,$B917)))</f>
        <v/>
      </c>
      <c r="L917" s="44">
        <f>IF($B917="","",IF(INDEX('Work Orders'!$AH$11:$AH$1010,$B917)="","",INDEX('Work Orders'!$AH$11:$AH$1010,$B917)))</f>
        <v/>
      </c>
      <c r="M917" s="46">
        <f>IF($B917="","",IF(INDEX('Work Orders'!$AM$11:$AM$1010,$B917)="","",INDEX('Work Orders'!$AM$11:$AM$1010,$B917)))</f>
        <v/>
      </c>
      <c r="N917" s="43">
        <f>IF($B917="","",IF(INDEX('Work Orders'!$AL$11:$AL$1010,$B917)="","",INDEX('Work Orders'!$AL$11:$AL$1010,$B917)))</f>
        <v/>
      </c>
      <c r="O917" s="43">
        <f>IF($B917="","",IF(INDEX('Work Orders'!$N$11:$N$1010,$B917)="","",INDEX('Work Orders'!$N$11:$N$1010,$B917)))</f>
        <v/>
      </c>
    </row>
    <row r="918">
      <c r="A918" s="68" t="n">
        <v>912</v>
      </c>
      <c r="B918">
        <f>IFERROR(MATCH(A918,'Work Orders'!$AO$11:$AO$1010,0),"")</f>
        <v/>
      </c>
      <c r="C918" s="43">
        <f>IF($B918="","",IF(INDEX('Work Orders'!$A$11:$A$1010,$B918)="","",INDEX('Work Orders'!$A$11:$A$1010,$B918)))</f>
        <v/>
      </c>
      <c r="D918" s="43">
        <f>IF($B918="","",IF(INDEX('Work Orders'!$B$11:$B$1010,$B918)="","",INDEX('Work Orders'!$B$11:$B$1010,$B918)))</f>
        <v/>
      </c>
      <c r="E918" s="43">
        <f>IF($B918="","",IF(INDEX('Work Orders'!$D$11:$D$1010,$B918)="","",INDEX('Work Orders'!$D$11:$D$1010,$B918)))</f>
        <v/>
      </c>
      <c r="F918" s="43">
        <f>IF($B918="","",IF(INDEX('Work Orders'!$Q$11:$Q$1010,$B918)="","",INDEX('Work Orders'!$Q$11:$Q$1010,$B918)))</f>
        <v/>
      </c>
      <c r="G918" s="43">
        <f>IF($B918="","",IF(INDEX('Work Orders'!$V$11:$V$1010,$B918)="","",INDEX('Work Orders'!$V$11:$V$1010,$B918)))</f>
        <v/>
      </c>
      <c r="H918" s="47">
        <f>IF($B918="","",IF(INDEX('Work Orders'!$U$11:$U$1010,$B918)="","",INDEX('Work Orders'!$U$11:$U$1010,$B918)))</f>
        <v/>
      </c>
      <c r="I918" s="47">
        <f>IF($B918="","",IF(INDEX('Work Orders'!$X$11:$X$1010,$B918)="","",INDEX('Work Orders'!$X$11:$X$1010,$B918)))</f>
        <v/>
      </c>
      <c r="J918" s="44">
        <f>IF($B918="","",IF(INDEX('Work Orders'!$Z$11:$Z$1010,$B918)="","",INDEX('Work Orders'!$Z$11:$Z$1010,$B918)))</f>
        <v/>
      </c>
      <c r="K918" s="44">
        <f>IF($B918="","",IF(INDEX('Work Orders'!$AG$11:$AG$1010,$B918)="","",INDEX('Work Orders'!$AG$11:$AG$1010,$B918)))</f>
        <v/>
      </c>
      <c r="L918" s="44">
        <f>IF($B918="","",IF(INDEX('Work Orders'!$AH$11:$AH$1010,$B918)="","",INDEX('Work Orders'!$AH$11:$AH$1010,$B918)))</f>
        <v/>
      </c>
      <c r="M918" s="46">
        <f>IF($B918="","",IF(INDEX('Work Orders'!$AM$11:$AM$1010,$B918)="","",INDEX('Work Orders'!$AM$11:$AM$1010,$B918)))</f>
        <v/>
      </c>
      <c r="N918" s="43">
        <f>IF($B918="","",IF(INDEX('Work Orders'!$AL$11:$AL$1010,$B918)="","",INDEX('Work Orders'!$AL$11:$AL$1010,$B918)))</f>
        <v/>
      </c>
      <c r="O918" s="43">
        <f>IF($B918="","",IF(INDEX('Work Orders'!$N$11:$N$1010,$B918)="","",INDEX('Work Orders'!$N$11:$N$1010,$B918)))</f>
        <v/>
      </c>
    </row>
    <row r="919">
      <c r="A919" s="68" t="n">
        <v>913</v>
      </c>
      <c r="B919">
        <f>IFERROR(MATCH(A919,'Work Orders'!$AO$11:$AO$1010,0),"")</f>
        <v/>
      </c>
      <c r="C919" s="43">
        <f>IF($B919="","",IF(INDEX('Work Orders'!$A$11:$A$1010,$B919)="","",INDEX('Work Orders'!$A$11:$A$1010,$B919)))</f>
        <v/>
      </c>
      <c r="D919" s="43">
        <f>IF($B919="","",IF(INDEX('Work Orders'!$B$11:$B$1010,$B919)="","",INDEX('Work Orders'!$B$11:$B$1010,$B919)))</f>
        <v/>
      </c>
      <c r="E919" s="43">
        <f>IF($B919="","",IF(INDEX('Work Orders'!$D$11:$D$1010,$B919)="","",INDEX('Work Orders'!$D$11:$D$1010,$B919)))</f>
        <v/>
      </c>
      <c r="F919" s="43">
        <f>IF($B919="","",IF(INDEX('Work Orders'!$Q$11:$Q$1010,$B919)="","",INDEX('Work Orders'!$Q$11:$Q$1010,$B919)))</f>
        <v/>
      </c>
      <c r="G919" s="43">
        <f>IF($B919="","",IF(INDEX('Work Orders'!$V$11:$V$1010,$B919)="","",INDEX('Work Orders'!$V$11:$V$1010,$B919)))</f>
        <v/>
      </c>
      <c r="H919" s="47">
        <f>IF($B919="","",IF(INDEX('Work Orders'!$U$11:$U$1010,$B919)="","",INDEX('Work Orders'!$U$11:$U$1010,$B919)))</f>
        <v/>
      </c>
      <c r="I919" s="47">
        <f>IF($B919="","",IF(INDEX('Work Orders'!$X$11:$X$1010,$B919)="","",INDEX('Work Orders'!$X$11:$X$1010,$B919)))</f>
        <v/>
      </c>
      <c r="J919" s="44">
        <f>IF($B919="","",IF(INDEX('Work Orders'!$Z$11:$Z$1010,$B919)="","",INDEX('Work Orders'!$Z$11:$Z$1010,$B919)))</f>
        <v/>
      </c>
      <c r="K919" s="44">
        <f>IF($B919="","",IF(INDEX('Work Orders'!$AG$11:$AG$1010,$B919)="","",INDEX('Work Orders'!$AG$11:$AG$1010,$B919)))</f>
        <v/>
      </c>
      <c r="L919" s="44">
        <f>IF($B919="","",IF(INDEX('Work Orders'!$AH$11:$AH$1010,$B919)="","",INDEX('Work Orders'!$AH$11:$AH$1010,$B919)))</f>
        <v/>
      </c>
      <c r="M919" s="46">
        <f>IF($B919="","",IF(INDEX('Work Orders'!$AM$11:$AM$1010,$B919)="","",INDEX('Work Orders'!$AM$11:$AM$1010,$B919)))</f>
        <v/>
      </c>
      <c r="N919" s="43">
        <f>IF($B919="","",IF(INDEX('Work Orders'!$AL$11:$AL$1010,$B919)="","",INDEX('Work Orders'!$AL$11:$AL$1010,$B919)))</f>
        <v/>
      </c>
      <c r="O919" s="43">
        <f>IF($B919="","",IF(INDEX('Work Orders'!$N$11:$N$1010,$B919)="","",INDEX('Work Orders'!$N$11:$N$1010,$B919)))</f>
        <v/>
      </c>
    </row>
    <row r="920">
      <c r="A920" s="68" t="n">
        <v>914</v>
      </c>
      <c r="B920">
        <f>IFERROR(MATCH(A920,'Work Orders'!$AO$11:$AO$1010,0),"")</f>
        <v/>
      </c>
      <c r="C920" s="43">
        <f>IF($B920="","",IF(INDEX('Work Orders'!$A$11:$A$1010,$B920)="","",INDEX('Work Orders'!$A$11:$A$1010,$B920)))</f>
        <v/>
      </c>
      <c r="D920" s="43">
        <f>IF($B920="","",IF(INDEX('Work Orders'!$B$11:$B$1010,$B920)="","",INDEX('Work Orders'!$B$11:$B$1010,$B920)))</f>
        <v/>
      </c>
      <c r="E920" s="43">
        <f>IF($B920="","",IF(INDEX('Work Orders'!$D$11:$D$1010,$B920)="","",INDEX('Work Orders'!$D$11:$D$1010,$B920)))</f>
        <v/>
      </c>
      <c r="F920" s="43">
        <f>IF($B920="","",IF(INDEX('Work Orders'!$Q$11:$Q$1010,$B920)="","",INDEX('Work Orders'!$Q$11:$Q$1010,$B920)))</f>
        <v/>
      </c>
      <c r="G920" s="43">
        <f>IF($B920="","",IF(INDEX('Work Orders'!$V$11:$V$1010,$B920)="","",INDEX('Work Orders'!$V$11:$V$1010,$B920)))</f>
        <v/>
      </c>
      <c r="H920" s="47">
        <f>IF($B920="","",IF(INDEX('Work Orders'!$U$11:$U$1010,$B920)="","",INDEX('Work Orders'!$U$11:$U$1010,$B920)))</f>
        <v/>
      </c>
      <c r="I920" s="47">
        <f>IF($B920="","",IF(INDEX('Work Orders'!$X$11:$X$1010,$B920)="","",INDEX('Work Orders'!$X$11:$X$1010,$B920)))</f>
        <v/>
      </c>
      <c r="J920" s="44">
        <f>IF($B920="","",IF(INDEX('Work Orders'!$Z$11:$Z$1010,$B920)="","",INDEX('Work Orders'!$Z$11:$Z$1010,$B920)))</f>
        <v/>
      </c>
      <c r="K920" s="44">
        <f>IF($B920="","",IF(INDEX('Work Orders'!$AG$11:$AG$1010,$B920)="","",INDEX('Work Orders'!$AG$11:$AG$1010,$B920)))</f>
        <v/>
      </c>
      <c r="L920" s="44">
        <f>IF($B920="","",IF(INDEX('Work Orders'!$AH$11:$AH$1010,$B920)="","",INDEX('Work Orders'!$AH$11:$AH$1010,$B920)))</f>
        <v/>
      </c>
      <c r="M920" s="46">
        <f>IF($B920="","",IF(INDEX('Work Orders'!$AM$11:$AM$1010,$B920)="","",INDEX('Work Orders'!$AM$11:$AM$1010,$B920)))</f>
        <v/>
      </c>
      <c r="N920" s="43">
        <f>IF($B920="","",IF(INDEX('Work Orders'!$AL$11:$AL$1010,$B920)="","",INDEX('Work Orders'!$AL$11:$AL$1010,$B920)))</f>
        <v/>
      </c>
      <c r="O920" s="43">
        <f>IF($B920="","",IF(INDEX('Work Orders'!$N$11:$N$1010,$B920)="","",INDEX('Work Orders'!$N$11:$N$1010,$B920)))</f>
        <v/>
      </c>
    </row>
    <row r="921">
      <c r="A921" s="68" t="n">
        <v>915</v>
      </c>
      <c r="B921">
        <f>IFERROR(MATCH(A921,'Work Orders'!$AO$11:$AO$1010,0),"")</f>
        <v/>
      </c>
      <c r="C921" s="43">
        <f>IF($B921="","",IF(INDEX('Work Orders'!$A$11:$A$1010,$B921)="","",INDEX('Work Orders'!$A$11:$A$1010,$B921)))</f>
        <v/>
      </c>
      <c r="D921" s="43">
        <f>IF($B921="","",IF(INDEX('Work Orders'!$B$11:$B$1010,$B921)="","",INDEX('Work Orders'!$B$11:$B$1010,$B921)))</f>
        <v/>
      </c>
      <c r="E921" s="43">
        <f>IF($B921="","",IF(INDEX('Work Orders'!$D$11:$D$1010,$B921)="","",INDEX('Work Orders'!$D$11:$D$1010,$B921)))</f>
        <v/>
      </c>
      <c r="F921" s="43">
        <f>IF($B921="","",IF(INDEX('Work Orders'!$Q$11:$Q$1010,$B921)="","",INDEX('Work Orders'!$Q$11:$Q$1010,$B921)))</f>
        <v/>
      </c>
      <c r="G921" s="43">
        <f>IF($B921="","",IF(INDEX('Work Orders'!$V$11:$V$1010,$B921)="","",INDEX('Work Orders'!$V$11:$V$1010,$B921)))</f>
        <v/>
      </c>
      <c r="H921" s="47">
        <f>IF($B921="","",IF(INDEX('Work Orders'!$U$11:$U$1010,$B921)="","",INDEX('Work Orders'!$U$11:$U$1010,$B921)))</f>
        <v/>
      </c>
      <c r="I921" s="47">
        <f>IF($B921="","",IF(INDEX('Work Orders'!$X$11:$X$1010,$B921)="","",INDEX('Work Orders'!$X$11:$X$1010,$B921)))</f>
        <v/>
      </c>
      <c r="J921" s="44">
        <f>IF($B921="","",IF(INDEX('Work Orders'!$Z$11:$Z$1010,$B921)="","",INDEX('Work Orders'!$Z$11:$Z$1010,$B921)))</f>
        <v/>
      </c>
      <c r="K921" s="44">
        <f>IF($B921="","",IF(INDEX('Work Orders'!$AG$11:$AG$1010,$B921)="","",INDEX('Work Orders'!$AG$11:$AG$1010,$B921)))</f>
        <v/>
      </c>
      <c r="L921" s="44">
        <f>IF($B921="","",IF(INDEX('Work Orders'!$AH$11:$AH$1010,$B921)="","",INDEX('Work Orders'!$AH$11:$AH$1010,$B921)))</f>
        <v/>
      </c>
      <c r="M921" s="46">
        <f>IF($B921="","",IF(INDEX('Work Orders'!$AM$11:$AM$1010,$B921)="","",INDEX('Work Orders'!$AM$11:$AM$1010,$B921)))</f>
        <v/>
      </c>
      <c r="N921" s="43">
        <f>IF($B921="","",IF(INDEX('Work Orders'!$AL$11:$AL$1010,$B921)="","",INDEX('Work Orders'!$AL$11:$AL$1010,$B921)))</f>
        <v/>
      </c>
      <c r="O921" s="43">
        <f>IF($B921="","",IF(INDEX('Work Orders'!$N$11:$N$1010,$B921)="","",INDEX('Work Orders'!$N$11:$N$1010,$B921)))</f>
        <v/>
      </c>
    </row>
    <row r="922">
      <c r="A922" s="68" t="n">
        <v>916</v>
      </c>
      <c r="B922">
        <f>IFERROR(MATCH(A922,'Work Orders'!$AO$11:$AO$1010,0),"")</f>
        <v/>
      </c>
      <c r="C922" s="43">
        <f>IF($B922="","",IF(INDEX('Work Orders'!$A$11:$A$1010,$B922)="","",INDEX('Work Orders'!$A$11:$A$1010,$B922)))</f>
        <v/>
      </c>
      <c r="D922" s="43">
        <f>IF($B922="","",IF(INDEX('Work Orders'!$B$11:$B$1010,$B922)="","",INDEX('Work Orders'!$B$11:$B$1010,$B922)))</f>
        <v/>
      </c>
      <c r="E922" s="43">
        <f>IF($B922="","",IF(INDEX('Work Orders'!$D$11:$D$1010,$B922)="","",INDEX('Work Orders'!$D$11:$D$1010,$B922)))</f>
        <v/>
      </c>
      <c r="F922" s="43">
        <f>IF($B922="","",IF(INDEX('Work Orders'!$Q$11:$Q$1010,$B922)="","",INDEX('Work Orders'!$Q$11:$Q$1010,$B922)))</f>
        <v/>
      </c>
      <c r="G922" s="43">
        <f>IF($B922="","",IF(INDEX('Work Orders'!$V$11:$V$1010,$B922)="","",INDEX('Work Orders'!$V$11:$V$1010,$B922)))</f>
        <v/>
      </c>
      <c r="H922" s="47">
        <f>IF($B922="","",IF(INDEX('Work Orders'!$U$11:$U$1010,$B922)="","",INDEX('Work Orders'!$U$11:$U$1010,$B922)))</f>
        <v/>
      </c>
      <c r="I922" s="47">
        <f>IF($B922="","",IF(INDEX('Work Orders'!$X$11:$X$1010,$B922)="","",INDEX('Work Orders'!$X$11:$X$1010,$B922)))</f>
        <v/>
      </c>
      <c r="J922" s="44">
        <f>IF($B922="","",IF(INDEX('Work Orders'!$Z$11:$Z$1010,$B922)="","",INDEX('Work Orders'!$Z$11:$Z$1010,$B922)))</f>
        <v/>
      </c>
      <c r="K922" s="44">
        <f>IF($B922="","",IF(INDEX('Work Orders'!$AG$11:$AG$1010,$B922)="","",INDEX('Work Orders'!$AG$11:$AG$1010,$B922)))</f>
        <v/>
      </c>
      <c r="L922" s="44">
        <f>IF($B922="","",IF(INDEX('Work Orders'!$AH$11:$AH$1010,$B922)="","",INDEX('Work Orders'!$AH$11:$AH$1010,$B922)))</f>
        <v/>
      </c>
      <c r="M922" s="46">
        <f>IF($B922="","",IF(INDEX('Work Orders'!$AM$11:$AM$1010,$B922)="","",INDEX('Work Orders'!$AM$11:$AM$1010,$B922)))</f>
        <v/>
      </c>
      <c r="N922" s="43">
        <f>IF($B922="","",IF(INDEX('Work Orders'!$AL$11:$AL$1010,$B922)="","",INDEX('Work Orders'!$AL$11:$AL$1010,$B922)))</f>
        <v/>
      </c>
      <c r="O922" s="43">
        <f>IF($B922="","",IF(INDEX('Work Orders'!$N$11:$N$1010,$B922)="","",INDEX('Work Orders'!$N$11:$N$1010,$B922)))</f>
        <v/>
      </c>
    </row>
    <row r="923">
      <c r="A923" s="68" t="n">
        <v>917</v>
      </c>
      <c r="B923">
        <f>IFERROR(MATCH(A923,'Work Orders'!$AO$11:$AO$1010,0),"")</f>
        <v/>
      </c>
      <c r="C923" s="43">
        <f>IF($B923="","",IF(INDEX('Work Orders'!$A$11:$A$1010,$B923)="","",INDEX('Work Orders'!$A$11:$A$1010,$B923)))</f>
        <v/>
      </c>
      <c r="D923" s="43">
        <f>IF($B923="","",IF(INDEX('Work Orders'!$B$11:$B$1010,$B923)="","",INDEX('Work Orders'!$B$11:$B$1010,$B923)))</f>
        <v/>
      </c>
      <c r="E923" s="43">
        <f>IF($B923="","",IF(INDEX('Work Orders'!$D$11:$D$1010,$B923)="","",INDEX('Work Orders'!$D$11:$D$1010,$B923)))</f>
        <v/>
      </c>
      <c r="F923" s="43">
        <f>IF($B923="","",IF(INDEX('Work Orders'!$Q$11:$Q$1010,$B923)="","",INDEX('Work Orders'!$Q$11:$Q$1010,$B923)))</f>
        <v/>
      </c>
      <c r="G923" s="43">
        <f>IF($B923="","",IF(INDEX('Work Orders'!$V$11:$V$1010,$B923)="","",INDEX('Work Orders'!$V$11:$V$1010,$B923)))</f>
        <v/>
      </c>
      <c r="H923" s="47">
        <f>IF($B923="","",IF(INDEX('Work Orders'!$U$11:$U$1010,$B923)="","",INDEX('Work Orders'!$U$11:$U$1010,$B923)))</f>
        <v/>
      </c>
      <c r="I923" s="47">
        <f>IF($B923="","",IF(INDEX('Work Orders'!$X$11:$X$1010,$B923)="","",INDEX('Work Orders'!$X$11:$X$1010,$B923)))</f>
        <v/>
      </c>
      <c r="J923" s="44">
        <f>IF($B923="","",IF(INDEX('Work Orders'!$Z$11:$Z$1010,$B923)="","",INDEX('Work Orders'!$Z$11:$Z$1010,$B923)))</f>
        <v/>
      </c>
      <c r="K923" s="44">
        <f>IF($B923="","",IF(INDEX('Work Orders'!$AG$11:$AG$1010,$B923)="","",INDEX('Work Orders'!$AG$11:$AG$1010,$B923)))</f>
        <v/>
      </c>
      <c r="L923" s="44">
        <f>IF($B923="","",IF(INDEX('Work Orders'!$AH$11:$AH$1010,$B923)="","",INDEX('Work Orders'!$AH$11:$AH$1010,$B923)))</f>
        <v/>
      </c>
      <c r="M923" s="46">
        <f>IF($B923="","",IF(INDEX('Work Orders'!$AM$11:$AM$1010,$B923)="","",INDEX('Work Orders'!$AM$11:$AM$1010,$B923)))</f>
        <v/>
      </c>
      <c r="N923" s="43">
        <f>IF($B923="","",IF(INDEX('Work Orders'!$AL$11:$AL$1010,$B923)="","",INDEX('Work Orders'!$AL$11:$AL$1010,$B923)))</f>
        <v/>
      </c>
      <c r="O923" s="43">
        <f>IF($B923="","",IF(INDEX('Work Orders'!$N$11:$N$1010,$B923)="","",INDEX('Work Orders'!$N$11:$N$1010,$B923)))</f>
        <v/>
      </c>
    </row>
    <row r="924">
      <c r="A924" s="68" t="n">
        <v>918</v>
      </c>
      <c r="B924">
        <f>IFERROR(MATCH(A924,'Work Orders'!$AO$11:$AO$1010,0),"")</f>
        <v/>
      </c>
      <c r="C924" s="43">
        <f>IF($B924="","",IF(INDEX('Work Orders'!$A$11:$A$1010,$B924)="","",INDEX('Work Orders'!$A$11:$A$1010,$B924)))</f>
        <v/>
      </c>
      <c r="D924" s="43">
        <f>IF($B924="","",IF(INDEX('Work Orders'!$B$11:$B$1010,$B924)="","",INDEX('Work Orders'!$B$11:$B$1010,$B924)))</f>
        <v/>
      </c>
      <c r="E924" s="43">
        <f>IF($B924="","",IF(INDEX('Work Orders'!$D$11:$D$1010,$B924)="","",INDEX('Work Orders'!$D$11:$D$1010,$B924)))</f>
        <v/>
      </c>
      <c r="F924" s="43">
        <f>IF($B924="","",IF(INDEX('Work Orders'!$Q$11:$Q$1010,$B924)="","",INDEX('Work Orders'!$Q$11:$Q$1010,$B924)))</f>
        <v/>
      </c>
      <c r="G924" s="43">
        <f>IF($B924="","",IF(INDEX('Work Orders'!$V$11:$V$1010,$B924)="","",INDEX('Work Orders'!$V$11:$V$1010,$B924)))</f>
        <v/>
      </c>
      <c r="H924" s="47">
        <f>IF($B924="","",IF(INDEX('Work Orders'!$U$11:$U$1010,$B924)="","",INDEX('Work Orders'!$U$11:$U$1010,$B924)))</f>
        <v/>
      </c>
      <c r="I924" s="47">
        <f>IF($B924="","",IF(INDEX('Work Orders'!$X$11:$X$1010,$B924)="","",INDEX('Work Orders'!$X$11:$X$1010,$B924)))</f>
        <v/>
      </c>
      <c r="J924" s="44">
        <f>IF($B924="","",IF(INDEX('Work Orders'!$Z$11:$Z$1010,$B924)="","",INDEX('Work Orders'!$Z$11:$Z$1010,$B924)))</f>
        <v/>
      </c>
      <c r="K924" s="44">
        <f>IF($B924="","",IF(INDEX('Work Orders'!$AG$11:$AG$1010,$B924)="","",INDEX('Work Orders'!$AG$11:$AG$1010,$B924)))</f>
        <v/>
      </c>
      <c r="L924" s="44">
        <f>IF($B924="","",IF(INDEX('Work Orders'!$AH$11:$AH$1010,$B924)="","",INDEX('Work Orders'!$AH$11:$AH$1010,$B924)))</f>
        <v/>
      </c>
      <c r="M924" s="46">
        <f>IF($B924="","",IF(INDEX('Work Orders'!$AM$11:$AM$1010,$B924)="","",INDEX('Work Orders'!$AM$11:$AM$1010,$B924)))</f>
        <v/>
      </c>
      <c r="N924" s="43">
        <f>IF($B924="","",IF(INDEX('Work Orders'!$AL$11:$AL$1010,$B924)="","",INDEX('Work Orders'!$AL$11:$AL$1010,$B924)))</f>
        <v/>
      </c>
      <c r="O924" s="43">
        <f>IF($B924="","",IF(INDEX('Work Orders'!$N$11:$N$1010,$B924)="","",INDEX('Work Orders'!$N$11:$N$1010,$B924)))</f>
        <v/>
      </c>
    </row>
    <row r="925">
      <c r="A925" s="68" t="n">
        <v>919</v>
      </c>
      <c r="B925">
        <f>IFERROR(MATCH(A925,'Work Orders'!$AO$11:$AO$1010,0),"")</f>
        <v/>
      </c>
      <c r="C925" s="43">
        <f>IF($B925="","",IF(INDEX('Work Orders'!$A$11:$A$1010,$B925)="","",INDEX('Work Orders'!$A$11:$A$1010,$B925)))</f>
        <v/>
      </c>
      <c r="D925" s="43">
        <f>IF($B925="","",IF(INDEX('Work Orders'!$B$11:$B$1010,$B925)="","",INDEX('Work Orders'!$B$11:$B$1010,$B925)))</f>
        <v/>
      </c>
      <c r="E925" s="43">
        <f>IF($B925="","",IF(INDEX('Work Orders'!$D$11:$D$1010,$B925)="","",INDEX('Work Orders'!$D$11:$D$1010,$B925)))</f>
        <v/>
      </c>
      <c r="F925" s="43">
        <f>IF($B925="","",IF(INDEX('Work Orders'!$Q$11:$Q$1010,$B925)="","",INDEX('Work Orders'!$Q$11:$Q$1010,$B925)))</f>
        <v/>
      </c>
      <c r="G925" s="43">
        <f>IF($B925="","",IF(INDEX('Work Orders'!$V$11:$V$1010,$B925)="","",INDEX('Work Orders'!$V$11:$V$1010,$B925)))</f>
        <v/>
      </c>
      <c r="H925" s="47">
        <f>IF($B925="","",IF(INDEX('Work Orders'!$U$11:$U$1010,$B925)="","",INDEX('Work Orders'!$U$11:$U$1010,$B925)))</f>
        <v/>
      </c>
      <c r="I925" s="47">
        <f>IF($B925="","",IF(INDEX('Work Orders'!$X$11:$X$1010,$B925)="","",INDEX('Work Orders'!$X$11:$X$1010,$B925)))</f>
        <v/>
      </c>
      <c r="J925" s="44">
        <f>IF($B925="","",IF(INDEX('Work Orders'!$Z$11:$Z$1010,$B925)="","",INDEX('Work Orders'!$Z$11:$Z$1010,$B925)))</f>
        <v/>
      </c>
      <c r="K925" s="44">
        <f>IF($B925="","",IF(INDEX('Work Orders'!$AG$11:$AG$1010,$B925)="","",INDEX('Work Orders'!$AG$11:$AG$1010,$B925)))</f>
        <v/>
      </c>
      <c r="L925" s="44">
        <f>IF($B925="","",IF(INDEX('Work Orders'!$AH$11:$AH$1010,$B925)="","",INDEX('Work Orders'!$AH$11:$AH$1010,$B925)))</f>
        <v/>
      </c>
      <c r="M925" s="46">
        <f>IF($B925="","",IF(INDEX('Work Orders'!$AM$11:$AM$1010,$B925)="","",INDEX('Work Orders'!$AM$11:$AM$1010,$B925)))</f>
        <v/>
      </c>
      <c r="N925" s="43">
        <f>IF($B925="","",IF(INDEX('Work Orders'!$AL$11:$AL$1010,$B925)="","",INDEX('Work Orders'!$AL$11:$AL$1010,$B925)))</f>
        <v/>
      </c>
      <c r="O925" s="43">
        <f>IF($B925="","",IF(INDEX('Work Orders'!$N$11:$N$1010,$B925)="","",INDEX('Work Orders'!$N$11:$N$1010,$B925)))</f>
        <v/>
      </c>
    </row>
    <row r="926">
      <c r="A926" s="68" t="n">
        <v>920</v>
      </c>
      <c r="B926">
        <f>IFERROR(MATCH(A926,'Work Orders'!$AO$11:$AO$1010,0),"")</f>
        <v/>
      </c>
      <c r="C926" s="43">
        <f>IF($B926="","",IF(INDEX('Work Orders'!$A$11:$A$1010,$B926)="","",INDEX('Work Orders'!$A$11:$A$1010,$B926)))</f>
        <v/>
      </c>
      <c r="D926" s="43">
        <f>IF($B926="","",IF(INDEX('Work Orders'!$B$11:$B$1010,$B926)="","",INDEX('Work Orders'!$B$11:$B$1010,$B926)))</f>
        <v/>
      </c>
      <c r="E926" s="43">
        <f>IF($B926="","",IF(INDEX('Work Orders'!$D$11:$D$1010,$B926)="","",INDEX('Work Orders'!$D$11:$D$1010,$B926)))</f>
        <v/>
      </c>
      <c r="F926" s="43">
        <f>IF($B926="","",IF(INDEX('Work Orders'!$Q$11:$Q$1010,$B926)="","",INDEX('Work Orders'!$Q$11:$Q$1010,$B926)))</f>
        <v/>
      </c>
      <c r="G926" s="43">
        <f>IF($B926="","",IF(INDEX('Work Orders'!$V$11:$V$1010,$B926)="","",INDEX('Work Orders'!$V$11:$V$1010,$B926)))</f>
        <v/>
      </c>
      <c r="H926" s="47">
        <f>IF($B926="","",IF(INDEX('Work Orders'!$U$11:$U$1010,$B926)="","",INDEX('Work Orders'!$U$11:$U$1010,$B926)))</f>
        <v/>
      </c>
      <c r="I926" s="47">
        <f>IF($B926="","",IF(INDEX('Work Orders'!$X$11:$X$1010,$B926)="","",INDEX('Work Orders'!$X$11:$X$1010,$B926)))</f>
        <v/>
      </c>
      <c r="J926" s="44">
        <f>IF($B926="","",IF(INDEX('Work Orders'!$Z$11:$Z$1010,$B926)="","",INDEX('Work Orders'!$Z$11:$Z$1010,$B926)))</f>
        <v/>
      </c>
      <c r="K926" s="44">
        <f>IF($B926="","",IF(INDEX('Work Orders'!$AG$11:$AG$1010,$B926)="","",INDEX('Work Orders'!$AG$11:$AG$1010,$B926)))</f>
        <v/>
      </c>
      <c r="L926" s="44">
        <f>IF($B926="","",IF(INDEX('Work Orders'!$AH$11:$AH$1010,$B926)="","",INDEX('Work Orders'!$AH$11:$AH$1010,$B926)))</f>
        <v/>
      </c>
      <c r="M926" s="46">
        <f>IF($B926="","",IF(INDEX('Work Orders'!$AM$11:$AM$1010,$B926)="","",INDEX('Work Orders'!$AM$11:$AM$1010,$B926)))</f>
        <v/>
      </c>
      <c r="N926" s="43">
        <f>IF($B926="","",IF(INDEX('Work Orders'!$AL$11:$AL$1010,$B926)="","",INDEX('Work Orders'!$AL$11:$AL$1010,$B926)))</f>
        <v/>
      </c>
      <c r="O926" s="43">
        <f>IF($B926="","",IF(INDEX('Work Orders'!$N$11:$N$1010,$B926)="","",INDEX('Work Orders'!$N$11:$N$1010,$B926)))</f>
        <v/>
      </c>
    </row>
    <row r="927">
      <c r="A927" s="68" t="n">
        <v>921</v>
      </c>
      <c r="B927">
        <f>IFERROR(MATCH(A927,'Work Orders'!$AO$11:$AO$1010,0),"")</f>
        <v/>
      </c>
      <c r="C927" s="43">
        <f>IF($B927="","",IF(INDEX('Work Orders'!$A$11:$A$1010,$B927)="","",INDEX('Work Orders'!$A$11:$A$1010,$B927)))</f>
        <v/>
      </c>
      <c r="D927" s="43">
        <f>IF($B927="","",IF(INDEX('Work Orders'!$B$11:$B$1010,$B927)="","",INDEX('Work Orders'!$B$11:$B$1010,$B927)))</f>
        <v/>
      </c>
      <c r="E927" s="43">
        <f>IF($B927="","",IF(INDEX('Work Orders'!$D$11:$D$1010,$B927)="","",INDEX('Work Orders'!$D$11:$D$1010,$B927)))</f>
        <v/>
      </c>
      <c r="F927" s="43">
        <f>IF($B927="","",IF(INDEX('Work Orders'!$Q$11:$Q$1010,$B927)="","",INDEX('Work Orders'!$Q$11:$Q$1010,$B927)))</f>
        <v/>
      </c>
      <c r="G927" s="43">
        <f>IF($B927="","",IF(INDEX('Work Orders'!$V$11:$V$1010,$B927)="","",INDEX('Work Orders'!$V$11:$V$1010,$B927)))</f>
        <v/>
      </c>
      <c r="H927" s="47">
        <f>IF($B927="","",IF(INDEX('Work Orders'!$U$11:$U$1010,$B927)="","",INDEX('Work Orders'!$U$11:$U$1010,$B927)))</f>
        <v/>
      </c>
      <c r="I927" s="47">
        <f>IF($B927="","",IF(INDEX('Work Orders'!$X$11:$X$1010,$B927)="","",INDEX('Work Orders'!$X$11:$X$1010,$B927)))</f>
        <v/>
      </c>
      <c r="J927" s="44">
        <f>IF($B927="","",IF(INDEX('Work Orders'!$Z$11:$Z$1010,$B927)="","",INDEX('Work Orders'!$Z$11:$Z$1010,$B927)))</f>
        <v/>
      </c>
      <c r="K927" s="44">
        <f>IF($B927="","",IF(INDEX('Work Orders'!$AG$11:$AG$1010,$B927)="","",INDEX('Work Orders'!$AG$11:$AG$1010,$B927)))</f>
        <v/>
      </c>
      <c r="L927" s="44">
        <f>IF($B927="","",IF(INDEX('Work Orders'!$AH$11:$AH$1010,$B927)="","",INDEX('Work Orders'!$AH$11:$AH$1010,$B927)))</f>
        <v/>
      </c>
      <c r="M927" s="46">
        <f>IF($B927="","",IF(INDEX('Work Orders'!$AM$11:$AM$1010,$B927)="","",INDEX('Work Orders'!$AM$11:$AM$1010,$B927)))</f>
        <v/>
      </c>
      <c r="N927" s="43">
        <f>IF($B927="","",IF(INDEX('Work Orders'!$AL$11:$AL$1010,$B927)="","",INDEX('Work Orders'!$AL$11:$AL$1010,$B927)))</f>
        <v/>
      </c>
      <c r="O927" s="43">
        <f>IF($B927="","",IF(INDEX('Work Orders'!$N$11:$N$1010,$B927)="","",INDEX('Work Orders'!$N$11:$N$1010,$B927)))</f>
        <v/>
      </c>
    </row>
    <row r="928">
      <c r="A928" s="68" t="n">
        <v>922</v>
      </c>
      <c r="B928">
        <f>IFERROR(MATCH(A928,'Work Orders'!$AO$11:$AO$1010,0),"")</f>
        <v/>
      </c>
      <c r="C928" s="43">
        <f>IF($B928="","",IF(INDEX('Work Orders'!$A$11:$A$1010,$B928)="","",INDEX('Work Orders'!$A$11:$A$1010,$B928)))</f>
        <v/>
      </c>
      <c r="D928" s="43">
        <f>IF($B928="","",IF(INDEX('Work Orders'!$B$11:$B$1010,$B928)="","",INDEX('Work Orders'!$B$11:$B$1010,$B928)))</f>
        <v/>
      </c>
      <c r="E928" s="43">
        <f>IF($B928="","",IF(INDEX('Work Orders'!$D$11:$D$1010,$B928)="","",INDEX('Work Orders'!$D$11:$D$1010,$B928)))</f>
        <v/>
      </c>
      <c r="F928" s="43">
        <f>IF($B928="","",IF(INDEX('Work Orders'!$Q$11:$Q$1010,$B928)="","",INDEX('Work Orders'!$Q$11:$Q$1010,$B928)))</f>
        <v/>
      </c>
      <c r="G928" s="43">
        <f>IF($B928="","",IF(INDEX('Work Orders'!$V$11:$V$1010,$B928)="","",INDEX('Work Orders'!$V$11:$V$1010,$B928)))</f>
        <v/>
      </c>
      <c r="H928" s="47">
        <f>IF($B928="","",IF(INDEX('Work Orders'!$U$11:$U$1010,$B928)="","",INDEX('Work Orders'!$U$11:$U$1010,$B928)))</f>
        <v/>
      </c>
      <c r="I928" s="47">
        <f>IF($B928="","",IF(INDEX('Work Orders'!$X$11:$X$1010,$B928)="","",INDEX('Work Orders'!$X$11:$X$1010,$B928)))</f>
        <v/>
      </c>
      <c r="J928" s="44">
        <f>IF($B928="","",IF(INDEX('Work Orders'!$Z$11:$Z$1010,$B928)="","",INDEX('Work Orders'!$Z$11:$Z$1010,$B928)))</f>
        <v/>
      </c>
      <c r="K928" s="44">
        <f>IF($B928="","",IF(INDEX('Work Orders'!$AG$11:$AG$1010,$B928)="","",INDEX('Work Orders'!$AG$11:$AG$1010,$B928)))</f>
        <v/>
      </c>
      <c r="L928" s="44">
        <f>IF($B928="","",IF(INDEX('Work Orders'!$AH$11:$AH$1010,$B928)="","",INDEX('Work Orders'!$AH$11:$AH$1010,$B928)))</f>
        <v/>
      </c>
      <c r="M928" s="46">
        <f>IF($B928="","",IF(INDEX('Work Orders'!$AM$11:$AM$1010,$B928)="","",INDEX('Work Orders'!$AM$11:$AM$1010,$B928)))</f>
        <v/>
      </c>
      <c r="N928" s="43">
        <f>IF($B928="","",IF(INDEX('Work Orders'!$AL$11:$AL$1010,$B928)="","",INDEX('Work Orders'!$AL$11:$AL$1010,$B928)))</f>
        <v/>
      </c>
      <c r="O928" s="43">
        <f>IF($B928="","",IF(INDEX('Work Orders'!$N$11:$N$1010,$B928)="","",INDEX('Work Orders'!$N$11:$N$1010,$B928)))</f>
        <v/>
      </c>
    </row>
    <row r="929">
      <c r="A929" s="68" t="n">
        <v>923</v>
      </c>
      <c r="B929">
        <f>IFERROR(MATCH(A929,'Work Orders'!$AO$11:$AO$1010,0),"")</f>
        <v/>
      </c>
      <c r="C929" s="43">
        <f>IF($B929="","",IF(INDEX('Work Orders'!$A$11:$A$1010,$B929)="","",INDEX('Work Orders'!$A$11:$A$1010,$B929)))</f>
        <v/>
      </c>
      <c r="D929" s="43">
        <f>IF($B929="","",IF(INDEX('Work Orders'!$B$11:$B$1010,$B929)="","",INDEX('Work Orders'!$B$11:$B$1010,$B929)))</f>
        <v/>
      </c>
      <c r="E929" s="43">
        <f>IF($B929="","",IF(INDEX('Work Orders'!$D$11:$D$1010,$B929)="","",INDEX('Work Orders'!$D$11:$D$1010,$B929)))</f>
        <v/>
      </c>
      <c r="F929" s="43">
        <f>IF($B929="","",IF(INDEX('Work Orders'!$Q$11:$Q$1010,$B929)="","",INDEX('Work Orders'!$Q$11:$Q$1010,$B929)))</f>
        <v/>
      </c>
      <c r="G929" s="43">
        <f>IF($B929="","",IF(INDEX('Work Orders'!$V$11:$V$1010,$B929)="","",INDEX('Work Orders'!$V$11:$V$1010,$B929)))</f>
        <v/>
      </c>
      <c r="H929" s="47">
        <f>IF($B929="","",IF(INDEX('Work Orders'!$U$11:$U$1010,$B929)="","",INDEX('Work Orders'!$U$11:$U$1010,$B929)))</f>
        <v/>
      </c>
      <c r="I929" s="47">
        <f>IF($B929="","",IF(INDEX('Work Orders'!$X$11:$X$1010,$B929)="","",INDEX('Work Orders'!$X$11:$X$1010,$B929)))</f>
        <v/>
      </c>
      <c r="J929" s="44">
        <f>IF($B929="","",IF(INDEX('Work Orders'!$Z$11:$Z$1010,$B929)="","",INDEX('Work Orders'!$Z$11:$Z$1010,$B929)))</f>
        <v/>
      </c>
      <c r="K929" s="44">
        <f>IF($B929="","",IF(INDEX('Work Orders'!$AG$11:$AG$1010,$B929)="","",INDEX('Work Orders'!$AG$11:$AG$1010,$B929)))</f>
        <v/>
      </c>
      <c r="L929" s="44">
        <f>IF($B929="","",IF(INDEX('Work Orders'!$AH$11:$AH$1010,$B929)="","",INDEX('Work Orders'!$AH$11:$AH$1010,$B929)))</f>
        <v/>
      </c>
      <c r="M929" s="46">
        <f>IF($B929="","",IF(INDEX('Work Orders'!$AM$11:$AM$1010,$B929)="","",INDEX('Work Orders'!$AM$11:$AM$1010,$B929)))</f>
        <v/>
      </c>
      <c r="N929" s="43">
        <f>IF($B929="","",IF(INDEX('Work Orders'!$AL$11:$AL$1010,$B929)="","",INDEX('Work Orders'!$AL$11:$AL$1010,$B929)))</f>
        <v/>
      </c>
      <c r="O929" s="43">
        <f>IF($B929="","",IF(INDEX('Work Orders'!$N$11:$N$1010,$B929)="","",INDEX('Work Orders'!$N$11:$N$1010,$B929)))</f>
        <v/>
      </c>
    </row>
    <row r="930">
      <c r="A930" s="68" t="n">
        <v>924</v>
      </c>
      <c r="B930">
        <f>IFERROR(MATCH(A930,'Work Orders'!$AO$11:$AO$1010,0),"")</f>
        <v/>
      </c>
      <c r="C930" s="43">
        <f>IF($B930="","",IF(INDEX('Work Orders'!$A$11:$A$1010,$B930)="","",INDEX('Work Orders'!$A$11:$A$1010,$B930)))</f>
        <v/>
      </c>
      <c r="D930" s="43">
        <f>IF($B930="","",IF(INDEX('Work Orders'!$B$11:$B$1010,$B930)="","",INDEX('Work Orders'!$B$11:$B$1010,$B930)))</f>
        <v/>
      </c>
      <c r="E930" s="43">
        <f>IF($B930="","",IF(INDEX('Work Orders'!$D$11:$D$1010,$B930)="","",INDEX('Work Orders'!$D$11:$D$1010,$B930)))</f>
        <v/>
      </c>
      <c r="F930" s="43">
        <f>IF($B930="","",IF(INDEX('Work Orders'!$Q$11:$Q$1010,$B930)="","",INDEX('Work Orders'!$Q$11:$Q$1010,$B930)))</f>
        <v/>
      </c>
      <c r="G930" s="43">
        <f>IF($B930="","",IF(INDEX('Work Orders'!$V$11:$V$1010,$B930)="","",INDEX('Work Orders'!$V$11:$V$1010,$B930)))</f>
        <v/>
      </c>
      <c r="H930" s="47">
        <f>IF($B930="","",IF(INDEX('Work Orders'!$U$11:$U$1010,$B930)="","",INDEX('Work Orders'!$U$11:$U$1010,$B930)))</f>
        <v/>
      </c>
      <c r="I930" s="47">
        <f>IF($B930="","",IF(INDEX('Work Orders'!$X$11:$X$1010,$B930)="","",INDEX('Work Orders'!$X$11:$X$1010,$B930)))</f>
        <v/>
      </c>
      <c r="J930" s="44">
        <f>IF($B930="","",IF(INDEX('Work Orders'!$Z$11:$Z$1010,$B930)="","",INDEX('Work Orders'!$Z$11:$Z$1010,$B930)))</f>
        <v/>
      </c>
      <c r="K930" s="44">
        <f>IF($B930="","",IF(INDEX('Work Orders'!$AG$11:$AG$1010,$B930)="","",INDEX('Work Orders'!$AG$11:$AG$1010,$B930)))</f>
        <v/>
      </c>
      <c r="L930" s="44">
        <f>IF($B930="","",IF(INDEX('Work Orders'!$AH$11:$AH$1010,$B930)="","",INDEX('Work Orders'!$AH$11:$AH$1010,$B930)))</f>
        <v/>
      </c>
      <c r="M930" s="46">
        <f>IF($B930="","",IF(INDEX('Work Orders'!$AM$11:$AM$1010,$B930)="","",INDEX('Work Orders'!$AM$11:$AM$1010,$B930)))</f>
        <v/>
      </c>
      <c r="N930" s="43">
        <f>IF($B930="","",IF(INDEX('Work Orders'!$AL$11:$AL$1010,$B930)="","",INDEX('Work Orders'!$AL$11:$AL$1010,$B930)))</f>
        <v/>
      </c>
      <c r="O930" s="43">
        <f>IF($B930="","",IF(INDEX('Work Orders'!$N$11:$N$1010,$B930)="","",INDEX('Work Orders'!$N$11:$N$1010,$B930)))</f>
        <v/>
      </c>
    </row>
    <row r="931">
      <c r="A931" s="68" t="n">
        <v>925</v>
      </c>
      <c r="B931">
        <f>IFERROR(MATCH(A931,'Work Orders'!$AO$11:$AO$1010,0),"")</f>
        <v/>
      </c>
      <c r="C931" s="43">
        <f>IF($B931="","",IF(INDEX('Work Orders'!$A$11:$A$1010,$B931)="","",INDEX('Work Orders'!$A$11:$A$1010,$B931)))</f>
        <v/>
      </c>
      <c r="D931" s="43">
        <f>IF($B931="","",IF(INDEX('Work Orders'!$B$11:$B$1010,$B931)="","",INDEX('Work Orders'!$B$11:$B$1010,$B931)))</f>
        <v/>
      </c>
      <c r="E931" s="43">
        <f>IF($B931="","",IF(INDEX('Work Orders'!$D$11:$D$1010,$B931)="","",INDEX('Work Orders'!$D$11:$D$1010,$B931)))</f>
        <v/>
      </c>
      <c r="F931" s="43">
        <f>IF($B931="","",IF(INDEX('Work Orders'!$Q$11:$Q$1010,$B931)="","",INDEX('Work Orders'!$Q$11:$Q$1010,$B931)))</f>
        <v/>
      </c>
      <c r="G931" s="43">
        <f>IF($B931="","",IF(INDEX('Work Orders'!$V$11:$V$1010,$B931)="","",INDEX('Work Orders'!$V$11:$V$1010,$B931)))</f>
        <v/>
      </c>
      <c r="H931" s="47">
        <f>IF($B931="","",IF(INDEX('Work Orders'!$U$11:$U$1010,$B931)="","",INDEX('Work Orders'!$U$11:$U$1010,$B931)))</f>
        <v/>
      </c>
      <c r="I931" s="47">
        <f>IF($B931="","",IF(INDEX('Work Orders'!$X$11:$X$1010,$B931)="","",INDEX('Work Orders'!$X$11:$X$1010,$B931)))</f>
        <v/>
      </c>
      <c r="J931" s="44">
        <f>IF($B931="","",IF(INDEX('Work Orders'!$Z$11:$Z$1010,$B931)="","",INDEX('Work Orders'!$Z$11:$Z$1010,$B931)))</f>
        <v/>
      </c>
      <c r="K931" s="44">
        <f>IF($B931="","",IF(INDEX('Work Orders'!$AG$11:$AG$1010,$B931)="","",INDEX('Work Orders'!$AG$11:$AG$1010,$B931)))</f>
        <v/>
      </c>
      <c r="L931" s="44">
        <f>IF($B931="","",IF(INDEX('Work Orders'!$AH$11:$AH$1010,$B931)="","",INDEX('Work Orders'!$AH$11:$AH$1010,$B931)))</f>
        <v/>
      </c>
      <c r="M931" s="46">
        <f>IF($B931="","",IF(INDEX('Work Orders'!$AM$11:$AM$1010,$B931)="","",INDEX('Work Orders'!$AM$11:$AM$1010,$B931)))</f>
        <v/>
      </c>
      <c r="N931" s="43">
        <f>IF($B931="","",IF(INDEX('Work Orders'!$AL$11:$AL$1010,$B931)="","",INDEX('Work Orders'!$AL$11:$AL$1010,$B931)))</f>
        <v/>
      </c>
      <c r="O931" s="43">
        <f>IF($B931="","",IF(INDEX('Work Orders'!$N$11:$N$1010,$B931)="","",INDEX('Work Orders'!$N$11:$N$1010,$B931)))</f>
        <v/>
      </c>
    </row>
    <row r="932">
      <c r="A932" s="68" t="n">
        <v>926</v>
      </c>
      <c r="B932">
        <f>IFERROR(MATCH(A932,'Work Orders'!$AO$11:$AO$1010,0),"")</f>
        <v/>
      </c>
      <c r="C932" s="43">
        <f>IF($B932="","",IF(INDEX('Work Orders'!$A$11:$A$1010,$B932)="","",INDEX('Work Orders'!$A$11:$A$1010,$B932)))</f>
        <v/>
      </c>
      <c r="D932" s="43">
        <f>IF($B932="","",IF(INDEX('Work Orders'!$B$11:$B$1010,$B932)="","",INDEX('Work Orders'!$B$11:$B$1010,$B932)))</f>
        <v/>
      </c>
      <c r="E932" s="43">
        <f>IF($B932="","",IF(INDEX('Work Orders'!$D$11:$D$1010,$B932)="","",INDEX('Work Orders'!$D$11:$D$1010,$B932)))</f>
        <v/>
      </c>
      <c r="F932" s="43">
        <f>IF($B932="","",IF(INDEX('Work Orders'!$Q$11:$Q$1010,$B932)="","",INDEX('Work Orders'!$Q$11:$Q$1010,$B932)))</f>
        <v/>
      </c>
      <c r="G932" s="43">
        <f>IF($B932="","",IF(INDEX('Work Orders'!$V$11:$V$1010,$B932)="","",INDEX('Work Orders'!$V$11:$V$1010,$B932)))</f>
        <v/>
      </c>
      <c r="H932" s="47">
        <f>IF($B932="","",IF(INDEX('Work Orders'!$U$11:$U$1010,$B932)="","",INDEX('Work Orders'!$U$11:$U$1010,$B932)))</f>
        <v/>
      </c>
      <c r="I932" s="47">
        <f>IF($B932="","",IF(INDEX('Work Orders'!$X$11:$X$1010,$B932)="","",INDEX('Work Orders'!$X$11:$X$1010,$B932)))</f>
        <v/>
      </c>
      <c r="J932" s="44">
        <f>IF($B932="","",IF(INDEX('Work Orders'!$Z$11:$Z$1010,$B932)="","",INDEX('Work Orders'!$Z$11:$Z$1010,$B932)))</f>
        <v/>
      </c>
      <c r="K932" s="44">
        <f>IF($B932="","",IF(INDEX('Work Orders'!$AG$11:$AG$1010,$B932)="","",INDEX('Work Orders'!$AG$11:$AG$1010,$B932)))</f>
        <v/>
      </c>
      <c r="L932" s="44">
        <f>IF($B932="","",IF(INDEX('Work Orders'!$AH$11:$AH$1010,$B932)="","",INDEX('Work Orders'!$AH$11:$AH$1010,$B932)))</f>
        <v/>
      </c>
      <c r="M932" s="46">
        <f>IF($B932="","",IF(INDEX('Work Orders'!$AM$11:$AM$1010,$B932)="","",INDEX('Work Orders'!$AM$11:$AM$1010,$B932)))</f>
        <v/>
      </c>
      <c r="N932" s="43">
        <f>IF($B932="","",IF(INDEX('Work Orders'!$AL$11:$AL$1010,$B932)="","",INDEX('Work Orders'!$AL$11:$AL$1010,$B932)))</f>
        <v/>
      </c>
      <c r="O932" s="43">
        <f>IF($B932="","",IF(INDEX('Work Orders'!$N$11:$N$1010,$B932)="","",INDEX('Work Orders'!$N$11:$N$1010,$B932)))</f>
        <v/>
      </c>
    </row>
    <row r="933">
      <c r="A933" s="68" t="n">
        <v>927</v>
      </c>
      <c r="B933">
        <f>IFERROR(MATCH(A933,'Work Orders'!$AO$11:$AO$1010,0),"")</f>
        <v/>
      </c>
      <c r="C933" s="43">
        <f>IF($B933="","",IF(INDEX('Work Orders'!$A$11:$A$1010,$B933)="","",INDEX('Work Orders'!$A$11:$A$1010,$B933)))</f>
        <v/>
      </c>
      <c r="D933" s="43">
        <f>IF($B933="","",IF(INDEX('Work Orders'!$B$11:$B$1010,$B933)="","",INDEX('Work Orders'!$B$11:$B$1010,$B933)))</f>
        <v/>
      </c>
      <c r="E933" s="43">
        <f>IF($B933="","",IF(INDEX('Work Orders'!$D$11:$D$1010,$B933)="","",INDEX('Work Orders'!$D$11:$D$1010,$B933)))</f>
        <v/>
      </c>
      <c r="F933" s="43">
        <f>IF($B933="","",IF(INDEX('Work Orders'!$Q$11:$Q$1010,$B933)="","",INDEX('Work Orders'!$Q$11:$Q$1010,$B933)))</f>
        <v/>
      </c>
      <c r="G933" s="43">
        <f>IF($B933="","",IF(INDEX('Work Orders'!$V$11:$V$1010,$B933)="","",INDEX('Work Orders'!$V$11:$V$1010,$B933)))</f>
        <v/>
      </c>
      <c r="H933" s="47">
        <f>IF($B933="","",IF(INDEX('Work Orders'!$U$11:$U$1010,$B933)="","",INDEX('Work Orders'!$U$11:$U$1010,$B933)))</f>
        <v/>
      </c>
      <c r="I933" s="47">
        <f>IF($B933="","",IF(INDEX('Work Orders'!$X$11:$X$1010,$B933)="","",INDEX('Work Orders'!$X$11:$X$1010,$B933)))</f>
        <v/>
      </c>
      <c r="J933" s="44">
        <f>IF($B933="","",IF(INDEX('Work Orders'!$Z$11:$Z$1010,$B933)="","",INDEX('Work Orders'!$Z$11:$Z$1010,$B933)))</f>
        <v/>
      </c>
      <c r="K933" s="44">
        <f>IF($B933="","",IF(INDEX('Work Orders'!$AG$11:$AG$1010,$B933)="","",INDEX('Work Orders'!$AG$11:$AG$1010,$B933)))</f>
        <v/>
      </c>
      <c r="L933" s="44">
        <f>IF($B933="","",IF(INDEX('Work Orders'!$AH$11:$AH$1010,$B933)="","",INDEX('Work Orders'!$AH$11:$AH$1010,$B933)))</f>
        <v/>
      </c>
      <c r="M933" s="46">
        <f>IF($B933="","",IF(INDEX('Work Orders'!$AM$11:$AM$1010,$B933)="","",INDEX('Work Orders'!$AM$11:$AM$1010,$B933)))</f>
        <v/>
      </c>
      <c r="N933" s="43">
        <f>IF($B933="","",IF(INDEX('Work Orders'!$AL$11:$AL$1010,$B933)="","",INDEX('Work Orders'!$AL$11:$AL$1010,$B933)))</f>
        <v/>
      </c>
      <c r="O933" s="43">
        <f>IF($B933="","",IF(INDEX('Work Orders'!$N$11:$N$1010,$B933)="","",INDEX('Work Orders'!$N$11:$N$1010,$B933)))</f>
        <v/>
      </c>
    </row>
    <row r="934">
      <c r="A934" s="68" t="n">
        <v>928</v>
      </c>
      <c r="B934">
        <f>IFERROR(MATCH(A934,'Work Orders'!$AO$11:$AO$1010,0),"")</f>
        <v/>
      </c>
      <c r="C934" s="43">
        <f>IF($B934="","",IF(INDEX('Work Orders'!$A$11:$A$1010,$B934)="","",INDEX('Work Orders'!$A$11:$A$1010,$B934)))</f>
        <v/>
      </c>
      <c r="D934" s="43">
        <f>IF($B934="","",IF(INDEX('Work Orders'!$B$11:$B$1010,$B934)="","",INDEX('Work Orders'!$B$11:$B$1010,$B934)))</f>
        <v/>
      </c>
      <c r="E934" s="43">
        <f>IF($B934="","",IF(INDEX('Work Orders'!$D$11:$D$1010,$B934)="","",INDEX('Work Orders'!$D$11:$D$1010,$B934)))</f>
        <v/>
      </c>
      <c r="F934" s="43">
        <f>IF($B934="","",IF(INDEX('Work Orders'!$Q$11:$Q$1010,$B934)="","",INDEX('Work Orders'!$Q$11:$Q$1010,$B934)))</f>
        <v/>
      </c>
      <c r="G934" s="43">
        <f>IF($B934="","",IF(INDEX('Work Orders'!$V$11:$V$1010,$B934)="","",INDEX('Work Orders'!$V$11:$V$1010,$B934)))</f>
        <v/>
      </c>
      <c r="H934" s="47">
        <f>IF($B934="","",IF(INDEX('Work Orders'!$U$11:$U$1010,$B934)="","",INDEX('Work Orders'!$U$11:$U$1010,$B934)))</f>
        <v/>
      </c>
      <c r="I934" s="47">
        <f>IF($B934="","",IF(INDEX('Work Orders'!$X$11:$X$1010,$B934)="","",INDEX('Work Orders'!$X$11:$X$1010,$B934)))</f>
        <v/>
      </c>
      <c r="J934" s="44">
        <f>IF($B934="","",IF(INDEX('Work Orders'!$Z$11:$Z$1010,$B934)="","",INDEX('Work Orders'!$Z$11:$Z$1010,$B934)))</f>
        <v/>
      </c>
      <c r="K934" s="44">
        <f>IF($B934="","",IF(INDEX('Work Orders'!$AG$11:$AG$1010,$B934)="","",INDEX('Work Orders'!$AG$11:$AG$1010,$B934)))</f>
        <v/>
      </c>
      <c r="L934" s="44">
        <f>IF($B934="","",IF(INDEX('Work Orders'!$AH$11:$AH$1010,$B934)="","",INDEX('Work Orders'!$AH$11:$AH$1010,$B934)))</f>
        <v/>
      </c>
      <c r="M934" s="46">
        <f>IF($B934="","",IF(INDEX('Work Orders'!$AM$11:$AM$1010,$B934)="","",INDEX('Work Orders'!$AM$11:$AM$1010,$B934)))</f>
        <v/>
      </c>
      <c r="N934" s="43">
        <f>IF($B934="","",IF(INDEX('Work Orders'!$AL$11:$AL$1010,$B934)="","",INDEX('Work Orders'!$AL$11:$AL$1010,$B934)))</f>
        <v/>
      </c>
      <c r="O934" s="43">
        <f>IF($B934="","",IF(INDEX('Work Orders'!$N$11:$N$1010,$B934)="","",INDEX('Work Orders'!$N$11:$N$1010,$B934)))</f>
        <v/>
      </c>
    </row>
    <row r="935">
      <c r="A935" s="68" t="n">
        <v>929</v>
      </c>
      <c r="B935">
        <f>IFERROR(MATCH(A935,'Work Orders'!$AO$11:$AO$1010,0),"")</f>
        <v/>
      </c>
      <c r="C935" s="43">
        <f>IF($B935="","",IF(INDEX('Work Orders'!$A$11:$A$1010,$B935)="","",INDEX('Work Orders'!$A$11:$A$1010,$B935)))</f>
        <v/>
      </c>
      <c r="D935" s="43">
        <f>IF($B935="","",IF(INDEX('Work Orders'!$B$11:$B$1010,$B935)="","",INDEX('Work Orders'!$B$11:$B$1010,$B935)))</f>
        <v/>
      </c>
      <c r="E935" s="43">
        <f>IF($B935="","",IF(INDEX('Work Orders'!$D$11:$D$1010,$B935)="","",INDEX('Work Orders'!$D$11:$D$1010,$B935)))</f>
        <v/>
      </c>
      <c r="F935" s="43">
        <f>IF($B935="","",IF(INDEX('Work Orders'!$Q$11:$Q$1010,$B935)="","",INDEX('Work Orders'!$Q$11:$Q$1010,$B935)))</f>
        <v/>
      </c>
      <c r="G935" s="43">
        <f>IF($B935="","",IF(INDEX('Work Orders'!$V$11:$V$1010,$B935)="","",INDEX('Work Orders'!$V$11:$V$1010,$B935)))</f>
        <v/>
      </c>
      <c r="H935" s="47">
        <f>IF($B935="","",IF(INDEX('Work Orders'!$U$11:$U$1010,$B935)="","",INDEX('Work Orders'!$U$11:$U$1010,$B935)))</f>
        <v/>
      </c>
      <c r="I935" s="47">
        <f>IF($B935="","",IF(INDEX('Work Orders'!$X$11:$X$1010,$B935)="","",INDEX('Work Orders'!$X$11:$X$1010,$B935)))</f>
        <v/>
      </c>
      <c r="J935" s="44">
        <f>IF($B935="","",IF(INDEX('Work Orders'!$Z$11:$Z$1010,$B935)="","",INDEX('Work Orders'!$Z$11:$Z$1010,$B935)))</f>
        <v/>
      </c>
      <c r="K935" s="44">
        <f>IF($B935="","",IF(INDEX('Work Orders'!$AG$11:$AG$1010,$B935)="","",INDEX('Work Orders'!$AG$11:$AG$1010,$B935)))</f>
        <v/>
      </c>
      <c r="L935" s="44">
        <f>IF($B935="","",IF(INDEX('Work Orders'!$AH$11:$AH$1010,$B935)="","",INDEX('Work Orders'!$AH$11:$AH$1010,$B935)))</f>
        <v/>
      </c>
      <c r="M935" s="46">
        <f>IF($B935="","",IF(INDEX('Work Orders'!$AM$11:$AM$1010,$B935)="","",INDEX('Work Orders'!$AM$11:$AM$1010,$B935)))</f>
        <v/>
      </c>
      <c r="N935" s="43">
        <f>IF($B935="","",IF(INDEX('Work Orders'!$AL$11:$AL$1010,$B935)="","",INDEX('Work Orders'!$AL$11:$AL$1010,$B935)))</f>
        <v/>
      </c>
      <c r="O935" s="43">
        <f>IF($B935="","",IF(INDEX('Work Orders'!$N$11:$N$1010,$B935)="","",INDEX('Work Orders'!$N$11:$N$1010,$B935)))</f>
        <v/>
      </c>
    </row>
    <row r="936">
      <c r="A936" s="68" t="n">
        <v>930</v>
      </c>
      <c r="B936">
        <f>IFERROR(MATCH(A936,'Work Orders'!$AO$11:$AO$1010,0),"")</f>
        <v/>
      </c>
      <c r="C936" s="43">
        <f>IF($B936="","",IF(INDEX('Work Orders'!$A$11:$A$1010,$B936)="","",INDEX('Work Orders'!$A$11:$A$1010,$B936)))</f>
        <v/>
      </c>
      <c r="D936" s="43">
        <f>IF($B936="","",IF(INDEX('Work Orders'!$B$11:$B$1010,$B936)="","",INDEX('Work Orders'!$B$11:$B$1010,$B936)))</f>
        <v/>
      </c>
      <c r="E936" s="43">
        <f>IF($B936="","",IF(INDEX('Work Orders'!$D$11:$D$1010,$B936)="","",INDEX('Work Orders'!$D$11:$D$1010,$B936)))</f>
        <v/>
      </c>
      <c r="F936" s="43">
        <f>IF($B936="","",IF(INDEX('Work Orders'!$Q$11:$Q$1010,$B936)="","",INDEX('Work Orders'!$Q$11:$Q$1010,$B936)))</f>
        <v/>
      </c>
      <c r="G936" s="43">
        <f>IF($B936="","",IF(INDEX('Work Orders'!$V$11:$V$1010,$B936)="","",INDEX('Work Orders'!$V$11:$V$1010,$B936)))</f>
        <v/>
      </c>
      <c r="H936" s="47">
        <f>IF($B936="","",IF(INDEX('Work Orders'!$U$11:$U$1010,$B936)="","",INDEX('Work Orders'!$U$11:$U$1010,$B936)))</f>
        <v/>
      </c>
      <c r="I936" s="47">
        <f>IF($B936="","",IF(INDEX('Work Orders'!$X$11:$X$1010,$B936)="","",INDEX('Work Orders'!$X$11:$X$1010,$B936)))</f>
        <v/>
      </c>
      <c r="J936" s="44">
        <f>IF($B936="","",IF(INDEX('Work Orders'!$Z$11:$Z$1010,$B936)="","",INDEX('Work Orders'!$Z$11:$Z$1010,$B936)))</f>
        <v/>
      </c>
      <c r="K936" s="44">
        <f>IF($B936="","",IF(INDEX('Work Orders'!$AG$11:$AG$1010,$B936)="","",INDEX('Work Orders'!$AG$11:$AG$1010,$B936)))</f>
        <v/>
      </c>
      <c r="L936" s="44">
        <f>IF($B936="","",IF(INDEX('Work Orders'!$AH$11:$AH$1010,$B936)="","",INDEX('Work Orders'!$AH$11:$AH$1010,$B936)))</f>
        <v/>
      </c>
      <c r="M936" s="46">
        <f>IF($B936="","",IF(INDEX('Work Orders'!$AM$11:$AM$1010,$B936)="","",INDEX('Work Orders'!$AM$11:$AM$1010,$B936)))</f>
        <v/>
      </c>
      <c r="N936" s="43">
        <f>IF($B936="","",IF(INDEX('Work Orders'!$AL$11:$AL$1010,$B936)="","",INDEX('Work Orders'!$AL$11:$AL$1010,$B936)))</f>
        <v/>
      </c>
      <c r="O936" s="43">
        <f>IF($B936="","",IF(INDEX('Work Orders'!$N$11:$N$1010,$B936)="","",INDEX('Work Orders'!$N$11:$N$1010,$B936)))</f>
        <v/>
      </c>
    </row>
    <row r="937">
      <c r="A937" s="68" t="n">
        <v>931</v>
      </c>
      <c r="B937">
        <f>IFERROR(MATCH(A937,'Work Orders'!$AO$11:$AO$1010,0),"")</f>
        <v/>
      </c>
      <c r="C937" s="43">
        <f>IF($B937="","",IF(INDEX('Work Orders'!$A$11:$A$1010,$B937)="","",INDEX('Work Orders'!$A$11:$A$1010,$B937)))</f>
        <v/>
      </c>
      <c r="D937" s="43">
        <f>IF($B937="","",IF(INDEX('Work Orders'!$B$11:$B$1010,$B937)="","",INDEX('Work Orders'!$B$11:$B$1010,$B937)))</f>
        <v/>
      </c>
      <c r="E937" s="43">
        <f>IF($B937="","",IF(INDEX('Work Orders'!$D$11:$D$1010,$B937)="","",INDEX('Work Orders'!$D$11:$D$1010,$B937)))</f>
        <v/>
      </c>
      <c r="F937" s="43">
        <f>IF($B937="","",IF(INDEX('Work Orders'!$Q$11:$Q$1010,$B937)="","",INDEX('Work Orders'!$Q$11:$Q$1010,$B937)))</f>
        <v/>
      </c>
      <c r="G937" s="43">
        <f>IF($B937="","",IF(INDEX('Work Orders'!$V$11:$V$1010,$B937)="","",INDEX('Work Orders'!$V$11:$V$1010,$B937)))</f>
        <v/>
      </c>
      <c r="H937" s="47">
        <f>IF($B937="","",IF(INDEX('Work Orders'!$U$11:$U$1010,$B937)="","",INDEX('Work Orders'!$U$11:$U$1010,$B937)))</f>
        <v/>
      </c>
      <c r="I937" s="47">
        <f>IF($B937="","",IF(INDEX('Work Orders'!$X$11:$X$1010,$B937)="","",INDEX('Work Orders'!$X$11:$X$1010,$B937)))</f>
        <v/>
      </c>
      <c r="J937" s="44">
        <f>IF($B937="","",IF(INDEX('Work Orders'!$Z$11:$Z$1010,$B937)="","",INDEX('Work Orders'!$Z$11:$Z$1010,$B937)))</f>
        <v/>
      </c>
      <c r="K937" s="44">
        <f>IF($B937="","",IF(INDEX('Work Orders'!$AG$11:$AG$1010,$B937)="","",INDEX('Work Orders'!$AG$11:$AG$1010,$B937)))</f>
        <v/>
      </c>
      <c r="L937" s="44">
        <f>IF($B937="","",IF(INDEX('Work Orders'!$AH$11:$AH$1010,$B937)="","",INDEX('Work Orders'!$AH$11:$AH$1010,$B937)))</f>
        <v/>
      </c>
      <c r="M937" s="46">
        <f>IF($B937="","",IF(INDEX('Work Orders'!$AM$11:$AM$1010,$B937)="","",INDEX('Work Orders'!$AM$11:$AM$1010,$B937)))</f>
        <v/>
      </c>
      <c r="N937" s="43">
        <f>IF($B937="","",IF(INDEX('Work Orders'!$AL$11:$AL$1010,$B937)="","",INDEX('Work Orders'!$AL$11:$AL$1010,$B937)))</f>
        <v/>
      </c>
      <c r="O937" s="43">
        <f>IF($B937="","",IF(INDEX('Work Orders'!$N$11:$N$1010,$B937)="","",INDEX('Work Orders'!$N$11:$N$1010,$B937)))</f>
        <v/>
      </c>
    </row>
    <row r="938">
      <c r="A938" s="68" t="n">
        <v>932</v>
      </c>
      <c r="B938">
        <f>IFERROR(MATCH(A938,'Work Orders'!$AO$11:$AO$1010,0),"")</f>
        <v/>
      </c>
      <c r="C938" s="43">
        <f>IF($B938="","",IF(INDEX('Work Orders'!$A$11:$A$1010,$B938)="","",INDEX('Work Orders'!$A$11:$A$1010,$B938)))</f>
        <v/>
      </c>
      <c r="D938" s="43">
        <f>IF($B938="","",IF(INDEX('Work Orders'!$B$11:$B$1010,$B938)="","",INDEX('Work Orders'!$B$11:$B$1010,$B938)))</f>
        <v/>
      </c>
      <c r="E938" s="43">
        <f>IF($B938="","",IF(INDEX('Work Orders'!$D$11:$D$1010,$B938)="","",INDEX('Work Orders'!$D$11:$D$1010,$B938)))</f>
        <v/>
      </c>
      <c r="F938" s="43">
        <f>IF($B938="","",IF(INDEX('Work Orders'!$Q$11:$Q$1010,$B938)="","",INDEX('Work Orders'!$Q$11:$Q$1010,$B938)))</f>
        <v/>
      </c>
      <c r="G938" s="43">
        <f>IF($B938="","",IF(INDEX('Work Orders'!$V$11:$V$1010,$B938)="","",INDEX('Work Orders'!$V$11:$V$1010,$B938)))</f>
        <v/>
      </c>
      <c r="H938" s="47">
        <f>IF($B938="","",IF(INDEX('Work Orders'!$U$11:$U$1010,$B938)="","",INDEX('Work Orders'!$U$11:$U$1010,$B938)))</f>
        <v/>
      </c>
      <c r="I938" s="47">
        <f>IF($B938="","",IF(INDEX('Work Orders'!$X$11:$X$1010,$B938)="","",INDEX('Work Orders'!$X$11:$X$1010,$B938)))</f>
        <v/>
      </c>
      <c r="J938" s="44">
        <f>IF($B938="","",IF(INDEX('Work Orders'!$Z$11:$Z$1010,$B938)="","",INDEX('Work Orders'!$Z$11:$Z$1010,$B938)))</f>
        <v/>
      </c>
      <c r="K938" s="44">
        <f>IF($B938="","",IF(INDEX('Work Orders'!$AG$11:$AG$1010,$B938)="","",INDEX('Work Orders'!$AG$11:$AG$1010,$B938)))</f>
        <v/>
      </c>
      <c r="L938" s="44">
        <f>IF($B938="","",IF(INDEX('Work Orders'!$AH$11:$AH$1010,$B938)="","",INDEX('Work Orders'!$AH$11:$AH$1010,$B938)))</f>
        <v/>
      </c>
      <c r="M938" s="46">
        <f>IF($B938="","",IF(INDEX('Work Orders'!$AM$11:$AM$1010,$B938)="","",INDEX('Work Orders'!$AM$11:$AM$1010,$B938)))</f>
        <v/>
      </c>
      <c r="N938" s="43">
        <f>IF($B938="","",IF(INDEX('Work Orders'!$AL$11:$AL$1010,$B938)="","",INDEX('Work Orders'!$AL$11:$AL$1010,$B938)))</f>
        <v/>
      </c>
      <c r="O938" s="43">
        <f>IF($B938="","",IF(INDEX('Work Orders'!$N$11:$N$1010,$B938)="","",INDEX('Work Orders'!$N$11:$N$1010,$B938)))</f>
        <v/>
      </c>
    </row>
    <row r="939">
      <c r="A939" s="68" t="n">
        <v>933</v>
      </c>
      <c r="B939">
        <f>IFERROR(MATCH(A939,'Work Orders'!$AO$11:$AO$1010,0),"")</f>
        <v/>
      </c>
      <c r="C939" s="43">
        <f>IF($B939="","",IF(INDEX('Work Orders'!$A$11:$A$1010,$B939)="","",INDEX('Work Orders'!$A$11:$A$1010,$B939)))</f>
        <v/>
      </c>
      <c r="D939" s="43">
        <f>IF($B939="","",IF(INDEX('Work Orders'!$B$11:$B$1010,$B939)="","",INDEX('Work Orders'!$B$11:$B$1010,$B939)))</f>
        <v/>
      </c>
      <c r="E939" s="43">
        <f>IF($B939="","",IF(INDEX('Work Orders'!$D$11:$D$1010,$B939)="","",INDEX('Work Orders'!$D$11:$D$1010,$B939)))</f>
        <v/>
      </c>
      <c r="F939" s="43">
        <f>IF($B939="","",IF(INDEX('Work Orders'!$Q$11:$Q$1010,$B939)="","",INDEX('Work Orders'!$Q$11:$Q$1010,$B939)))</f>
        <v/>
      </c>
      <c r="G939" s="43">
        <f>IF($B939="","",IF(INDEX('Work Orders'!$V$11:$V$1010,$B939)="","",INDEX('Work Orders'!$V$11:$V$1010,$B939)))</f>
        <v/>
      </c>
      <c r="H939" s="47">
        <f>IF($B939="","",IF(INDEX('Work Orders'!$U$11:$U$1010,$B939)="","",INDEX('Work Orders'!$U$11:$U$1010,$B939)))</f>
        <v/>
      </c>
      <c r="I939" s="47">
        <f>IF($B939="","",IF(INDEX('Work Orders'!$X$11:$X$1010,$B939)="","",INDEX('Work Orders'!$X$11:$X$1010,$B939)))</f>
        <v/>
      </c>
      <c r="J939" s="44">
        <f>IF($B939="","",IF(INDEX('Work Orders'!$Z$11:$Z$1010,$B939)="","",INDEX('Work Orders'!$Z$11:$Z$1010,$B939)))</f>
        <v/>
      </c>
      <c r="K939" s="44">
        <f>IF($B939="","",IF(INDEX('Work Orders'!$AG$11:$AG$1010,$B939)="","",INDEX('Work Orders'!$AG$11:$AG$1010,$B939)))</f>
        <v/>
      </c>
      <c r="L939" s="44">
        <f>IF($B939="","",IF(INDEX('Work Orders'!$AH$11:$AH$1010,$B939)="","",INDEX('Work Orders'!$AH$11:$AH$1010,$B939)))</f>
        <v/>
      </c>
      <c r="M939" s="46">
        <f>IF($B939="","",IF(INDEX('Work Orders'!$AM$11:$AM$1010,$B939)="","",INDEX('Work Orders'!$AM$11:$AM$1010,$B939)))</f>
        <v/>
      </c>
      <c r="N939" s="43">
        <f>IF($B939="","",IF(INDEX('Work Orders'!$AL$11:$AL$1010,$B939)="","",INDEX('Work Orders'!$AL$11:$AL$1010,$B939)))</f>
        <v/>
      </c>
      <c r="O939" s="43">
        <f>IF($B939="","",IF(INDEX('Work Orders'!$N$11:$N$1010,$B939)="","",INDEX('Work Orders'!$N$11:$N$1010,$B939)))</f>
        <v/>
      </c>
    </row>
    <row r="940">
      <c r="A940" s="68" t="n">
        <v>934</v>
      </c>
      <c r="B940">
        <f>IFERROR(MATCH(A940,'Work Orders'!$AO$11:$AO$1010,0),"")</f>
        <v/>
      </c>
      <c r="C940" s="43">
        <f>IF($B940="","",IF(INDEX('Work Orders'!$A$11:$A$1010,$B940)="","",INDEX('Work Orders'!$A$11:$A$1010,$B940)))</f>
        <v/>
      </c>
      <c r="D940" s="43">
        <f>IF($B940="","",IF(INDEX('Work Orders'!$B$11:$B$1010,$B940)="","",INDEX('Work Orders'!$B$11:$B$1010,$B940)))</f>
        <v/>
      </c>
      <c r="E940" s="43">
        <f>IF($B940="","",IF(INDEX('Work Orders'!$D$11:$D$1010,$B940)="","",INDEX('Work Orders'!$D$11:$D$1010,$B940)))</f>
        <v/>
      </c>
      <c r="F940" s="43">
        <f>IF($B940="","",IF(INDEX('Work Orders'!$Q$11:$Q$1010,$B940)="","",INDEX('Work Orders'!$Q$11:$Q$1010,$B940)))</f>
        <v/>
      </c>
      <c r="G940" s="43">
        <f>IF($B940="","",IF(INDEX('Work Orders'!$V$11:$V$1010,$B940)="","",INDEX('Work Orders'!$V$11:$V$1010,$B940)))</f>
        <v/>
      </c>
      <c r="H940" s="47">
        <f>IF($B940="","",IF(INDEX('Work Orders'!$U$11:$U$1010,$B940)="","",INDEX('Work Orders'!$U$11:$U$1010,$B940)))</f>
        <v/>
      </c>
      <c r="I940" s="47">
        <f>IF($B940="","",IF(INDEX('Work Orders'!$X$11:$X$1010,$B940)="","",INDEX('Work Orders'!$X$11:$X$1010,$B940)))</f>
        <v/>
      </c>
      <c r="J940" s="44">
        <f>IF($B940="","",IF(INDEX('Work Orders'!$Z$11:$Z$1010,$B940)="","",INDEX('Work Orders'!$Z$11:$Z$1010,$B940)))</f>
        <v/>
      </c>
      <c r="K940" s="44">
        <f>IF($B940="","",IF(INDEX('Work Orders'!$AG$11:$AG$1010,$B940)="","",INDEX('Work Orders'!$AG$11:$AG$1010,$B940)))</f>
        <v/>
      </c>
      <c r="L940" s="44">
        <f>IF($B940="","",IF(INDEX('Work Orders'!$AH$11:$AH$1010,$B940)="","",INDEX('Work Orders'!$AH$11:$AH$1010,$B940)))</f>
        <v/>
      </c>
      <c r="M940" s="46">
        <f>IF($B940="","",IF(INDEX('Work Orders'!$AM$11:$AM$1010,$B940)="","",INDEX('Work Orders'!$AM$11:$AM$1010,$B940)))</f>
        <v/>
      </c>
      <c r="N940" s="43">
        <f>IF($B940="","",IF(INDEX('Work Orders'!$AL$11:$AL$1010,$B940)="","",INDEX('Work Orders'!$AL$11:$AL$1010,$B940)))</f>
        <v/>
      </c>
      <c r="O940" s="43">
        <f>IF($B940="","",IF(INDEX('Work Orders'!$N$11:$N$1010,$B940)="","",INDEX('Work Orders'!$N$11:$N$1010,$B940)))</f>
        <v/>
      </c>
    </row>
    <row r="941">
      <c r="A941" s="68" t="n">
        <v>935</v>
      </c>
      <c r="B941">
        <f>IFERROR(MATCH(A941,'Work Orders'!$AO$11:$AO$1010,0),"")</f>
        <v/>
      </c>
      <c r="C941" s="43">
        <f>IF($B941="","",IF(INDEX('Work Orders'!$A$11:$A$1010,$B941)="","",INDEX('Work Orders'!$A$11:$A$1010,$B941)))</f>
        <v/>
      </c>
      <c r="D941" s="43">
        <f>IF($B941="","",IF(INDEX('Work Orders'!$B$11:$B$1010,$B941)="","",INDEX('Work Orders'!$B$11:$B$1010,$B941)))</f>
        <v/>
      </c>
      <c r="E941" s="43">
        <f>IF($B941="","",IF(INDEX('Work Orders'!$D$11:$D$1010,$B941)="","",INDEX('Work Orders'!$D$11:$D$1010,$B941)))</f>
        <v/>
      </c>
      <c r="F941" s="43">
        <f>IF($B941="","",IF(INDEX('Work Orders'!$Q$11:$Q$1010,$B941)="","",INDEX('Work Orders'!$Q$11:$Q$1010,$B941)))</f>
        <v/>
      </c>
      <c r="G941" s="43">
        <f>IF($B941="","",IF(INDEX('Work Orders'!$V$11:$V$1010,$B941)="","",INDEX('Work Orders'!$V$11:$V$1010,$B941)))</f>
        <v/>
      </c>
      <c r="H941" s="47">
        <f>IF($B941="","",IF(INDEX('Work Orders'!$U$11:$U$1010,$B941)="","",INDEX('Work Orders'!$U$11:$U$1010,$B941)))</f>
        <v/>
      </c>
      <c r="I941" s="47">
        <f>IF($B941="","",IF(INDEX('Work Orders'!$X$11:$X$1010,$B941)="","",INDEX('Work Orders'!$X$11:$X$1010,$B941)))</f>
        <v/>
      </c>
      <c r="J941" s="44">
        <f>IF($B941="","",IF(INDEX('Work Orders'!$Z$11:$Z$1010,$B941)="","",INDEX('Work Orders'!$Z$11:$Z$1010,$B941)))</f>
        <v/>
      </c>
      <c r="K941" s="44">
        <f>IF($B941="","",IF(INDEX('Work Orders'!$AG$11:$AG$1010,$B941)="","",INDEX('Work Orders'!$AG$11:$AG$1010,$B941)))</f>
        <v/>
      </c>
      <c r="L941" s="44">
        <f>IF($B941="","",IF(INDEX('Work Orders'!$AH$11:$AH$1010,$B941)="","",INDEX('Work Orders'!$AH$11:$AH$1010,$B941)))</f>
        <v/>
      </c>
      <c r="M941" s="46">
        <f>IF($B941="","",IF(INDEX('Work Orders'!$AM$11:$AM$1010,$B941)="","",INDEX('Work Orders'!$AM$11:$AM$1010,$B941)))</f>
        <v/>
      </c>
      <c r="N941" s="43">
        <f>IF($B941="","",IF(INDEX('Work Orders'!$AL$11:$AL$1010,$B941)="","",INDEX('Work Orders'!$AL$11:$AL$1010,$B941)))</f>
        <v/>
      </c>
      <c r="O941" s="43">
        <f>IF($B941="","",IF(INDEX('Work Orders'!$N$11:$N$1010,$B941)="","",INDEX('Work Orders'!$N$11:$N$1010,$B941)))</f>
        <v/>
      </c>
    </row>
    <row r="942">
      <c r="A942" s="68" t="n">
        <v>936</v>
      </c>
      <c r="B942">
        <f>IFERROR(MATCH(A942,'Work Orders'!$AO$11:$AO$1010,0),"")</f>
        <v/>
      </c>
      <c r="C942" s="43">
        <f>IF($B942="","",IF(INDEX('Work Orders'!$A$11:$A$1010,$B942)="","",INDEX('Work Orders'!$A$11:$A$1010,$B942)))</f>
        <v/>
      </c>
      <c r="D942" s="43">
        <f>IF($B942="","",IF(INDEX('Work Orders'!$B$11:$B$1010,$B942)="","",INDEX('Work Orders'!$B$11:$B$1010,$B942)))</f>
        <v/>
      </c>
      <c r="E942" s="43">
        <f>IF($B942="","",IF(INDEX('Work Orders'!$D$11:$D$1010,$B942)="","",INDEX('Work Orders'!$D$11:$D$1010,$B942)))</f>
        <v/>
      </c>
      <c r="F942" s="43">
        <f>IF($B942="","",IF(INDEX('Work Orders'!$Q$11:$Q$1010,$B942)="","",INDEX('Work Orders'!$Q$11:$Q$1010,$B942)))</f>
        <v/>
      </c>
      <c r="G942" s="43">
        <f>IF($B942="","",IF(INDEX('Work Orders'!$V$11:$V$1010,$B942)="","",INDEX('Work Orders'!$V$11:$V$1010,$B942)))</f>
        <v/>
      </c>
      <c r="H942" s="47">
        <f>IF($B942="","",IF(INDEX('Work Orders'!$U$11:$U$1010,$B942)="","",INDEX('Work Orders'!$U$11:$U$1010,$B942)))</f>
        <v/>
      </c>
      <c r="I942" s="47">
        <f>IF($B942="","",IF(INDEX('Work Orders'!$X$11:$X$1010,$B942)="","",INDEX('Work Orders'!$X$11:$X$1010,$B942)))</f>
        <v/>
      </c>
      <c r="J942" s="44">
        <f>IF($B942="","",IF(INDEX('Work Orders'!$Z$11:$Z$1010,$B942)="","",INDEX('Work Orders'!$Z$11:$Z$1010,$B942)))</f>
        <v/>
      </c>
      <c r="K942" s="44">
        <f>IF($B942="","",IF(INDEX('Work Orders'!$AG$11:$AG$1010,$B942)="","",INDEX('Work Orders'!$AG$11:$AG$1010,$B942)))</f>
        <v/>
      </c>
      <c r="L942" s="44">
        <f>IF($B942="","",IF(INDEX('Work Orders'!$AH$11:$AH$1010,$B942)="","",INDEX('Work Orders'!$AH$11:$AH$1010,$B942)))</f>
        <v/>
      </c>
      <c r="M942" s="46">
        <f>IF($B942="","",IF(INDEX('Work Orders'!$AM$11:$AM$1010,$B942)="","",INDEX('Work Orders'!$AM$11:$AM$1010,$B942)))</f>
        <v/>
      </c>
      <c r="N942" s="43">
        <f>IF($B942="","",IF(INDEX('Work Orders'!$AL$11:$AL$1010,$B942)="","",INDEX('Work Orders'!$AL$11:$AL$1010,$B942)))</f>
        <v/>
      </c>
      <c r="O942" s="43">
        <f>IF($B942="","",IF(INDEX('Work Orders'!$N$11:$N$1010,$B942)="","",INDEX('Work Orders'!$N$11:$N$1010,$B942)))</f>
        <v/>
      </c>
    </row>
    <row r="943">
      <c r="A943" s="68" t="n">
        <v>937</v>
      </c>
      <c r="B943">
        <f>IFERROR(MATCH(A943,'Work Orders'!$AO$11:$AO$1010,0),"")</f>
        <v/>
      </c>
      <c r="C943" s="43">
        <f>IF($B943="","",IF(INDEX('Work Orders'!$A$11:$A$1010,$B943)="","",INDEX('Work Orders'!$A$11:$A$1010,$B943)))</f>
        <v/>
      </c>
      <c r="D943" s="43">
        <f>IF($B943="","",IF(INDEX('Work Orders'!$B$11:$B$1010,$B943)="","",INDEX('Work Orders'!$B$11:$B$1010,$B943)))</f>
        <v/>
      </c>
      <c r="E943" s="43">
        <f>IF($B943="","",IF(INDEX('Work Orders'!$D$11:$D$1010,$B943)="","",INDEX('Work Orders'!$D$11:$D$1010,$B943)))</f>
        <v/>
      </c>
      <c r="F943" s="43">
        <f>IF($B943="","",IF(INDEX('Work Orders'!$Q$11:$Q$1010,$B943)="","",INDEX('Work Orders'!$Q$11:$Q$1010,$B943)))</f>
        <v/>
      </c>
      <c r="G943" s="43">
        <f>IF($B943="","",IF(INDEX('Work Orders'!$V$11:$V$1010,$B943)="","",INDEX('Work Orders'!$V$11:$V$1010,$B943)))</f>
        <v/>
      </c>
      <c r="H943" s="47">
        <f>IF($B943="","",IF(INDEX('Work Orders'!$U$11:$U$1010,$B943)="","",INDEX('Work Orders'!$U$11:$U$1010,$B943)))</f>
        <v/>
      </c>
      <c r="I943" s="47">
        <f>IF($B943="","",IF(INDEX('Work Orders'!$X$11:$X$1010,$B943)="","",INDEX('Work Orders'!$X$11:$X$1010,$B943)))</f>
        <v/>
      </c>
      <c r="J943" s="44">
        <f>IF($B943="","",IF(INDEX('Work Orders'!$Z$11:$Z$1010,$B943)="","",INDEX('Work Orders'!$Z$11:$Z$1010,$B943)))</f>
        <v/>
      </c>
      <c r="K943" s="44">
        <f>IF($B943="","",IF(INDEX('Work Orders'!$AG$11:$AG$1010,$B943)="","",INDEX('Work Orders'!$AG$11:$AG$1010,$B943)))</f>
        <v/>
      </c>
      <c r="L943" s="44">
        <f>IF($B943="","",IF(INDEX('Work Orders'!$AH$11:$AH$1010,$B943)="","",INDEX('Work Orders'!$AH$11:$AH$1010,$B943)))</f>
        <v/>
      </c>
      <c r="M943" s="46">
        <f>IF($B943="","",IF(INDEX('Work Orders'!$AM$11:$AM$1010,$B943)="","",INDEX('Work Orders'!$AM$11:$AM$1010,$B943)))</f>
        <v/>
      </c>
      <c r="N943" s="43">
        <f>IF($B943="","",IF(INDEX('Work Orders'!$AL$11:$AL$1010,$B943)="","",INDEX('Work Orders'!$AL$11:$AL$1010,$B943)))</f>
        <v/>
      </c>
      <c r="O943" s="43">
        <f>IF($B943="","",IF(INDEX('Work Orders'!$N$11:$N$1010,$B943)="","",INDEX('Work Orders'!$N$11:$N$1010,$B943)))</f>
        <v/>
      </c>
    </row>
    <row r="944">
      <c r="A944" s="68" t="n">
        <v>938</v>
      </c>
      <c r="B944">
        <f>IFERROR(MATCH(A944,'Work Orders'!$AO$11:$AO$1010,0),"")</f>
        <v/>
      </c>
      <c r="C944" s="43">
        <f>IF($B944="","",IF(INDEX('Work Orders'!$A$11:$A$1010,$B944)="","",INDEX('Work Orders'!$A$11:$A$1010,$B944)))</f>
        <v/>
      </c>
      <c r="D944" s="43">
        <f>IF($B944="","",IF(INDEX('Work Orders'!$B$11:$B$1010,$B944)="","",INDEX('Work Orders'!$B$11:$B$1010,$B944)))</f>
        <v/>
      </c>
      <c r="E944" s="43">
        <f>IF($B944="","",IF(INDEX('Work Orders'!$D$11:$D$1010,$B944)="","",INDEX('Work Orders'!$D$11:$D$1010,$B944)))</f>
        <v/>
      </c>
      <c r="F944" s="43">
        <f>IF($B944="","",IF(INDEX('Work Orders'!$Q$11:$Q$1010,$B944)="","",INDEX('Work Orders'!$Q$11:$Q$1010,$B944)))</f>
        <v/>
      </c>
      <c r="G944" s="43">
        <f>IF($B944="","",IF(INDEX('Work Orders'!$V$11:$V$1010,$B944)="","",INDEX('Work Orders'!$V$11:$V$1010,$B944)))</f>
        <v/>
      </c>
      <c r="H944" s="47">
        <f>IF($B944="","",IF(INDEX('Work Orders'!$U$11:$U$1010,$B944)="","",INDEX('Work Orders'!$U$11:$U$1010,$B944)))</f>
        <v/>
      </c>
      <c r="I944" s="47">
        <f>IF($B944="","",IF(INDEX('Work Orders'!$X$11:$X$1010,$B944)="","",INDEX('Work Orders'!$X$11:$X$1010,$B944)))</f>
        <v/>
      </c>
      <c r="J944" s="44">
        <f>IF($B944="","",IF(INDEX('Work Orders'!$Z$11:$Z$1010,$B944)="","",INDEX('Work Orders'!$Z$11:$Z$1010,$B944)))</f>
        <v/>
      </c>
      <c r="K944" s="44">
        <f>IF($B944="","",IF(INDEX('Work Orders'!$AG$11:$AG$1010,$B944)="","",INDEX('Work Orders'!$AG$11:$AG$1010,$B944)))</f>
        <v/>
      </c>
      <c r="L944" s="44">
        <f>IF($B944="","",IF(INDEX('Work Orders'!$AH$11:$AH$1010,$B944)="","",INDEX('Work Orders'!$AH$11:$AH$1010,$B944)))</f>
        <v/>
      </c>
      <c r="M944" s="46">
        <f>IF($B944="","",IF(INDEX('Work Orders'!$AM$11:$AM$1010,$B944)="","",INDEX('Work Orders'!$AM$11:$AM$1010,$B944)))</f>
        <v/>
      </c>
      <c r="N944" s="43">
        <f>IF($B944="","",IF(INDEX('Work Orders'!$AL$11:$AL$1010,$B944)="","",INDEX('Work Orders'!$AL$11:$AL$1010,$B944)))</f>
        <v/>
      </c>
      <c r="O944" s="43">
        <f>IF($B944="","",IF(INDEX('Work Orders'!$N$11:$N$1010,$B944)="","",INDEX('Work Orders'!$N$11:$N$1010,$B944)))</f>
        <v/>
      </c>
    </row>
    <row r="945">
      <c r="A945" s="68" t="n">
        <v>939</v>
      </c>
      <c r="B945">
        <f>IFERROR(MATCH(A945,'Work Orders'!$AO$11:$AO$1010,0),"")</f>
        <v/>
      </c>
      <c r="C945" s="43">
        <f>IF($B945="","",IF(INDEX('Work Orders'!$A$11:$A$1010,$B945)="","",INDEX('Work Orders'!$A$11:$A$1010,$B945)))</f>
        <v/>
      </c>
      <c r="D945" s="43">
        <f>IF($B945="","",IF(INDEX('Work Orders'!$B$11:$B$1010,$B945)="","",INDEX('Work Orders'!$B$11:$B$1010,$B945)))</f>
        <v/>
      </c>
      <c r="E945" s="43">
        <f>IF($B945="","",IF(INDEX('Work Orders'!$D$11:$D$1010,$B945)="","",INDEX('Work Orders'!$D$11:$D$1010,$B945)))</f>
        <v/>
      </c>
      <c r="F945" s="43">
        <f>IF($B945="","",IF(INDEX('Work Orders'!$Q$11:$Q$1010,$B945)="","",INDEX('Work Orders'!$Q$11:$Q$1010,$B945)))</f>
        <v/>
      </c>
      <c r="G945" s="43">
        <f>IF($B945="","",IF(INDEX('Work Orders'!$V$11:$V$1010,$B945)="","",INDEX('Work Orders'!$V$11:$V$1010,$B945)))</f>
        <v/>
      </c>
      <c r="H945" s="47">
        <f>IF($B945="","",IF(INDEX('Work Orders'!$U$11:$U$1010,$B945)="","",INDEX('Work Orders'!$U$11:$U$1010,$B945)))</f>
        <v/>
      </c>
      <c r="I945" s="47">
        <f>IF($B945="","",IF(INDEX('Work Orders'!$X$11:$X$1010,$B945)="","",INDEX('Work Orders'!$X$11:$X$1010,$B945)))</f>
        <v/>
      </c>
      <c r="J945" s="44">
        <f>IF($B945="","",IF(INDEX('Work Orders'!$Z$11:$Z$1010,$B945)="","",INDEX('Work Orders'!$Z$11:$Z$1010,$B945)))</f>
        <v/>
      </c>
      <c r="K945" s="44">
        <f>IF($B945="","",IF(INDEX('Work Orders'!$AG$11:$AG$1010,$B945)="","",INDEX('Work Orders'!$AG$11:$AG$1010,$B945)))</f>
        <v/>
      </c>
      <c r="L945" s="44">
        <f>IF($B945="","",IF(INDEX('Work Orders'!$AH$11:$AH$1010,$B945)="","",INDEX('Work Orders'!$AH$11:$AH$1010,$B945)))</f>
        <v/>
      </c>
      <c r="M945" s="46">
        <f>IF($B945="","",IF(INDEX('Work Orders'!$AM$11:$AM$1010,$B945)="","",INDEX('Work Orders'!$AM$11:$AM$1010,$B945)))</f>
        <v/>
      </c>
      <c r="N945" s="43">
        <f>IF($B945="","",IF(INDEX('Work Orders'!$AL$11:$AL$1010,$B945)="","",INDEX('Work Orders'!$AL$11:$AL$1010,$B945)))</f>
        <v/>
      </c>
      <c r="O945" s="43">
        <f>IF($B945="","",IF(INDEX('Work Orders'!$N$11:$N$1010,$B945)="","",INDEX('Work Orders'!$N$11:$N$1010,$B945)))</f>
        <v/>
      </c>
    </row>
    <row r="946">
      <c r="A946" s="68" t="n">
        <v>940</v>
      </c>
      <c r="B946">
        <f>IFERROR(MATCH(A946,'Work Orders'!$AO$11:$AO$1010,0),"")</f>
        <v/>
      </c>
      <c r="C946" s="43">
        <f>IF($B946="","",IF(INDEX('Work Orders'!$A$11:$A$1010,$B946)="","",INDEX('Work Orders'!$A$11:$A$1010,$B946)))</f>
        <v/>
      </c>
      <c r="D946" s="43">
        <f>IF($B946="","",IF(INDEX('Work Orders'!$B$11:$B$1010,$B946)="","",INDEX('Work Orders'!$B$11:$B$1010,$B946)))</f>
        <v/>
      </c>
      <c r="E946" s="43">
        <f>IF($B946="","",IF(INDEX('Work Orders'!$D$11:$D$1010,$B946)="","",INDEX('Work Orders'!$D$11:$D$1010,$B946)))</f>
        <v/>
      </c>
      <c r="F946" s="43">
        <f>IF($B946="","",IF(INDEX('Work Orders'!$Q$11:$Q$1010,$B946)="","",INDEX('Work Orders'!$Q$11:$Q$1010,$B946)))</f>
        <v/>
      </c>
      <c r="G946" s="43">
        <f>IF($B946="","",IF(INDEX('Work Orders'!$V$11:$V$1010,$B946)="","",INDEX('Work Orders'!$V$11:$V$1010,$B946)))</f>
        <v/>
      </c>
      <c r="H946" s="47">
        <f>IF($B946="","",IF(INDEX('Work Orders'!$U$11:$U$1010,$B946)="","",INDEX('Work Orders'!$U$11:$U$1010,$B946)))</f>
        <v/>
      </c>
      <c r="I946" s="47">
        <f>IF($B946="","",IF(INDEX('Work Orders'!$X$11:$X$1010,$B946)="","",INDEX('Work Orders'!$X$11:$X$1010,$B946)))</f>
        <v/>
      </c>
      <c r="J946" s="44">
        <f>IF($B946="","",IF(INDEX('Work Orders'!$Z$11:$Z$1010,$B946)="","",INDEX('Work Orders'!$Z$11:$Z$1010,$B946)))</f>
        <v/>
      </c>
      <c r="K946" s="44">
        <f>IF($B946="","",IF(INDEX('Work Orders'!$AG$11:$AG$1010,$B946)="","",INDEX('Work Orders'!$AG$11:$AG$1010,$B946)))</f>
        <v/>
      </c>
      <c r="L946" s="44">
        <f>IF($B946="","",IF(INDEX('Work Orders'!$AH$11:$AH$1010,$B946)="","",INDEX('Work Orders'!$AH$11:$AH$1010,$B946)))</f>
        <v/>
      </c>
      <c r="M946" s="46">
        <f>IF($B946="","",IF(INDEX('Work Orders'!$AM$11:$AM$1010,$B946)="","",INDEX('Work Orders'!$AM$11:$AM$1010,$B946)))</f>
        <v/>
      </c>
      <c r="N946" s="43">
        <f>IF($B946="","",IF(INDEX('Work Orders'!$AL$11:$AL$1010,$B946)="","",INDEX('Work Orders'!$AL$11:$AL$1010,$B946)))</f>
        <v/>
      </c>
      <c r="O946" s="43">
        <f>IF($B946="","",IF(INDEX('Work Orders'!$N$11:$N$1010,$B946)="","",INDEX('Work Orders'!$N$11:$N$1010,$B946)))</f>
        <v/>
      </c>
    </row>
    <row r="947">
      <c r="A947" s="68" t="n">
        <v>941</v>
      </c>
      <c r="B947">
        <f>IFERROR(MATCH(A947,'Work Orders'!$AO$11:$AO$1010,0),"")</f>
        <v/>
      </c>
      <c r="C947" s="43">
        <f>IF($B947="","",IF(INDEX('Work Orders'!$A$11:$A$1010,$B947)="","",INDEX('Work Orders'!$A$11:$A$1010,$B947)))</f>
        <v/>
      </c>
      <c r="D947" s="43">
        <f>IF($B947="","",IF(INDEX('Work Orders'!$B$11:$B$1010,$B947)="","",INDEX('Work Orders'!$B$11:$B$1010,$B947)))</f>
        <v/>
      </c>
      <c r="E947" s="43">
        <f>IF($B947="","",IF(INDEX('Work Orders'!$D$11:$D$1010,$B947)="","",INDEX('Work Orders'!$D$11:$D$1010,$B947)))</f>
        <v/>
      </c>
      <c r="F947" s="43">
        <f>IF($B947="","",IF(INDEX('Work Orders'!$Q$11:$Q$1010,$B947)="","",INDEX('Work Orders'!$Q$11:$Q$1010,$B947)))</f>
        <v/>
      </c>
      <c r="G947" s="43">
        <f>IF($B947="","",IF(INDEX('Work Orders'!$V$11:$V$1010,$B947)="","",INDEX('Work Orders'!$V$11:$V$1010,$B947)))</f>
        <v/>
      </c>
      <c r="H947" s="47">
        <f>IF($B947="","",IF(INDEX('Work Orders'!$U$11:$U$1010,$B947)="","",INDEX('Work Orders'!$U$11:$U$1010,$B947)))</f>
        <v/>
      </c>
      <c r="I947" s="47">
        <f>IF($B947="","",IF(INDEX('Work Orders'!$X$11:$X$1010,$B947)="","",INDEX('Work Orders'!$X$11:$X$1010,$B947)))</f>
        <v/>
      </c>
      <c r="J947" s="44">
        <f>IF($B947="","",IF(INDEX('Work Orders'!$Z$11:$Z$1010,$B947)="","",INDEX('Work Orders'!$Z$11:$Z$1010,$B947)))</f>
        <v/>
      </c>
      <c r="K947" s="44">
        <f>IF($B947="","",IF(INDEX('Work Orders'!$AG$11:$AG$1010,$B947)="","",INDEX('Work Orders'!$AG$11:$AG$1010,$B947)))</f>
        <v/>
      </c>
      <c r="L947" s="44">
        <f>IF($B947="","",IF(INDEX('Work Orders'!$AH$11:$AH$1010,$B947)="","",INDEX('Work Orders'!$AH$11:$AH$1010,$B947)))</f>
        <v/>
      </c>
      <c r="M947" s="46">
        <f>IF($B947="","",IF(INDEX('Work Orders'!$AM$11:$AM$1010,$B947)="","",INDEX('Work Orders'!$AM$11:$AM$1010,$B947)))</f>
        <v/>
      </c>
      <c r="N947" s="43">
        <f>IF($B947="","",IF(INDEX('Work Orders'!$AL$11:$AL$1010,$B947)="","",INDEX('Work Orders'!$AL$11:$AL$1010,$B947)))</f>
        <v/>
      </c>
      <c r="O947" s="43">
        <f>IF($B947="","",IF(INDEX('Work Orders'!$N$11:$N$1010,$B947)="","",INDEX('Work Orders'!$N$11:$N$1010,$B947)))</f>
        <v/>
      </c>
    </row>
    <row r="948">
      <c r="A948" s="68" t="n">
        <v>942</v>
      </c>
      <c r="B948">
        <f>IFERROR(MATCH(A948,'Work Orders'!$AO$11:$AO$1010,0),"")</f>
        <v/>
      </c>
      <c r="C948" s="43">
        <f>IF($B948="","",IF(INDEX('Work Orders'!$A$11:$A$1010,$B948)="","",INDEX('Work Orders'!$A$11:$A$1010,$B948)))</f>
        <v/>
      </c>
      <c r="D948" s="43">
        <f>IF($B948="","",IF(INDEX('Work Orders'!$B$11:$B$1010,$B948)="","",INDEX('Work Orders'!$B$11:$B$1010,$B948)))</f>
        <v/>
      </c>
      <c r="E948" s="43">
        <f>IF($B948="","",IF(INDEX('Work Orders'!$D$11:$D$1010,$B948)="","",INDEX('Work Orders'!$D$11:$D$1010,$B948)))</f>
        <v/>
      </c>
      <c r="F948" s="43">
        <f>IF($B948="","",IF(INDEX('Work Orders'!$Q$11:$Q$1010,$B948)="","",INDEX('Work Orders'!$Q$11:$Q$1010,$B948)))</f>
        <v/>
      </c>
      <c r="G948" s="43">
        <f>IF($B948="","",IF(INDEX('Work Orders'!$V$11:$V$1010,$B948)="","",INDEX('Work Orders'!$V$11:$V$1010,$B948)))</f>
        <v/>
      </c>
      <c r="H948" s="47">
        <f>IF($B948="","",IF(INDEX('Work Orders'!$U$11:$U$1010,$B948)="","",INDEX('Work Orders'!$U$11:$U$1010,$B948)))</f>
        <v/>
      </c>
      <c r="I948" s="47">
        <f>IF($B948="","",IF(INDEX('Work Orders'!$X$11:$X$1010,$B948)="","",INDEX('Work Orders'!$X$11:$X$1010,$B948)))</f>
        <v/>
      </c>
      <c r="J948" s="44">
        <f>IF($B948="","",IF(INDEX('Work Orders'!$Z$11:$Z$1010,$B948)="","",INDEX('Work Orders'!$Z$11:$Z$1010,$B948)))</f>
        <v/>
      </c>
      <c r="K948" s="44">
        <f>IF($B948="","",IF(INDEX('Work Orders'!$AG$11:$AG$1010,$B948)="","",INDEX('Work Orders'!$AG$11:$AG$1010,$B948)))</f>
        <v/>
      </c>
      <c r="L948" s="44">
        <f>IF($B948="","",IF(INDEX('Work Orders'!$AH$11:$AH$1010,$B948)="","",INDEX('Work Orders'!$AH$11:$AH$1010,$B948)))</f>
        <v/>
      </c>
      <c r="M948" s="46">
        <f>IF($B948="","",IF(INDEX('Work Orders'!$AM$11:$AM$1010,$B948)="","",INDEX('Work Orders'!$AM$11:$AM$1010,$B948)))</f>
        <v/>
      </c>
      <c r="N948" s="43">
        <f>IF($B948="","",IF(INDEX('Work Orders'!$AL$11:$AL$1010,$B948)="","",INDEX('Work Orders'!$AL$11:$AL$1010,$B948)))</f>
        <v/>
      </c>
      <c r="O948" s="43">
        <f>IF($B948="","",IF(INDEX('Work Orders'!$N$11:$N$1010,$B948)="","",INDEX('Work Orders'!$N$11:$N$1010,$B948)))</f>
        <v/>
      </c>
    </row>
    <row r="949">
      <c r="A949" s="68" t="n">
        <v>943</v>
      </c>
      <c r="B949">
        <f>IFERROR(MATCH(A949,'Work Orders'!$AO$11:$AO$1010,0),"")</f>
        <v/>
      </c>
      <c r="C949" s="43">
        <f>IF($B949="","",IF(INDEX('Work Orders'!$A$11:$A$1010,$B949)="","",INDEX('Work Orders'!$A$11:$A$1010,$B949)))</f>
        <v/>
      </c>
      <c r="D949" s="43">
        <f>IF($B949="","",IF(INDEX('Work Orders'!$B$11:$B$1010,$B949)="","",INDEX('Work Orders'!$B$11:$B$1010,$B949)))</f>
        <v/>
      </c>
      <c r="E949" s="43">
        <f>IF($B949="","",IF(INDEX('Work Orders'!$D$11:$D$1010,$B949)="","",INDEX('Work Orders'!$D$11:$D$1010,$B949)))</f>
        <v/>
      </c>
      <c r="F949" s="43">
        <f>IF($B949="","",IF(INDEX('Work Orders'!$Q$11:$Q$1010,$B949)="","",INDEX('Work Orders'!$Q$11:$Q$1010,$B949)))</f>
        <v/>
      </c>
      <c r="G949" s="43">
        <f>IF($B949="","",IF(INDEX('Work Orders'!$V$11:$V$1010,$B949)="","",INDEX('Work Orders'!$V$11:$V$1010,$B949)))</f>
        <v/>
      </c>
      <c r="H949" s="47">
        <f>IF($B949="","",IF(INDEX('Work Orders'!$U$11:$U$1010,$B949)="","",INDEX('Work Orders'!$U$11:$U$1010,$B949)))</f>
        <v/>
      </c>
      <c r="I949" s="47">
        <f>IF($B949="","",IF(INDEX('Work Orders'!$X$11:$X$1010,$B949)="","",INDEX('Work Orders'!$X$11:$X$1010,$B949)))</f>
        <v/>
      </c>
      <c r="J949" s="44">
        <f>IF($B949="","",IF(INDEX('Work Orders'!$Z$11:$Z$1010,$B949)="","",INDEX('Work Orders'!$Z$11:$Z$1010,$B949)))</f>
        <v/>
      </c>
      <c r="K949" s="44">
        <f>IF($B949="","",IF(INDEX('Work Orders'!$AG$11:$AG$1010,$B949)="","",INDEX('Work Orders'!$AG$11:$AG$1010,$B949)))</f>
        <v/>
      </c>
      <c r="L949" s="44">
        <f>IF($B949="","",IF(INDEX('Work Orders'!$AH$11:$AH$1010,$B949)="","",INDEX('Work Orders'!$AH$11:$AH$1010,$B949)))</f>
        <v/>
      </c>
      <c r="M949" s="46">
        <f>IF($B949="","",IF(INDEX('Work Orders'!$AM$11:$AM$1010,$B949)="","",INDEX('Work Orders'!$AM$11:$AM$1010,$B949)))</f>
        <v/>
      </c>
      <c r="N949" s="43">
        <f>IF($B949="","",IF(INDEX('Work Orders'!$AL$11:$AL$1010,$B949)="","",INDEX('Work Orders'!$AL$11:$AL$1010,$B949)))</f>
        <v/>
      </c>
      <c r="O949" s="43">
        <f>IF($B949="","",IF(INDEX('Work Orders'!$N$11:$N$1010,$B949)="","",INDEX('Work Orders'!$N$11:$N$1010,$B949)))</f>
        <v/>
      </c>
    </row>
    <row r="950">
      <c r="A950" s="68" t="n">
        <v>944</v>
      </c>
      <c r="B950">
        <f>IFERROR(MATCH(A950,'Work Orders'!$AO$11:$AO$1010,0),"")</f>
        <v/>
      </c>
      <c r="C950" s="43">
        <f>IF($B950="","",IF(INDEX('Work Orders'!$A$11:$A$1010,$B950)="","",INDEX('Work Orders'!$A$11:$A$1010,$B950)))</f>
        <v/>
      </c>
      <c r="D950" s="43">
        <f>IF($B950="","",IF(INDEX('Work Orders'!$B$11:$B$1010,$B950)="","",INDEX('Work Orders'!$B$11:$B$1010,$B950)))</f>
        <v/>
      </c>
      <c r="E950" s="43">
        <f>IF($B950="","",IF(INDEX('Work Orders'!$D$11:$D$1010,$B950)="","",INDEX('Work Orders'!$D$11:$D$1010,$B950)))</f>
        <v/>
      </c>
      <c r="F950" s="43">
        <f>IF($B950="","",IF(INDEX('Work Orders'!$Q$11:$Q$1010,$B950)="","",INDEX('Work Orders'!$Q$11:$Q$1010,$B950)))</f>
        <v/>
      </c>
      <c r="G950" s="43">
        <f>IF($B950="","",IF(INDEX('Work Orders'!$V$11:$V$1010,$B950)="","",INDEX('Work Orders'!$V$11:$V$1010,$B950)))</f>
        <v/>
      </c>
      <c r="H950" s="47">
        <f>IF($B950="","",IF(INDEX('Work Orders'!$U$11:$U$1010,$B950)="","",INDEX('Work Orders'!$U$11:$U$1010,$B950)))</f>
        <v/>
      </c>
      <c r="I950" s="47">
        <f>IF($B950="","",IF(INDEX('Work Orders'!$X$11:$X$1010,$B950)="","",INDEX('Work Orders'!$X$11:$X$1010,$B950)))</f>
        <v/>
      </c>
      <c r="J950" s="44">
        <f>IF($B950="","",IF(INDEX('Work Orders'!$Z$11:$Z$1010,$B950)="","",INDEX('Work Orders'!$Z$11:$Z$1010,$B950)))</f>
        <v/>
      </c>
      <c r="K950" s="44">
        <f>IF($B950="","",IF(INDEX('Work Orders'!$AG$11:$AG$1010,$B950)="","",INDEX('Work Orders'!$AG$11:$AG$1010,$B950)))</f>
        <v/>
      </c>
      <c r="L950" s="44">
        <f>IF($B950="","",IF(INDEX('Work Orders'!$AH$11:$AH$1010,$B950)="","",INDEX('Work Orders'!$AH$11:$AH$1010,$B950)))</f>
        <v/>
      </c>
      <c r="M950" s="46">
        <f>IF($B950="","",IF(INDEX('Work Orders'!$AM$11:$AM$1010,$B950)="","",INDEX('Work Orders'!$AM$11:$AM$1010,$B950)))</f>
        <v/>
      </c>
      <c r="N950" s="43">
        <f>IF($B950="","",IF(INDEX('Work Orders'!$AL$11:$AL$1010,$B950)="","",INDEX('Work Orders'!$AL$11:$AL$1010,$B950)))</f>
        <v/>
      </c>
      <c r="O950" s="43">
        <f>IF($B950="","",IF(INDEX('Work Orders'!$N$11:$N$1010,$B950)="","",INDEX('Work Orders'!$N$11:$N$1010,$B950)))</f>
        <v/>
      </c>
    </row>
    <row r="951">
      <c r="A951" s="68" t="n">
        <v>945</v>
      </c>
      <c r="B951">
        <f>IFERROR(MATCH(A951,'Work Orders'!$AO$11:$AO$1010,0),"")</f>
        <v/>
      </c>
      <c r="C951" s="43">
        <f>IF($B951="","",IF(INDEX('Work Orders'!$A$11:$A$1010,$B951)="","",INDEX('Work Orders'!$A$11:$A$1010,$B951)))</f>
        <v/>
      </c>
      <c r="D951" s="43">
        <f>IF($B951="","",IF(INDEX('Work Orders'!$B$11:$B$1010,$B951)="","",INDEX('Work Orders'!$B$11:$B$1010,$B951)))</f>
        <v/>
      </c>
      <c r="E951" s="43">
        <f>IF($B951="","",IF(INDEX('Work Orders'!$D$11:$D$1010,$B951)="","",INDEX('Work Orders'!$D$11:$D$1010,$B951)))</f>
        <v/>
      </c>
      <c r="F951" s="43">
        <f>IF($B951="","",IF(INDEX('Work Orders'!$Q$11:$Q$1010,$B951)="","",INDEX('Work Orders'!$Q$11:$Q$1010,$B951)))</f>
        <v/>
      </c>
      <c r="G951" s="43">
        <f>IF($B951="","",IF(INDEX('Work Orders'!$V$11:$V$1010,$B951)="","",INDEX('Work Orders'!$V$11:$V$1010,$B951)))</f>
        <v/>
      </c>
      <c r="H951" s="47">
        <f>IF($B951="","",IF(INDEX('Work Orders'!$U$11:$U$1010,$B951)="","",INDEX('Work Orders'!$U$11:$U$1010,$B951)))</f>
        <v/>
      </c>
      <c r="I951" s="47">
        <f>IF($B951="","",IF(INDEX('Work Orders'!$X$11:$X$1010,$B951)="","",INDEX('Work Orders'!$X$11:$X$1010,$B951)))</f>
        <v/>
      </c>
      <c r="J951" s="44">
        <f>IF($B951="","",IF(INDEX('Work Orders'!$Z$11:$Z$1010,$B951)="","",INDEX('Work Orders'!$Z$11:$Z$1010,$B951)))</f>
        <v/>
      </c>
      <c r="K951" s="44">
        <f>IF($B951="","",IF(INDEX('Work Orders'!$AG$11:$AG$1010,$B951)="","",INDEX('Work Orders'!$AG$11:$AG$1010,$B951)))</f>
        <v/>
      </c>
      <c r="L951" s="44">
        <f>IF($B951="","",IF(INDEX('Work Orders'!$AH$11:$AH$1010,$B951)="","",INDEX('Work Orders'!$AH$11:$AH$1010,$B951)))</f>
        <v/>
      </c>
      <c r="M951" s="46">
        <f>IF($B951="","",IF(INDEX('Work Orders'!$AM$11:$AM$1010,$B951)="","",INDEX('Work Orders'!$AM$11:$AM$1010,$B951)))</f>
        <v/>
      </c>
      <c r="N951" s="43">
        <f>IF($B951="","",IF(INDEX('Work Orders'!$AL$11:$AL$1010,$B951)="","",INDEX('Work Orders'!$AL$11:$AL$1010,$B951)))</f>
        <v/>
      </c>
      <c r="O951" s="43">
        <f>IF($B951="","",IF(INDEX('Work Orders'!$N$11:$N$1010,$B951)="","",INDEX('Work Orders'!$N$11:$N$1010,$B951)))</f>
        <v/>
      </c>
    </row>
    <row r="952">
      <c r="A952" s="68" t="n">
        <v>946</v>
      </c>
      <c r="B952">
        <f>IFERROR(MATCH(A952,'Work Orders'!$AO$11:$AO$1010,0),"")</f>
        <v/>
      </c>
      <c r="C952" s="43">
        <f>IF($B952="","",IF(INDEX('Work Orders'!$A$11:$A$1010,$B952)="","",INDEX('Work Orders'!$A$11:$A$1010,$B952)))</f>
        <v/>
      </c>
      <c r="D952" s="43">
        <f>IF($B952="","",IF(INDEX('Work Orders'!$B$11:$B$1010,$B952)="","",INDEX('Work Orders'!$B$11:$B$1010,$B952)))</f>
        <v/>
      </c>
      <c r="E952" s="43">
        <f>IF($B952="","",IF(INDEX('Work Orders'!$D$11:$D$1010,$B952)="","",INDEX('Work Orders'!$D$11:$D$1010,$B952)))</f>
        <v/>
      </c>
      <c r="F952" s="43">
        <f>IF($B952="","",IF(INDEX('Work Orders'!$Q$11:$Q$1010,$B952)="","",INDEX('Work Orders'!$Q$11:$Q$1010,$B952)))</f>
        <v/>
      </c>
      <c r="G952" s="43">
        <f>IF($B952="","",IF(INDEX('Work Orders'!$V$11:$V$1010,$B952)="","",INDEX('Work Orders'!$V$11:$V$1010,$B952)))</f>
        <v/>
      </c>
      <c r="H952" s="47">
        <f>IF($B952="","",IF(INDEX('Work Orders'!$U$11:$U$1010,$B952)="","",INDEX('Work Orders'!$U$11:$U$1010,$B952)))</f>
        <v/>
      </c>
      <c r="I952" s="47">
        <f>IF($B952="","",IF(INDEX('Work Orders'!$X$11:$X$1010,$B952)="","",INDEX('Work Orders'!$X$11:$X$1010,$B952)))</f>
        <v/>
      </c>
      <c r="J952" s="44">
        <f>IF($B952="","",IF(INDEX('Work Orders'!$Z$11:$Z$1010,$B952)="","",INDEX('Work Orders'!$Z$11:$Z$1010,$B952)))</f>
        <v/>
      </c>
      <c r="K952" s="44">
        <f>IF($B952="","",IF(INDEX('Work Orders'!$AG$11:$AG$1010,$B952)="","",INDEX('Work Orders'!$AG$11:$AG$1010,$B952)))</f>
        <v/>
      </c>
      <c r="L952" s="44">
        <f>IF($B952="","",IF(INDEX('Work Orders'!$AH$11:$AH$1010,$B952)="","",INDEX('Work Orders'!$AH$11:$AH$1010,$B952)))</f>
        <v/>
      </c>
      <c r="M952" s="46">
        <f>IF($B952="","",IF(INDEX('Work Orders'!$AM$11:$AM$1010,$B952)="","",INDEX('Work Orders'!$AM$11:$AM$1010,$B952)))</f>
        <v/>
      </c>
      <c r="N952" s="43">
        <f>IF($B952="","",IF(INDEX('Work Orders'!$AL$11:$AL$1010,$B952)="","",INDEX('Work Orders'!$AL$11:$AL$1010,$B952)))</f>
        <v/>
      </c>
      <c r="O952" s="43">
        <f>IF($B952="","",IF(INDEX('Work Orders'!$N$11:$N$1010,$B952)="","",INDEX('Work Orders'!$N$11:$N$1010,$B952)))</f>
        <v/>
      </c>
    </row>
    <row r="953">
      <c r="A953" s="68" t="n">
        <v>947</v>
      </c>
      <c r="B953">
        <f>IFERROR(MATCH(A953,'Work Orders'!$AO$11:$AO$1010,0),"")</f>
        <v/>
      </c>
      <c r="C953" s="43">
        <f>IF($B953="","",IF(INDEX('Work Orders'!$A$11:$A$1010,$B953)="","",INDEX('Work Orders'!$A$11:$A$1010,$B953)))</f>
        <v/>
      </c>
      <c r="D953" s="43">
        <f>IF($B953="","",IF(INDEX('Work Orders'!$B$11:$B$1010,$B953)="","",INDEX('Work Orders'!$B$11:$B$1010,$B953)))</f>
        <v/>
      </c>
      <c r="E953" s="43">
        <f>IF($B953="","",IF(INDEX('Work Orders'!$D$11:$D$1010,$B953)="","",INDEX('Work Orders'!$D$11:$D$1010,$B953)))</f>
        <v/>
      </c>
      <c r="F953" s="43">
        <f>IF($B953="","",IF(INDEX('Work Orders'!$Q$11:$Q$1010,$B953)="","",INDEX('Work Orders'!$Q$11:$Q$1010,$B953)))</f>
        <v/>
      </c>
      <c r="G953" s="43">
        <f>IF($B953="","",IF(INDEX('Work Orders'!$V$11:$V$1010,$B953)="","",INDEX('Work Orders'!$V$11:$V$1010,$B953)))</f>
        <v/>
      </c>
      <c r="H953" s="47">
        <f>IF($B953="","",IF(INDEX('Work Orders'!$U$11:$U$1010,$B953)="","",INDEX('Work Orders'!$U$11:$U$1010,$B953)))</f>
        <v/>
      </c>
      <c r="I953" s="47">
        <f>IF($B953="","",IF(INDEX('Work Orders'!$X$11:$X$1010,$B953)="","",INDEX('Work Orders'!$X$11:$X$1010,$B953)))</f>
        <v/>
      </c>
      <c r="J953" s="44">
        <f>IF($B953="","",IF(INDEX('Work Orders'!$Z$11:$Z$1010,$B953)="","",INDEX('Work Orders'!$Z$11:$Z$1010,$B953)))</f>
        <v/>
      </c>
      <c r="K953" s="44">
        <f>IF($B953="","",IF(INDEX('Work Orders'!$AG$11:$AG$1010,$B953)="","",INDEX('Work Orders'!$AG$11:$AG$1010,$B953)))</f>
        <v/>
      </c>
      <c r="L953" s="44">
        <f>IF($B953="","",IF(INDEX('Work Orders'!$AH$11:$AH$1010,$B953)="","",INDEX('Work Orders'!$AH$11:$AH$1010,$B953)))</f>
        <v/>
      </c>
      <c r="M953" s="46">
        <f>IF($B953="","",IF(INDEX('Work Orders'!$AM$11:$AM$1010,$B953)="","",INDEX('Work Orders'!$AM$11:$AM$1010,$B953)))</f>
        <v/>
      </c>
      <c r="N953" s="43">
        <f>IF($B953="","",IF(INDEX('Work Orders'!$AL$11:$AL$1010,$B953)="","",INDEX('Work Orders'!$AL$11:$AL$1010,$B953)))</f>
        <v/>
      </c>
      <c r="O953" s="43">
        <f>IF($B953="","",IF(INDEX('Work Orders'!$N$11:$N$1010,$B953)="","",INDEX('Work Orders'!$N$11:$N$1010,$B953)))</f>
        <v/>
      </c>
    </row>
    <row r="954">
      <c r="A954" s="68" t="n">
        <v>948</v>
      </c>
      <c r="B954">
        <f>IFERROR(MATCH(A954,'Work Orders'!$AO$11:$AO$1010,0),"")</f>
        <v/>
      </c>
      <c r="C954" s="43">
        <f>IF($B954="","",IF(INDEX('Work Orders'!$A$11:$A$1010,$B954)="","",INDEX('Work Orders'!$A$11:$A$1010,$B954)))</f>
        <v/>
      </c>
      <c r="D954" s="43">
        <f>IF($B954="","",IF(INDEX('Work Orders'!$B$11:$B$1010,$B954)="","",INDEX('Work Orders'!$B$11:$B$1010,$B954)))</f>
        <v/>
      </c>
      <c r="E954" s="43">
        <f>IF($B954="","",IF(INDEX('Work Orders'!$D$11:$D$1010,$B954)="","",INDEX('Work Orders'!$D$11:$D$1010,$B954)))</f>
        <v/>
      </c>
      <c r="F954" s="43">
        <f>IF($B954="","",IF(INDEX('Work Orders'!$Q$11:$Q$1010,$B954)="","",INDEX('Work Orders'!$Q$11:$Q$1010,$B954)))</f>
        <v/>
      </c>
      <c r="G954" s="43">
        <f>IF($B954="","",IF(INDEX('Work Orders'!$V$11:$V$1010,$B954)="","",INDEX('Work Orders'!$V$11:$V$1010,$B954)))</f>
        <v/>
      </c>
      <c r="H954" s="47">
        <f>IF($B954="","",IF(INDEX('Work Orders'!$U$11:$U$1010,$B954)="","",INDEX('Work Orders'!$U$11:$U$1010,$B954)))</f>
        <v/>
      </c>
      <c r="I954" s="47">
        <f>IF($B954="","",IF(INDEX('Work Orders'!$X$11:$X$1010,$B954)="","",INDEX('Work Orders'!$X$11:$X$1010,$B954)))</f>
        <v/>
      </c>
      <c r="J954" s="44">
        <f>IF($B954="","",IF(INDEX('Work Orders'!$Z$11:$Z$1010,$B954)="","",INDEX('Work Orders'!$Z$11:$Z$1010,$B954)))</f>
        <v/>
      </c>
      <c r="K954" s="44">
        <f>IF($B954="","",IF(INDEX('Work Orders'!$AG$11:$AG$1010,$B954)="","",INDEX('Work Orders'!$AG$11:$AG$1010,$B954)))</f>
        <v/>
      </c>
      <c r="L954" s="44">
        <f>IF($B954="","",IF(INDEX('Work Orders'!$AH$11:$AH$1010,$B954)="","",INDEX('Work Orders'!$AH$11:$AH$1010,$B954)))</f>
        <v/>
      </c>
      <c r="M954" s="46">
        <f>IF($B954="","",IF(INDEX('Work Orders'!$AM$11:$AM$1010,$B954)="","",INDEX('Work Orders'!$AM$11:$AM$1010,$B954)))</f>
        <v/>
      </c>
      <c r="N954" s="43">
        <f>IF($B954="","",IF(INDEX('Work Orders'!$AL$11:$AL$1010,$B954)="","",INDEX('Work Orders'!$AL$11:$AL$1010,$B954)))</f>
        <v/>
      </c>
      <c r="O954" s="43">
        <f>IF($B954="","",IF(INDEX('Work Orders'!$N$11:$N$1010,$B954)="","",INDEX('Work Orders'!$N$11:$N$1010,$B954)))</f>
        <v/>
      </c>
    </row>
    <row r="955">
      <c r="A955" s="68" t="n">
        <v>949</v>
      </c>
      <c r="B955">
        <f>IFERROR(MATCH(A955,'Work Orders'!$AO$11:$AO$1010,0),"")</f>
        <v/>
      </c>
      <c r="C955" s="43">
        <f>IF($B955="","",IF(INDEX('Work Orders'!$A$11:$A$1010,$B955)="","",INDEX('Work Orders'!$A$11:$A$1010,$B955)))</f>
        <v/>
      </c>
      <c r="D955" s="43">
        <f>IF($B955="","",IF(INDEX('Work Orders'!$B$11:$B$1010,$B955)="","",INDEX('Work Orders'!$B$11:$B$1010,$B955)))</f>
        <v/>
      </c>
      <c r="E955" s="43">
        <f>IF($B955="","",IF(INDEX('Work Orders'!$D$11:$D$1010,$B955)="","",INDEX('Work Orders'!$D$11:$D$1010,$B955)))</f>
        <v/>
      </c>
      <c r="F955" s="43">
        <f>IF($B955="","",IF(INDEX('Work Orders'!$Q$11:$Q$1010,$B955)="","",INDEX('Work Orders'!$Q$11:$Q$1010,$B955)))</f>
        <v/>
      </c>
      <c r="G955" s="43">
        <f>IF($B955="","",IF(INDEX('Work Orders'!$V$11:$V$1010,$B955)="","",INDEX('Work Orders'!$V$11:$V$1010,$B955)))</f>
        <v/>
      </c>
      <c r="H955" s="47">
        <f>IF($B955="","",IF(INDEX('Work Orders'!$U$11:$U$1010,$B955)="","",INDEX('Work Orders'!$U$11:$U$1010,$B955)))</f>
        <v/>
      </c>
      <c r="I955" s="47">
        <f>IF($B955="","",IF(INDEX('Work Orders'!$X$11:$X$1010,$B955)="","",INDEX('Work Orders'!$X$11:$X$1010,$B955)))</f>
        <v/>
      </c>
      <c r="J955" s="44">
        <f>IF($B955="","",IF(INDEX('Work Orders'!$Z$11:$Z$1010,$B955)="","",INDEX('Work Orders'!$Z$11:$Z$1010,$B955)))</f>
        <v/>
      </c>
      <c r="K955" s="44">
        <f>IF($B955="","",IF(INDEX('Work Orders'!$AG$11:$AG$1010,$B955)="","",INDEX('Work Orders'!$AG$11:$AG$1010,$B955)))</f>
        <v/>
      </c>
      <c r="L955" s="44">
        <f>IF($B955="","",IF(INDEX('Work Orders'!$AH$11:$AH$1010,$B955)="","",INDEX('Work Orders'!$AH$11:$AH$1010,$B955)))</f>
        <v/>
      </c>
      <c r="M955" s="46">
        <f>IF($B955="","",IF(INDEX('Work Orders'!$AM$11:$AM$1010,$B955)="","",INDEX('Work Orders'!$AM$11:$AM$1010,$B955)))</f>
        <v/>
      </c>
      <c r="N955" s="43">
        <f>IF($B955="","",IF(INDEX('Work Orders'!$AL$11:$AL$1010,$B955)="","",INDEX('Work Orders'!$AL$11:$AL$1010,$B955)))</f>
        <v/>
      </c>
      <c r="O955" s="43">
        <f>IF($B955="","",IF(INDEX('Work Orders'!$N$11:$N$1010,$B955)="","",INDEX('Work Orders'!$N$11:$N$1010,$B955)))</f>
        <v/>
      </c>
    </row>
    <row r="956">
      <c r="A956" s="68" t="n">
        <v>950</v>
      </c>
      <c r="B956">
        <f>IFERROR(MATCH(A956,'Work Orders'!$AO$11:$AO$1010,0),"")</f>
        <v/>
      </c>
      <c r="C956" s="43">
        <f>IF($B956="","",IF(INDEX('Work Orders'!$A$11:$A$1010,$B956)="","",INDEX('Work Orders'!$A$11:$A$1010,$B956)))</f>
        <v/>
      </c>
      <c r="D956" s="43">
        <f>IF($B956="","",IF(INDEX('Work Orders'!$B$11:$B$1010,$B956)="","",INDEX('Work Orders'!$B$11:$B$1010,$B956)))</f>
        <v/>
      </c>
      <c r="E956" s="43">
        <f>IF($B956="","",IF(INDEX('Work Orders'!$D$11:$D$1010,$B956)="","",INDEX('Work Orders'!$D$11:$D$1010,$B956)))</f>
        <v/>
      </c>
      <c r="F956" s="43">
        <f>IF($B956="","",IF(INDEX('Work Orders'!$Q$11:$Q$1010,$B956)="","",INDEX('Work Orders'!$Q$11:$Q$1010,$B956)))</f>
        <v/>
      </c>
      <c r="G956" s="43">
        <f>IF($B956="","",IF(INDEX('Work Orders'!$V$11:$V$1010,$B956)="","",INDEX('Work Orders'!$V$11:$V$1010,$B956)))</f>
        <v/>
      </c>
      <c r="H956" s="47">
        <f>IF($B956="","",IF(INDEX('Work Orders'!$U$11:$U$1010,$B956)="","",INDEX('Work Orders'!$U$11:$U$1010,$B956)))</f>
        <v/>
      </c>
      <c r="I956" s="47">
        <f>IF($B956="","",IF(INDEX('Work Orders'!$X$11:$X$1010,$B956)="","",INDEX('Work Orders'!$X$11:$X$1010,$B956)))</f>
        <v/>
      </c>
      <c r="J956" s="44">
        <f>IF($B956="","",IF(INDEX('Work Orders'!$Z$11:$Z$1010,$B956)="","",INDEX('Work Orders'!$Z$11:$Z$1010,$B956)))</f>
        <v/>
      </c>
      <c r="K956" s="44">
        <f>IF($B956="","",IF(INDEX('Work Orders'!$AG$11:$AG$1010,$B956)="","",INDEX('Work Orders'!$AG$11:$AG$1010,$B956)))</f>
        <v/>
      </c>
      <c r="L956" s="44">
        <f>IF($B956="","",IF(INDEX('Work Orders'!$AH$11:$AH$1010,$B956)="","",INDEX('Work Orders'!$AH$11:$AH$1010,$B956)))</f>
        <v/>
      </c>
      <c r="M956" s="46">
        <f>IF($B956="","",IF(INDEX('Work Orders'!$AM$11:$AM$1010,$B956)="","",INDEX('Work Orders'!$AM$11:$AM$1010,$B956)))</f>
        <v/>
      </c>
      <c r="N956" s="43">
        <f>IF($B956="","",IF(INDEX('Work Orders'!$AL$11:$AL$1010,$B956)="","",INDEX('Work Orders'!$AL$11:$AL$1010,$B956)))</f>
        <v/>
      </c>
      <c r="O956" s="43">
        <f>IF($B956="","",IF(INDEX('Work Orders'!$N$11:$N$1010,$B956)="","",INDEX('Work Orders'!$N$11:$N$1010,$B956)))</f>
        <v/>
      </c>
    </row>
    <row r="957">
      <c r="A957" s="68" t="n">
        <v>951</v>
      </c>
      <c r="B957">
        <f>IFERROR(MATCH(A957,'Work Orders'!$AO$11:$AO$1010,0),"")</f>
        <v/>
      </c>
      <c r="C957" s="43">
        <f>IF($B957="","",IF(INDEX('Work Orders'!$A$11:$A$1010,$B957)="","",INDEX('Work Orders'!$A$11:$A$1010,$B957)))</f>
        <v/>
      </c>
      <c r="D957" s="43">
        <f>IF($B957="","",IF(INDEX('Work Orders'!$B$11:$B$1010,$B957)="","",INDEX('Work Orders'!$B$11:$B$1010,$B957)))</f>
        <v/>
      </c>
      <c r="E957" s="43">
        <f>IF($B957="","",IF(INDEX('Work Orders'!$D$11:$D$1010,$B957)="","",INDEX('Work Orders'!$D$11:$D$1010,$B957)))</f>
        <v/>
      </c>
      <c r="F957" s="43">
        <f>IF($B957="","",IF(INDEX('Work Orders'!$Q$11:$Q$1010,$B957)="","",INDEX('Work Orders'!$Q$11:$Q$1010,$B957)))</f>
        <v/>
      </c>
      <c r="G957" s="43">
        <f>IF($B957="","",IF(INDEX('Work Orders'!$V$11:$V$1010,$B957)="","",INDEX('Work Orders'!$V$11:$V$1010,$B957)))</f>
        <v/>
      </c>
      <c r="H957" s="47">
        <f>IF($B957="","",IF(INDEX('Work Orders'!$U$11:$U$1010,$B957)="","",INDEX('Work Orders'!$U$11:$U$1010,$B957)))</f>
        <v/>
      </c>
      <c r="I957" s="47">
        <f>IF($B957="","",IF(INDEX('Work Orders'!$X$11:$X$1010,$B957)="","",INDEX('Work Orders'!$X$11:$X$1010,$B957)))</f>
        <v/>
      </c>
      <c r="J957" s="44">
        <f>IF($B957="","",IF(INDEX('Work Orders'!$Z$11:$Z$1010,$B957)="","",INDEX('Work Orders'!$Z$11:$Z$1010,$B957)))</f>
        <v/>
      </c>
      <c r="K957" s="44">
        <f>IF($B957="","",IF(INDEX('Work Orders'!$AG$11:$AG$1010,$B957)="","",INDEX('Work Orders'!$AG$11:$AG$1010,$B957)))</f>
        <v/>
      </c>
      <c r="L957" s="44">
        <f>IF($B957="","",IF(INDEX('Work Orders'!$AH$11:$AH$1010,$B957)="","",INDEX('Work Orders'!$AH$11:$AH$1010,$B957)))</f>
        <v/>
      </c>
      <c r="M957" s="46">
        <f>IF($B957="","",IF(INDEX('Work Orders'!$AM$11:$AM$1010,$B957)="","",INDEX('Work Orders'!$AM$11:$AM$1010,$B957)))</f>
        <v/>
      </c>
      <c r="N957" s="43">
        <f>IF($B957="","",IF(INDEX('Work Orders'!$AL$11:$AL$1010,$B957)="","",INDEX('Work Orders'!$AL$11:$AL$1010,$B957)))</f>
        <v/>
      </c>
      <c r="O957" s="43">
        <f>IF($B957="","",IF(INDEX('Work Orders'!$N$11:$N$1010,$B957)="","",INDEX('Work Orders'!$N$11:$N$1010,$B957)))</f>
        <v/>
      </c>
    </row>
    <row r="958">
      <c r="A958" s="68" t="n">
        <v>952</v>
      </c>
      <c r="B958">
        <f>IFERROR(MATCH(A958,'Work Orders'!$AO$11:$AO$1010,0),"")</f>
        <v/>
      </c>
      <c r="C958" s="43">
        <f>IF($B958="","",IF(INDEX('Work Orders'!$A$11:$A$1010,$B958)="","",INDEX('Work Orders'!$A$11:$A$1010,$B958)))</f>
        <v/>
      </c>
      <c r="D958" s="43">
        <f>IF($B958="","",IF(INDEX('Work Orders'!$B$11:$B$1010,$B958)="","",INDEX('Work Orders'!$B$11:$B$1010,$B958)))</f>
        <v/>
      </c>
      <c r="E958" s="43">
        <f>IF($B958="","",IF(INDEX('Work Orders'!$D$11:$D$1010,$B958)="","",INDEX('Work Orders'!$D$11:$D$1010,$B958)))</f>
        <v/>
      </c>
      <c r="F958" s="43">
        <f>IF($B958="","",IF(INDEX('Work Orders'!$Q$11:$Q$1010,$B958)="","",INDEX('Work Orders'!$Q$11:$Q$1010,$B958)))</f>
        <v/>
      </c>
      <c r="G958" s="43">
        <f>IF($B958="","",IF(INDEX('Work Orders'!$V$11:$V$1010,$B958)="","",INDEX('Work Orders'!$V$11:$V$1010,$B958)))</f>
        <v/>
      </c>
      <c r="H958" s="47">
        <f>IF($B958="","",IF(INDEX('Work Orders'!$U$11:$U$1010,$B958)="","",INDEX('Work Orders'!$U$11:$U$1010,$B958)))</f>
        <v/>
      </c>
      <c r="I958" s="47">
        <f>IF($B958="","",IF(INDEX('Work Orders'!$X$11:$X$1010,$B958)="","",INDEX('Work Orders'!$X$11:$X$1010,$B958)))</f>
        <v/>
      </c>
      <c r="J958" s="44">
        <f>IF($B958="","",IF(INDEX('Work Orders'!$Z$11:$Z$1010,$B958)="","",INDEX('Work Orders'!$Z$11:$Z$1010,$B958)))</f>
        <v/>
      </c>
      <c r="K958" s="44">
        <f>IF($B958="","",IF(INDEX('Work Orders'!$AG$11:$AG$1010,$B958)="","",INDEX('Work Orders'!$AG$11:$AG$1010,$B958)))</f>
        <v/>
      </c>
      <c r="L958" s="44">
        <f>IF($B958="","",IF(INDEX('Work Orders'!$AH$11:$AH$1010,$B958)="","",INDEX('Work Orders'!$AH$11:$AH$1010,$B958)))</f>
        <v/>
      </c>
      <c r="M958" s="46">
        <f>IF($B958="","",IF(INDEX('Work Orders'!$AM$11:$AM$1010,$B958)="","",INDEX('Work Orders'!$AM$11:$AM$1010,$B958)))</f>
        <v/>
      </c>
      <c r="N958" s="43">
        <f>IF($B958="","",IF(INDEX('Work Orders'!$AL$11:$AL$1010,$B958)="","",INDEX('Work Orders'!$AL$11:$AL$1010,$B958)))</f>
        <v/>
      </c>
      <c r="O958" s="43">
        <f>IF($B958="","",IF(INDEX('Work Orders'!$N$11:$N$1010,$B958)="","",INDEX('Work Orders'!$N$11:$N$1010,$B958)))</f>
        <v/>
      </c>
    </row>
    <row r="959">
      <c r="A959" s="68" t="n">
        <v>953</v>
      </c>
      <c r="B959">
        <f>IFERROR(MATCH(A959,'Work Orders'!$AO$11:$AO$1010,0),"")</f>
        <v/>
      </c>
      <c r="C959" s="43">
        <f>IF($B959="","",IF(INDEX('Work Orders'!$A$11:$A$1010,$B959)="","",INDEX('Work Orders'!$A$11:$A$1010,$B959)))</f>
        <v/>
      </c>
      <c r="D959" s="43">
        <f>IF($B959="","",IF(INDEX('Work Orders'!$B$11:$B$1010,$B959)="","",INDEX('Work Orders'!$B$11:$B$1010,$B959)))</f>
        <v/>
      </c>
      <c r="E959" s="43">
        <f>IF($B959="","",IF(INDEX('Work Orders'!$D$11:$D$1010,$B959)="","",INDEX('Work Orders'!$D$11:$D$1010,$B959)))</f>
        <v/>
      </c>
      <c r="F959" s="43">
        <f>IF($B959="","",IF(INDEX('Work Orders'!$Q$11:$Q$1010,$B959)="","",INDEX('Work Orders'!$Q$11:$Q$1010,$B959)))</f>
        <v/>
      </c>
      <c r="G959" s="43">
        <f>IF($B959="","",IF(INDEX('Work Orders'!$V$11:$V$1010,$B959)="","",INDEX('Work Orders'!$V$11:$V$1010,$B959)))</f>
        <v/>
      </c>
      <c r="H959" s="47">
        <f>IF($B959="","",IF(INDEX('Work Orders'!$U$11:$U$1010,$B959)="","",INDEX('Work Orders'!$U$11:$U$1010,$B959)))</f>
        <v/>
      </c>
      <c r="I959" s="47">
        <f>IF($B959="","",IF(INDEX('Work Orders'!$X$11:$X$1010,$B959)="","",INDEX('Work Orders'!$X$11:$X$1010,$B959)))</f>
        <v/>
      </c>
      <c r="J959" s="44">
        <f>IF($B959="","",IF(INDEX('Work Orders'!$Z$11:$Z$1010,$B959)="","",INDEX('Work Orders'!$Z$11:$Z$1010,$B959)))</f>
        <v/>
      </c>
      <c r="K959" s="44">
        <f>IF($B959="","",IF(INDEX('Work Orders'!$AG$11:$AG$1010,$B959)="","",INDEX('Work Orders'!$AG$11:$AG$1010,$B959)))</f>
        <v/>
      </c>
      <c r="L959" s="44">
        <f>IF($B959="","",IF(INDEX('Work Orders'!$AH$11:$AH$1010,$B959)="","",INDEX('Work Orders'!$AH$11:$AH$1010,$B959)))</f>
        <v/>
      </c>
      <c r="M959" s="46">
        <f>IF($B959="","",IF(INDEX('Work Orders'!$AM$11:$AM$1010,$B959)="","",INDEX('Work Orders'!$AM$11:$AM$1010,$B959)))</f>
        <v/>
      </c>
      <c r="N959" s="43">
        <f>IF($B959="","",IF(INDEX('Work Orders'!$AL$11:$AL$1010,$B959)="","",INDEX('Work Orders'!$AL$11:$AL$1010,$B959)))</f>
        <v/>
      </c>
      <c r="O959" s="43">
        <f>IF($B959="","",IF(INDEX('Work Orders'!$N$11:$N$1010,$B959)="","",INDEX('Work Orders'!$N$11:$N$1010,$B959)))</f>
        <v/>
      </c>
    </row>
    <row r="960">
      <c r="A960" s="68" t="n">
        <v>954</v>
      </c>
      <c r="B960">
        <f>IFERROR(MATCH(A960,'Work Orders'!$AO$11:$AO$1010,0),"")</f>
        <v/>
      </c>
      <c r="C960" s="43">
        <f>IF($B960="","",IF(INDEX('Work Orders'!$A$11:$A$1010,$B960)="","",INDEX('Work Orders'!$A$11:$A$1010,$B960)))</f>
        <v/>
      </c>
      <c r="D960" s="43">
        <f>IF($B960="","",IF(INDEX('Work Orders'!$B$11:$B$1010,$B960)="","",INDEX('Work Orders'!$B$11:$B$1010,$B960)))</f>
        <v/>
      </c>
      <c r="E960" s="43">
        <f>IF($B960="","",IF(INDEX('Work Orders'!$D$11:$D$1010,$B960)="","",INDEX('Work Orders'!$D$11:$D$1010,$B960)))</f>
        <v/>
      </c>
      <c r="F960" s="43">
        <f>IF($B960="","",IF(INDEX('Work Orders'!$Q$11:$Q$1010,$B960)="","",INDEX('Work Orders'!$Q$11:$Q$1010,$B960)))</f>
        <v/>
      </c>
      <c r="G960" s="43">
        <f>IF($B960="","",IF(INDEX('Work Orders'!$V$11:$V$1010,$B960)="","",INDEX('Work Orders'!$V$11:$V$1010,$B960)))</f>
        <v/>
      </c>
      <c r="H960" s="47">
        <f>IF($B960="","",IF(INDEX('Work Orders'!$U$11:$U$1010,$B960)="","",INDEX('Work Orders'!$U$11:$U$1010,$B960)))</f>
        <v/>
      </c>
      <c r="I960" s="47">
        <f>IF($B960="","",IF(INDEX('Work Orders'!$X$11:$X$1010,$B960)="","",INDEX('Work Orders'!$X$11:$X$1010,$B960)))</f>
        <v/>
      </c>
      <c r="J960" s="44">
        <f>IF($B960="","",IF(INDEX('Work Orders'!$Z$11:$Z$1010,$B960)="","",INDEX('Work Orders'!$Z$11:$Z$1010,$B960)))</f>
        <v/>
      </c>
      <c r="K960" s="44">
        <f>IF($B960="","",IF(INDEX('Work Orders'!$AG$11:$AG$1010,$B960)="","",INDEX('Work Orders'!$AG$11:$AG$1010,$B960)))</f>
        <v/>
      </c>
      <c r="L960" s="44">
        <f>IF($B960="","",IF(INDEX('Work Orders'!$AH$11:$AH$1010,$B960)="","",INDEX('Work Orders'!$AH$11:$AH$1010,$B960)))</f>
        <v/>
      </c>
      <c r="M960" s="46">
        <f>IF($B960="","",IF(INDEX('Work Orders'!$AM$11:$AM$1010,$B960)="","",INDEX('Work Orders'!$AM$11:$AM$1010,$B960)))</f>
        <v/>
      </c>
      <c r="N960" s="43">
        <f>IF($B960="","",IF(INDEX('Work Orders'!$AL$11:$AL$1010,$B960)="","",INDEX('Work Orders'!$AL$11:$AL$1010,$B960)))</f>
        <v/>
      </c>
      <c r="O960" s="43">
        <f>IF($B960="","",IF(INDEX('Work Orders'!$N$11:$N$1010,$B960)="","",INDEX('Work Orders'!$N$11:$N$1010,$B960)))</f>
        <v/>
      </c>
    </row>
    <row r="961">
      <c r="A961" s="68" t="n">
        <v>955</v>
      </c>
      <c r="B961">
        <f>IFERROR(MATCH(A961,'Work Orders'!$AO$11:$AO$1010,0),"")</f>
        <v/>
      </c>
      <c r="C961" s="43">
        <f>IF($B961="","",IF(INDEX('Work Orders'!$A$11:$A$1010,$B961)="","",INDEX('Work Orders'!$A$11:$A$1010,$B961)))</f>
        <v/>
      </c>
      <c r="D961" s="43">
        <f>IF($B961="","",IF(INDEX('Work Orders'!$B$11:$B$1010,$B961)="","",INDEX('Work Orders'!$B$11:$B$1010,$B961)))</f>
        <v/>
      </c>
      <c r="E961" s="43">
        <f>IF($B961="","",IF(INDEX('Work Orders'!$D$11:$D$1010,$B961)="","",INDEX('Work Orders'!$D$11:$D$1010,$B961)))</f>
        <v/>
      </c>
      <c r="F961" s="43">
        <f>IF($B961="","",IF(INDEX('Work Orders'!$Q$11:$Q$1010,$B961)="","",INDEX('Work Orders'!$Q$11:$Q$1010,$B961)))</f>
        <v/>
      </c>
      <c r="G961" s="43">
        <f>IF($B961="","",IF(INDEX('Work Orders'!$V$11:$V$1010,$B961)="","",INDEX('Work Orders'!$V$11:$V$1010,$B961)))</f>
        <v/>
      </c>
      <c r="H961" s="47">
        <f>IF($B961="","",IF(INDEX('Work Orders'!$U$11:$U$1010,$B961)="","",INDEX('Work Orders'!$U$11:$U$1010,$B961)))</f>
        <v/>
      </c>
      <c r="I961" s="47">
        <f>IF($B961="","",IF(INDEX('Work Orders'!$X$11:$X$1010,$B961)="","",INDEX('Work Orders'!$X$11:$X$1010,$B961)))</f>
        <v/>
      </c>
      <c r="J961" s="44">
        <f>IF($B961="","",IF(INDEX('Work Orders'!$Z$11:$Z$1010,$B961)="","",INDEX('Work Orders'!$Z$11:$Z$1010,$B961)))</f>
        <v/>
      </c>
      <c r="K961" s="44">
        <f>IF($B961="","",IF(INDEX('Work Orders'!$AG$11:$AG$1010,$B961)="","",INDEX('Work Orders'!$AG$11:$AG$1010,$B961)))</f>
        <v/>
      </c>
      <c r="L961" s="44">
        <f>IF($B961="","",IF(INDEX('Work Orders'!$AH$11:$AH$1010,$B961)="","",INDEX('Work Orders'!$AH$11:$AH$1010,$B961)))</f>
        <v/>
      </c>
      <c r="M961" s="46">
        <f>IF($B961="","",IF(INDEX('Work Orders'!$AM$11:$AM$1010,$B961)="","",INDEX('Work Orders'!$AM$11:$AM$1010,$B961)))</f>
        <v/>
      </c>
      <c r="N961" s="43">
        <f>IF($B961="","",IF(INDEX('Work Orders'!$AL$11:$AL$1010,$B961)="","",INDEX('Work Orders'!$AL$11:$AL$1010,$B961)))</f>
        <v/>
      </c>
      <c r="O961" s="43">
        <f>IF($B961="","",IF(INDEX('Work Orders'!$N$11:$N$1010,$B961)="","",INDEX('Work Orders'!$N$11:$N$1010,$B961)))</f>
        <v/>
      </c>
    </row>
    <row r="962">
      <c r="A962" s="68" t="n">
        <v>956</v>
      </c>
      <c r="B962">
        <f>IFERROR(MATCH(A962,'Work Orders'!$AO$11:$AO$1010,0),"")</f>
        <v/>
      </c>
      <c r="C962" s="43">
        <f>IF($B962="","",IF(INDEX('Work Orders'!$A$11:$A$1010,$B962)="","",INDEX('Work Orders'!$A$11:$A$1010,$B962)))</f>
        <v/>
      </c>
      <c r="D962" s="43">
        <f>IF($B962="","",IF(INDEX('Work Orders'!$B$11:$B$1010,$B962)="","",INDEX('Work Orders'!$B$11:$B$1010,$B962)))</f>
        <v/>
      </c>
      <c r="E962" s="43">
        <f>IF($B962="","",IF(INDEX('Work Orders'!$D$11:$D$1010,$B962)="","",INDEX('Work Orders'!$D$11:$D$1010,$B962)))</f>
        <v/>
      </c>
      <c r="F962" s="43">
        <f>IF($B962="","",IF(INDEX('Work Orders'!$Q$11:$Q$1010,$B962)="","",INDEX('Work Orders'!$Q$11:$Q$1010,$B962)))</f>
        <v/>
      </c>
      <c r="G962" s="43">
        <f>IF($B962="","",IF(INDEX('Work Orders'!$V$11:$V$1010,$B962)="","",INDEX('Work Orders'!$V$11:$V$1010,$B962)))</f>
        <v/>
      </c>
      <c r="H962" s="47">
        <f>IF($B962="","",IF(INDEX('Work Orders'!$U$11:$U$1010,$B962)="","",INDEX('Work Orders'!$U$11:$U$1010,$B962)))</f>
        <v/>
      </c>
      <c r="I962" s="47">
        <f>IF($B962="","",IF(INDEX('Work Orders'!$X$11:$X$1010,$B962)="","",INDEX('Work Orders'!$X$11:$X$1010,$B962)))</f>
        <v/>
      </c>
      <c r="J962" s="44">
        <f>IF($B962="","",IF(INDEX('Work Orders'!$Z$11:$Z$1010,$B962)="","",INDEX('Work Orders'!$Z$11:$Z$1010,$B962)))</f>
        <v/>
      </c>
      <c r="K962" s="44">
        <f>IF($B962="","",IF(INDEX('Work Orders'!$AG$11:$AG$1010,$B962)="","",INDEX('Work Orders'!$AG$11:$AG$1010,$B962)))</f>
        <v/>
      </c>
      <c r="L962" s="44">
        <f>IF($B962="","",IF(INDEX('Work Orders'!$AH$11:$AH$1010,$B962)="","",INDEX('Work Orders'!$AH$11:$AH$1010,$B962)))</f>
        <v/>
      </c>
      <c r="M962" s="46">
        <f>IF($B962="","",IF(INDEX('Work Orders'!$AM$11:$AM$1010,$B962)="","",INDEX('Work Orders'!$AM$11:$AM$1010,$B962)))</f>
        <v/>
      </c>
      <c r="N962" s="43">
        <f>IF($B962="","",IF(INDEX('Work Orders'!$AL$11:$AL$1010,$B962)="","",INDEX('Work Orders'!$AL$11:$AL$1010,$B962)))</f>
        <v/>
      </c>
      <c r="O962" s="43">
        <f>IF($B962="","",IF(INDEX('Work Orders'!$N$11:$N$1010,$B962)="","",INDEX('Work Orders'!$N$11:$N$1010,$B962)))</f>
        <v/>
      </c>
    </row>
    <row r="963">
      <c r="A963" s="68" t="n">
        <v>957</v>
      </c>
      <c r="B963">
        <f>IFERROR(MATCH(A963,'Work Orders'!$AO$11:$AO$1010,0),"")</f>
        <v/>
      </c>
      <c r="C963" s="43">
        <f>IF($B963="","",IF(INDEX('Work Orders'!$A$11:$A$1010,$B963)="","",INDEX('Work Orders'!$A$11:$A$1010,$B963)))</f>
        <v/>
      </c>
      <c r="D963" s="43">
        <f>IF($B963="","",IF(INDEX('Work Orders'!$B$11:$B$1010,$B963)="","",INDEX('Work Orders'!$B$11:$B$1010,$B963)))</f>
        <v/>
      </c>
      <c r="E963" s="43">
        <f>IF($B963="","",IF(INDEX('Work Orders'!$D$11:$D$1010,$B963)="","",INDEX('Work Orders'!$D$11:$D$1010,$B963)))</f>
        <v/>
      </c>
      <c r="F963" s="43">
        <f>IF($B963="","",IF(INDEX('Work Orders'!$Q$11:$Q$1010,$B963)="","",INDEX('Work Orders'!$Q$11:$Q$1010,$B963)))</f>
        <v/>
      </c>
      <c r="G963" s="43">
        <f>IF($B963="","",IF(INDEX('Work Orders'!$V$11:$V$1010,$B963)="","",INDEX('Work Orders'!$V$11:$V$1010,$B963)))</f>
        <v/>
      </c>
      <c r="H963" s="47">
        <f>IF($B963="","",IF(INDEX('Work Orders'!$U$11:$U$1010,$B963)="","",INDEX('Work Orders'!$U$11:$U$1010,$B963)))</f>
        <v/>
      </c>
      <c r="I963" s="47">
        <f>IF($B963="","",IF(INDEX('Work Orders'!$X$11:$X$1010,$B963)="","",INDEX('Work Orders'!$X$11:$X$1010,$B963)))</f>
        <v/>
      </c>
      <c r="J963" s="44">
        <f>IF($B963="","",IF(INDEX('Work Orders'!$Z$11:$Z$1010,$B963)="","",INDEX('Work Orders'!$Z$11:$Z$1010,$B963)))</f>
        <v/>
      </c>
      <c r="K963" s="44">
        <f>IF($B963="","",IF(INDEX('Work Orders'!$AG$11:$AG$1010,$B963)="","",INDEX('Work Orders'!$AG$11:$AG$1010,$B963)))</f>
        <v/>
      </c>
      <c r="L963" s="44">
        <f>IF($B963="","",IF(INDEX('Work Orders'!$AH$11:$AH$1010,$B963)="","",INDEX('Work Orders'!$AH$11:$AH$1010,$B963)))</f>
        <v/>
      </c>
      <c r="M963" s="46">
        <f>IF($B963="","",IF(INDEX('Work Orders'!$AM$11:$AM$1010,$B963)="","",INDEX('Work Orders'!$AM$11:$AM$1010,$B963)))</f>
        <v/>
      </c>
      <c r="N963" s="43">
        <f>IF($B963="","",IF(INDEX('Work Orders'!$AL$11:$AL$1010,$B963)="","",INDEX('Work Orders'!$AL$11:$AL$1010,$B963)))</f>
        <v/>
      </c>
      <c r="O963" s="43">
        <f>IF($B963="","",IF(INDEX('Work Orders'!$N$11:$N$1010,$B963)="","",INDEX('Work Orders'!$N$11:$N$1010,$B963)))</f>
        <v/>
      </c>
    </row>
    <row r="964">
      <c r="A964" s="68" t="n">
        <v>958</v>
      </c>
      <c r="B964">
        <f>IFERROR(MATCH(A964,'Work Orders'!$AO$11:$AO$1010,0),"")</f>
        <v/>
      </c>
      <c r="C964" s="43">
        <f>IF($B964="","",IF(INDEX('Work Orders'!$A$11:$A$1010,$B964)="","",INDEX('Work Orders'!$A$11:$A$1010,$B964)))</f>
        <v/>
      </c>
      <c r="D964" s="43">
        <f>IF($B964="","",IF(INDEX('Work Orders'!$B$11:$B$1010,$B964)="","",INDEX('Work Orders'!$B$11:$B$1010,$B964)))</f>
        <v/>
      </c>
      <c r="E964" s="43">
        <f>IF($B964="","",IF(INDEX('Work Orders'!$D$11:$D$1010,$B964)="","",INDEX('Work Orders'!$D$11:$D$1010,$B964)))</f>
        <v/>
      </c>
      <c r="F964" s="43">
        <f>IF($B964="","",IF(INDEX('Work Orders'!$Q$11:$Q$1010,$B964)="","",INDEX('Work Orders'!$Q$11:$Q$1010,$B964)))</f>
        <v/>
      </c>
      <c r="G964" s="43">
        <f>IF($B964="","",IF(INDEX('Work Orders'!$V$11:$V$1010,$B964)="","",INDEX('Work Orders'!$V$11:$V$1010,$B964)))</f>
        <v/>
      </c>
      <c r="H964" s="47">
        <f>IF($B964="","",IF(INDEX('Work Orders'!$U$11:$U$1010,$B964)="","",INDEX('Work Orders'!$U$11:$U$1010,$B964)))</f>
        <v/>
      </c>
      <c r="I964" s="47">
        <f>IF($B964="","",IF(INDEX('Work Orders'!$X$11:$X$1010,$B964)="","",INDEX('Work Orders'!$X$11:$X$1010,$B964)))</f>
        <v/>
      </c>
      <c r="J964" s="44">
        <f>IF($B964="","",IF(INDEX('Work Orders'!$Z$11:$Z$1010,$B964)="","",INDEX('Work Orders'!$Z$11:$Z$1010,$B964)))</f>
        <v/>
      </c>
      <c r="K964" s="44">
        <f>IF($B964="","",IF(INDEX('Work Orders'!$AG$11:$AG$1010,$B964)="","",INDEX('Work Orders'!$AG$11:$AG$1010,$B964)))</f>
        <v/>
      </c>
      <c r="L964" s="44">
        <f>IF($B964="","",IF(INDEX('Work Orders'!$AH$11:$AH$1010,$B964)="","",INDEX('Work Orders'!$AH$11:$AH$1010,$B964)))</f>
        <v/>
      </c>
      <c r="M964" s="46">
        <f>IF($B964="","",IF(INDEX('Work Orders'!$AM$11:$AM$1010,$B964)="","",INDEX('Work Orders'!$AM$11:$AM$1010,$B964)))</f>
        <v/>
      </c>
      <c r="N964" s="43">
        <f>IF($B964="","",IF(INDEX('Work Orders'!$AL$11:$AL$1010,$B964)="","",INDEX('Work Orders'!$AL$11:$AL$1010,$B964)))</f>
        <v/>
      </c>
      <c r="O964" s="43">
        <f>IF($B964="","",IF(INDEX('Work Orders'!$N$11:$N$1010,$B964)="","",INDEX('Work Orders'!$N$11:$N$1010,$B964)))</f>
        <v/>
      </c>
    </row>
    <row r="965">
      <c r="A965" s="68" t="n">
        <v>959</v>
      </c>
      <c r="B965">
        <f>IFERROR(MATCH(A965,'Work Orders'!$AO$11:$AO$1010,0),"")</f>
        <v/>
      </c>
      <c r="C965" s="43">
        <f>IF($B965="","",IF(INDEX('Work Orders'!$A$11:$A$1010,$B965)="","",INDEX('Work Orders'!$A$11:$A$1010,$B965)))</f>
        <v/>
      </c>
      <c r="D965" s="43">
        <f>IF($B965="","",IF(INDEX('Work Orders'!$B$11:$B$1010,$B965)="","",INDEX('Work Orders'!$B$11:$B$1010,$B965)))</f>
        <v/>
      </c>
      <c r="E965" s="43">
        <f>IF($B965="","",IF(INDEX('Work Orders'!$D$11:$D$1010,$B965)="","",INDEX('Work Orders'!$D$11:$D$1010,$B965)))</f>
        <v/>
      </c>
      <c r="F965" s="43">
        <f>IF($B965="","",IF(INDEX('Work Orders'!$Q$11:$Q$1010,$B965)="","",INDEX('Work Orders'!$Q$11:$Q$1010,$B965)))</f>
        <v/>
      </c>
      <c r="G965" s="43">
        <f>IF($B965="","",IF(INDEX('Work Orders'!$V$11:$V$1010,$B965)="","",INDEX('Work Orders'!$V$11:$V$1010,$B965)))</f>
        <v/>
      </c>
      <c r="H965" s="47">
        <f>IF($B965="","",IF(INDEX('Work Orders'!$U$11:$U$1010,$B965)="","",INDEX('Work Orders'!$U$11:$U$1010,$B965)))</f>
        <v/>
      </c>
      <c r="I965" s="47">
        <f>IF($B965="","",IF(INDEX('Work Orders'!$X$11:$X$1010,$B965)="","",INDEX('Work Orders'!$X$11:$X$1010,$B965)))</f>
        <v/>
      </c>
      <c r="J965" s="44">
        <f>IF($B965="","",IF(INDEX('Work Orders'!$Z$11:$Z$1010,$B965)="","",INDEX('Work Orders'!$Z$11:$Z$1010,$B965)))</f>
        <v/>
      </c>
      <c r="K965" s="44">
        <f>IF($B965="","",IF(INDEX('Work Orders'!$AG$11:$AG$1010,$B965)="","",INDEX('Work Orders'!$AG$11:$AG$1010,$B965)))</f>
        <v/>
      </c>
      <c r="L965" s="44">
        <f>IF($B965="","",IF(INDEX('Work Orders'!$AH$11:$AH$1010,$B965)="","",INDEX('Work Orders'!$AH$11:$AH$1010,$B965)))</f>
        <v/>
      </c>
      <c r="M965" s="46">
        <f>IF($B965="","",IF(INDEX('Work Orders'!$AM$11:$AM$1010,$B965)="","",INDEX('Work Orders'!$AM$11:$AM$1010,$B965)))</f>
        <v/>
      </c>
      <c r="N965" s="43">
        <f>IF($B965="","",IF(INDEX('Work Orders'!$AL$11:$AL$1010,$B965)="","",INDEX('Work Orders'!$AL$11:$AL$1010,$B965)))</f>
        <v/>
      </c>
      <c r="O965" s="43">
        <f>IF($B965="","",IF(INDEX('Work Orders'!$N$11:$N$1010,$B965)="","",INDEX('Work Orders'!$N$11:$N$1010,$B965)))</f>
        <v/>
      </c>
    </row>
    <row r="966">
      <c r="A966" s="68" t="n">
        <v>960</v>
      </c>
      <c r="B966">
        <f>IFERROR(MATCH(A966,'Work Orders'!$AO$11:$AO$1010,0),"")</f>
        <v/>
      </c>
      <c r="C966" s="43">
        <f>IF($B966="","",IF(INDEX('Work Orders'!$A$11:$A$1010,$B966)="","",INDEX('Work Orders'!$A$11:$A$1010,$B966)))</f>
        <v/>
      </c>
      <c r="D966" s="43">
        <f>IF($B966="","",IF(INDEX('Work Orders'!$B$11:$B$1010,$B966)="","",INDEX('Work Orders'!$B$11:$B$1010,$B966)))</f>
        <v/>
      </c>
      <c r="E966" s="43">
        <f>IF($B966="","",IF(INDEX('Work Orders'!$D$11:$D$1010,$B966)="","",INDEX('Work Orders'!$D$11:$D$1010,$B966)))</f>
        <v/>
      </c>
      <c r="F966" s="43">
        <f>IF($B966="","",IF(INDEX('Work Orders'!$Q$11:$Q$1010,$B966)="","",INDEX('Work Orders'!$Q$11:$Q$1010,$B966)))</f>
        <v/>
      </c>
      <c r="G966" s="43">
        <f>IF($B966="","",IF(INDEX('Work Orders'!$V$11:$V$1010,$B966)="","",INDEX('Work Orders'!$V$11:$V$1010,$B966)))</f>
        <v/>
      </c>
      <c r="H966" s="47">
        <f>IF($B966="","",IF(INDEX('Work Orders'!$U$11:$U$1010,$B966)="","",INDEX('Work Orders'!$U$11:$U$1010,$B966)))</f>
        <v/>
      </c>
      <c r="I966" s="47">
        <f>IF($B966="","",IF(INDEX('Work Orders'!$X$11:$X$1010,$B966)="","",INDEX('Work Orders'!$X$11:$X$1010,$B966)))</f>
        <v/>
      </c>
      <c r="J966" s="44">
        <f>IF($B966="","",IF(INDEX('Work Orders'!$Z$11:$Z$1010,$B966)="","",INDEX('Work Orders'!$Z$11:$Z$1010,$B966)))</f>
        <v/>
      </c>
      <c r="K966" s="44">
        <f>IF($B966="","",IF(INDEX('Work Orders'!$AG$11:$AG$1010,$B966)="","",INDEX('Work Orders'!$AG$11:$AG$1010,$B966)))</f>
        <v/>
      </c>
      <c r="L966" s="44">
        <f>IF($B966="","",IF(INDEX('Work Orders'!$AH$11:$AH$1010,$B966)="","",INDEX('Work Orders'!$AH$11:$AH$1010,$B966)))</f>
        <v/>
      </c>
      <c r="M966" s="46">
        <f>IF($B966="","",IF(INDEX('Work Orders'!$AM$11:$AM$1010,$B966)="","",INDEX('Work Orders'!$AM$11:$AM$1010,$B966)))</f>
        <v/>
      </c>
      <c r="N966" s="43">
        <f>IF($B966="","",IF(INDEX('Work Orders'!$AL$11:$AL$1010,$B966)="","",INDEX('Work Orders'!$AL$11:$AL$1010,$B966)))</f>
        <v/>
      </c>
      <c r="O966" s="43">
        <f>IF($B966="","",IF(INDEX('Work Orders'!$N$11:$N$1010,$B966)="","",INDEX('Work Orders'!$N$11:$N$1010,$B966)))</f>
        <v/>
      </c>
    </row>
    <row r="967">
      <c r="A967" s="68" t="n">
        <v>961</v>
      </c>
      <c r="B967">
        <f>IFERROR(MATCH(A967,'Work Orders'!$AO$11:$AO$1010,0),"")</f>
        <v/>
      </c>
      <c r="C967" s="43">
        <f>IF($B967="","",IF(INDEX('Work Orders'!$A$11:$A$1010,$B967)="","",INDEX('Work Orders'!$A$11:$A$1010,$B967)))</f>
        <v/>
      </c>
      <c r="D967" s="43">
        <f>IF($B967="","",IF(INDEX('Work Orders'!$B$11:$B$1010,$B967)="","",INDEX('Work Orders'!$B$11:$B$1010,$B967)))</f>
        <v/>
      </c>
      <c r="E967" s="43">
        <f>IF($B967="","",IF(INDEX('Work Orders'!$D$11:$D$1010,$B967)="","",INDEX('Work Orders'!$D$11:$D$1010,$B967)))</f>
        <v/>
      </c>
      <c r="F967" s="43">
        <f>IF($B967="","",IF(INDEX('Work Orders'!$Q$11:$Q$1010,$B967)="","",INDEX('Work Orders'!$Q$11:$Q$1010,$B967)))</f>
        <v/>
      </c>
      <c r="G967" s="43">
        <f>IF($B967="","",IF(INDEX('Work Orders'!$V$11:$V$1010,$B967)="","",INDEX('Work Orders'!$V$11:$V$1010,$B967)))</f>
        <v/>
      </c>
      <c r="H967" s="47">
        <f>IF($B967="","",IF(INDEX('Work Orders'!$U$11:$U$1010,$B967)="","",INDEX('Work Orders'!$U$11:$U$1010,$B967)))</f>
        <v/>
      </c>
      <c r="I967" s="47">
        <f>IF($B967="","",IF(INDEX('Work Orders'!$X$11:$X$1010,$B967)="","",INDEX('Work Orders'!$X$11:$X$1010,$B967)))</f>
        <v/>
      </c>
      <c r="J967" s="44">
        <f>IF($B967="","",IF(INDEX('Work Orders'!$Z$11:$Z$1010,$B967)="","",INDEX('Work Orders'!$Z$11:$Z$1010,$B967)))</f>
        <v/>
      </c>
      <c r="K967" s="44">
        <f>IF($B967="","",IF(INDEX('Work Orders'!$AG$11:$AG$1010,$B967)="","",INDEX('Work Orders'!$AG$11:$AG$1010,$B967)))</f>
        <v/>
      </c>
      <c r="L967" s="44">
        <f>IF($B967="","",IF(INDEX('Work Orders'!$AH$11:$AH$1010,$B967)="","",INDEX('Work Orders'!$AH$11:$AH$1010,$B967)))</f>
        <v/>
      </c>
      <c r="M967" s="46">
        <f>IF($B967="","",IF(INDEX('Work Orders'!$AM$11:$AM$1010,$B967)="","",INDEX('Work Orders'!$AM$11:$AM$1010,$B967)))</f>
        <v/>
      </c>
      <c r="N967" s="43">
        <f>IF($B967="","",IF(INDEX('Work Orders'!$AL$11:$AL$1010,$B967)="","",INDEX('Work Orders'!$AL$11:$AL$1010,$B967)))</f>
        <v/>
      </c>
      <c r="O967" s="43">
        <f>IF($B967="","",IF(INDEX('Work Orders'!$N$11:$N$1010,$B967)="","",INDEX('Work Orders'!$N$11:$N$1010,$B967)))</f>
        <v/>
      </c>
    </row>
    <row r="968">
      <c r="A968" s="68" t="n">
        <v>962</v>
      </c>
      <c r="B968">
        <f>IFERROR(MATCH(A968,'Work Orders'!$AO$11:$AO$1010,0),"")</f>
        <v/>
      </c>
      <c r="C968" s="43">
        <f>IF($B968="","",IF(INDEX('Work Orders'!$A$11:$A$1010,$B968)="","",INDEX('Work Orders'!$A$11:$A$1010,$B968)))</f>
        <v/>
      </c>
      <c r="D968" s="43">
        <f>IF($B968="","",IF(INDEX('Work Orders'!$B$11:$B$1010,$B968)="","",INDEX('Work Orders'!$B$11:$B$1010,$B968)))</f>
        <v/>
      </c>
      <c r="E968" s="43">
        <f>IF($B968="","",IF(INDEX('Work Orders'!$D$11:$D$1010,$B968)="","",INDEX('Work Orders'!$D$11:$D$1010,$B968)))</f>
        <v/>
      </c>
      <c r="F968" s="43">
        <f>IF($B968="","",IF(INDEX('Work Orders'!$Q$11:$Q$1010,$B968)="","",INDEX('Work Orders'!$Q$11:$Q$1010,$B968)))</f>
        <v/>
      </c>
      <c r="G968" s="43">
        <f>IF($B968="","",IF(INDEX('Work Orders'!$V$11:$V$1010,$B968)="","",INDEX('Work Orders'!$V$11:$V$1010,$B968)))</f>
        <v/>
      </c>
      <c r="H968" s="47">
        <f>IF($B968="","",IF(INDEX('Work Orders'!$U$11:$U$1010,$B968)="","",INDEX('Work Orders'!$U$11:$U$1010,$B968)))</f>
        <v/>
      </c>
      <c r="I968" s="47">
        <f>IF($B968="","",IF(INDEX('Work Orders'!$X$11:$X$1010,$B968)="","",INDEX('Work Orders'!$X$11:$X$1010,$B968)))</f>
        <v/>
      </c>
      <c r="J968" s="44">
        <f>IF($B968="","",IF(INDEX('Work Orders'!$Z$11:$Z$1010,$B968)="","",INDEX('Work Orders'!$Z$11:$Z$1010,$B968)))</f>
        <v/>
      </c>
      <c r="K968" s="44">
        <f>IF($B968="","",IF(INDEX('Work Orders'!$AG$11:$AG$1010,$B968)="","",INDEX('Work Orders'!$AG$11:$AG$1010,$B968)))</f>
        <v/>
      </c>
      <c r="L968" s="44">
        <f>IF($B968="","",IF(INDEX('Work Orders'!$AH$11:$AH$1010,$B968)="","",INDEX('Work Orders'!$AH$11:$AH$1010,$B968)))</f>
        <v/>
      </c>
      <c r="M968" s="46">
        <f>IF($B968="","",IF(INDEX('Work Orders'!$AM$11:$AM$1010,$B968)="","",INDEX('Work Orders'!$AM$11:$AM$1010,$B968)))</f>
        <v/>
      </c>
      <c r="N968" s="43">
        <f>IF($B968="","",IF(INDEX('Work Orders'!$AL$11:$AL$1010,$B968)="","",INDEX('Work Orders'!$AL$11:$AL$1010,$B968)))</f>
        <v/>
      </c>
      <c r="O968" s="43">
        <f>IF($B968="","",IF(INDEX('Work Orders'!$N$11:$N$1010,$B968)="","",INDEX('Work Orders'!$N$11:$N$1010,$B968)))</f>
        <v/>
      </c>
    </row>
    <row r="969">
      <c r="A969" s="68" t="n">
        <v>963</v>
      </c>
      <c r="B969">
        <f>IFERROR(MATCH(A969,'Work Orders'!$AO$11:$AO$1010,0),"")</f>
        <v/>
      </c>
      <c r="C969" s="43">
        <f>IF($B969="","",IF(INDEX('Work Orders'!$A$11:$A$1010,$B969)="","",INDEX('Work Orders'!$A$11:$A$1010,$B969)))</f>
        <v/>
      </c>
      <c r="D969" s="43">
        <f>IF($B969="","",IF(INDEX('Work Orders'!$B$11:$B$1010,$B969)="","",INDEX('Work Orders'!$B$11:$B$1010,$B969)))</f>
        <v/>
      </c>
      <c r="E969" s="43">
        <f>IF($B969="","",IF(INDEX('Work Orders'!$D$11:$D$1010,$B969)="","",INDEX('Work Orders'!$D$11:$D$1010,$B969)))</f>
        <v/>
      </c>
      <c r="F969" s="43">
        <f>IF($B969="","",IF(INDEX('Work Orders'!$Q$11:$Q$1010,$B969)="","",INDEX('Work Orders'!$Q$11:$Q$1010,$B969)))</f>
        <v/>
      </c>
      <c r="G969" s="43">
        <f>IF($B969="","",IF(INDEX('Work Orders'!$V$11:$V$1010,$B969)="","",INDEX('Work Orders'!$V$11:$V$1010,$B969)))</f>
        <v/>
      </c>
      <c r="H969" s="47">
        <f>IF($B969="","",IF(INDEX('Work Orders'!$U$11:$U$1010,$B969)="","",INDEX('Work Orders'!$U$11:$U$1010,$B969)))</f>
        <v/>
      </c>
      <c r="I969" s="47">
        <f>IF($B969="","",IF(INDEX('Work Orders'!$X$11:$X$1010,$B969)="","",INDEX('Work Orders'!$X$11:$X$1010,$B969)))</f>
        <v/>
      </c>
      <c r="J969" s="44">
        <f>IF($B969="","",IF(INDEX('Work Orders'!$Z$11:$Z$1010,$B969)="","",INDEX('Work Orders'!$Z$11:$Z$1010,$B969)))</f>
        <v/>
      </c>
      <c r="K969" s="44">
        <f>IF($B969="","",IF(INDEX('Work Orders'!$AG$11:$AG$1010,$B969)="","",INDEX('Work Orders'!$AG$11:$AG$1010,$B969)))</f>
        <v/>
      </c>
      <c r="L969" s="44">
        <f>IF($B969="","",IF(INDEX('Work Orders'!$AH$11:$AH$1010,$B969)="","",INDEX('Work Orders'!$AH$11:$AH$1010,$B969)))</f>
        <v/>
      </c>
      <c r="M969" s="46">
        <f>IF($B969="","",IF(INDEX('Work Orders'!$AM$11:$AM$1010,$B969)="","",INDEX('Work Orders'!$AM$11:$AM$1010,$B969)))</f>
        <v/>
      </c>
      <c r="N969" s="43">
        <f>IF($B969="","",IF(INDEX('Work Orders'!$AL$11:$AL$1010,$B969)="","",INDEX('Work Orders'!$AL$11:$AL$1010,$B969)))</f>
        <v/>
      </c>
      <c r="O969" s="43">
        <f>IF($B969="","",IF(INDEX('Work Orders'!$N$11:$N$1010,$B969)="","",INDEX('Work Orders'!$N$11:$N$1010,$B969)))</f>
        <v/>
      </c>
    </row>
    <row r="970">
      <c r="A970" s="68" t="n">
        <v>964</v>
      </c>
      <c r="B970">
        <f>IFERROR(MATCH(A970,'Work Orders'!$AO$11:$AO$1010,0),"")</f>
        <v/>
      </c>
      <c r="C970" s="43">
        <f>IF($B970="","",IF(INDEX('Work Orders'!$A$11:$A$1010,$B970)="","",INDEX('Work Orders'!$A$11:$A$1010,$B970)))</f>
        <v/>
      </c>
      <c r="D970" s="43">
        <f>IF($B970="","",IF(INDEX('Work Orders'!$B$11:$B$1010,$B970)="","",INDEX('Work Orders'!$B$11:$B$1010,$B970)))</f>
        <v/>
      </c>
      <c r="E970" s="43">
        <f>IF($B970="","",IF(INDEX('Work Orders'!$D$11:$D$1010,$B970)="","",INDEX('Work Orders'!$D$11:$D$1010,$B970)))</f>
        <v/>
      </c>
      <c r="F970" s="43">
        <f>IF($B970="","",IF(INDEX('Work Orders'!$Q$11:$Q$1010,$B970)="","",INDEX('Work Orders'!$Q$11:$Q$1010,$B970)))</f>
        <v/>
      </c>
      <c r="G970" s="43">
        <f>IF($B970="","",IF(INDEX('Work Orders'!$V$11:$V$1010,$B970)="","",INDEX('Work Orders'!$V$11:$V$1010,$B970)))</f>
        <v/>
      </c>
      <c r="H970" s="47">
        <f>IF($B970="","",IF(INDEX('Work Orders'!$U$11:$U$1010,$B970)="","",INDEX('Work Orders'!$U$11:$U$1010,$B970)))</f>
        <v/>
      </c>
      <c r="I970" s="47">
        <f>IF($B970="","",IF(INDEX('Work Orders'!$X$11:$X$1010,$B970)="","",INDEX('Work Orders'!$X$11:$X$1010,$B970)))</f>
        <v/>
      </c>
      <c r="J970" s="44">
        <f>IF($B970="","",IF(INDEX('Work Orders'!$Z$11:$Z$1010,$B970)="","",INDEX('Work Orders'!$Z$11:$Z$1010,$B970)))</f>
        <v/>
      </c>
      <c r="K970" s="44">
        <f>IF($B970="","",IF(INDEX('Work Orders'!$AG$11:$AG$1010,$B970)="","",INDEX('Work Orders'!$AG$11:$AG$1010,$B970)))</f>
        <v/>
      </c>
      <c r="L970" s="44">
        <f>IF($B970="","",IF(INDEX('Work Orders'!$AH$11:$AH$1010,$B970)="","",INDEX('Work Orders'!$AH$11:$AH$1010,$B970)))</f>
        <v/>
      </c>
      <c r="M970" s="46">
        <f>IF($B970="","",IF(INDEX('Work Orders'!$AM$11:$AM$1010,$B970)="","",INDEX('Work Orders'!$AM$11:$AM$1010,$B970)))</f>
        <v/>
      </c>
      <c r="N970" s="43">
        <f>IF($B970="","",IF(INDEX('Work Orders'!$AL$11:$AL$1010,$B970)="","",INDEX('Work Orders'!$AL$11:$AL$1010,$B970)))</f>
        <v/>
      </c>
      <c r="O970" s="43">
        <f>IF($B970="","",IF(INDEX('Work Orders'!$N$11:$N$1010,$B970)="","",INDEX('Work Orders'!$N$11:$N$1010,$B970)))</f>
        <v/>
      </c>
    </row>
    <row r="971">
      <c r="A971" s="68" t="n">
        <v>965</v>
      </c>
      <c r="B971">
        <f>IFERROR(MATCH(A971,'Work Orders'!$AO$11:$AO$1010,0),"")</f>
        <v/>
      </c>
      <c r="C971" s="43">
        <f>IF($B971="","",IF(INDEX('Work Orders'!$A$11:$A$1010,$B971)="","",INDEX('Work Orders'!$A$11:$A$1010,$B971)))</f>
        <v/>
      </c>
      <c r="D971" s="43">
        <f>IF($B971="","",IF(INDEX('Work Orders'!$B$11:$B$1010,$B971)="","",INDEX('Work Orders'!$B$11:$B$1010,$B971)))</f>
        <v/>
      </c>
      <c r="E971" s="43">
        <f>IF($B971="","",IF(INDEX('Work Orders'!$D$11:$D$1010,$B971)="","",INDEX('Work Orders'!$D$11:$D$1010,$B971)))</f>
        <v/>
      </c>
      <c r="F971" s="43">
        <f>IF($B971="","",IF(INDEX('Work Orders'!$Q$11:$Q$1010,$B971)="","",INDEX('Work Orders'!$Q$11:$Q$1010,$B971)))</f>
        <v/>
      </c>
      <c r="G971" s="43">
        <f>IF($B971="","",IF(INDEX('Work Orders'!$V$11:$V$1010,$B971)="","",INDEX('Work Orders'!$V$11:$V$1010,$B971)))</f>
        <v/>
      </c>
      <c r="H971" s="47">
        <f>IF($B971="","",IF(INDEX('Work Orders'!$U$11:$U$1010,$B971)="","",INDEX('Work Orders'!$U$11:$U$1010,$B971)))</f>
        <v/>
      </c>
      <c r="I971" s="47">
        <f>IF($B971="","",IF(INDEX('Work Orders'!$X$11:$X$1010,$B971)="","",INDEX('Work Orders'!$X$11:$X$1010,$B971)))</f>
        <v/>
      </c>
      <c r="J971" s="44">
        <f>IF($B971="","",IF(INDEX('Work Orders'!$Z$11:$Z$1010,$B971)="","",INDEX('Work Orders'!$Z$11:$Z$1010,$B971)))</f>
        <v/>
      </c>
      <c r="K971" s="44">
        <f>IF($B971="","",IF(INDEX('Work Orders'!$AG$11:$AG$1010,$B971)="","",INDEX('Work Orders'!$AG$11:$AG$1010,$B971)))</f>
        <v/>
      </c>
      <c r="L971" s="44">
        <f>IF($B971="","",IF(INDEX('Work Orders'!$AH$11:$AH$1010,$B971)="","",INDEX('Work Orders'!$AH$11:$AH$1010,$B971)))</f>
        <v/>
      </c>
      <c r="M971" s="46">
        <f>IF($B971="","",IF(INDEX('Work Orders'!$AM$11:$AM$1010,$B971)="","",INDEX('Work Orders'!$AM$11:$AM$1010,$B971)))</f>
        <v/>
      </c>
      <c r="N971" s="43">
        <f>IF($B971="","",IF(INDEX('Work Orders'!$AL$11:$AL$1010,$B971)="","",INDEX('Work Orders'!$AL$11:$AL$1010,$B971)))</f>
        <v/>
      </c>
      <c r="O971" s="43">
        <f>IF($B971="","",IF(INDEX('Work Orders'!$N$11:$N$1010,$B971)="","",INDEX('Work Orders'!$N$11:$N$1010,$B971)))</f>
        <v/>
      </c>
    </row>
    <row r="972">
      <c r="A972" s="68" t="n">
        <v>966</v>
      </c>
      <c r="B972">
        <f>IFERROR(MATCH(A972,'Work Orders'!$AO$11:$AO$1010,0),"")</f>
        <v/>
      </c>
      <c r="C972" s="43">
        <f>IF($B972="","",IF(INDEX('Work Orders'!$A$11:$A$1010,$B972)="","",INDEX('Work Orders'!$A$11:$A$1010,$B972)))</f>
        <v/>
      </c>
      <c r="D972" s="43">
        <f>IF($B972="","",IF(INDEX('Work Orders'!$B$11:$B$1010,$B972)="","",INDEX('Work Orders'!$B$11:$B$1010,$B972)))</f>
        <v/>
      </c>
      <c r="E972" s="43">
        <f>IF($B972="","",IF(INDEX('Work Orders'!$D$11:$D$1010,$B972)="","",INDEX('Work Orders'!$D$11:$D$1010,$B972)))</f>
        <v/>
      </c>
      <c r="F972" s="43">
        <f>IF($B972="","",IF(INDEX('Work Orders'!$Q$11:$Q$1010,$B972)="","",INDEX('Work Orders'!$Q$11:$Q$1010,$B972)))</f>
        <v/>
      </c>
      <c r="G972" s="43">
        <f>IF($B972="","",IF(INDEX('Work Orders'!$V$11:$V$1010,$B972)="","",INDEX('Work Orders'!$V$11:$V$1010,$B972)))</f>
        <v/>
      </c>
      <c r="H972" s="47">
        <f>IF($B972="","",IF(INDEX('Work Orders'!$U$11:$U$1010,$B972)="","",INDEX('Work Orders'!$U$11:$U$1010,$B972)))</f>
        <v/>
      </c>
      <c r="I972" s="47">
        <f>IF($B972="","",IF(INDEX('Work Orders'!$X$11:$X$1010,$B972)="","",INDEX('Work Orders'!$X$11:$X$1010,$B972)))</f>
        <v/>
      </c>
      <c r="J972" s="44">
        <f>IF($B972="","",IF(INDEX('Work Orders'!$Z$11:$Z$1010,$B972)="","",INDEX('Work Orders'!$Z$11:$Z$1010,$B972)))</f>
        <v/>
      </c>
      <c r="K972" s="44">
        <f>IF($B972="","",IF(INDEX('Work Orders'!$AG$11:$AG$1010,$B972)="","",INDEX('Work Orders'!$AG$11:$AG$1010,$B972)))</f>
        <v/>
      </c>
      <c r="L972" s="44">
        <f>IF($B972="","",IF(INDEX('Work Orders'!$AH$11:$AH$1010,$B972)="","",INDEX('Work Orders'!$AH$11:$AH$1010,$B972)))</f>
        <v/>
      </c>
      <c r="M972" s="46">
        <f>IF($B972="","",IF(INDEX('Work Orders'!$AM$11:$AM$1010,$B972)="","",INDEX('Work Orders'!$AM$11:$AM$1010,$B972)))</f>
        <v/>
      </c>
      <c r="N972" s="43">
        <f>IF($B972="","",IF(INDEX('Work Orders'!$AL$11:$AL$1010,$B972)="","",INDEX('Work Orders'!$AL$11:$AL$1010,$B972)))</f>
        <v/>
      </c>
      <c r="O972" s="43">
        <f>IF($B972="","",IF(INDEX('Work Orders'!$N$11:$N$1010,$B972)="","",INDEX('Work Orders'!$N$11:$N$1010,$B972)))</f>
        <v/>
      </c>
    </row>
    <row r="973">
      <c r="A973" s="68" t="n">
        <v>967</v>
      </c>
      <c r="B973">
        <f>IFERROR(MATCH(A973,'Work Orders'!$AO$11:$AO$1010,0),"")</f>
        <v/>
      </c>
      <c r="C973" s="43">
        <f>IF($B973="","",IF(INDEX('Work Orders'!$A$11:$A$1010,$B973)="","",INDEX('Work Orders'!$A$11:$A$1010,$B973)))</f>
        <v/>
      </c>
      <c r="D973" s="43">
        <f>IF($B973="","",IF(INDEX('Work Orders'!$B$11:$B$1010,$B973)="","",INDEX('Work Orders'!$B$11:$B$1010,$B973)))</f>
        <v/>
      </c>
      <c r="E973" s="43">
        <f>IF($B973="","",IF(INDEX('Work Orders'!$D$11:$D$1010,$B973)="","",INDEX('Work Orders'!$D$11:$D$1010,$B973)))</f>
        <v/>
      </c>
      <c r="F973" s="43">
        <f>IF($B973="","",IF(INDEX('Work Orders'!$Q$11:$Q$1010,$B973)="","",INDEX('Work Orders'!$Q$11:$Q$1010,$B973)))</f>
        <v/>
      </c>
      <c r="G973" s="43">
        <f>IF($B973="","",IF(INDEX('Work Orders'!$V$11:$V$1010,$B973)="","",INDEX('Work Orders'!$V$11:$V$1010,$B973)))</f>
        <v/>
      </c>
      <c r="H973" s="47">
        <f>IF($B973="","",IF(INDEX('Work Orders'!$U$11:$U$1010,$B973)="","",INDEX('Work Orders'!$U$11:$U$1010,$B973)))</f>
        <v/>
      </c>
      <c r="I973" s="47">
        <f>IF($B973="","",IF(INDEX('Work Orders'!$X$11:$X$1010,$B973)="","",INDEX('Work Orders'!$X$11:$X$1010,$B973)))</f>
        <v/>
      </c>
      <c r="J973" s="44">
        <f>IF($B973="","",IF(INDEX('Work Orders'!$Z$11:$Z$1010,$B973)="","",INDEX('Work Orders'!$Z$11:$Z$1010,$B973)))</f>
        <v/>
      </c>
      <c r="K973" s="44">
        <f>IF($B973="","",IF(INDEX('Work Orders'!$AG$11:$AG$1010,$B973)="","",INDEX('Work Orders'!$AG$11:$AG$1010,$B973)))</f>
        <v/>
      </c>
      <c r="L973" s="44">
        <f>IF($B973="","",IF(INDEX('Work Orders'!$AH$11:$AH$1010,$B973)="","",INDEX('Work Orders'!$AH$11:$AH$1010,$B973)))</f>
        <v/>
      </c>
      <c r="M973" s="46">
        <f>IF($B973="","",IF(INDEX('Work Orders'!$AM$11:$AM$1010,$B973)="","",INDEX('Work Orders'!$AM$11:$AM$1010,$B973)))</f>
        <v/>
      </c>
      <c r="N973" s="43">
        <f>IF($B973="","",IF(INDEX('Work Orders'!$AL$11:$AL$1010,$B973)="","",INDEX('Work Orders'!$AL$11:$AL$1010,$B973)))</f>
        <v/>
      </c>
      <c r="O973" s="43">
        <f>IF($B973="","",IF(INDEX('Work Orders'!$N$11:$N$1010,$B973)="","",INDEX('Work Orders'!$N$11:$N$1010,$B973)))</f>
        <v/>
      </c>
    </row>
    <row r="974">
      <c r="A974" s="68" t="n">
        <v>968</v>
      </c>
      <c r="B974">
        <f>IFERROR(MATCH(A974,'Work Orders'!$AO$11:$AO$1010,0),"")</f>
        <v/>
      </c>
      <c r="C974" s="43">
        <f>IF($B974="","",IF(INDEX('Work Orders'!$A$11:$A$1010,$B974)="","",INDEX('Work Orders'!$A$11:$A$1010,$B974)))</f>
        <v/>
      </c>
      <c r="D974" s="43">
        <f>IF($B974="","",IF(INDEX('Work Orders'!$B$11:$B$1010,$B974)="","",INDEX('Work Orders'!$B$11:$B$1010,$B974)))</f>
        <v/>
      </c>
      <c r="E974" s="43">
        <f>IF($B974="","",IF(INDEX('Work Orders'!$D$11:$D$1010,$B974)="","",INDEX('Work Orders'!$D$11:$D$1010,$B974)))</f>
        <v/>
      </c>
      <c r="F974" s="43">
        <f>IF($B974="","",IF(INDEX('Work Orders'!$Q$11:$Q$1010,$B974)="","",INDEX('Work Orders'!$Q$11:$Q$1010,$B974)))</f>
        <v/>
      </c>
      <c r="G974" s="43">
        <f>IF($B974="","",IF(INDEX('Work Orders'!$V$11:$V$1010,$B974)="","",INDEX('Work Orders'!$V$11:$V$1010,$B974)))</f>
        <v/>
      </c>
      <c r="H974" s="47">
        <f>IF($B974="","",IF(INDEX('Work Orders'!$U$11:$U$1010,$B974)="","",INDEX('Work Orders'!$U$11:$U$1010,$B974)))</f>
        <v/>
      </c>
      <c r="I974" s="47">
        <f>IF($B974="","",IF(INDEX('Work Orders'!$X$11:$X$1010,$B974)="","",INDEX('Work Orders'!$X$11:$X$1010,$B974)))</f>
        <v/>
      </c>
      <c r="J974" s="44">
        <f>IF($B974="","",IF(INDEX('Work Orders'!$Z$11:$Z$1010,$B974)="","",INDEX('Work Orders'!$Z$11:$Z$1010,$B974)))</f>
        <v/>
      </c>
      <c r="K974" s="44">
        <f>IF($B974="","",IF(INDEX('Work Orders'!$AG$11:$AG$1010,$B974)="","",INDEX('Work Orders'!$AG$11:$AG$1010,$B974)))</f>
        <v/>
      </c>
      <c r="L974" s="44">
        <f>IF($B974="","",IF(INDEX('Work Orders'!$AH$11:$AH$1010,$B974)="","",INDEX('Work Orders'!$AH$11:$AH$1010,$B974)))</f>
        <v/>
      </c>
      <c r="M974" s="46">
        <f>IF($B974="","",IF(INDEX('Work Orders'!$AM$11:$AM$1010,$B974)="","",INDEX('Work Orders'!$AM$11:$AM$1010,$B974)))</f>
        <v/>
      </c>
      <c r="N974" s="43">
        <f>IF($B974="","",IF(INDEX('Work Orders'!$AL$11:$AL$1010,$B974)="","",INDEX('Work Orders'!$AL$11:$AL$1010,$B974)))</f>
        <v/>
      </c>
      <c r="O974" s="43">
        <f>IF($B974="","",IF(INDEX('Work Orders'!$N$11:$N$1010,$B974)="","",INDEX('Work Orders'!$N$11:$N$1010,$B974)))</f>
        <v/>
      </c>
    </row>
    <row r="975">
      <c r="A975" s="68" t="n">
        <v>969</v>
      </c>
      <c r="B975">
        <f>IFERROR(MATCH(A975,'Work Orders'!$AO$11:$AO$1010,0),"")</f>
        <v/>
      </c>
      <c r="C975" s="43">
        <f>IF($B975="","",IF(INDEX('Work Orders'!$A$11:$A$1010,$B975)="","",INDEX('Work Orders'!$A$11:$A$1010,$B975)))</f>
        <v/>
      </c>
      <c r="D975" s="43">
        <f>IF($B975="","",IF(INDEX('Work Orders'!$B$11:$B$1010,$B975)="","",INDEX('Work Orders'!$B$11:$B$1010,$B975)))</f>
        <v/>
      </c>
      <c r="E975" s="43">
        <f>IF($B975="","",IF(INDEX('Work Orders'!$D$11:$D$1010,$B975)="","",INDEX('Work Orders'!$D$11:$D$1010,$B975)))</f>
        <v/>
      </c>
      <c r="F975" s="43">
        <f>IF($B975="","",IF(INDEX('Work Orders'!$Q$11:$Q$1010,$B975)="","",INDEX('Work Orders'!$Q$11:$Q$1010,$B975)))</f>
        <v/>
      </c>
      <c r="G975" s="43">
        <f>IF($B975="","",IF(INDEX('Work Orders'!$V$11:$V$1010,$B975)="","",INDEX('Work Orders'!$V$11:$V$1010,$B975)))</f>
        <v/>
      </c>
      <c r="H975" s="47">
        <f>IF($B975="","",IF(INDEX('Work Orders'!$U$11:$U$1010,$B975)="","",INDEX('Work Orders'!$U$11:$U$1010,$B975)))</f>
        <v/>
      </c>
      <c r="I975" s="47">
        <f>IF($B975="","",IF(INDEX('Work Orders'!$X$11:$X$1010,$B975)="","",INDEX('Work Orders'!$X$11:$X$1010,$B975)))</f>
        <v/>
      </c>
      <c r="J975" s="44">
        <f>IF($B975="","",IF(INDEX('Work Orders'!$Z$11:$Z$1010,$B975)="","",INDEX('Work Orders'!$Z$11:$Z$1010,$B975)))</f>
        <v/>
      </c>
      <c r="K975" s="44">
        <f>IF($B975="","",IF(INDEX('Work Orders'!$AG$11:$AG$1010,$B975)="","",INDEX('Work Orders'!$AG$11:$AG$1010,$B975)))</f>
        <v/>
      </c>
      <c r="L975" s="44">
        <f>IF($B975="","",IF(INDEX('Work Orders'!$AH$11:$AH$1010,$B975)="","",INDEX('Work Orders'!$AH$11:$AH$1010,$B975)))</f>
        <v/>
      </c>
      <c r="M975" s="46">
        <f>IF($B975="","",IF(INDEX('Work Orders'!$AM$11:$AM$1010,$B975)="","",INDEX('Work Orders'!$AM$11:$AM$1010,$B975)))</f>
        <v/>
      </c>
      <c r="N975" s="43">
        <f>IF($B975="","",IF(INDEX('Work Orders'!$AL$11:$AL$1010,$B975)="","",INDEX('Work Orders'!$AL$11:$AL$1010,$B975)))</f>
        <v/>
      </c>
      <c r="O975" s="43">
        <f>IF($B975="","",IF(INDEX('Work Orders'!$N$11:$N$1010,$B975)="","",INDEX('Work Orders'!$N$11:$N$1010,$B975)))</f>
        <v/>
      </c>
    </row>
    <row r="976">
      <c r="A976" s="68" t="n">
        <v>970</v>
      </c>
      <c r="B976">
        <f>IFERROR(MATCH(A976,'Work Orders'!$AO$11:$AO$1010,0),"")</f>
        <v/>
      </c>
      <c r="C976" s="43">
        <f>IF($B976="","",IF(INDEX('Work Orders'!$A$11:$A$1010,$B976)="","",INDEX('Work Orders'!$A$11:$A$1010,$B976)))</f>
        <v/>
      </c>
      <c r="D976" s="43">
        <f>IF($B976="","",IF(INDEX('Work Orders'!$B$11:$B$1010,$B976)="","",INDEX('Work Orders'!$B$11:$B$1010,$B976)))</f>
        <v/>
      </c>
      <c r="E976" s="43">
        <f>IF($B976="","",IF(INDEX('Work Orders'!$D$11:$D$1010,$B976)="","",INDEX('Work Orders'!$D$11:$D$1010,$B976)))</f>
        <v/>
      </c>
      <c r="F976" s="43">
        <f>IF($B976="","",IF(INDEX('Work Orders'!$Q$11:$Q$1010,$B976)="","",INDEX('Work Orders'!$Q$11:$Q$1010,$B976)))</f>
        <v/>
      </c>
      <c r="G976" s="43">
        <f>IF($B976="","",IF(INDEX('Work Orders'!$V$11:$V$1010,$B976)="","",INDEX('Work Orders'!$V$11:$V$1010,$B976)))</f>
        <v/>
      </c>
      <c r="H976" s="47">
        <f>IF($B976="","",IF(INDEX('Work Orders'!$U$11:$U$1010,$B976)="","",INDEX('Work Orders'!$U$11:$U$1010,$B976)))</f>
        <v/>
      </c>
      <c r="I976" s="47">
        <f>IF($B976="","",IF(INDEX('Work Orders'!$X$11:$X$1010,$B976)="","",INDEX('Work Orders'!$X$11:$X$1010,$B976)))</f>
        <v/>
      </c>
      <c r="J976" s="44">
        <f>IF($B976="","",IF(INDEX('Work Orders'!$Z$11:$Z$1010,$B976)="","",INDEX('Work Orders'!$Z$11:$Z$1010,$B976)))</f>
        <v/>
      </c>
      <c r="K976" s="44">
        <f>IF($B976="","",IF(INDEX('Work Orders'!$AG$11:$AG$1010,$B976)="","",INDEX('Work Orders'!$AG$11:$AG$1010,$B976)))</f>
        <v/>
      </c>
      <c r="L976" s="44">
        <f>IF($B976="","",IF(INDEX('Work Orders'!$AH$11:$AH$1010,$B976)="","",INDEX('Work Orders'!$AH$11:$AH$1010,$B976)))</f>
        <v/>
      </c>
      <c r="M976" s="46">
        <f>IF($B976="","",IF(INDEX('Work Orders'!$AM$11:$AM$1010,$B976)="","",INDEX('Work Orders'!$AM$11:$AM$1010,$B976)))</f>
        <v/>
      </c>
      <c r="N976" s="43">
        <f>IF($B976="","",IF(INDEX('Work Orders'!$AL$11:$AL$1010,$B976)="","",INDEX('Work Orders'!$AL$11:$AL$1010,$B976)))</f>
        <v/>
      </c>
      <c r="O976" s="43">
        <f>IF($B976="","",IF(INDEX('Work Orders'!$N$11:$N$1010,$B976)="","",INDEX('Work Orders'!$N$11:$N$1010,$B976)))</f>
        <v/>
      </c>
    </row>
    <row r="977">
      <c r="A977" s="68" t="n">
        <v>971</v>
      </c>
      <c r="B977">
        <f>IFERROR(MATCH(A977,'Work Orders'!$AO$11:$AO$1010,0),"")</f>
        <v/>
      </c>
      <c r="C977" s="43">
        <f>IF($B977="","",IF(INDEX('Work Orders'!$A$11:$A$1010,$B977)="","",INDEX('Work Orders'!$A$11:$A$1010,$B977)))</f>
        <v/>
      </c>
      <c r="D977" s="43">
        <f>IF($B977="","",IF(INDEX('Work Orders'!$B$11:$B$1010,$B977)="","",INDEX('Work Orders'!$B$11:$B$1010,$B977)))</f>
        <v/>
      </c>
      <c r="E977" s="43">
        <f>IF($B977="","",IF(INDEX('Work Orders'!$D$11:$D$1010,$B977)="","",INDEX('Work Orders'!$D$11:$D$1010,$B977)))</f>
        <v/>
      </c>
      <c r="F977" s="43">
        <f>IF($B977="","",IF(INDEX('Work Orders'!$Q$11:$Q$1010,$B977)="","",INDEX('Work Orders'!$Q$11:$Q$1010,$B977)))</f>
        <v/>
      </c>
      <c r="G977" s="43">
        <f>IF($B977="","",IF(INDEX('Work Orders'!$V$11:$V$1010,$B977)="","",INDEX('Work Orders'!$V$11:$V$1010,$B977)))</f>
        <v/>
      </c>
      <c r="H977" s="47">
        <f>IF($B977="","",IF(INDEX('Work Orders'!$U$11:$U$1010,$B977)="","",INDEX('Work Orders'!$U$11:$U$1010,$B977)))</f>
        <v/>
      </c>
      <c r="I977" s="47">
        <f>IF($B977="","",IF(INDEX('Work Orders'!$X$11:$X$1010,$B977)="","",INDEX('Work Orders'!$X$11:$X$1010,$B977)))</f>
        <v/>
      </c>
      <c r="J977" s="44">
        <f>IF($B977="","",IF(INDEX('Work Orders'!$Z$11:$Z$1010,$B977)="","",INDEX('Work Orders'!$Z$11:$Z$1010,$B977)))</f>
        <v/>
      </c>
      <c r="K977" s="44">
        <f>IF($B977="","",IF(INDEX('Work Orders'!$AG$11:$AG$1010,$B977)="","",INDEX('Work Orders'!$AG$11:$AG$1010,$B977)))</f>
        <v/>
      </c>
      <c r="L977" s="44">
        <f>IF($B977="","",IF(INDEX('Work Orders'!$AH$11:$AH$1010,$B977)="","",INDEX('Work Orders'!$AH$11:$AH$1010,$B977)))</f>
        <v/>
      </c>
      <c r="M977" s="46">
        <f>IF($B977="","",IF(INDEX('Work Orders'!$AM$11:$AM$1010,$B977)="","",INDEX('Work Orders'!$AM$11:$AM$1010,$B977)))</f>
        <v/>
      </c>
      <c r="N977" s="43">
        <f>IF($B977="","",IF(INDEX('Work Orders'!$AL$11:$AL$1010,$B977)="","",INDEX('Work Orders'!$AL$11:$AL$1010,$B977)))</f>
        <v/>
      </c>
      <c r="O977" s="43">
        <f>IF($B977="","",IF(INDEX('Work Orders'!$N$11:$N$1010,$B977)="","",INDEX('Work Orders'!$N$11:$N$1010,$B977)))</f>
        <v/>
      </c>
    </row>
    <row r="978">
      <c r="A978" s="68" t="n">
        <v>972</v>
      </c>
      <c r="B978">
        <f>IFERROR(MATCH(A978,'Work Orders'!$AO$11:$AO$1010,0),"")</f>
        <v/>
      </c>
      <c r="C978" s="43">
        <f>IF($B978="","",IF(INDEX('Work Orders'!$A$11:$A$1010,$B978)="","",INDEX('Work Orders'!$A$11:$A$1010,$B978)))</f>
        <v/>
      </c>
      <c r="D978" s="43">
        <f>IF($B978="","",IF(INDEX('Work Orders'!$B$11:$B$1010,$B978)="","",INDEX('Work Orders'!$B$11:$B$1010,$B978)))</f>
        <v/>
      </c>
      <c r="E978" s="43">
        <f>IF($B978="","",IF(INDEX('Work Orders'!$D$11:$D$1010,$B978)="","",INDEX('Work Orders'!$D$11:$D$1010,$B978)))</f>
        <v/>
      </c>
      <c r="F978" s="43">
        <f>IF($B978="","",IF(INDEX('Work Orders'!$Q$11:$Q$1010,$B978)="","",INDEX('Work Orders'!$Q$11:$Q$1010,$B978)))</f>
        <v/>
      </c>
      <c r="G978" s="43">
        <f>IF($B978="","",IF(INDEX('Work Orders'!$V$11:$V$1010,$B978)="","",INDEX('Work Orders'!$V$11:$V$1010,$B978)))</f>
        <v/>
      </c>
      <c r="H978" s="47">
        <f>IF($B978="","",IF(INDEX('Work Orders'!$U$11:$U$1010,$B978)="","",INDEX('Work Orders'!$U$11:$U$1010,$B978)))</f>
        <v/>
      </c>
      <c r="I978" s="47">
        <f>IF($B978="","",IF(INDEX('Work Orders'!$X$11:$X$1010,$B978)="","",INDEX('Work Orders'!$X$11:$X$1010,$B978)))</f>
        <v/>
      </c>
      <c r="J978" s="44">
        <f>IF($B978="","",IF(INDEX('Work Orders'!$Z$11:$Z$1010,$B978)="","",INDEX('Work Orders'!$Z$11:$Z$1010,$B978)))</f>
        <v/>
      </c>
      <c r="K978" s="44">
        <f>IF($B978="","",IF(INDEX('Work Orders'!$AG$11:$AG$1010,$B978)="","",INDEX('Work Orders'!$AG$11:$AG$1010,$B978)))</f>
        <v/>
      </c>
      <c r="L978" s="44">
        <f>IF($B978="","",IF(INDEX('Work Orders'!$AH$11:$AH$1010,$B978)="","",INDEX('Work Orders'!$AH$11:$AH$1010,$B978)))</f>
        <v/>
      </c>
      <c r="M978" s="46">
        <f>IF($B978="","",IF(INDEX('Work Orders'!$AM$11:$AM$1010,$B978)="","",INDEX('Work Orders'!$AM$11:$AM$1010,$B978)))</f>
        <v/>
      </c>
      <c r="N978" s="43">
        <f>IF($B978="","",IF(INDEX('Work Orders'!$AL$11:$AL$1010,$B978)="","",INDEX('Work Orders'!$AL$11:$AL$1010,$B978)))</f>
        <v/>
      </c>
      <c r="O978" s="43">
        <f>IF($B978="","",IF(INDEX('Work Orders'!$N$11:$N$1010,$B978)="","",INDEX('Work Orders'!$N$11:$N$1010,$B978)))</f>
        <v/>
      </c>
    </row>
    <row r="979">
      <c r="A979" s="68" t="n">
        <v>973</v>
      </c>
      <c r="B979">
        <f>IFERROR(MATCH(A979,'Work Orders'!$AO$11:$AO$1010,0),"")</f>
        <v/>
      </c>
      <c r="C979" s="43">
        <f>IF($B979="","",IF(INDEX('Work Orders'!$A$11:$A$1010,$B979)="","",INDEX('Work Orders'!$A$11:$A$1010,$B979)))</f>
        <v/>
      </c>
      <c r="D979" s="43">
        <f>IF($B979="","",IF(INDEX('Work Orders'!$B$11:$B$1010,$B979)="","",INDEX('Work Orders'!$B$11:$B$1010,$B979)))</f>
        <v/>
      </c>
      <c r="E979" s="43">
        <f>IF($B979="","",IF(INDEX('Work Orders'!$D$11:$D$1010,$B979)="","",INDEX('Work Orders'!$D$11:$D$1010,$B979)))</f>
        <v/>
      </c>
      <c r="F979" s="43">
        <f>IF($B979="","",IF(INDEX('Work Orders'!$Q$11:$Q$1010,$B979)="","",INDEX('Work Orders'!$Q$11:$Q$1010,$B979)))</f>
        <v/>
      </c>
      <c r="G979" s="43">
        <f>IF($B979="","",IF(INDEX('Work Orders'!$V$11:$V$1010,$B979)="","",INDEX('Work Orders'!$V$11:$V$1010,$B979)))</f>
        <v/>
      </c>
      <c r="H979" s="47">
        <f>IF($B979="","",IF(INDEX('Work Orders'!$U$11:$U$1010,$B979)="","",INDEX('Work Orders'!$U$11:$U$1010,$B979)))</f>
        <v/>
      </c>
      <c r="I979" s="47">
        <f>IF($B979="","",IF(INDEX('Work Orders'!$X$11:$X$1010,$B979)="","",INDEX('Work Orders'!$X$11:$X$1010,$B979)))</f>
        <v/>
      </c>
      <c r="J979" s="44">
        <f>IF($B979="","",IF(INDEX('Work Orders'!$Z$11:$Z$1010,$B979)="","",INDEX('Work Orders'!$Z$11:$Z$1010,$B979)))</f>
        <v/>
      </c>
      <c r="K979" s="44">
        <f>IF($B979="","",IF(INDEX('Work Orders'!$AG$11:$AG$1010,$B979)="","",INDEX('Work Orders'!$AG$11:$AG$1010,$B979)))</f>
        <v/>
      </c>
      <c r="L979" s="44">
        <f>IF($B979="","",IF(INDEX('Work Orders'!$AH$11:$AH$1010,$B979)="","",INDEX('Work Orders'!$AH$11:$AH$1010,$B979)))</f>
        <v/>
      </c>
      <c r="M979" s="46">
        <f>IF($B979="","",IF(INDEX('Work Orders'!$AM$11:$AM$1010,$B979)="","",INDEX('Work Orders'!$AM$11:$AM$1010,$B979)))</f>
        <v/>
      </c>
      <c r="N979" s="43">
        <f>IF($B979="","",IF(INDEX('Work Orders'!$AL$11:$AL$1010,$B979)="","",INDEX('Work Orders'!$AL$11:$AL$1010,$B979)))</f>
        <v/>
      </c>
      <c r="O979" s="43">
        <f>IF($B979="","",IF(INDEX('Work Orders'!$N$11:$N$1010,$B979)="","",INDEX('Work Orders'!$N$11:$N$1010,$B979)))</f>
        <v/>
      </c>
    </row>
    <row r="980">
      <c r="A980" s="68" t="n">
        <v>974</v>
      </c>
      <c r="B980">
        <f>IFERROR(MATCH(A980,'Work Orders'!$AO$11:$AO$1010,0),"")</f>
        <v/>
      </c>
      <c r="C980" s="43">
        <f>IF($B980="","",IF(INDEX('Work Orders'!$A$11:$A$1010,$B980)="","",INDEX('Work Orders'!$A$11:$A$1010,$B980)))</f>
        <v/>
      </c>
      <c r="D980" s="43">
        <f>IF($B980="","",IF(INDEX('Work Orders'!$B$11:$B$1010,$B980)="","",INDEX('Work Orders'!$B$11:$B$1010,$B980)))</f>
        <v/>
      </c>
      <c r="E980" s="43">
        <f>IF($B980="","",IF(INDEX('Work Orders'!$D$11:$D$1010,$B980)="","",INDEX('Work Orders'!$D$11:$D$1010,$B980)))</f>
        <v/>
      </c>
      <c r="F980" s="43">
        <f>IF($B980="","",IF(INDEX('Work Orders'!$Q$11:$Q$1010,$B980)="","",INDEX('Work Orders'!$Q$11:$Q$1010,$B980)))</f>
        <v/>
      </c>
      <c r="G980" s="43">
        <f>IF($B980="","",IF(INDEX('Work Orders'!$V$11:$V$1010,$B980)="","",INDEX('Work Orders'!$V$11:$V$1010,$B980)))</f>
        <v/>
      </c>
      <c r="H980" s="47">
        <f>IF($B980="","",IF(INDEX('Work Orders'!$U$11:$U$1010,$B980)="","",INDEX('Work Orders'!$U$11:$U$1010,$B980)))</f>
        <v/>
      </c>
      <c r="I980" s="47">
        <f>IF($B980="","",IF(INDEX('Work Orders'!$X$11:$X$1010,$B980)="","",INDEX('Work Orders'!$X$11:$X$1010,$B980)))</f>
        <v/>
      </c>
      <c r="J980" s="44">
        <f>IF($B980="","",IF(INDEX('Work Orders'!$Z$11:$Z$1010,$B980)="","",INDEX('Work Orders'!$Z$11:$Z$1010,$B980)))</f>
        <v/>
      </c>
      <c r="K980" s="44">
        <f>IF($B980="","",IF(INDEX('Work Orders'!$AG$11:$AG$1010,$B980)="","",INDEX('Work Orders'!$AG$11:$AG$1010,$B980)))</f>
        <v/>
      </c>
      <c r="L980" s="44">
        <f>IF($B980="","",IF(INDEX('Work Orders'!$AH$11:$AH$1010,$B980)="","",INDEX('Work Orders'!$AH$11:$AH$1010,$B980)))</f>
        <v/>
      </c>
      <c r="M980" s="46">
        <f>IF($B980="","",IF(INDEX('Work Orders'!$AM$11:$AM$1010,$B980)="","",INDEX('Work Orders'!$AM$11:$AM$1010,$B980)))</f>
        <v/>
      </c>
      <c r="N980" s="43">
        <f>IF($B980="","",IF(INDEX('Work Orders'!$AL$11:$AL$1010,$B980)="","",INDEX('Work Orders'!$AL$11:$AL$1010,$B980)))</f>
        <v/>
      </c>
      <c r="O980" s="43">
        <f>IF($B980="","",IF(INDEX('Work Orders'!$N$11:$N$1010,$B980)="","",INDEX('Work Orders'!$N$11:$N$1010,$B980)))</f>
        <v/>
      </c>
    </row>
    <row r="981">
      <c r="A981" s="68" t="n">
        <v>975</v>
      </c>
      <c r="B981">
        <f>IFERROR(MATCH(A981,'Work Orders'!$AO$11:$AO$1010,0),"")</f>
        <v/>
      </c>
      <c r="C981" s="43">
        <f>IF($B981="","",IF(INDEX('Work Orders'!$A$11:$A$1010,$B981)="","",INDEX('Work Orders'!$A$11:$A$1010,$B981)))</f>
        <v/>
      </c>
      <c r="D981" s="43">
        <f>IF($B981="","",IF(INDEX('Work Orders'!$B$11:$B$1010,$B981)="","",INDEX('Work Orders'!$B$11:$B$1010,$B981)))</f>
        <v/>
      </c>
      <c r="E981" s="43">
        <f>IF($B981="","",IF(INDEX('Work Orders'!$D$11:$D$1010,$B981)="","",INDEX('Work Orders'!$D$11:$D$1010,$B981)))</f>
        <v/>
      </c>
      <c r="F981" s="43">
        <f>IF($B981="","",IF(INDEX('Work Orders'!$Q$11:$Q$1010,$B981)="","",INDEX('Work Orders'!$Q$11:$Q$1010,$B981)))</f>
        <v/>
      </c>
      <c r="G981" s="43">
        <f>IF($B981="","",IF(INDEX('Work Orders'!$V$11:$V$1010,$B981)="","",INDEX('Work Orders'!$V$11:$V$1010,$B981)))</f>
        <v/>
      </c>
      <c r="H981" s="47">
        <f>IF($B981="","",IF(INDEX('Work Orders'!$U$11:$U$1010,$B981)="","",INDEX('Work Orders'!$U$11:$U$1010,$B981)))</f>
        <v/>
      </c>
      <c r="I981" s="47">
        <f>IF($B981="","",IF(INDEX('Work Orders'!$X$11:$X$1010,$B981)="","",INDEX('Work Orders'!$X$11:$X$1010,$B981)))</f>
        <v/>
      </c>
      <c r="J981" s="44">
        <f>IF($B981="","",IF(INDEX('Work Orders'!$Z$11:$Z$1010,$B981)="","",INDEX('Work Orders'!$Z$11:$Z$1010,$B981)))</f>
        <v/>
      </c>
      <c r="K981" s="44">
        <f>IF($B981="","",IF(INDEX('Work Orders'!$AG$11:$AG$1010,$B981)="","",INDEX('Work Orders'!$AG$11:$AG$1010,$B981)))</f>
        <v/>
      </c>
      <c r="L981" s="44">
        <f>IF($B981="","",IF(INDEX('Work Orders'!$AH$11:$AH$1010,$B981)="","",INDEX('Work Orders'!$AH$11:$AH$1010,$B981)))</f>
        <v/>
      </c>
      <c r="M981" s="46">
        <f>IF($B981="","",IF(INDEX('Work Orders'!$AM$11:$AM$1010,$B981)="","",INDEX('Work Orders'!$AM$11:$AM$1010,$B981)))</f>
        <v/>
      </c>
      <c r="N981" s="43">
        <f>IF($B981="","",IF(INDEX('Work Orders'!$AL$11:$AL$1010,$B981)="","",INDEX('Work Orders'!$AL$11:$AL$1010,$B981)))</f>
        <v/>
      </c>
      <c r="O981" s="43">
        <f>IF($B981="","",IF(INDEX('Work Orders'!$N$11:$N$1010,$B981)="","",INDEX('Work Orders'!$N$11:$N$1010,$B981)))</f>
        <v/>
      </c>
    </row>
    <row r="982">
      <c r="A982" s="68" t="n">
        <v>976</v>
      </c>
      <c r="B982">
        <f>IFERROR(MATCH(A982,'Work Orders'!$AO$11:$AO$1010,0),"")</f>
        <v/>
      </c>
      <c r="C982" s="43">
        <f>IF($B982="","",IF(INDEX('Work Orders'!$A$11:$A$1010,$B982)="","",INDEX('Work Orders'!$A$11:$A$1010,$B982)))</f>
        <v/>
      </c>
      <c r="D982" s="43">
        <f>IF($B982="","",IF(INDEX('Work Orders'!$B$11:$B$1010,$B982)="","",INDEX('Work Orders'!$B$11:$B$1010,$B982)))</f>
        <v/>
      </c>
      <c r="E982" s="43">
        <f>IF($B982="","",IF(INDEX('Work Orders'!$D$11:$D$1010,$B982)="","",INDEX('Work Orders'!$D$11:$D$1010,$B982)))</f>
        <v/>
      </c>
      <c r="F982" s="43">
        <f>IF($B982="","",IF(INDEX('Work Orders'!$Q$11:$Q$1010,$B982)="","",INDEX('Work Orders'!$Q$11:$Q$1010,$B982)))</f>
        <v/>
      </c>
      <c r="G982" s="43">
        <f>IF($B982="","",IF(INDEX('Work Orders'!$V$11:$V$1010,$B982)="","",INDEX('Work Orders'!$V$11:$V$1010,$B982)))</f>
        <v/>
      </c>
      <c r="H982" s="47">
        <f>IF($B982="","",IF(INDEX('Work Orders'!$U$11:$U$1010,$B982)="","",INDEX('Work Orders'!$U$11:$U$1010,$B982)))</f>
        <v/>
      </c>
      <c r="I982" s="47">
        <f>IF($B982="","",IF(INDEX('Work Orders'!$X$11:$X$1010,$B982)="","",INDEX('Work Orders'!$X$11:$X$1010,$B982)))</f>
        <v/>
      </c>
      <c r="J982" s="44">
        <f>IF($B982="","",IF(INDEX('Work Orders'!$Z$11:$Z$1010,$B982)="","",INDEX('Work Orders'!$Z$11:$Z$1010,$B982)))</f>
        <v/>
      </c>
      <c r="K982" s="44">
        <f>IF($B982="","",IF(INDEX('Work Orders'!$AG$11:$AG$1010,$B982)="","",INDEX('Work Orders'!$AG$11:$AG$1010,$B982)))</f>
        <v/>
      </c>
      <c r="L982" s="44">
        <f>IF($B982="","",IF(INDEX('Work Orders'!$AH$11:$AH$1010,$B982)="","",INDEX('Work Orders'!$AH$11:$AH$1010,$B982)))</f>
        <v/>
      </c>
      <c r="M982" s="46">
        <f>IF($B982="","",IF(INDEX('Work Orders'!$AM$11:$AM$1010,$B982)="","",INDEX('Work Orders'!$AM$11:$AM$1010,$B982)))</f>
        <v/>
      </c>
      <c r="N982" s="43">
        <f>IF($B982="","",IF(INDEX('Work Orders'!$AL$11:$AL$1010,$B982)="","",INDEX('Work Orders'!$AL$11:$AL$1010,$B982)))</f>
        <v/>
      </c>
      <c r="O982" s="43">
        <f>IF($B982="","",IF(INDEX('Work Orders'!$N$11:$N$1010,$B982)="","",INDEX('Work Orders'!$N$11:$N$1010,$B982)))</f>
        <v/>
      </c>
    </row>
    <row r="983">
      <c r="A983" s="68" t="n">
        <v>977</v>
      </c>
      <c r="B983">
        <f>IFERROR(MATCH(A983,'Work Orders'!$AO$11:$AO$1010,0),"")</f>
        <v/>
      </c>
      <c r="C983" s="43">
        <f>IF($B983="","",IF(INDEX('Work Orders'!$A$11:$A$1010,$B983)="","",INDEX('Work Orders'!$A$11:$A$1010,$B983)))</f>
        <v/>
      </c>
      <c r="D983" s="43">
        <f>IF($B983="","",IF(INDEX('Work Orders'!$B$11:$B$1010,$B983)="","",INDEX('Work Orders'!$B$11:$B$1010,$B983)))</f>
        <v/>
      </c>
      <c r="E983" s="43">
        <f>IF($B983="","",IF(INDEX('Work Orders'!$D$11:$D$1010,$B983)="","",INDEX('Work Orders'!$D$11:$D$1010,$B983)))</f>
        <v/>
      </c>
      <c r="F983" s="43">
        <f>IF($B983="","",IF(INDEX('Work Orders'!$Q$11:$Q$1010,$B983)="","",INDEX('Work Orders'!$Q$11:$Q$1010,$B983)))</f>
        <v/>
      </c>
      <c r="G983" s="43">
        <f>IF($B983="","",IF(INDEX('Work Orders'!$V$11:$V$1010,$B983)="","",INDEX('Work Orders'!$V$11:$V$1010,$B983)))</f>
        <v/>
      </c>
      <c r="H983" s="47">
        <f>IF($B983="","",IF(INDEX('Work Orders'!$U$11:$U$1010,$B983)="","",INDEX('Work Orders'!$U$11:$U$1010,$B983)))</f>
        <v/>
      </c>
      <c r="I983" s="47">
        <f>IF($B983="","",IF(INDEX('Work Orders'!$X$11:$X$1010,$B983)="","",INDEX('Work Orders'!$X$11:$X$1010,$B983)))</f>
        <v/>
      </c>
      <c r="J983" s="44">
        <f>IF($B983="","",IF(INDEX('Work Orders'!$Z$11:$Z$1010,$B983)="","",INDEX('Work Orders'!$Z$11:$Z$1010,$B983)))</f>
        <v/>
      </c>
      <c r="K983" s="44">
        <f>IF($B983="","",IF(INDEX('Work Orders'!$AG$11:$AG$1010,$B983)="","",INDEX('Work Orders'!$AG$11:$AG$1010,$B983)))</f>
        <v/>
      </c>
      <c r="L983" s="44">
        <f>IF($B983="","",IF(INDEX('Work Orders'!$AH$11:$AH$1010,$B983)="","",INDEX('Work Orders'!$AH$11:$AH$1010,$B983)))</f>
        <v/>
      </c>
      <c r="M983" s="46">
        <f>IF($B983="","",IF(INDEX('Work Orders'!$AM$11:$AM$1010,$B983)="","",INDEX('Work Orders'!$AM$11:$AM$1010,$B983)))</f>
        <v/>
      </c>
      <c r="N983" s="43">
        <f>IF($B983="","",IF(INDEX('Work Orders'!$AL$11:$AL$1010,$B983)="","",INDEX('Work Orders'!$AL$11:$AL$1010,$B983)))</f>
        <v/>
      </c>
      <c r="O983" s="43">
        <f>IF($B983="","",IF(INDEX('Work Orders'!$N$11:$N$1010,$B983)="","",INDEX('Work Orders'!$N$11:$N$1010,$B983)))</f>
        <v/>
      </c>
    </row>
    <row r="984">
      <c r="A984" s="68" t="n">
        <v>978</v>
      </c>
      <c r="B984">
        <f>IFERROR(MATCH(A984,'Work Orders'!$AO$11:$AO$1010,0),"")</f>
        <v/>
      </c>
      <c r="C984" s="43">
        <f>IF($B984="","",IF(INDEX('Work Orders'!$A$11:$A$1010,$B984)="","",INDEX('Work Orders'!$A$11:$A$1010,$B984)))</f>
        <v/>
      </c>
      <c r="D984" s="43">
        <f>IF($B984="","",IF(INDEX('Work Orders'!$B$11:$B$1010,$B984)="","",INDEX('Work Orders'!$B$11:$B$1010,$B984)))</f>
        <v/>
      </c>
      <c r="E984" s="43">
        <f>IF($B984="","",IF(INDEX('Work Orders'!$D$11:$D$1010,$B984)="","",INDEX('Work Orders'!$D$11:$D$1010,$B984)))</f>
        <v/>
      </c>
      <c r="F984" s="43">
        <f>IF($B984="","",IF(INDEX('Work Orders'!$Q$11:$Q$1010,$B984)="","",INDEX('Work Orders'!$Q$11:$Q$1010,$B984)))</f>
        <v/>
      </c>
      <c r="G984" s="43">
        <f>IF($B984="","",IF(INDEX('Work Orders'!$V$11:$V$1010,$B984)="","",INDEX('Work Orders'!$V$11:$V$1010,$B984)))</f>
        <v/>
      </c>
      <c r="H984" s="47">
        <f>IF($B984="","",IF(INDEX('Work Orders'!$U$11:$U$1010,$B984)="","",INDEX('Work Orders'!$U$11:$U$1010,$B984)))</f>
        <v/>
      </c>
      <c r="I984" s="47">
        <f>IF($B984="","",IF(INDEX('Work Orders'!$X$11:$X$1010,$B984)="","",INDEX('Work Orders'!$X$11:$X$1010,$B984)))</f>
        <v/>
      </c>
      <c r="J984" s="44">
        <f>IF($B984="","",IF(INDEX('Work Orders'!$Z$11:$Z$1010,$B984)="","",INDEX('Work Orders'!$Z$11:$Z$1010,$B984)))</f>
        <v/>
      </c>
      <c r="K984" s="44">
        <f>IF($B984="","",IF(INDEX('Work Orders'!$AG$11:$AG$1010,$B984)="","",INDEX('Work Orders'!$AG$11:$AG$1010,$B984)))</f>
        <v/>
      </c>
      <c r="L984" s="44">
        <f>IF($B984="","",IF(INDEX('Work Orders'!$AH$11:$AH$1010,$B984)="","",INDEX('Work Orders'!$AH$11:$AH$1010,$B984)))</f>
        <v/>
      </c>
      <c r="M984" s="46">
        <f>IF($B984="","",IF(INDEX('Work Orders'!$AM$11:$AM$1010,$B984)="","",INDEX('Work Orders'!$AM$11:$AM$1010,$B984)))</f>
        <v/>
      </c>
      <c r="N984" s="43">
        <f>IF($B984="","",IF(INDEX('Work Orders'!$AL$11:$AL$1010,$B984)="","",INDEX('Work Orders'!$AL$11:$AL$1010,$B984)))</f>
        <v/>
      </c>
      <c r="O984" s="43">
        <f>IF($B984="","",IF(INDEX('Work Orders'!$N$11:$N$1010,$B984)="","",INDEX('Work Orders'!$N$11:$N$1010,$B984)))</f>
        <v/>
      </c>
    </row>
    <row r="985">
      <c r="A985" s="68" t="n">
        <v>979</v>
      </c>
      <c r="B985">
        <f>IFERROR(MATCH(A985,'Work Orders'!$AO$11:$AO$1010,0),"")</f>
        <v/>
      </c>
      <c r="C985" s="43">
        <f>IF($B985="","",IF(INDEX('Work Orders'!$A$11:$A$1010,$B985)="","",INDEX('Work Orders'!$A$11:$A$1010,$B985)))</f>
        <v/>
      </c>
      <c r="D985" s="43">
        <f>IF($B985="","",IF(INDEX('Work Orders'!$B$11:$B$1010,$B985)="","",INDEX('Work Orders'!$B$11:$B$1010,$B985)))</f>
        <v/>
      </c>
      <c r="E985" s="43">
        <f>IF($B985="","",IF(INDEX('Work Orders'!$D$11:$D$1010,$B985)="","",INDEX('Work Orders'!$D$11:$D$1010,$B985)))</f>
        <v/>
      </c>
      <c r="F985" s="43">
        <f>IF($B985="","",IF(INDEX('Work Orders'!$Q$11:$Q$1010,$B985)="","",INDEX('Work Orders'!$Q$11:$Q$1010,$B985)))</f>
        <v/>
      </c>
      <c r="G985" s="43">
        <f>IF($B985="","",IF(INDEX('Work Orders'!$V$11:$V$1010,$B985)="","",INDEX('Work Orders'!$V$11:$V$1010,$B985)))</f>
        <v/>
      </c>
      <c r="H985" s="47">
        <f>IF($B985="","",IF(INDEX('Work Orders'!$U$11:$U$1010,$B985)="","",INDEX('Work Orders'!$U$11:$U$1010,$B985)))</f>
        <v/>
      </c>
      <c r="I985" s="47">
        <f>IF($B985="","",IF(INDEX('Work Orders'!$X$11:$X$1010,$B985)="","",INDEX('Work Orders'!$X$11:$X$1010,$B985)))</f>
        <v/>
      </c>
      <c r="J985" s="44">
        <f>IF($B985="","",IF(INDEX('Work Orders'!$Z$11:$Z$1010,$B985)="","",INDEX('Work Orders'!$Z$11:$Z$1010,$B985)))</f>
        <v/>
      </c>
      <c r="K985" s="44">
        <f>IF($B985="","",IF(INDEX('Work Orders'!$AG$11:$AG$1010,$B985)="","",INDEX('Work Orders'!$AG$11:$AG$1010,$B985)))</f>
        <v/>
      </c>
      <c r="L985" s="44">
        <f>IF($B985="","",IF(INDEX('Work Orders'!$AH$11:$AH$1010,$B985)="","",INDEX('Work Orders'!$AH$11:$AH$1010,$B985)))</f>
        <v/>
      </c>
      <c r="M985" s="46">
        <f>IF($B985="","",IF(INDEX('Work Orders'!$AM$11:$AM$1010,$B985)="","",INDEX('Work Orders'!$AM$11:$AM$1010,$B985)))</f>
        <v/>
      </c>
      <c r="N985" s="43">
        <f>IF($B985="","",IF(INDEX('Work Orders'!$AL$11:$AL$1010,$B985)="","",INDEX('Work Orders'!$AL$11:$AL$1010,$B985)))</f>
        <v/>
      </c>
      <c r="O985" s="43">
        <f>IF($B985="","",IF(INDEX('Work Orders'!$N$11:$N$1010,$B985)="","",INDEX('Work Orders'!$N$11:$N$1010,$B985)))</f>
        <v/>
      </c>
    </row>
    <row r="986">
      <c r="A986" s="68" t="n">
        <v>980</v>
      </c>
      <c r="B986">
        <f>IFERROR(MATCH(A986,'Work Orders'!$AO$11:$AO$1010,0),"")</f>
        <v/>
      </c>
      <c r="C986" s="43">
        <f>IF($B986="","",IF(INDEX('Work Orders'!$A$11:$A$1010,$B986)="","",INDEX('Work Orders'!$A$11:$A$1010,$B986)))</f>
        <v/>
      </c>
      <c r="D986" s="43">
        <f>IF($B986="","",IF(INDEX('Work Orders'!$B$11:$B$1010,$B986)="","",INDEX('Work Orders'!$B$11:$B$1010,$B986)))</f>
        <v/>
      </c>
      <c r="E986" s="43">
        <f>IF($B986="","",IF(INDEX('Work Orders'!$D$11:$D$1010,$B986)="","",INDEX('Work Orders'!$D$11:$D$1010,$B986)))</f>
        <v/>
      </c>
      <c r="F986" s="43">
        <f>IF($B986="","",IF(INDEX('Work Orders'!$Q$11:$Q$1010,$B986)="","",INDEX('Work Orders'!$Q$11:$Q$1010,$B986)))</f>
        <v/>
      </c>
      <c r="G986" s="43">
        <f>IF($B986="","",IF(INDEX('Work Orders'!$V$11:$V$1010,$B986)="","",INDEX('Work Orders'!$V$11:$V$1010,$B986)))</f>
        <v/>
      </c>
      <c r="H986" s="47">
        <f>IF($B986="","",IF(INDEX('Work Orders'!$U$11:$U$1010,$B986)="","",INDEX('Work Orders'!$U$11:$U$1010,$B986)))</f>
        <v/>
      </c>
      <c r="I986" s="47">
        <f>IF($B986="","",IF(INDEX('Work Orders'!$X$11:$X$1010,$B986)="","",INDEX('Work Orders'!$X$11:$X$1010,$B986)))</f>
        <v/>
      </c>
      <c r="J986" s="44">
        <f>IF($B986="","",IF(INDEX('Work Orders'!$Z$11:$Z$1010,$B986)="","",INDEX('Work Orders'!$Z$11:$Z$1010,$B986)))</f>
        <v/>
      </c>
      <c r="K986" s="44">
        <f>IF($B986="","",IF(INDEX('Work Orders'!$AG$11:$AG$1010,$B986)="","",INDEX('Work Orders'!$AG$11:$AG$1010,$B986)))</f>
        <v/>
      </c>
      <c r="L986" s="44">
        <f>IF($B986="","",IF(INDEX('Work Orders'!$AH$11:$AH$1010,$B986)="","",INDEX('Work Orders'!$AH$11:$AH$1010,$B986)))</f>
        <v/>
      </c>
      <c r="M986" s="46">
        <f>IF($B986="","",IF(INDEX('Work Orders'!$AM$11:$AM$1010,$B986)="","",INDEX('Work Orders'!$AM$11:$AM$1010,$B986)))</f>
        <v/>
      </c>
      <c r="N986" s="43">
        <f>IF($B986="","",IF(INDEX('Work Orders'!$AL$11:$AL$1010,$B986)="","",INDEX('Work Orders'!$AL$11:$AL$1010,$B986)))</f>
        <v/>
      </c>
      <c r="O986" s="43">
        <f>IF($B986="","",IF(INDEX('Work Orders'!$N$11:$N$1010,$B986)="","",INDEX('Work Orders'!$N$11:$N$1010,$B986)))</f>
        <v/>
      </c>
    </row>
    <row r="987">
      <c r="A987" s="68" t="n">
        <v>981</v>
      </c>
      <c r="B987">
        <f>IFERROR(MATCH(A987,'Work Orders'!$AO$11:$AO$1010,0),"")</f>
        <v/>
      </c>
      <c r="C987" s="43">
        <f>IF($B987="","",IF(INDEX('Work Orders'!$A$11:$A$1010,$B987)="","",INDEX('Work Orders'!$A$11:$A$1010,$B987)))</f>
        <v/>
      </c>
      <c r="D987" s="43">
        <f>IF($B987="","",IF(INDEX('Work Orders'!$B$11:$B$1010,$B987)="","",INDEX('Work Orders'!$B$11:$B$1010,$B987)))</f>
        <v/>
      </c>
      <c r="E987" s="43">
        <f>IF($B987="","",IF(INDEX('Work Orders'!$D$11:$D$1010,$B987)="","",INDEX('Work Orders'!$D$11:$D$1010,$B987)))</f>
        <v/>
      </c>
      <c r="F987" s="43">
        <f>IF($B987="","",IF(INDEX('Work Orders'!$Q$11:$Q$1010,$B987)="","",INDEX('Work Orders'!$Q$11:$Q$1010,$B987)))</f>
        <v/>
      </c>
      <c r="G987" s="43">
        <f>IF($B987="","",IF(INDEX('Work Orders'!$V$11:$V$1010,$B987)="","",INDEX('Work Orders'!$V$11:$V$1010,$B987)))</f>
        <v/>
      </c>
      <c r="H987" s="47">
        <f>IF($B987="","",IF(INDEX('Work Orders'!$U$11:$U$1010,$B987)="","",INDEX('Work Orders'!$U$11:$U$1010,$B987)))</f>
        <v/>
      </c>
      <c r="I987" s="47">
        <f>IF($B987="","",IF(INDEX('Work Orders'!$X$11:$X$1010,$B987)="","",INDEX('Work Orders'!$X$11:$X$1010,$B987)))</f>
        <v/>
      </c>
      <c r="J987" s="44">
        <f>IF($B987="","",IF(INDEX('Work Orders'!$Z$11:$Z$1010,$B987)="","",INDEX('Work Orders'!$Z$11:$Z$1010,$B987)))</f>
        <v/>
      </c>
      <c r="K987" s="44">
        <f>IF($B987="","",IF(INDEX('Work Orders'!$AG$11:$AG$1010,$B987)="","",INDEX('Work Orders'!$AG$11:$AG$1010,$B987)))</f>
        <v/>
      </c>
      <c r="L987" s="44">
        <f>IF($B987="","",IF(INDEX('Work Orders'!$AH$11:$AH$1010,$B987)="","",INDEX('Work Orders'!$AH$11:$AH$1010,$B987)))</f>
        <v/>
      </c>
      <c r="M987" s="46">
        <f>IF($B987="","",IF(INDEX('Work Orders'!$AM$11:$AM$1010,$B987)="","",INDEX('Work Orders'!$AM$11:$AM$1010,$B987)))</f>
        <v/>
      </c>
      <c r="N987" s="43">
        <f>IF($B987="","",IF(INDEX('Work Orders'!$AL$11:$AL$1010,$B987)="","",INDEX('Work Orders'!$AL$11:$AL$1010,$B987)))</f>
        <v/>
      </c>
      <c r="O987" s="43">
        <f>IF($B987="","",IF(INDEX('Work Orders'!$N$11:$N$1010,$B987)="","",INDEX('Work Orders'!$N$11:$N$1010,$B987)))</f>
        <v/>
      </c>
    </row>
    <row r="988">
      <c r="A988" s="68" t="n">
        <v>982</v>
      </c>
      <c r="B988">
        <f>IFERROR(MATCH(A988,'Work Orders'!$AO$11:$AO$1010,0),"")</f>
        <v/>
      </c>
      <c r="C988" s="43">
        <f>IF($B988="","",IF(INDEX('Work Orders'!$A$11:$A$1010,$B988)="","",INDEX('Work Orders'!$A$11:$A$1010,$B988)))</f>
        <v/>
      </c>
      <c r="D988" s="43">
        <f>IF($B988="","",IF(INDEX('Work Orders'!$B$11:$B$1010,$B988)="","",INDEX('Work Orders'!$B$11:$B$1010,$B988)))</f>
        <v/>
      </c>
      <c r="E988" s="43">
        <f>IF($B988="","",IF(INDEX('Work Orders'!$D$11:$D$1010,$B988)="","",INDEX('Work Orders'!$D$11:$D$1010,$B988)))</f>
        <v/>
      </c>
      <c r="F988" s="43">
        <f>IF($B988="","",IF(INDEX('Work Orders'!$Q$11:$Q$1010,$B988)="","",INDEX('Work Orders'!$Q$11:$Q$1010,$B988)))</f>
        <v/>
      </c>
      <c r="G988" s="43">
        <f>IF($B988="","",IF(INDEX('Work Orders'!$V$11:$V$1010,$B988)="","",INDEX('Work Orders'!$V$11:$V$1010,$B988)))</f>
        <v/>
      </c>
      <c r="H988" s="47">
        <f>IF($B988="","",IF(INDEX('Work Orders'!$U$11:$U$1010,$B988)="","",INDEX('Work Orders'!$U$11:$U$1010,$B988)))</f>
        <v/>
      </c>
      <c r="I988" s="47">
        <f>IF($B988="","",IF(INDEX('Work Orders'!$X$11:$X$1010,$B988)="","",INDEX('Work Orders'!$X$11:$X$1010,$B988)))</f>
        <v/>
      </c>
      <c r="J988" s="44">
        <f>IF($B988="","",IF(INDEX('Work Orders'!$Z$11:$Z$1010,$B988)="","",INDEX('Work Orders'!$Z$11:$Z$1010,$B988)))</f>
        <v/>
      </c>
      <c r="K988" s="44">
        <f>IF($B988="","",IF(INDEX('Work Orders'!$AG$11:$AG$1010,$B988)="","",INDEX('Work Orders'!$AG$11:$AG$1010,$B988)))</f>
        <v/>
      </c>
      <c r="L988" s="44">
        <f>IF($B988="","",IF(INDEX('Work Orders'!$AH$11:$AH$1010,$B988)="","",INDEX('Work Orders'!$AH$11:$AH$1010,$B988)))</f>
        <v/>
      </c>
      <c r="M988" s="46">
        <f>IF($B988="","",IF(INDEX('Work Orders'!$AM$11:$AM$1010,$B988)="","",INDEX('Work Orders'!$AM$11:$AM$1010,$B988)))</f>
        <v/>
      </c>
      <c r="N988" s="43">
        <f>IF($B988="","",IF(INDEX('Work Orders'!$AL$11:$AL$1010,$B988)="","",INDEX('Work Orders'!$AL$11:$AL$1010,$B988)))</f>
        <v/>
      </c>
      <c r="O988" s="43">
        <f>IF($B988="","",IF(INDEX('Work Orders'!$N$11:$N$1010,$B988)="","",INDEX('Work Orders'!$N$11:$N$1010,$B988)))</f>
        <v/>
      </c>
    </row>
    <row r="989">
      <c r="A989" s="68" t="n">
        <v>983</v>
      </c>
      <c r="B989">
        <f>IFERROR(MATCH(A989,'Work Orders'!$AO$11:$AO$1010,0),"")</f>
        <v/>
      </c>
      <c r="C989" s="43">
        <f>IF($B989="","",IF(INDEX('Work Orders'!$A$11:$A$1010,$B989)="","",INDEX('Work Orders'!$A$11:$A$1010,$B989)))</f>
        <v/>
      </c>
      <c r="D989" s="43">
        <f>IF($B989="","",IF(INDEX('Work Orders'!$B$11:$B$1010,$B989)="","",INDEX('Work Orders'!$B$11:$B$1010,$B989)))</f>
        <v/>
      </c>
      <c r="E989" s="43">
        <f>IF($B989="","",IF(INDEX('Work Orders'!$D$11:$D$1010,$B989)="","",INDEX('Work Orders'!$D$11:$D$1010,$B989)))</f>
        <v/>
      </c>
      <c r="F989" s="43">
        <f>IF($B989="","",IF(INDEX('Work Orders'!$Q$11:$Q$1010,$B989)="","",INDEX('Work Orders'!$Q$11:$Q$1010,$B989)))</f>
        <v/>
      </c>
      <c r="G989" s="43">
        <f>IF($B989="","",IF(INDEX('Work Orders'!$V$11:$V$1010,$B989)="","",INDEX('Work Orders'!$V$11:$V$1010,$B989)))</f>
        <v/>
      </c>
      <c r="H989" s="47">
        <f>IF($B989="","",IF(INDEX('Work Orders'!$U$11:$U$1010,$B989)="","",INDEX('Work Orders'!$U$11:$U$1010,$B989)))</f>
        <v/>
      </c>
      <c r="I989" s="47">
        <f>IF($B989="","",IF(INDEX('Work Orders'!$X$11:$X$1010,$B989)="","",INDEX('Work Orders'!$X$11:$X$1010,$B989)))</f>
        <v/>
      </c>
      <c r="J989" s="44">
        <f>IF($B989="","",IF(INDEX('Work Orders'!$Z$11:$Z$1010,$B989)="","",INDEX('Work Orders'!$Z$11:$Z$1010,$B989)))</f>
        <v/>
      </c>
      <c r="K989" s="44">
        <f>IF($B989="","",IF(INDEX('Work Orders'!$AG$11:$AG$1010,$B989)="","",INDEX('Work Orders'!$AG$11:$AG$1010,$B989)))</f>
        <v/>
      </c>
      <c r="L989" s="44">
        <f>IF($B989="","",IF(INDEX('Work Orders'!$AH$11:$AH$1010,$B989)="","",INDEX('Work Orders'!$AH$11:$AH$1010,$B989)))</f>
        <v/>
      </c>
      <c r="M989" s="46">
        <f>IF($B989="","",IF(INDEX('Work Orders'!$AM$11:$AM$1010,$B989)="","",INDEX('Work Orders'!$AM$11:$AM$1010,$B989)))</f>
        <v/>
      </c>
      <c r="N989" s="43">
        <f>IF($B989="","",IF(INDEX('Work Orders'!$AL$11:$AL$1010,$B989)="","",INDEX('Work Orders'!$AL$11:$AL$1010,$B989)))</f>
        <v/>
      </c>
      <c r="O989" s="43">
        <f>IF($B989="","",IF(INDEX('Work Orders'!$N$11:$N$1010,$B989)="","",INDEX('Work Orders'!$N$11:$N$1010,$B989)))</f>
        <v/>
      </c>
    </row>
    <row r="990">
      <c r="A990" s="68" t="n">
        <v>984</v>
      </c>
      <c r="B990">
        <f>IFERROR(MATCH(A990,'Work Orders'!$AO$11:$AO$1010,0),"")</f>
        <v/>
      </c>
      <c r="C990" s="43">
        <f>IF($B990="","",IF(INDEX('Work Orders'!$A$11:$A$1010,$B990)="","",INDEX('Work Orders'!$A$11:$A$1010,$B990)))</f>
        <v/>
      </c>
      <c r="D990" s="43">
        <f>IF($B990="","",IF(INDEX('Work Orders'!$B$11:$B$1010,$B990)="","",INDEX('Work Orders'!$B$11:$B$1010,$B990)))</f>
        <v/>
      </c>
      <c r="E990" s="43">
        <f>IF($B990="","",IF(INDEX('Work Orders'!$D$11:$D$1010,$B990)="","",INDEX('Work Orders'!$D$11:$D$1010,$B990)))</f>
        <v/>
      </c>
      <c r="F990" s="43">
        <f>IF($B990="","",IF(INDEX('Work Orders'!$Q$11:$Q$1010,$B990)="","",INDEX('Work Orders'!$Q$11:$Q$1010,$B990)))</f>
        <v/>
      </c>
      <c r="G990" s="43">
        <f>IF($B990="","",IF(INDEX('Work Orders'!$V$11:$V$1010,$B990)="","",INDEX('Work Orders'!$V$11:$V$1010,$B990)))</f>
        <v/>
      </c>
      <c r="H990" s="47">
        <f>IF($B990="","",IF(INDEX('Work Orders'!$U$11:$U$1010,$B990)="","",INDEX('Work Orders'!$U$11:$U$1010,$B990)))</f>
        <v/>
      </c>
      <c r="I990" s="47">
        <f>IF($B990="","",IF(INDEX('Work Orders'!$X$11:$X$1010,$B990)="","",INDEX('Work Orders'!$X$11:$X$1010,$B990)))</f>
        <v/>
      </c>
      <c r="J990" s="44">
        <f>IF($B990="","",IF(INDEX('Work Orders'!$Z$11:$Z$1010,$B990)="","",INDEX('Work Orders'!$Z$11:$Z$1010,$B990)))</f>
        <v/>
      </c>
      <c r="K990" s="44">
        <f>IF($B990="","",IF(INDEX('Work Orders'!$AG$11:$AG$1010,$B990)="","",INDEX('Work Orders'!$AG$11:$AG$1010,$B990)))</f>
        <v/>
      </c>
      <c r="L990" s="44">
        <f>IF($B990="","",IF(INDEX('Work Orders'!$AH$11:$AH$1010,$B990)="","",INDEX('Work Orders'!$AH$11:$AH$1010,$B990)))</f>
        <v/>
      </c>
      <c r="M990" s="46">
        <f>IF($B990="","",IF(INDEX('Work Orders'!$AM$11:$AM$1010,$B990)="","",INDEX('Work Orders'!$AM$11:$AM$1010,$B990)))</f>
        <v/>
      </c>
      <c r="N990" s="43">
        <f>IF($B990="","",IF(INDEX('Work Orders'!$AL$11:$AL$1010,$B990)="","",INDEX('Work Orders'!$AL$11:$AL$1010,$B990)))</f>
        <v/>
      </c>
      <c r="O990" s="43">
        <f>IF($B990="","",IF(INDEX('Work Orders'!$N$11:$N$1010,$B990)="","",INDEX('Work Orders'!$N$11:$N$1010,$B990)))</f>
        <v/>
      </c>
    </row>
    <row r="991">
      <c r="A991" s="68" t="n">
        <v>985</v>
      </c>
      <c r="B991">
        <f>IFERROR(MATCH(A991,'Work Orders'!$AO$11:$AO$1010,0),"")</f>
        <v/>
      </c>
      <c r="C991" s="43">
        <f>IF($B991="","",IF(INDEX('Work Orders'!$A$11:$A$1010,$B991)="","",INDEX('Work Orders'!$A$11:$A$1010,$B991)))</f>
        <v/>
      </c>
      <c r="D991" s="43">
        <f>IF($B991="","",IF(INDEX('Work Orders'!$B$11:$B$1010,$B991)="","",INDEX('Work Orders'!$B$11:$B$1010,$B991)))</f>
        <v/>
      </c>
      <c r="E991" s="43">
        <f>IF($B991="","",IF(INDEX('Work Orders'!$D$11:$D$1010,$B991)="","",INDEX('Work Orders'!$D$11:$D$1010,$B991)))</f>
        <v/>
      </c>
      <c r="F991" s="43">
        <f>IF($B991="","",IF(INDEX('Work Orders'!$Q$11:$Q$1010,$B991)="","",INDEX('Work Orders'!$Q$11:$Q$1010,$B991)))</f>
        <v/>
      </c>
      <c r="G991" s="43">
        <f>IF($B991="","",IF(INDEX('Work Orders'!$V$11:$V$1010,$B991)="","",INDEX('Work Orders'!$V$11:$V$1010,$B991)))</f>
        <v/>
      </c>
      <c r="H991" s="47">
        <f>IF($B991="","",IF(INDEX('Work Orders'!$U$11:$U$1010,$B991)="","",INDEX('Work Orders'!$U$11:$U$1010,$B991)))</f>
        <v/>
      </c>
      <c r="I991" s="47">
        <f>IF($B991="","",IF(INDEX('Work Orders'!$X$11:$X$1010,$B991)="","",INDEX('Work Orders'!$X$11:$X$1010,$B991)))</f>
        <v/>
      </c>
      <c r="J991" s="44">
        <f>IF($B991="","",IF(INDEX('Work Orders'!$Z$11:$Z$1010,$B991)="","",INDEX('Work Orders'!$Z$11:$Z$1010,$B991)))</f>
        <v/>
      </c>
      <c r="K991" s="44">
        <f>IF($B991="","",IF(INDEX('Work Orders'!$AG$11:$AG$1010,$B991)="","",INDEX('Work Orders'!$AG$11:$AG$1010,$B991)))</f>
        <v/>
      </c>
      <c r="L991" s="44">
        <f>IF($B991="","",IF(INDEX('Work Orders'!$AH$11:$AH$1010,$B991)="","",INDEX('Work Orders'!$AH$11:$AH$1010,$B991)))</f>
        <v/>
      </c>
      <c r="M991" s="46">
        <f>IF($B991="","",IF(INDEX('Work Orders'!$AM$11:$AM$1010,$B991)="","",INDEX('Work Orders'!$AM$11:$AM$1010,$B991)))</f>
        <v/>
      </c>
      <c r="N991" s="43">
        <f>IF($B991="","",IF(INDEX('Work Orders'!$AL$11:$AL$1010,$B991)="","",INDEX('Work Orders'!$AL$11:$AL$1010,$B991)))</f>
        <v/>
      </c>
      <c r="O991" s="43">
        <f>IF($B991="","",IF(INDEX('Work Orders'!$N$11:$N$1010,$B991)="","",INDEX('Work Orders'!$N$11:$N$1010,$B991)))</f>
        <v/>
      </c>
    </row>
    <row r="992">
      <c r="A992" s="68" t="n">
        <v>986</v>
      </c>
      <c r="B992">
        <f>IFERROR(MATCH(A992,'Work Orders'!$AO$11:$AO$1010,0),"")</f>
        <v/>
      </c>
      <c r="C992" s="43">
        <f>IF($B992="","",IF(INDEX('Work Orders'!$A$11:$A$1010,$B992)="","",INDEX('Work Orders'!$A$11:$A$1010,$B992)))</f>
        <v/>
      </c>
      <c r="D992" s="43">
        <f>IF($B992="","",IF(INDEX('Work Orders'!$B$11:$B$1010,$B992)="","",INDEX('Work Orders'!$B$11:$B$1010,$B992)))</f>
        <v/>
      </c>
      <c r="E992" s="43">
        <f>IF($B992="","",IF(INDEX('Work Orders'!$D$11:$D$1010,$B992)="","",INDEX('Work Orders'!$D$11:$D$1010,$B992)))</f>
        <v/>
      </c>
      <c r="F992" s="43">
        <f>IF($B992="","",IF(INDEX('Work Orders'!$Q$11:$Q$1010,$B992)="","",INDEX('Work Orders'!$Q$11:$Q$1010,$B992)))</f>
        <v/>
      </c>
      <c r="G992" s="43">
        <f>IF($B992="","",IF(INDEX('Work Orders'!$V$11:$V$1010,$B992)="","",INDEX('Work Orders'!$V$11:$V$1010,$B992)))</f>
        <v/>
      </c>
      <c r="H992" s="47">
        <f>IF($B992="","",IF(INDEX('Work Orders'!$U$11:$U$1010,$B992)="","",INDEX('Work Orders'!$U$11:$U$1010,$B992)))</f>
        <v/>
      </c>
      <c r="I992" s="47">
        <f>IF($B992="","",IF(INDEX('Work Orders'!$X$11:$X$1010,$B992)="","",INDEX('Work Orders'!$X$11:$X$1010,$B992)))</f>
        <v/>
      </c>
      <c r="J992" s="44">
        <f>IF($B992="","",IF(INDEX('Work Orders'!$Z$11:$Z$1010,$B992)="","",INDEX('Work Orders'!$Z$11:$Z$1010,$B992)))</f>
        <v/>
      </c>
      <c r="K992" s="44">
        <f>IF($B992="","",IF(INDEX('Work Orders'!$AG$11:$AG$1010,$B992)="","",INDEX('Work Orders'!$AG$11:$AG$1010,$B992)))</f>
        <v/>
      </c>
      <c r="L992" s="44">
        <f>IF($B992="","",IF(INDEX('Work Orders'!$AH$11:$AH$1010,$B992)="","",INDEX('Work Orders'!$AH$11:$AH$1010,$B992)))</f>
        <v/>
      </c>
      <c r="M992" s="46">
        <f>IF($B992="","",IF(INDEX('Work Orders'!$AM$11:$AM$1010,$B992)="","",INDEX('Work Orders'!$AM$11:$AM$1010,$B992)))</f>
        <v/>
      </c>
      <c r="N992" s="43">
        <f>IF($B992="","",IF(INDEX('Work Orders'!$AL$11:$AL$1010,$B992)="","",INDEX('Work Orders'!$AL$11:$AL$1010,$B992)))</f>
        <v/>
      </c>
      <c r="O992" s="43">
        <f>IF($B992="","",IF(INDEX('Work Orders'!$N$11:$N$1010,$B992)="","",INDEX('Work Orders'!$N$11:$N$1010,$B992)))</f>
        <v/>
      </c>
    </row>
    <row r="993">
      <c r="A993" s="68" t="n">
        <v>987</v>
      </c>
      <c r="B993">
        <f>IFERROR(MATCH(A993,'Work Orders'!$AO$11:$AO$1010,0),"")</f>
        <v/>
      </c>
      <c r="C993" s="43">
        <f>IF($B993="","",IF(INDEX('Work Orders'!$A$11:$A$1010,$B993)="","",INDEX('Work Orders'!$A$11:$A$1010,$B993)))</f>
        <v/>
      </c>
      <c r="D993" s="43">
        <f>IF($B993="","",IF(INDEX('Work Orders'!$B$11:$B$1010,$B993)="","",INDEX('Work Orders'!$B$11:$B$1010,$B993)))</f>
        <v/>
      </c>
      <c r="E993" s="43">
        <f>IF($B993="","",IF(INDEX('Work Orders'!$D$11:$D$1010,$B993)="","",INDEX('Work Orders'!$D$11:$D$1010,$B993)))</f>
        <v/>
      </c>
      <c r="F993" s="43">
        <f>IF($B993="","",IF(INDEX('Work Orders'!$Q$11:$Q$1010,$B993)="","",INDEX('Work Orders'!$Q$11:$Q$1010,$B993)))</f>
        <v/>
      </c>
      <c r="G993" s="43">
        <f>IF($B993="","",IF(INDEX('Work Orders'!$V$11:$V$1010,$B993)="","",INDEX('Work Orders'!$V$11:$V$1010,$B993)))</f>
        <v/>
      </c>
      <c r="H993" s="47">
        <f>IF($B993="","",IF(INDEX('Work Orders'!$U$11:$U$1010,$B993)="","",INDEX('Work Orders'!$U$11:$U$1010,$B993)))</f>
        <v/>
      </c>
      <c r="I993" s="47">
        <f>IF($B993="","",IF(INDEX('Work Orders'!$X$11:$X$1010,$B993)="","",INDEX('Work Orders'!$X$11:$X$1010,$B993)))</f>
        <v/>
      </c>
      <c r="J993" s="44">
        <f>IF($B993="","",IF(INDEX('Work Orders'!$Z$11:$Z$1010,$B993)="","",INDEX('Work Orders'!$Z$11:$Z$1010,$B993)))</f>
        <v/>
      </c>
      <c r="K993" s="44">
        <f>IF($B993="","",IF(INDEX('Work Orders'!$AG$11:$AG$1010,$B993)="","",INDEX('Work Orders'!$AG$11:$AG$1010,$B993)))</f>
        <v/>
      </c>
      <c r="L993" s="44">
        <f>IF($B993="","",IF(INDEX('Work Orders'!$AH$11:$AH$1010,$B993)="","",INDEX('Work Orders'!$AH$11:$AH$1010,$B993)))</f>
        <v/>
      </c>
      <c r="M993" s="46">
        <f>IF($B993="","",IF(INDEX('Work Orders'!$AM$11:$AM$1010,$B993)="","",INDEX('Work Orders'!$AM$11:$AM$1010,$B993)))</f>
        <v/>
      </c>
      <c r="N993" s="43">
        <f>IF($B993="","",IF(INDEX('Work Orders'!$AL$11:$AL$1010,$B993)="","",INDEX('Work Orders'!$AL$11:$AL$1010,$B993)))</f>
        <v/>
      </c>
      <c r="O993" s="43">
        <f>IF($B993="","",IF(INDEX('Work Orders'!$N$11:$N$1010,$B993)="","",INDEX('Work Orders'!$N$11:$N$1010,$B993)))</f>
        <v/>
      </c>
    </row>
    <row r="994">
      <c r="A994" s="68" t="n">
        <v>988</v>
      </c>
      <c r="B994">
        <f>IFERROR(MATCH(A994,'Work Orders'!$AO$11:$AO$1010,0),"")</f>
        <v/>
      </c>
      <c r="C994" s="43">
        <f>IF($B994="","",IF(INDEX('Work Orders'!$A$11:$A$1010,$B994)="","",INDEX('Work Orders'!$A$11:$A$1010,$B994)))</f>
        <v/>
      </c>
      <c r="D994" s="43">
        <f>IF($B994="","",IF(INDEX('Work Orders'!$B$11:$B$1010,$B994)="","",INDEX('Work Orders'!$B$11:$B$1010,$B994)))</f>
        <v/>
      </c>
      <c r="E994" s="43">
        <f>IF($B994="","",IF(INDEX('Work Orders'!$D$11:$D$1010,$B994)="","",INDEX('Work Orders'!$D$11:$D$1010,$B994)))</f>
        <v/>
      </c>
      <c r="F994" s="43">
        <f>IF($B994="","",IF(INDEX('Work Orders'!$Q$11:$Q$1010,$B994)="","",INDEX('Work Orders'!$Q$11:$Q$1010,$B994)))</f>
        <v/>
      </c>
      <c r="G994" s="43">
        <f>IF($B994="","",IF(INDEX('Work Orders'!$V$11:$V$1010,$B994)="","",INDEX('Work Orders'!$V$11:$V$1010,$B994)))</f>
        <v/>
      </c>
      <c r="H994" s="47">
        <f>IF($B994="","",IF(INDEX('Work Orders'!$U$11:$U$1010,$B994)="","",INDEX('Work Orders'!$U$11:$U$1010,$B994)))</f>
        <v/>
      </c>
      <c r="I994" s="47">
        <f>IF($B994="","",IF(INDEX('Work Orders'!$X$11:$X$1010,$B994)="","",INDEX('Work Orders'!$X$11:$X$1010,$B994)))</f>
        <v/>
      </c>
      <c r="J994" s="44">
        <f>IF($B994="","",IF(INDEX('Work Orders'!$Z$11:$Z$1010,$B994)="","",INDEX('Work Orders'!$Z$11:$Z$1010,$B994)))</f>
        <v/>
      </c>
      <c r="K994" s="44">
        <f>IF($B994="","",IF(INDEX('Work Orders'!$AG$11:$AG$1010,$B994)="","",INDEX('Work Orders'!$AG$11:$AG$1010,$B994)))</f>
        <v/>
      </c>
      <c r="L994" s="44">
        <f>IF($B994="","",IF(INDEX('Work Orders'!$AH$11:$AH$1010,$B994)="","",INDEX('Work Orders'!$AH$11:$AH$1010,$B994)))</f>
        <v/>
      </c>
      <c r="M994" s="46">
        <f>IF($B994="","",IF(INDEX('Work Orders'!$AM$11:$AM$1010,$B994)="","",INDEX('Work Orders'!$AM$11:$AM$1010,$B994)))</f>
        <v/>
      </c>
      <c r="N994" s="43">
        <f>IF($B994="","",IF(INDEX('Work Orders'!$AL$11:$AL$1010,$B994)="","",INDEX('Work Orders'!$AL$11:$AL$1010,$B994)))</f>
        <v/>
      </c>
      <c r="O994" s="43">
        <f>IF($B994="","",IF(INDEX('Work Orders'!$N$11:$N$1010,$B994)="","",INDEX('Work Orders'!$N$11:$N$1010,$B994)))</f>
        <v/>
      </c>
    </row>
    <row r="995">
      <c r="A995" s="68" t="n">
        <v>989</v>
      </c>
      <c r="B995">
        <f>IFERROR(MATCH(A995,'Work Orders'!$AO$11:$AO$1010,0),"")</f>
        <v/>
      </c>
      <c r="C995" s="43">
        <f>IF($B995="","",IF(INDEX('Work Orders'!$A$11:$A$1010,$B995)="","",INDEX('Work Orders'!$A$11:$A$1010,$B995)))</f>
        <v/>
      </c>
      <c r="D995" s="43">
        <f>IF($B995="","",IF(INDEX('Work Orders'!$B$11:$B$1010,$B995)="","",INDEX('Work Orders'!$B$11:$B$1010,$B995)))</f>
        <v/>
      </c>
      <c r="E995" s="43">
        <f>IF($B995="","",IF(INDEX('Work Orders'!$D$11:$D$1010,$B995)="","",INDEX('Work Orders'!$D$11:$D$1010,$B995)))</f>
        <v/>
      </c>
      <c r="F995" s="43">
        <f>IF($B995="","",IF(INDEX('Work Orders'!$Q$11:$Q$1010,$B995)="","",INDEX('Work Orders'!$Q$11:$Q$1010,$B995)))</f>
        <v/>
      </c>
      <c r="G995" s="43">
        <f>IF($B995="","",IF(INDEX('Work Orders'!$V$11:$V$1010,$B995)="","",INDEX('Work Orders'!$V$11:$V$1010,$B995)))</f>
        <v/>
      </c>
      <c r="H995" s="47">
        <f>IF($B995="","",IF(INDEX('Work Orders'!$U$11:$U$1010,$B995)="","",INDEX('Work Orders'!$U$11:$U$1010,$B995)))</f>
        <v/>
      </c>
      <c r="I995" s="47">
        <f>IF($B995="","",IF(INDEX('Work Orders'!$X$11:$X$1010,$B995)="","",INDEX('Work Orders'!$X$11:$X$1010,$B995)))</f>
        <v/>
      </c>
      <c r="J995" s="44">
        <f>IF($B995="","",IF(INDEX('Work Orders'!$Z$11:$Z$1010,$B995)="","",INDEX('Work Orders'!$Z$11:$Z$1010,$B995)))</f>
        <v/>
      </c>
      <c r="K995" s="44">
        <f>IF($B995="","",IF(INDEX('Work Orders'!$AG$11:$AG$1010,$B995)="","",INDEX('Work Orders'!$AG$11:$AG$1010,$B995)))</f>
        <v/>
      </c>
      <c r="L995" s="44">
        <f>IF($B995="","",IF(INDEX('Work Orders'!$AH$11:$AH$1010,$B995)="","",INDEX('Work Orders'!$AH$11:$AH$1010,$B995)))</f>
        <v/>
      </c>
      <c r="M995" s="46">
        <f>IF($B995="","",IF(INDEX('Work Orders'!$AM$11:$AM$1010,$B995)="","",INDEX('Work Orders'!$AM$11:$AM$1010,$B995)))</f>
        <v/>
      </c>
      <c r="N995" s="43">
        <f>IF($B995="","",IF(INDEX('Work Orders'!$AL$11:$AL$1010,$B995)="","",INDEX('Work Orders'!$AL$11:$AL$1010,$B995)))</f>
        <v/>
      </c>
      <c r="O995" s="43">
        <f>IF($B995="","",IF(INDEX('Work Orders'!$N$11:$N$1010,$B995)="","",INDEX('Work Orders'!$N$11:$N$1010,$B995)))</f>
        <v/>
      </c>
    </row>
    <row r="996">
      <c r="A996" s="68" t="n">
        <v>990</v>
      </c>
      <c r="B996">
        <f>IFERROR(MATCH(A996,'Work Orders'!$AO$11:$AO$1010,0),"")</f>
        <v/>
      </c>
      <c r="C996" s="43">
        <f>IF($B996="","",IF(INDEX('Work Orders'!$A$11:$A$1010,$B996)="","",INDEX('Work Orders'!$A$11:$A$1010,$B996)))</f>
        <v/>
      </c>
      <c r="D996" s="43">
        <f>IF($B996="","",IF(INDEX('Work Orders'!$B$11:$B$1010,$B996)="","",INDEX('Work Orders'!$B$11:$B$1010,$B996)))</f>
        <v/>
      </c>
      <c r="E996" s="43">
        <f>IF($B996="","",IF(INDEX('Work Orders'!$D$11:$D$1010,$B996)="","",INDEX('Work Orders'!$D$11:$D$1010,$B996)))</f>
        <v/>
      </c>
      <c r="F996" s="43">
        <f>IF($B996="","",IF(INDEX('Work Orders'!$Q$11:$Q$1010,$B996)="","",INDEX('Work Orders'!$Q$11:$Q$1010,$B996)))</f>
        <v/>
      </c>
      <c r="G996" s="43">
        <f>IF($B996="","",IF(INDEX('Work Orders'!$V$11:$V$1010,$B996)="","",INDEX('Work Orders'!$V$11:$V$1010,$B996)))</f>
        <v/>
      </c>
      <c r="H996" s="47">
        <f>IF($B996="","",IF(INDEX('Work Orders'!$U$11:$U$1010,$B996)="","",INDEX('Work Orders'!$U$11:$U$1010,$B996)))</f>
        <v/>
      </c>
      <c r="I996" s="47">
        <f>IF($B996="","",IF(INDEX('Work Orders'!$X$11:$X$1010,$B996)="","",INDEX('Work Orders'!$X$11:$X$1010,$B996)))</f>
        <v/>
      </c>
      <c r="J996" s="44">
        <f>IF($B996="","",IF(INDEX('Work Orders'!$Z$11:$Z$1010,$B996)="","",INDEX('Work Orders'!$Z$11:$Z$1010,$B996)))</f>
        <v/>
      </c>
      <c r="K996" s="44">
        <f>IF($B996="","",IF(INDEX('Work Orders'!$AG$11:$AG$1010,$B996)="","",INDEX('Work Orders'!$AG$11:$AG$1010,$B996)))</f>
        <v/>
      </c>
      <c r="L996" s="44">
        <f>IF($B996="","",IF(INDEX('Work Orders'!$AH$11:$AH$1010,$B996)="","",INDEX('Work Orders'!$AH$11:$AH$1010,$B996)))</f>
        <v/>
      </c>
      <c r="M996" s="46">
        <f>IF($B996="","",IF(INDEX('Work Orders'!$AM$11:$AM$1010,$B996)="","",INDEX('Work Orders'!$AM$11:$AM$1010,$B996)))</f>
        <v/>
      </c>
      <c r="N996" s="43">
        <f>IF($B996="","",IF(INDEX('Work Orders'!$AL$11:$AL$1010,$B996)="","",INDEX('Work Orders'!$AL$11:$AL$1010,$B996)))</f>
        <v/>
      </c>
      <c r="O996" s="43">
        <f>IF($B996="","",IF(INDEX('Work Orders'!$N$11:$N$1010,$B996)="","",INDEX('Work Orders'!$N$11:$N$1010,$B996)))</f>
        <v/>
      </c>
    </row>
    <row r="997">
      <c r="A997" s="68" t="n">
        <v>991</v>
      </c>
      <c r="B997">
        <f>IFERROR(MATCH(A997,'Work Orders'!$AO$11:$AO$1010,0),"")</f>
        <v/>
      </c>
      <c r="C997" s="43">
        <f>IF($B997="","",IF(INDEX('Work Orders'!$A$11:$A$1010,$B997)="","",INDEX('Work Orders'!$A$11:$A$1010,$B997)))</f>
        <v/>
      </c>
      <c r="D997" s="43">
        <f>IF($B997="","",IF(INDEX('Work Orders'!$B$11:$B$1010,$B997)="","",INDEX('Work Orders'!$B$11:$B$1010,$B997)))</f>
        <v/>
      </c>
      <c r="E997" s="43">
        <f>IF($B997="","",IF(INDEX('Work Orders'!$D$11:$D$1010,$B997)="","",INDEX('Work Orders'!$D$11:$D$1010,$B997)))</f>
        <v/>
      </c>
      <c r="F997" s="43">
        <f>IF($B997="","",IF(INDEX('Work Orders'!$Q$11:$Q$1010,$B997)="","",INDEX('Work Orders'!$Q$11:$Q$1010,$B997)))</f>
        <v/>
      </c>
      <c r="G997" s="43">
        <f>IF($B997="","",IF(INDEX('Work Orders'!$V$11:$V$1010,$B997)="","",INDEX('Work Orders'!$V$11:$V$1010,$B997)))</f>
        <v/>
      </c>
      <c r="H997" s="47">
        <f>IF($B997="","",IF(INDEX('Work Orders'!$U$11:$U$1010,$B997)="","",INDEX('Work Orders'!$U$11:$U$1010,$B997)))</f>
        <v/>
      </c>
      <c r="I997" s="47">
        <f>IF($B997="","",IF(INDEX('Work Orders'!$X$11:$X$1010,$B997)="","",INDEX('Work Orders'!$X$11:$X$1010,$B997)))</f>
        <v/>
      </c>
      <c r="J997" s="44">
        <f>IF($B997="","",IF(INDEX('Work Orders'!$Z$11:$Z$1010,$B997)="","",INDEX('Work Orders'!$Z$11:$Z$1010,$B997)))</f>
        <v/>
      </c>
      <c r="K997" s="44">
        <f>IF($B997="","",IF(INDEX('Work Orders'!$AG$11:$AG$1010,$B997)="","",INDEX('Work Orders'!$AG$11:$AG$1010,$B997)))</f>
        <v/>
      </c>
      <c r="L997" s="44">
        <f>IF($B997="","",IF(INDEX('Work Orders'!$AH$11:$AH$1010,$B997)="","",INDEX('Work Orders'!$AH$11:$AH$1010,$B997)))</f>
        <v/>
      </c>
      <c r="M997" s="46">
        <f>IF($B997="","",IF(INDEX('Work Orders'!$AM$11:$AM$1010,$B997)="","",INDEX('Work Orders'!$AM$11:$AM$1010,$B997)))</f>
        <v/>
      </c>
      <c r="N997" s="43">
        <f>IF($B997="","",IF(INDEX('Work Orders'!$AL$11:$AL$1010,$B997)="","",INDEX('Work Orders'!$AL$11:$AL$1010,$B997)))</f>
        <v/>
      </c>
      <c r="O997" s="43">
        <f>IF($B997="","",IF(INDEX('Work Orders'!$N$11:$N$1010,$B997)="","",INDEX('Work Orders'!$N$11:$N$1010,$B997)))</f>
        <v/>
      </c>
    </row>
    <row r="998">
      <c r="A998" s="68" t="n">
        <v>992</v>
      </c>
      <c r="B998">
        <f>IFERROR(MATCH(A998,'Work Orders'!$AO$11:$AO$1010,0),"")</f>
        <v/>
      </c>
      <c r="C998" s="43">
        <f>IF($B998="","",IF(INDEX('Work Orders'!$A$11:$A$1010,$B998)="","",INDEX('Work Orders'!$A$11:$A$1010,$B998)))</f>
        <v/>
      </c>
      <c r="D998" s="43">
        <f>IF($B998="","",IF(INDEX('Work Orders'!$B$11:$B$1010,$B998)="","",INDEX('Work Orders'!$B$11:$B$1010,$B998)))</f>
        <v/>
      </c>
      <c r="E998" s="43">
        <f>IF($B998="","",IF(INDEX('Work Orders'!$D$11:$D$1010,$B998)="","",INDEX('Work Orders'!$D$11:$D$1010,$B998)))</f>
        <v/>
      </c>
      <c r="F998" s="43">
        <f>IF($B998="","",IF(INDEX('Work Orders'!$Q$11:$Q$1010,$B998)="","",INDEX('Work Orders'!$Q$11:$Q$1010,$B998)))</f>
        <v/>
      </c>
      <c r="G998" s="43">
        <f>IF($B998="","",IF(INDEX('Work Orders'!$V$11:$V$1010,$B998)="","",INDEX('Work Orders'!$V$11:$V$1010,$B998)))</f>
        <v/>
      </c>
      <c r="H998" s="47">
        <f>IF($B998="","",IF(INDEX('Work Orders'!$U$11:$U$1010,$B998)="","",INDEX('Work Orders'!$U$11:$U$1010,$B998)))</f>
        <v/>
      </c>
      <c r="I998" s="47">
        <f>IF($B998="","",IF(INDEX('Work Orders'!$X$11:$X$1010,$B998)="","",INDEX('Work Orders'!$X$11:$X$1010,$B998)))</f>
        <v/>
      </c>
      <c r="J998" s="44">
        <f>IF($B998="","",IF(INDEX('Work Orders'!$Z$11:$Z$1010,$B998)="","",INDEX('Work Orders'!$Z$11:$Z$1010,$B998)))</f>
        <v/>
      </c>
      <c r="K998" s="44">
        <f>IF($B998="","",IF(INDEX('Work Orders'!$AG$11:$AG$1010,$B998)="","",INDEX('Work Orders'!$AG$11:$AG$1010,$B998)))</f>
        <v/>
      </c>
      <c r="L998" s="44">
        <f>IF($B998="","",IF(INDEX('Work Orders'!$AH$11:$AH$1010,$B998)="","",INDEX('Work Orders'!$AH$11:$AH$1010,$B998)))</f>
        <v/>
      </c>
      <c r="M998" s="46">
        <f>IF($B998="","",IF(INDEX('Work Orders'!$AM$11:$AM$1010,$B998)="","",INDEX('Work Orders'!$AM$11:$AM$1010,$B998)))</f>
        <v/>
      </c>
      <c r="N998" s="43">
        <f>IF($B998="","",IF(INDEX('Work Orders'!$AL$11:$AL$1010,$B998)="","",INDEX('Work Orders'!$AL$11:$AL$1010,$B998)))</f>
        <v/>
      </c>
      <c r="O998" s="43">
        <f>IF($B998="","",IF(INDEX('Work Orders'!$N$11:$N$1010,$B998)="","",INDEX('Work Orders'!$N$11:$N$1010,$B998)))</f>
        <v/>
      </c>
    </row>
    <row r="999">
      <c r="A999" s="68" t="n">
        <v>993</v>
      </c>
      <c r="B999">
        <f>IFERROR(MATCH(A999,'Work Orders'!$AO$11:$AO$1010,0),"")</f>
        <v/>
      </c>
      <c r="C999" s="43">
        <f>IF($B999="","",IF(INDEX('Work Orders'!$A$11:$A$1010,$B999)="","",INDEX('Work Orders'!$A$11:$A$1010,$B999)))</f>
        <v/>
      </c>
      <c r="D999" s="43">
        <f>IF($B999="","",IF(INDEX('Work Orders'!$B$11:$B$1010,$B999)="","",INDEX('Work Orders'!$B$11:$B$1010,$B999)))</f>
        <v/>
      </c>
      <c r="E999" s="43">
        <f>IF($B999="","",IF(INDEX('Work Orders'!$D$11:$D$1010,$B999)="","",INDEX('Work Orders'!$D$11:$D$1010,$B999)))</f>
        <v/>
      </c>
      <c r="F999" s="43">
        <f>IF($B999="","",IF(INDEX('Work Orders'!$Q$11:$Q$1010,$B999)="","",INDEX('Work Orders'!$Q$11:$Q$1010,$B999)))</f>
        <v/>
      </c>
      <c r="G999" s="43">
        <f>IF($B999="","",IF(INDEX('Work Orders'!$V$11:$V$1010,$B999)="","",INDEX('Work Orders'!$V$11:$V$1010,$B999)))</f>
        <v/>
      </c>
      <c r="H999" s="47">
        <f>IF($B999="","",IF(INDEX('Work Orders'!$U$11:$U$1010,$B999)="","",INDEX('Work Orders'!$U$11:$U$1010,$B999)))</f>
        <v/>
      </c>
      <c r="I999" s="47">
        <f>IF($B999="","",IF(INDEX('Work Orders'!$X$11:$X$1010,$B999)="","",INDEX('Work Orders'!$X$11:$X$1010,$B999)))</f>
        <v/>
      </c>
      <c r="J999" s="44">
        <f>IF($B999="","",IF(INDEX('Work Orders'!$Z$11:$Z$1010,$B999)="","",INDEX('Work Orders'!$Z$11:$Z$1010,$B999)))</f>
        <v/>
      </c>
      <c r="K999" s="44">
        <f>IF($B999="","",IF(INDEX('Work Orders'!$AG$11:$AG$1010,$B999)="","",INDEX('Work Orders'!$AG$11:$AG$1010,$B999)))</f>
        <v/>
      </c>
      <c r="L999" s="44">
        <f>IF($B999="","",IF(INDEX('Work Orders'!$AH$11:$AH$1010,$B999)="","",INDEX('Work Orders'!$AH$11:$AH$1010,$B999)))</f>
        <v/>
      </c>
      <c r="M999" s="46">
        <f>IF($B999="","",IF(INDEX('Work Orders'!$AM$11:$AM$1010,$B999)="","",INDEX('Work Orders'!$AM$11:$AM$1010,$B999)))</f>
        <v/>
      </c>
      <c r="N999" s="43">
        <f>IF($B999="","",IF(INDEX('Work Orders'!$AL$11:$AL$1010,$B999)="","",INDEX('Work Orders'!$AL$11:$AL$1010,$B999)))</f>
        <v/>
      </c>
      <c r="O999" s="43">
        <f>IF($B999="","",IF(INDEX('Work Orders'!$N$11:$N$1010,$B999)="","",INDEX('Work Orders'!$N$11:$N$1010,$B999)))</f>
        <v/>
      </c>
    </row>
    <row r="1000">
      <c r="A1000" s="68" t="n">
        <v>994</v>
      </c>
      <c r="B1000">
        <f>IFERROR(MATCH(A1000,'Work Orders'!$AO$11:$AO$1010,0),"")</f>
        <v/>
      </c>
      <c r="C1000" s="43">
        <f>IF($B1000="","",IF(INDEX('Work Orders'!$A$11:$A$1010,$B1000)="","",INDEX('Work Orders'!$A$11:$A$1010,$B1000)))</f>
        <v/>
      </c>
      <c r="D1000" s="43">
        <f>IF($B1000="","",IF(INDEX('Work Orders'!$B$11:$B$1010,$B1000)="","",INDEX('Work Orders'!$B$11:$B$1010,$B1000)))</f>
        <v/>
      </c>
      <c r="E1000" s="43">
        <f>IF($B1000="","",IF(INDEX('Work Orders'!$D$11:$D$1010,$B1000)="","",INDEX('Work Orders'!$D$11:$D$1010,$B1000)))</f>
        <v/>
      </c>
      <c r="F1000" s="43">
        <f>IF($B1000="","",IF(INDEX('Work Orders'!$Q$11:$Q$1010,$B1000)="","",INDEX('Work Orders'!$Q$11:$Q$1010,$B1000)))</f>
        <v/>
      </c>
      <c r="G1000" s="43">
        <f>IF($B1000="","",IF(INDEX('Work Orders'!$V$11:$V$1010,$B1000)="","",INDEX('Work Orders'!$V$11:$V$1010,$B1000)))</f>
        <v/>
      </c>
      <c r="H1000" s="47">
        <f>IF($B1000="","",IF(INDEX('Work Orders'!$U$11:$U$1010,$B1000)="","",INDEX('Work Orders'!$U$11:$U$1010,$B1000)))</f>
        <v/>
      </c>
      <c r="I1000" s="47">
        <f>IF($B1000="","",IF(INDEX('Work Orders'!$X$11:$X$1010,$B1000)="","",INDEX('Work Orders'!$X$11:$X$1010,$B1000)))</f>
        <v/>
      </c>
      <c r="J1000" s="44">
        <f>IF($B1000="","",IF(INDEX('Work Orders'!$Z$11:$Z$1010,$B1000)="","",INDEX('Work Orders'!$Z$11:$Z$1010,$B1000)))</f>
        <v/>
      </c>
      <c r="K1000" s="44">
        <f>IF($B1000="","",IF(INDEX('Work Orders'!$AG$11:$AG$1010,$B1000)="","",INDEX('Work Orders'!$AG$11:$AG$1010,$B1000)))</f>
        <v/>
      </c>
      <c r="L1000" s="44">
        <f>IF($B1000="","",IF(INDEX('Work Orders'!$AH$11:$AH$1010,$B1000)="","",INDEX('Work Orders'!$AH$11:$AH$1010,$B1000)))</f>
        <v/>
      </c>
      <c r="M1000" s="46">
        <f>IF($B1000="","",IF(INDEX('Work Orders'!$AM$11:$AM$1010,$B1000)="","",INDEX('Work Orders'!$AM$11:$AM$1010,$B1000)))</f>
        <v/>
      </c>
      <c r="N1000" s="43">
        <f>IF($B1000="","",IF(INDEX('Work Orders'!$AL$11:$AL$1010,$B1000)="","",INDEX('Work Orders'!$AL$11:$AL$1010,$B1000)))</f>
        <v/>
      </c>
      <c r="O1000" s="43">
        <f>IF($B1000="","",IF(INDEX('Work Orders'!$N$11:$N$1010,$B1000)="","",INDEX('Work Orders'!$N$11:$N$1010,$B1000)))</f>
        <v/>
      </c>
    </row>
    <row r="1001">
      <c r="A1001" s="68" t="n">
        <v>995</v>
      </c>
      <c r="B1001">
        <f>IFERROR(MATCH(A1001,'Work Orders'!$AO$11:$AO$1010,0),"")</f>
        <v/>
      </c>
      <c r="C1001" s="43">
        <f>IF($B1001="","",IF(INDEX('Work Orders'!$A$11:$A$1010,$B1001)="","",INDEX('Work Orders'!$A$11:$A$1010,$B1001)))</f>
        <v/>
      </c>
      <c r="D1001" s="43">
        <f>IF($B1001="","",IF(INDEX('Work Orders'!$B$11:$B$1010,$B1001)="","",INDEX('Work Orders'!$B$11:$B$1010,$B1001)))</f>
        <v/>
      </c>
      <c r="E1001" s="43">
        <f>IF($B1001="","",IF(INDEX('Work Orders'!$D$11:$D$1010,$B1001)="","",INDEX('Work Orders'!$D$11:$D$1010,$B1001)))</f>
        <v/>
      </c>
      <c r="F1001" s="43">
        <f>IF($B1001="","",IF(INDEX('Work Orders'!$Q$11:$Q$1010,$B1001)="","",INDEX('Work Orders'!$Q$11:$Q$1010,$B1001)))</f>
        <v/>
      </c>
      <c r="G1001" s="43">
        <f>IF($B1001="","",IF(INDEX('Work Orders'!$V$11:$V$1010,$B1001)="","",INDEX('Work Orders'!$V$11:$V$1010,$B1001)))</f>
        <v/>
      </c>
      <c r="H1001" s="47">
        <f>IF($B1001="","",IF(INDEX('Work Orders'!$U$11:$U$1010,$B1001)="","",INDEX('Work Orders'!$U$11:$U$1010,$B1001)))</f>
        <v/>
      </c>
      <c r="I1001" s="47">
        <f>IF($B1001="","",IF(INDEX('Work Orders'!$X$11:$X$1010,$B1001)="","",INDEX('Work Orders'!$X$11:$X$1010,$B1001)))</f>
        <v/>
      </c>
      <c r="J1001" s="44">
        <f>IF($B1001="","",IF(INDEX('Work Orders'!$Z$11:$Z$1010,$B1001)="","",INDEX('Work Orders'!$Z$11:$Z$1010,$B1001)))</f>
        <v/>
      </c>
      <c r="K1001" s="44">
        <f>IF($B1001="","",IF(INDEX('Work Orders'!$AG$11:$AG$1010,$B1001)="","",INDEX('Work Orders'!$AG$11:$AG$1010,$B1001)))</f>
        <v/>
      </c>
      <c r="L1001" s="44">
        <f>IF($B1001="","",IF(INDEX('Work Orders'!$AH$11:$AH$1010,$B1001)="","",INDEX('Work Orders'!$AH$11:$AH$1010,$B1001)))</f>
        <v/>
      </c>
      <c r="M1001" s="46">
        <f>IF($B1001="","",IF(INDEX('Work Orders'!$AM$11:$AM$1010,$B1001)="","",INDEX('Work Orders'!$AM$11:$AM$1010,$B1001)))</f>
        <v/>
      </c>
      <c r="N1001" s="43">
        <f>IF($B1001="","",IF(INDEX('Work Orders'!$AL$11:$AL$1010,$B1001)="","",INDEX('Work Orders'!$AL$11:$AL$1010,$B1001)))</f>
        <v/>
      </c>
      <c r="O1001" s="43">
        <f>IF($B1001="","",IF(INDEX('Work Orders'!$N$11:$N$1010,$B1001)="","",INDEX('Work Orders'!$N$11:$N$1010,$B1001)))</f>
        <v/>
      </c>
    </row>
    <row r="1002">
      <c r="A1002" s="68" t="n">
        <v>996</v>
      </c>
      <c r="B1002">
        <f>IFERROR(MATCH(A1002,'Work Orders'!$AO$11:$AO$1010,0),"")</f>
        <v/>
      </c>
      <c r="C1002" s="43">
        <f>IF($B1002="","",IF(INDEX('Work Orders'!$A$11:$A$1010,$B1002)="","",INDEX('Work Orders'!$A$11:$A$1010,$B1002)))</f>
        <v/>
      </c>
      <c r="D1002" s="43">
        <f>IF($B1002="","",IF(INDEX('Work Orders'!$B$11:$B$1010,$B1002)="","",INDEX('Work Orders'!$B$11:$B$1010,$B1002)))</f>
        <v/>
      </c>
      <c r="E1002" s="43">
        <f>IF($B1002="","",IF(INDEX('Work Orders'!$D$11:$D$1010,$B1002)="","",INDEX('Work Orders'!$D$11:$D$1010,$B1002)))</f>
        <v/>
      </c>
      <c r="F1002" s="43">
        <f>IF($B1002="","",IF(INDEX('Work Orders'!$Q$11:$Q$1010,$B1002)="","",INDEX('Work Orders'!$Q$11:$Q$1010,$B1002)))</f>
        <v/>
      </c>
      <c r="G1002" s="43">
        <f>IF($B1002="","",IF(INDEX('Work Orders'!$V$11:$V$1010,$B1002)="","",INDEX('Work Orders'!$V$11:$V$1010,$B1002)))</f>
        <v/>
      </c>
      <c r="H1002" s="47">
        <f>IF($B1002="","",IF(INDEX('Work Orders'!$U$11:$U$1010,$B1002)="","",INDEX('Work Orders'!$U$11:$U$1010,$B1002)))</f>
        <v/>
      </c>
      <c r="I1002" s="47">
        <f>IF($B1002="","",IF(INDEX('Work Orders'!$X$11:$X$1010,$B1002)="","",INDEX('Work Orders'!$X$11:$X$1010,$B1002)))</f>
        <v/>
      </c>
      <c r="J1002" s="44">
        <f>IF($B1002="","",IF(INDEX('Work Orders'!$Z$11:$Z$1010,$B1002)="","",INDEX('Work Orders'!$Z$11:$Z$1010,$B1002)))</f>
        <v/>
      </c>
      <c r="K1002" s="44">
        <f>IF($B1002="","",IF(INDEX('Work Orders'!$AG$11:$AG$1010,$B1002)="","",INDEX('Work Orders'!$AG$11:$AG$1010,$B1002)))</f>
        <v/>
      </c>
      <c r="L1002" s="44">
        <f>IF($B1002="","",IF(INDEX('Work Orders'!$AH$11:$AH$1010,$B1002)="","",INDEX('Work Orders'!$AH$11:$AH$1010,$B1002)))</f>
        <v/>
      </c>
      <c r="M1002" s="46">
        <f>IF($B1002="","",IF(INDEX('Work Orders'!$AM$11:$AM$1010,$B1002)="","",INDEX('Work Orders'!$AM$11:$AM$1010,$B1002)))</f>
        <v/>
      </c>
      <c r="N1002" s="43">
        <f>IF($B1002="","",IF(INDEX('Work Orders'!$AL$11:$AL$1010,$B1002)="","",INDEX('Work Orders'!$AL$11:$AL$1010,$B1002)))</f>
        <v/>
      </c>
      <c r="O1002" s="43">
        <f>IF($B1002="","",IF(INDEX('Work Orders'!$N$11:$N$1010,$B1002)="","",INDEX('Work Orders'!$N$11:$N$1010,$B1002)))</f>
        <v/>
      </c>
    </row>
    <row r="1003">
      <c r="A1003" s="68" t="n">
        <v>997</v>
      </c>
      <c r="B1003">
        <f>IFERROR(MATCH(A1003,'Work Orders'!$AO$11:$AO$1010,0),"")</f>
        <v/>
      </c>
      <c r="C1003" s="43">
        <f>IF($B1003="","",IF(INDEX('Work Orders'!$A$11:$A$1010,$B1003)="","",INDEX('Work Orders'!$A$11:$A$1010,$B1003)))</f>
        <v/>
      </c>
      <c r="D1003" s="43">
        <f>IF($B1003="","",IF(INDEX('Work Orders'!$B$11:$B$1010,$B1003)="","",INDEX('Work Orders'!$B$11:$B$1010,$B1003)))</f>
        <v/>
      </c>
      <c r="E1003" s="43">
        <f>IF($B1003="","",IF(INDEX('Work Orders'!$D$11:$D$1010,$B1003)="","",INDEX('Work Orders'!$D$11:$D$1010,$B1003)))</f>
        <v/>
      </c>
      <c r="F1003" s="43">
        <f>IF($B1003="","",IF(INDEX('Work Orders'!$Q$11:$Q$1010,$B1003)="","",INDEX('Work Orders'!$Q$11:$Q$1010,$B1003)))</f>
        <v/>
      </c>
      <c r="G1003" s="43">
        <f>IF($B1003="","",IF(INDEX('Work Orders'!$V$11:$V$1010,$B1003)="","",INDEX('Work Orders'!$V$11:$V$1010,$B1003)))</f>
        <v/>
      </c>
      <c r="H1003" s="47">
        <f>IF($B1003="","",IF(INDEX('Work Orders'!$U$11:$U$1010,$B1003)="","",INDEX('Work Orders'!$U$11:$U$1010,$B1003)))</f>
        <v/>
      </c>
      <c r="I1003" s="47">
        <f>IF($B1003="","",IF(INDEX('Work Orders'!$X$11:$X$1010,$B1003)="","",INDEX('Work Orders'!$X$11:$X$1010,$B1003)))</f>
        <v/>
      </c>
      <c r="J1003" s="44">
        <f>IF($B1003="","",IF(INDEX('Work Orders'!$Z$11:$Z$1010,$B1003)="","",INDEX('Work Orders'!$Z$11:$Z$1010,$B1003)))</f>
        <v/>
      </c>
      <c r="K1003" s="44">
        <f>IF($B1003="","",IF(INDEX('Work Orders'!$AG$11:$AG$1010,$B1003)="","",INDEX('Work Orders'!$AG$11:$AG$1010,$B1003)))</f>
        <v/>
      </c>
      <c r="L1003" s="44">
        <f>IF($B1003="","",IF(INDEX('Work Orders'!$AH$11:$AH$1010,$B1003)="","",INDEX('Work Orders'!$AH$11:$AH$1010,$B1003)))</f>
        <v/>
      </c>
      <c r="M1003" s="46">
        <f>IF($B1003="","",IF(INDEX('Work Orders'!$AM$11:$AM$1010,$B1003)="","",INDEX('Work Orders'!$AM$11:$AM$1010,$B1003)))</f>
        <v/>
      </c>
      <c r="N1003" s="43">
        <f>IF($B1003="","",IF(INDEX('Work Orders'!$AL$11:$AL$1010,$B1003)="","",INDEX('Work Orders'!$AL$11:$AL$1010,$B1003)))</f>
        <v/>
      </c>
      <c r="O1003" s="43">
        <f>IF($B1003="","",IF(INDEX('Work Orders'!$N$11:$N$1010,$B1003)="","",INDEX('Work Orders'!$N$11:$N$1010,$B1003)))</f>
        <v/>
      </c>
    </row>
    <row r="1004">
      <c r="A1004" s="68" t="n">
        <v>998</v>
      </c>
      <c r="B1004">
        <f>IFERROR(MATCH(A1004,'Work Orders'!$AO$11:$AO$1010,0),"")</f>
        <v/>
      </c>
      <c r="C1004" s="43">
        <f>IF($B1004="","",IF(INDEX('Work Orders'!$A$11:$A$1010,$B1004)="","",INDEX('Work Orders'!$A$11:$A$1010,$B1004)))</f>
        <v/>
      </c>
      <c r="D1004" s="43">
        <f>IF($B1004="","",IF(INDEX('Work Orders'!$B$11:$B$1010,$B1004)="","",INDEX('Work Orders'!$B$11:$B$1010,$B1004)))</f>
        <v/>
      </c>
      <c r="E1004" s="43">
        <f>IF($B1004="","",IF(INDEX('Work Orders'!$D$11:$D$1010,$B1004)="","",INDEX('Work Orders'!$D$11:$D$1010,$B1004)))</f>
        <v/>
      </c>
      <c r="F1004" s="43">
        <f>IF($B1004="","",IF(INDEX('Work Orders'!$Q$11:$Q$1010,$B1004)="","",INDEX('Work Orders'!$Q$11:$Q$1010,$B1004)))</f>
        <v/>
      </c>
      <c r="G1004" s="43">
        <f>IF($B1004="","",IF(INDEX('Work Orders'!$V$11:$V$1010,$B1004)="","",INDEX('Work Orders'!$V$11:$V$1010,$B1004)))</f>
        <v/>
      </c>
      <c r="H1004" s="47">
        <f>IF($B1004="","",IF(INDEX('Work Orders'!$U$11:$U$1010,$B1004)="","",INDEX('Work Orders'!$U$11:$U$1010,$B1004)))</f>
        <v/>
      </c>
      <c r="I1004" s="47">
        <f>IF($B1004="","",IF(INDEX('Work Orders'!$X$11:$X$1010,$B1004)="","",INDEX('Work Orders'!$X$11:$X$1010,$B1004)))</f>
        <v/>
      </c>
      <c r="J1004" s="44">
        <f>IF($B1004="","",IF(INDEX('Work Orders'!$Z$11:$Z$1010,$B1004)="","",INDEX('Work Orders'!$Z$11:$Z$1010,$B1004)))</f>
        <v/>
      </c>
      <c r="K1004" s="44">
        <f>IF($B1004="","",IF(INDEX('Work Orders'!$AG$11:$AG$1010,$B1004)="","",INDEX('Work Orders'!$AG$11:$AG$1010,$B1004)))</f>
        <v/>
      </c>
      <c r="L1004" s="44">
        <f>IF($B1004="","",IF(INDEX('Work Orders'!$AH$11:$AH$1010,$B1004)="","",INDEX('Work Orders'!$AH$11:$AH$1010,$B1004)))</f>
        <v/>
      </c>
      <c r="M1004" s="46">
        <f>IF($B1004="","",IF(INDEX('Work Orders'!$AM$11:$AM$1010,$B1004)="","",INDEX('Work Orders'!$AM$11:$AM$1010,$B1004)))</f>
        <v/>
      </c>
      <c r="N1004" s="43">
        <f>IF($B1004="","",IF(INDEX('Work Orders'!$AL$11:$AL$1010,$B1004)="","",INDEX('Work Orders'!$AL$11:$AL$1010,$B1004)))</f>
        <v/>
      </c>
      <c r="O1004" s="43">
        <f>IF($B1004="","",IF(INDEX('Work Orders'!$N$11:$N$1010,$B1004)="","",INDEX('Work Orders'!$N$11:$N$1010,$B1004)))</f>
        <v/>
      </c>
    </row>
    <row r="1005">
      <c r="A1005" s="68" t="n">
        <v>999</v>
      </c>
      <c r="B1005">
        <f>IFERROR(MATCH(A1005,'Work Orders'!$AO$11:$AO$1010,0),"")</f>
        <v/>
      </c>
      <c r="C1005" s="43">
        <f>IF($B1005="","",IF(INDEX('Work Orders'!$A$11:$A$1010,$B1005)="","",INDEX('Work Orders'!$A$11:$A$1010,$B1005)))</f>
        <v/>
      </c>
      <c r="D1005" s="43">
        <f>IF($B1005="","",IF(INDEX('Work Orders'!$B$11:$B$1010,$B1005)="","",INDEX('Work Orders'!$B$11:$B$1010,$B1005)))</f>
        <v/>
      </c>
      <c r="E1005" s="43">
        <f>IF($B1005="","",IF(INDEX('Work Orders'!$D$11:$D$1010,$B1005)="","",INDEX('Work Orders'!$D$11:$D$1010,$B1005)))</f>
        <v/>
      </c>
      <c r="F1005" s="43">
        <f>IF($B1005="","",IF(INDEX('Work Orders'!$Q$11:$Q$1010,$B1005)="","",INDEX('Work Orders'!$Q$11:$Q$1010,$B1005)))</f>
        <v/>
      </c>
      <c r="G1005" s="43">
        <f>IF($B1005="","",IF(INDEX('Work Orders'!$V$11:$V$1010,$B1005)="","",INDEX('Work Orders'!$V$11:$V$1010,$B1005)))</f>
        <v/>
      </c>
      <c r="H1005" s="47">
        <f>IF($B1005="","",IF(INDEX('Work Orders'!$U$11:$U$1010,$B1005)="","",INDEX('Work Orders'!$U$11:$U$1010,$B1005)))</f>
        <v/>
      </c>
      <c r="I1005" s="47">
        <f>IF($B1005="","",IF(INDEX('Work Orders'!$X$11:$X$1010,$B1005)="","",INDEX('Work Orders'!$X$11:$X$1010,$B1005)))</f>
        <v/>
      </c>
      <c r="J1005" s="44">
        <f>IF($B1005="","",IF(INDEX('Work Orders'!$Z$11:$Z$1010,$B1005)="","",INDEX('Work Orders'!$Z$11:$Z$1010,$B1005)))</f>
        <v/>
      </c>
      <c r="K1005" s="44">
        <f>IF($B1005="","",IF(INDEX('Work Orders'!$AG$11:$AG$1010,$B1005)="","",INDEX('Work Orders'!$AG$11:$AG$1010,$B1005)))</f>
        <v/>
      </c>
      <c r="L1005" s="44">
        <f>IF($B1005="","",IF(INDEX('Work Orders'!$AH$11:$AH$1010,$B1005)="","",INDEX('Work Orders'!$AH$11:$AH$1010,$B1005)))</f>
        <v/>
      </c>
      <c r="M1005" s="46">
        <f>IF($B1005="","",IF(INDEX('Work Orders'!$AM$11:$AM$1010,$B1005)="","",INDEX('Work Orders'!$AM$11:$AM$1010,$B1005)))</f>
        <v/>
      </c>
      <c r="N1005" s="43">
        <f>IF($B1005="","",IF(INDEX('Work Orders'!$AL$11:$AL$1010,$B1005)="","",INDEX('Work Orders'!$AL$11:$AL$1010,$B1005)))</f>
        <v/>
      </c>
      <c r="O1005" s="43">
        <f>IF($B1005="","",IF(INDEX('Work Orders'!$N$11:$N$1010,$B1005)="","",INDEX('Work Orders'!$N$11:$N$1010,$B1005)))</f>
        <v/>
      </c>
    </row>
    <row r="1006">
      <c r="A1006" s="68" t="n">
        <v>1000</v>
      </c>
      <c r="B1006">
        <f>IFERROR(MATCH(A1006,'Work Orders'!$AO$11:$AO$1010,0),"")</f>
        <v/>
      </c>
      <c r="C1006" s="43">
        <f>IF($B1006="","",IF(INDEX('Work Orders'!$A$11:$A$1010,$B1006)="","",INDEX('Work Orders'!$A$11:$A$1010,$B1006)))</f>
        <v/>
      </c>
      <c r="D1006" s="43">
        <f>IF($B1006="","",IF(INDEX('Work Orders'!$B$11:$B$1010,$B1006)="","",INDEX('Work Orders'!$B$11:$B$1010,$B1006)))</f>
        <v/>
      </c>
      <c r="E1006" s="43">
        <f>IF($B1006="","",IF(INDEX('Work Orders'!$D$11:$D$1010,$B1006)="","",INDEX('Work Orders'!$D$11:$D$1010,$B1006)))</f>
        <v/>
      </c>
      <c r="F1006" s="43">
        <f>IF($B1006="","",IF(INDEX('Work Orders'!$Q$11:$Q$1010,$B1006)="","",INDEX('Work Orders'!$Q$11:$Q$1010,$B1006)))</f>
        <v/>
      </c>
      <c r="G1006" s="43">
        <f>IF($B1006="","",IF(INDEX('Work Orders'!$V$11:$V$1010,$B1006)="","",INDEX('Work Orders'!$V$11:$V$1010,$B1006)))</f>
        <v/>
      </c>
      <c r="H1006" s="47">
        <f>IF($B1006="","",IF(INDEX('Work Orders'!$U$11:$U$1010,$B1006)="","",INDEX('Work Orders'!$U$11:$U$1010,$B1006)))</f>
        <v/>
      </c>
      <c r="I1006" s="47">
        <f>IF($B1006="","",IF(INDEX('Work Orders'!$X$11:$X$1010,$B1006)="","",INDEX('Work Orders'!$X$11:$X$1010,$B1006)))</f>
        <v/>
      </c>
      <c r="J1006" s="44">
        <f>IF($B1006="","",IF(INDEX('Work Orders'!$Z$11:$Z$1010,$B1006)="","",INDEX('Work Orders'!$Z$11:$Z$1010,$B1006)))</f>
        <v/>
      </c>
      <c r="K1006" s="44">
        <f>IF($B1006="","",IF(INDEX('Work Orders'!$AG$11:$AG$1010,$B1006)="","",INDEX('Work Orders'!$AG$11:$AG$1010,$B1006)))</f>
        <v/>
      </c>
      <c r="L1006" s="44">
        <f>IF($B1006="","",IF(INDEX('Work Orders'!$AH$11:$AH$1010,$B1006)="","",INDEX('Work Orders'!$AH$11:$AH$1010,$B1006)))</f>
        <v/>
      </c>
      <c r="M1006" s="46">
        <f>IF($B1006="","",IF(INDEX('Work Orders'!$AM$11:$AM$1010,$B1006)="","",INDEX('Work Orders'!$AM$11:$AM$1010,$B1006)))</f>
        <v/>
      </c>
      <c r="N1006" s="43">
        <f>IF($B1006="","",IF(INDEX('Work Orders'!$AL$11:$AL$1010,$B1006)="","",INDEX('Work Orders'!$AL$11:$AL$1010,$B1006)))</f>
        <v/>
      </c>
      <c r="O1006" s="43">
        <f>IF($B1006="","",IF(INDEX('Work Orders'!$N$11:$N$1010,$B1006)="","",INDEX('Work Orders'!$N$11:$N$1010,$B1006)))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conditionalFormatting sqref="C7:O1006">
    <cfRule type="expression" priority="1" dxfId="7">
      <formula>N($M7)&gt;0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03D56"/>
    <outlinePr summaryBelow="1" summaryRight="1"/>
    <pageSetUpPr/>
  </sheetPr>
  <dimension ref="A2:I205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9" customWidth="1" min="9" max="9"/>
  </cols>
  <sheetData>
    <row r="2">
      <c r="B2" s="50" t="inlineStr">
        <is>
          <t>Clients</t>
        </is>
      </c>
    </row>
    <row r="3">
      <c r="B3" s="28" t="inlineStr">
        <is>
          <t>Totals per client from the Work Orders sheet. Clients appear in the order they were first entered.</t>
        </is>
      </c>
    </row>
    <row r="4">
      <c r="B4" s="69" t="inlineStr">
        <is>
          <t>Total</t>
        </is>
      </c>
      <c r="C4" s="70">
        <f>SUM(C6:C205)</f>
        <v/>
      </c>
      <c r="D4" s="71">
        <f>SUM(D6:D205)</f>
        <v/>
      </c>
      <c r="E4" s="71">
        <f>SUM(E6:E205)</f>
        <v/>
      </c>
      <c r="F4" s="71">
        <f>SUM(F6:F205)</f>
        <v/>
      </c>
      <c r="G4" s="71">
        <f>SUM(G6:G205)</f>
        <v/>
      </c>
      <c r="H4" s="71">
        <f>SUM(H6:H205)</f>
        <v/>
      </c>
    </row>
    <row r="5" ht="30" customHeight="1">
      <c r="A5" s="42" t="inlineStr">
        <is>
          <t>#</t>
        </is>
      </c>
      <c r="B5" s="42" t="inlineStr">
        <is>
          <t>Client</t>
        </is>
      </c>
      <c r="C5" s="42" t="inlineStr">
        <is>
          <t>Work orders</t>
        </is>
      </c>
      <c r="D5" s="42" t="inlineStr">
        <is>
          <t>Invoice revenue</t>
        </is>
      </c>
      <c r="E5" s="42" t="inlineStr">
        <is>
          <t>Gross profit</t>
        </is>
      </c>
      <c r="F5" s="42" t="inlineStr">
        <is>
          <t>Net profit</t>
        </is>
      </c>
      <c r="G5" s="42" t="inlineStr">
        <is>
          <t>Balance due</t>
        </is>
      </c>
      <c r="H5" s="42" t="inlineStr">
        <is>
          <t>Overdue</t>
        </is>
      </c>
      <c r="I5" s="42" t="inlineStr">
        <is>
          <t>Revenue rank</t>
        </is>
      </c>
    </row>
    <row r="6">
      <c r="A6" s="54" t="n">
        <v>1</v>
      </c>
      <c r="B6" s="43">
        <f>IFERROR(INDEX('Work Orders'!$B$11:$B$1010,MATCH(A6,'Work Orders'!$AP$11:$AP$1010,0)),"")</f>
        <v/>
      </c>
      <c r="C6" s="43">
        <f>IF(B6="","",COUNTIFS('Work Orders'!$B$11:$B$1010,B6,'Work Orders'!$A$11:$A$1010,"&lt;&gt;"))</f>
        <v/>
      </c>
      <c r="D6" s="44">
        <f>IF(B6="","",SUMIFS('Work Orders'!$Z$11:$Z$1010,'Work Orders'!$B$11:$B$1010,B6))</f>
        <v/>
      </c>
      <c r="E6" s="44">
        <f>IF(B6="","",SUMIFS('Work Orders'!$J$11:$J$1010,'Work Orders'!$B$11:$B$1010,B6))</f>
        <v/>
      </c>
      <c r="F6" s="44">
        <f>IF(B6="","",SUMIFS('Work Orders'!$AE$11:$AE$1010,'Work Orders'!$B$11:$B$1010,B6))</f>
        <v/>
      </c>
      <c r="G6" s="44">
        <f>IF(B6="","",SUMIFS('Work Orders'!$AH$11:$AH$1010,'Work Orders'!$B$11:$B$1010,B6))</f>
        <v/>
      </c>
      <c r="H6" s="44">
        <f>IF(B6="","",SUMIFS('Work Orders'!$AH$11:$AH$1010,'Work Orders'!$B$11:$B$1010,B6,'Work Orders'!$AM$11:$AM$1010,"&gt;0"))</f>
        <v/>
      </c>
      <c r="I6" s="54">
        <f>IF(B6="","",COUNTIF(D$6:D$205,"&gt;"&amp;D6)+COUNTIF(D$6:D6,D6))</f>
        <v/>
      </c>
    </row>
    <row r="7">
      <c r="A7" s="54" t="n">
        <v>2</v>
      </c>
      <c r="B7" s="43">
        <f>IFERROR(INDEX('Work Orders'!$B$11:$B$1010,MATCH(A7,'Work Orders'!$AP$11:$AP$1010,0)),"")</f>
        <v/>
      </c>
      <c r="C7" s="43">
        <f>IF(B7="","",COUNTIFS('Work Orders'!$B$11:$B$1010,B7,'Work Orders'!$A$11:$A$1010,"&lt;&gt;"))</f>
        <v/>
      </c>
      <c r="D7" s="44">
        <f>IF(B7="","",SUMIFS('Work Orders'!$Z$11:$Z$1010,'Work Orders'!$B$11:$B$1010,B7))</f>
        <v/>
      </c>
      <c r="E7" s="44">
        <f>IF(B7="","",SUMIFS('Work Orders'!$J$11:$J$1010,'Work Orders'!$B$11:$B$1010,B7))</f>
        <v/>
      </c>
      <c r="F7" s="44">
        <f>IF(B7="","",SUMIFS('Work Orders'!$AE$11:$AE$1010,'Work Orders'!$B$11:$B$1010,B7))</f>
        <v/>
      </c>
      <c r="G7" s="44">
        <f>IF(B7="","",SUMIFS('Work Orders'!$AH$11:$AH$1010,'Work Orders'!$B$11:$B$1010,B7))</f>
        <v/>
      </c>
      <c r="H7" s="44">
        <f>IF(B7="","",SUMIFS('Work Orders'!$AH$11:$AH$1010,'Work Orders'!$B$11:$B$1010,B7,'Work Orders'!$AM$11:$AM$1010,"&gt;0"))</f>
        <v/>
      </c>
      <c r="I7" s="54">
        <f>IF(B7="","",COUNTIF(D$6:D$205,"&gt;"&amp;D7)+COUNTIF(D$6:D7,D7))</f>
        <v/>
      </c>
    </row>
    <row r="8">
      <c r="A8" s="54" t="n">
        <v>3</v>
      </c>
      <c r="B8" s="43">
        <f>IFERROR(INDEX('Work Orders'!$B$11:$B$1010,MATCH(A8,'Work Orders'!$AP$11:$AP$1010,0)),"")</f>
        <v/>
      </c>
      <c r="C8" s="43">
        <f>IF(B8="","",COUNTIFS('Work Orders'!$B$11:$B$1010,B8,'Work Orders'!$A$11:$A$1010,"&lt;&gt;"))</f>
        <v/>
      </c>
      <c r="D8" s="44">
        <f>IF(B8="","",SUMIFS('Work Orders'!$Z$11:$Z$1010,'Work Orders'!$B$11:$B$1010,B8))</f>
        <v/>
      </c>
      <c r="E8" s="44">
        <f>IF(B8="","",SUMIFS('Work Orders'!$J$11:$J$1010,'Work Orders'!$B$11:$B$1010,B8))</f>
        <v/>
      </c>
      <c r="F8" s="44">
        <f>IF(B8="","",SUMIFS('Work Orders'!$AE$11:$AE$1010,'Work Orders'!$B$11:$B$1010,B8))</f>
        <v/>
      </c>
      <c r="G8" s="44">
        <f>IF(B8="","",SUMIFS('Work Orders'!$AH$11:$AH$1010,'Work Orders'!$B$11:$B$1010,B8))</f>
        <v/>
      </c>
      <c r="H8" s="44">
        <f>IF(B8="","",SUMIFS('Work Orders'!$AH$11:$AH$1010,'Work Orders'!$B$11:$B$1010,B8,'Work Orders'!$AM$11:$AM$1010,"&gt;0"))</f>
        <v/>
      </c>
      <c r="I8" s="54">
        <f>IF(B8="","",COUNTIF(D$6:D$205,"&gt;"&amp;D8)+COUNTIF(D$6:D8,D8))</f>
        <v/>
      </c>
    </row>
    <row r="9">
      <c r="A9" s="54" t="n">
        <v>4</v>
      </c>
      <c r="B9" s="43">
        <f>IFERROR(INDEX('Work Orders'!$B$11:$B$1010,MATCH(A9,'Work Orders'!$AP$11:$AP$1010,0)),"")</f>
        <v/>
      </c>
      <c r="C9" s="43">
        <f>IF(B9="","",COUNTIFS('Work Orders'!$B$11:$B$1010,B9,'Work Orders'!$A$11:$A$1010,"&lt;&gt;"))</f>
        <v/>
      </c>
      <c r="D9" s="44">
        <f>IF(B9="","",SUMIFS('Work Orders'!$Z$11:$Z$1010,'Work Orders'!$B$11:$B$1010,B9))</f>
        <v/>
      </c>
      <c r="E9" s="44">
        <f>IF(B9="","",SUMIFS('Work Orders'!$J$11:$J$1010,'Work Orders'!$B$11:$B$1010,B9))</f>
        <v/>
      </c>
      <c r="F9" s="44">
        <f>IF(B9="","",SUMIFS('Work Orders'!$AE$11:$AE$1010,'Work Orders'!$B$11:$B$1010,B9))</f>
        <v/>
      </c>
      <c r="G9" s="44">
        <f>IF(B9="","",SUMIFS('Work Orders'!$AH$11:$AH$1010,'Work Orders'!$B$11:$B$1010,B9))</f>
        <v/>
      </c>
      <c r="H9" s="44">
        <f>IF(B9="","",SUMIFS('Work Orders'!$AH$11:$AH$1010,'Work Orders'!$B$11:$B$1010,B9,'Work Orders'!$AM$11:$AM$1010,"&gt;0"))</f>
        <v/>
      </c>
      <c r="I9" s="54">
        <f>IF(B9="","",COUNTIF(D$6:D$205,"&gt;"&amp;D9)+COUNTIF(D$6:D9,D9))</f>
        <v/>
      </c>
    </row>
    <row r="10">
      <c r="A10" s="54" t="n">
        <v>5</v>
      </c>
      <c r="B10" s="43">
        <f>IFERROR(INDEX('Work Orders'!$B$11:$B$1010,MATCH(A10,'Work Orders'!$AP$11:$AP$1010,0)),"")</f>
        <v/>
      </c>
      <c r="C10" s="43">
        <f>IF(B10="","",COUNTIFS('Work Orders'!$B$11:$B$1010,B10,'Work Orders'!$A$11:$A$1010,"&lt;&gt;"))</f>
        <v/>
      </c>
      <c r="D10" s="44">
        <f>IF(B10="","",SUMIFS('Work Orders'!$Z$11:$Z$1010,'Work Orders'!$B$11:$B$1010,B10))</f>
        <v/>
      </c>
      <c r="E10" s="44">
        <f>IF(B10="","",SUMIFS('Work Orders'!$J$11:$J$1010,'Work Orders'!$B$11:$B$1010,B10))</f>
        <v/>
      </c>
      <c r="F10" s="44">
        <f>IF(B10="","",SUMIFS('Work Orders'!$AE$11:$AE$1010,'Work Orders'!$B$11:$B$1010,B10))</f>
        <v/>
      </c>
      <c r="G10" s="44">
        <f>IF(B10="","",SUMIFS('Work Orders'!$AH$11:$AH$1010,'Work Orders'!$B$11:$B$1010,B10))</f>
        <v/>
      </c>
      <c r="H10" s="44">
        <f>IF(B10="","",SUMIFS('Work Orders'!$AH$11:$AH$1010,'Work Orders'!$B$11:$B$1010,B10,'Work Orders'!$AM$11:$AM$1010,"&gt;0"))</f>
        <v/>
      </c>
      <c r="I10" s="54">
        <f>IF(B10="","",COUNTIF(D$6:D$205,"&gt;"&amp;D10)+COUNTIF(D$6:D10,D10))</f>
        <v/>
      </c>
    </row>
    <row r="11">
      <c r="A11" s="54" t="n">
        <v>6</v>
      </c>
      <c r="B11" s="43">
        <f>IFERROR(INDEX('Work Orders'!$B$11:$B$1010,MATCH(A11,'Work Orders'!$AP$11:$AP$1010,0)),"")</f>
        <v/>
      </c>
      <c r="C11" s="43">
        <f>IF(B11="","",COUNTIFS('Work Orders'!$B$11:$B$1010,B11,'Work Orders'!$A$11:$A$1010,"&lt;&gt;"))</f>
        <v/>
      </c>
      <c r="D11" s="44">
        <f>IF(B11="","",SUMIFS('Work Orders'!$Z$11:$Z$1010,'Work Orders'!$B$11:$B$1010,B11))</f>
        <v/>
      </c>
      <c r="E11" s="44">
        <f>IF(B11="","",SUMIFS('Work Orders'!$J$11:$J$1010,'Work Orders'!$B$11:$B$1010,B11))</f>
        <v/>
      </c>
      <c r="F11" s="44">
        <f>IF(B11="","",SUMIFS('Work Orders'!$AE$11:$AE$1010,'Work Orders'!$B$11:$B$1010,B11))</f>
        <v/>
      </c>
      <c r="G11" s="44">
        <f>IF(B11="","",SUMIFS('Work Orders'!$AH$11:$AH$1010,'Work Orders'!$B$11:$B$1010,B11))</f>
        <v/>
      </c>
      <c r="H11" s="44">
        <f>IF(B11="","",SUMIFS('Work Orders'!$AH$11:$AH$1010,'Work Orders'!$B$11:$B$1010,B11,'Work Orders'!$AM$11:$AM$1010,"&gt;0"))</f>
        <v/>
      </c>
      <c r="I11" s="54">
        <f>IF(B11="","",COUNTIF(D$6:D$205,"&gt;"&amp;D11)+COUNTIF(D$6:D11,D11))</f>
        <v/>
      </c>
    </row>
    <row r="12">
      <c r="A12" s="54" t="n">
        <v>7</v>
      </c>
      <c r="B12" s="43">
        <f>IFERROR(INDEX('Work Orders'!$B$11:$B$1010,MATCH(A12,'Work Orders'!$AP$11:$AP$1010,0)),"")</f>
        <v/>
      </c>
      <c r="C12" s="43">
        <f>IF(B12="","",COUNTIFS('Work Orders'!$B$11:$B$1010,B12,'Work Orders'!$A$11:$A$1010,"&lt;&gt;"))</f>
        <v/>
      </c>
      <c r="D12" s="44">
        <f>IF(B12="","",SUMIFS('Work Orders'!$Z$11:$Z$1010,'Work Orders'!$B$11:$B$1010,B12))</f>
        <v/>
      </c>
      <c r="E12" s="44">
        <f>IF(B12="","",SUMIFS('Work Orders'!$J$11:$J$1010,'Work Orders'!$B$11:$B$1010,B12))</f>
        <v/>
      </c>
      <c r="F12" s="44">
        <f>IF(B12="","",SUMIFS('Work Orders'!$AE$11:$AE$1010,'Work Orders'!$B$11:$B$1010,B12))</f>
        <v/>
      </c>
      <c r="G12" s="44">
        <f>IF(B12="","",SUMIFS('Work Orders'!$AH$11:$AH$1010,'Work Orders'!$B$11:$B$1010,B12))</f>
        <v/>
      </c>
      <c r="H12" s="44">
        <f>IF(B12="","",SUMIFS('Work Orders'!$AH$11:$AH$1010,'Work Orders'!$B$11:$B$1010,B12,'Work Orders'!$AM$11:$AM$1010,"&gt;0"))</f>
        <v/>
      </c>
      <c r="I12" s="54">
        <f>IF(B12="","",COUNTIF(D$6:D$205,"&gt;"&amp;D12)+COUNTIF(D$6:D12,D12))</f>
        <v/>
      </c>
    </row>
    <row r="13">
      <c r="A13" s="54" t="n">
        <v>8</v>
      </c>
      <c r="B13" s="43">
        <f>IFERROR(INDEX('Work Orders'!$B$11:$B$1010,MATCH(A13,'Work Orders'!$AP$11:$AP$1010,0)),"")</f>
        <v/>
      </c>
      <c r="C13" s="43">
        <f>IF(B13="","",COUNTIFS('Work Orders'!$B$11:$B$1010,B13,'Work Orders'!$A$11:$A$1010,"&lt;&gt;"))</f>
        <v/>
      </c>
      <c r="D13" s="44">
        <f>IF(B13="","",SUMIFS('Work Orders'!$Z$11:$Z$1010,'Work Orders'!$B$11:$B$1010,B13))</f>
        <v/>
      </c>
      <c r="E13" s="44">
        <f>IF(B13="","",SUMIFS('Work Orders'!$J$11:$J$1010,'Work Orders'!$B$11:$B$1010,B13))</f>
        <v/>
      </c>
      <c r="F13" s="44">
        <f>IF(B13="","",SUMIFS('Work Orders'!$AE$11:$AE$1010,'Work Orders'!$B$11:$B$1010,B13))</f>
        <v/>
      </c>
      <c r="G13" s="44">
        <f>IF(B13="","",SUMIFS('Work Orders'!$AH$11:$AH$1010,'Work Orders'!$B$11:$B$1010,B13))</f>
        <v/>
      </c>
      <c r="H13" s="44">
        <f>IF(B13="","",SUMIFS('Work Orders'!$AH$11:$AH$1010,'Work Orders'!$B$11:$B$1010,B13,'Work Orders'!$AM$11:$AM$1010,"&gt;0"))</f>
        <v/>
      </c>
      <c r="I13" s="54">
        <f>IF(B13="","",COUNTIF(D$6:D$205,"&gt;"&amp;D13)+COUNTIF(D$6:D13,D13))</f>
        <v/>
      </c>
    </row>
    <row r="14">
      <c r="A14" s="54" t="n">
        <v>9</v>
      </c>
      <c r="B14" s="43">
        <f>IFERROR(INDEX('Work Orders'!$B$11:$B$1010,MATCH(A14,'Work Orders'!$AP$11:$AP$1010,0)),"")</f>
        <v/>
      </c>
      <c r="C14" s="43">
        <f>IF(B14="","",COUNTIFS('Work Orders'!$B$11:$B$1010,B14,'Work Orders'!$A$11:$A$1010,"&lt;&gt;"))</f>
        <v/>
      </c>
      <c r="D14" s="44">
        <f>IF(B14="","",SUMIFS('Work Orders'!$Z$11:$Z$1010,'Work Orders'!$B$11:$B$1010,B14))</f>
        <v/>
      </c>
      <c r="E14" s="44">
        <f>IF(B14="","",SUMIFS('Work Orders'!$J$11:$J$1010,'Work Orders'!$B$11:$B$1010,B14))</f>
        <v/>
      </c>
      <c r="F14" s="44">
        <f>IF(B14="","",SUMIFS('Work Orders'!$AE$11:$AE$1010,'Work Orders'!$B$11:$B$1010,B14))</f>
        <v/>
      </c>
      <c r="G14" s="44">
        <f>IF(B14="","",SUMIFS('Work Orders'!$AH$11:$AH$1010,'Work Orders'!$B$11:$B$1010,B14))</f>
        <v/>
      </c>
      <c r="H14" s="44">
        <f>IF(B14="","",SUMIFS('Work Orders'!$AH$11:$AH$1010,'Work Orders'!$B$11:$B$1010,B14,'Work Orders'!$AM$11:$AM$1010,"&gt;0"))</f>
        <v/>
      </c>
      <c r="I14" s="54">
        <f>IF(B14="","",COUNTIF(D$6:D$205,"&gt;"&amp;D14)+COUNTIF(D$6:D14,D14))</f>
        <v/>
      </c>
    </row>
    <row r="15">
      <c r="A15" s="54" t="n">
        <v>10</v>
      </c>
      <c r="B15" s="43">
        <f>IFERROR(INDEX('Work Orders'!$B$11:$B$1010,MATCH(A15,'Work Orders'!$AP$11:$AP$1010,0)),"")</f>
        <v/>
      </c>
      <c r="C15" s="43">
        <f>IF(B15="","",COUNTIFS('Work Orders'!$B$11:$B$1010,B15,'Work Orders'!$A$11:$A$1010,"&lt;&gt;"))</f>
        <v/>
      </c>
      <c r="D15" s="44">
        <f>IF(B15="","",SUMIFS('Work Orders'!$Z$11:$Z$1010,'Work Orders'!$B$11:$B$1010,B15))</f>
        <v/>
      </c>
      <c r="E15" s="44">
        <f>IF(B15="","",SUMIFS('Work Orders'!$J$11:$J$1010,'Work Orders'!$B$11:$B$1010,B15))</f>
        <v/>
      </c>
      <c r="F15" s="44">
        <f>IF(B15="","",SUMIFS('Work Orders'!$AE$11:$AE$1010,'Work Orders'!$B$11:$B$1010,B15))</f>
        <v/>
      </c>
      <c r="G15" s="44">
        <f>IF(B15="","",SUMIFS('Work Orders'!$AH$11:$AH$1010,'Work Orders'!$B$11:$B$1010,B15))</f>
        <v/>
      </c>
      <c r="H15" s="44">
        <f>IF(B15="","",SUMIFS('Work Orders'!$AH$11:$AH$1010,'Work Orders'!$B$11:$B$1010,B15,'Work Orders'!$AM$11:$AM$1010,"&gt;0"))</f>
        <v/>
      </c>
      <c r="I15" s="54">
        <f>IF(B15="","",COUNTIF(D$6:D$205,"&gt;"&amp;D15)+COUNTIF(D$6:D15,D15))</f>
        <v/>
      </c>
    </row>
    <row r="16">
      <c r="A16" s="54" t="n">
        <v>11</v>
      </c>
      <c r="B16" s="43">
        <f>IFERROR(INDEX('Work Orders'!$B$11:$B$1010,MATCH(A16,'Work Orders'!$AP$11:$AP$1010,0)),"")</f>
        <v/>
      </c>
      <c r="C16" s="43">
        <f>IF(B16="","",COUNTIFS('Work Orders'!$B$11:$B$1010,B16,'Work Orders'!$A$11:$A$1010,"&lt;&gt;"))</f>
        <v/>
      </c>
      <c r="D16" s="44">
        <f>IF(B16="","",SUMIFS('Work Orders'!$Z$11:$Z$1010,'Work Orders'!$B$11:$B$1010,B16))</f>
        <v/>
      </c>
      <c r="E16" s="44">
        <f>IF(B16="","",SUMIFS('Work Orders'!$J$11:$J$1010,'Work Orders'!$B$11:$B$1010,B16))</f>
        <v/>
      </c>
      <c r="F16" s="44">
        <f>IF(B16="","",SUMIFS('Work Orders'!$AE$11:$AE$1010,'Work Orders'!$B$11:$B$1010,B16))</f>
        <v/>
      </c>
      <c r="G16" s="44">
        <f>IF(B16="","",SUMIFS('Work Orders'!$AH$11:$AH$1010,'Work Orders'!$B$11:$B$1010,B16))</f>
        <v/>
      </c>
      <c r="H16" s="44">
        <f>IF(B16="","",SUMIFS('Work Orders'!$AH$11:$AH$1010,'Work Orders'!$B$11:$B$1010,B16,'Work Orders'!$AM$11:$AM$1010,"&gt;0"))</f>
        <v/>
      </c>
      <c r="I16" s="54">
        <f>IF(B16="","",COUNTIF(D$6:D$205,"&gt;"&amp;D16)+COUNTIF(D$6:D16,D16))</f>
        <v/>
      </c>
    </row>
    <row r="17">
      <c r="A17" s="54" t="n">
        <v>12</v>
      </c>
      <c r="B17" s="43">
        <f>IFERROR(INDEX('Work Orders'!$B$11:$B$1010,MATCH(A17,'Work Orders'!$AP$11:$AP$1010,0)),"")</f>
        <v/>
      </c>
      <c r="C17" s="43">
        <f>IF(B17="","",COUNTIFS('Work Orders'!$B$11:$B$1010,B17,'Work Orders'!$A$11:$A$1010,"&lt;&gt;"))</f>
        <v/>
      </c>
      <c r="D17" s="44">
        <f>IF(B17="","",SUMIFS('Work Orders'!$Z$11:$Z$1010,'Work Orders'!$B$11:$B$1010,B17))</f>
        <v/>
      </c>
      <c r="E17" s="44">
        <f>IF(B17="","",SUMIFS('Work Orders'!$J$11:$J$1010,'Work Orders'!$B$11:$B$1010,B17))</f>
        <v/>
      </c>
      <c r="F17" s="44">
        <f>IF(B17="","",SUMIFS('Work Orders'!$AE$11:$AE$1010,'Work Orders'!$B$11:$B$1010,B17))</f>
        <v/>
      </c>
      <c r="G17" s="44">
        <f>IF(B17="","",SUMIFS('Work Orders'!$AH$11:$AH$1010,'Work Orders'!$B$11:$B$1010,B17))</f>
        <v/>
      </c>
      <c r="H17" s="44">
        <f>IF(B17="","",SUMIFS('Work Orders'!$AH$11:$AH$1010,'Work Orders'!$B$11:$B$1010,B17,'Work Orders'!$AM$11:$AM$1010,"&gt;0"))</f>
        <v/>
      </c>
      <c r="I17" s="54">
        <f>IF(B17="","",COUNTIF(D$6:D$205,"&gt;"&amp;D17)+COUNTIF(D$6:D17,D17))</f>
        <v/>
      </c>
    </row>
    <row r="18">
      <c r="A18" s="54" t="n">
        <v>13</v>
      </c>
      <c r="B18" s="43">
        <f>IFERROR(INDEX('Work Orders'!$B$11:$B$1010,MATCH(A18,'Work Orders'!$AP$11:$AP$1010,0)),"")</f>
        <v/>
      </c>
      <c r="C18" s="43">
        <f>IF(B18="","",COUNTIFS('Work Orders'!$B$11:$B$1010,B18,'Work Orders'!$A$11:$A$1010,"&lt;&gt;"))</f>
        <v/>
      </c>
      <c r="D18" s="44">
        <f>IF(B18="","",SUMIFS('Work Orders'!$Z$11:$Z$1010,'Work Orders'!$B$11:$B$1010,B18))</f>
        <v/>
      </c>
      <c r="E18" s="44">
        <f>IF(B18="","",SUMIFS('Work Orders'!$J$11:$J$1010,'Work Orders'!$B$11:$B$1010,B18))</f>
        <v/>
      </c>
      <c r="F18" s="44">
        <f>IF(B18="","",SUMIFS('Work Orders'!$AE$11:$AE$1010,'Work Orders'!$B$11:$B$1010,B18))</f>
        <v/>
      </c>
      <c r="G18" s="44">
        <f>IF(B18="","",SUMIFS('Work Orders'!$AH$11:$AH$1010,'Work Orders'!$B$11:$B$1010,B18))</f>
        <v/>
      </c>
      <c r="H18" s="44">
        <f>IF(B18="","",SUMIFS('Work Orders'!$AH$11:$AH$1010,'Work Orders'!$B$11:$B$1010,B18,'Work Orders'!$AM$11:$AM$1010,"&gt;0"))</f>
        <v/>
      </c>
      <c r="I18" s="54">
        <f>IF(B18="","",COUNTIF(D$6:D$205,"&gt;"&amp;D18)+COUNTIF(D$6:D18,D18))</f>
        <v/>
      </c>
    </row>
    <row r="19">
      <c r="A19" s="54" t="n">
        <v>14</v>
      </c>
      <c r="B19" s="43">
        <f>IFERROR(INDEX('Work Orders'!$B$11:$B$1010,MATCH(A19,'Work Orders'!$AP$11:$AP$1010,0)),"")</f>
        <v/>
      </c>
      <c r="C19" s="43">
        <f>IF(B19="","",COUNTIFS('Work Orders'!$B$11:$B$1010,B19,'Work Orders'!$A$11:$A$1010,"&lt;&gt;"))</f>
        <v/>
      </c>
      <c r="D19" s="44">
        <f>IF(B19="","",SUMIFS('Work Orders'!$Z$11:$Z$1010,'Work Orders'!$B$11:$B$1010,B19))</f>
        <v/>
      </c>
      <c r="E19" s="44">
        <f>IF(B19="","",SUMIFS('Work Orders'!$J$11:$J$1010,'Work Orders'!$B$11:$B$1010,B19))</f>
        <v/>
      </c>
      <c r="F19" s="44">
        <f>IF(B19="","",SUMIFS('Work Orders'!$AE$11:$AE$1010,'Work Orders'!$B$11:$B$1010,B19))</f>
        <v/>
      </c>
      <c r="G19" s="44">
        <f>IF(B19="","",SUMIFS('Work Orders'!$AH$11:$AH$1010,'Work Orders'!$B$11:$B$1010,B19))</f>
        <v/>
      </c>
      <c r="H19" s="44">
        <f>IF(B19="","",SUMIFS('Work Orders'!$AH$11:$AH$1010,'Work Orders'!$B$11:$B$1010,B19,'Work Orders'!$AM$11:$AM$1010,"&gt;0"))</f>
        <v/>
      </c>
      <c r="I19" s="54">
        <f>IF(B19="","",COUNTIF(D$6:D$205,"&gt;"&amp;D19)+COUNTIF(D$6:D19,D19))</f>
        <v/>
      </c>
    </row>
    <row r="20">
      <c r="A20" s="54" t="n">
        <v>15</v>
      </c>
      <c r="B20" s="43">
        <f>IFERROR(INDEX('Work Orders'!$B$11:$B$1010,MATCH(A20,'Work Orders'!$AP$11:$AP$1010,0)),"")</f>
        <v/>
      </c>
      <c r="C20" s="43">
        <f>IF(B20="","",COUNTIFS('Work Orders'!$B$11:$B$1010,B20,'Work Orders'!$A$11:$A$1010,"&lt;&gt;"))</f>
        <v/>
      </c>
      <c r="D20" s="44">
        <f>IF(B20="","",SUMIFS('Work Orders'!$Z$11:$Z$1010,'Work Orders'!$B$11:$B$1010,B20))</f>
        <v/>
      </c>
      <c r="E20" s="44">
        <f>IF(B20="","",SUMIFS('Work Orders'!$J$11:$J$1010,'Work Orders'!$B$11:$B$1010,B20))</f>
        <v/>
      </c>
      <c r="F20" s="44">
        <f>IF(B20="","",SUMIFS('Work Orders'!$AE$11:$AE$1010,'Work Orders'!$B$11:$B$1010,B20))</f>
        <v/>
      </c>
      <c r="G20" s="44">
        <f>IF(B20="","",SUMIFS('Work Orders'!$AH$11:$AH$1010,'Work Orders'!$B$11:$B$1010,B20))</f>
        <v/>
      </c>
      <c r="H20" s="44">
        <f>IF(B20="","",SUMIFS('Work Orders'!$AH$11:$AH$1010,'Work Orders'!$B$11:$B$1010,B20,'Work Orders'!$AM$11:$AM$1010,"&gt;0"))</f>
        <v/>
      </c>
      <c r="I20" s="54">
        <f>IF(B20="","",COUNTIF(D$6:D$205,"&gt;"&amp;D20)+COUNTIF(D$6:D20,D20))</f>
        <v/>
      </c>
    </row>
    <row r="21">
      <c r="A21" s="54" t="n">
        <v>16</v>
      </c>
      <c r="B21" s="43">
        <f>IFERROR(INDEX('Work Orders'!$B$11:$B$1010,MATCH(A21,'Work Orders'!$AP$11:$AP$1010,0)),"")</f>
        <v/>
      </c>
      <c r="C21" s="43">
        <f>IF(B21="","",COUNTIFS('Work Orders'!$B$11:$B$1010,B21,'Work Orders'!$A$11:$A$1010,"&lt;&gt;"))</f>
        <v/>
      </c>
      <c r="D21" s="44">
        <f>IF(B21="","",SUMIFS('Work Orders'!$Z$11:$Z$1010,'Work Orders'!$B$11:$B$1010,B21))</f>
        <v/>
      </c>
      <c r="E21" s="44">
        <f>IF(B21="","",SUMIFS('Work Orders'!$J$11:$J$1010,'Work Orders'!$B$11:$B$1010,B21))</f>
        <v/>
      </c>
      <c r="F21" s="44">
        <f>IF(B21="","",SUMIFS('Work Orders'!$AE$11:$AE$1010,'Work Orders'!$B$11:$B$1010,B21))</f>
        <v/>
      </c>
      <c r="G21" s="44">
        <f>IF(B21="","",SUMIFS('Work Orders'!$AH$11:$AH$1010,'Work Orders'!$B$11:$B$1010,B21))</f>
        <v/>
      </c>
      <c r="H21" s="44">
        <f>IF(B21="","",SUMIFS('Work Orders'!$AH$11:$AH$1010,'Work Orders'!$B$11:$B$1010,B21,'Work Orders'!$AM$11:$AM$1010,"&gt;0"))</f>
        <v/>
      </c>
      <c r="I21" s="54">
        <f>IF(B21="","",COUNTIF(D$6:D$205,"&gt;"&amp;D21)+COUNTIF(D$6:D21,D21))</f>
        <v/>
      </c>
    </row>
    <row r="22">
      <c r="A22" s="54" t="n">
        <v>17</v>
      </c>
      <c r="B22" s="43">
        <f>IFERROR(INDEX('Work Orders'!$B$11:$B$1010,MATCH(A22,'Work Orders'!$AP$11:$AP$1010,0)),"")</f>
        <v/>
      </c>
      <c r="C22" s="43">
        <f>IF(B22="","",COUNTIFS('Work Orders'!$B$11:$B$1010,B22,'Work Orders'!$A$11:$A$1010,"&lt;&gt;"))</f>
        <v/>
      </c>
      <c r="D22" s="44">
        <f>IF(B22="","",SUMIFS('Work Orders'!$Z$11:$Z$1010,'Work Orders'!$B$11:$B$1010,B22))</f>
        <v/>
      </c>
      <c r="E22" s="44">
        <f>IF(B22="","",SUMIFS('Work Orders'!$J$11:$J$1010,'Work Orders'!$B$11:$B$1010,B22))</f>
        <v/>
      </c>
      <c r="F22" s="44">
        <f>IF(B22="","",SUMIFS('Work Orders'!$AE$11:$AE$1010,'Work Orders'!$B$11:$B$1010,B22))</f>
        <v/>
      </c>
      <c r="G22" s="44">
        <f>IF(B22="","",SUMIFS('Work Orders'!$AH$11:$AH$1010,'Work Orders'!$B$11:$B$1010,B22))</f>
        <v/>
      </c>
      <c r="H22" s="44">
        <f>IF(B22="","",SUMIFS('Work Orders'!$AH$11:$AH$1010,'Work Orders'!$B$11:$B$1010,B22,'Work Orders'!$AM$11:$AM$1010,"&gt;0"))</f>
        <v/>
      </c>
      <c r="I22" s="54">
        <f>IF(B22="","",COUNTIF(D$6:D$205,"&gt;"&amp;D22)+COUNTIF(D$6:D22,D22))</f>
        <v/>
      </c>
    </row>
    <row r="23">
      <c r="A23" s="54" t="n">
        <v>18</v>
      </c>
      <c r="B23" s="43">
        <f>IFERROR(INDEX('Work Orders'!$B$11:$B$1010,MATCH(A23,'Work Orders'!$AP$11:$AP$1010,0)),"")</f>
        <v/>
      </c>
      <c r="C23" s="43">
        <f>IF(B23="","",COUNTIFS('Work Orders'!$B$11:$B$1010,B23,'Work Orders'!$A$11:$A$1010,"&lt;&gt;"))</f>
        <v/>
      </c>
      <c r="D23" s="44">
        <f>IF(B23="","",SUMIFS('Work Orders'!$Z$11:$Z$1010,'Work Orders'!$B$11:$B$1010,B23))</f>
        <v/>
      </c>
      <c r="E23" s="44">
        <f>IF(B23="","",SUMIFS('Work Orders'!$J$11:$J$1010,'Work Orders'!$B$11:$B$1010,B23))</f>
        <v/>
      </c>
      <c r="F23" s="44">
        <f>IF(B23="","",SUMIFS('Work Orders'!$AE$11:$AE$1010,'Work Orders'!$B$11:$B$1010,B23))</f>
        <v/>
      </c>
      <c r="G23" s="44">
        <f>IF(B23="","",SUMIFS('Work Orders'!$AH$11:$AH$1010,'Work Orders'!$B$11:$B$1010,B23))</f>
        <v/>
      </c>
      <c r="H23" s="44">
        <f>IF(B23="","",SUMIFS('Work Orders'!$AH$11:$AH$1010,'Work Orders'!$B$11:$B$1010,B23,'Work Orders'!$AM$11:$AM$1010,"&gt;0"))</f>
        <v/>
      </c>
      <c r="I23" s="54">
        <f>IF(B23="","",COUNTIF(D$6:D$205,"&gt;"&amp;D23)+COUNTIF(D$6:D23,D23))</f>
        <v/>
      </c>
    </row>
    <row r="24">
      <c r="A24" s="54" t="n">
        <v>19</v>
      </c>
      <c r="B24" s="43">
        <f>IFERROR(INDEX('Work Orders'!$B$11:$B$1010,MATCH(A24,'Work Orders'!$AP$11:$AP$1010,0)),"")</f>
        <v/>
      </c>
      <c r="C24" s="43">
        <f>IF(B24="","",COUNTIFS('Work Orders'!$B$11:$B$1010,B24,'Work Orders'!$A$11:$A$1010,"&lt;&gt;"))</f>
        <v/>
      </c>
      <c r="D24" s="44">
        <f>IF(B24="","",SUMIFS('Work Orders'!$Z$11:$Z$1010,'Work Orders'!$B$11:$B$1010,B24))</f>
        <v/>
      </c>
      <c r="E24" s="44">
        <f>IF(B24="","",SUMIFS('Work Orders'!$J$11:$J$1010,'Work Orders'!$B$11:$B$1010,B24))</f>
        <v/>
      </c>
      <c r="F24" s="44">
        <f>IF(B24="","",SUMIFS('Work Orders'!$AE$11:$AE$1010,'Work Orders'!$B$11:$B$1010,B24))</f>
        <v/>
      </c>
      <c r="G24" s="44">
        <f>IF(B24="","",SUMIFS('Work Orders'!$AH$11:$AH$1010,'Work Orders'!$B$11:$B$1010,B24))</f>
        <v/>
      </c>
      <c r="H24" s="44">
        <f>IF(B24="","",SUMIFS('Work Orders'!$AH$11:$AH$1010,'Work Orders'!$B$11:$B$1010,B24,'Work Orders'!$AM$11:$AM$1010,"&gt;0"))</f>
        <v/>
      </c>
      <c r="I24" s="54">
        <f>IF(B24="","",COUNTIF(D$6:D$205,"&gt;"&amp;D24)+COUNTIF(D$6:D24,D24))</f>
        <v/>
      </c>
    </row>
    <row r="25">
      <c r="A25" s="54" t="n">
        <v>20</v>
      </c>
      <c r="B25" s="43">
        <f>IFERROR(INDEX('Work Orders'!$B$11:$B$1010,MATCH(A25,'Work Orders'!$AP$11:$AP$1010,0)),"")</f>
        <v/>
      </c>
      <c r="C25" s="43">
        <f>IF(B25="","",COUNTIFS('Work Orders'!$B$11:$B$1010,B25,'Work Orders'!$A$11:$A$1010,"&lt;&gt;"))</f>
        <v/>
      </c>
      <c r="D25" s="44">
        <f>IF(B25="","",SUMIFS('Work Orders'!$Z$11:$Z$1010,'Work Orders'!$B$11:$B$1010,B25))</f>
        <v/>
      </c>
      <c r="E25" s="44">
        <f>IF(B25="","",SUMIFS('Work Orders'!$J$11:$J$1010,'Work Orders'!$B$11:$B$1010,B25))</f>
        <v/>
      </c>
      <c r="F25" s="44">
        <f>IF(B25="","",SUMIFS('Work Orders'!$AE$11:$AE$1010,'Work Orders'!$B$11:$B$1010,B25))</f>
        <v/>
      </c>
      <c r="G25" s="44">
        <f>IF(B25="","",SUMIFS('Work Orders'!$AH$11:$AH$1010,'Work Orders'!$B$11:$B$1010,B25))</f>
        <v/>
      </c>
      <c r="H25" s="44">
        <f>IF(B25="","",SUMIFS('Work Orders'!$AH$11:$AH$1010,'Work Orders'!$B$11:$B$1010,B25,'Work Orders'!$AM$11:$AM$1010,"&gt;0"))</f>
        <v/>
      </c>
      <c r="I25" s="54">
        <f>IF(B25="","",COUNTIF(D$6:D$205,"&gt;"&amp;D25)+COUNTIF(D$6:D25,D25))</f>
        <v/>
      </c>
    </row>
    <row r="26">
      <c r="A26" s="54" t="n">
        <v>21</v>
      </c>
      <c r="B26" s="43">
        <f>IFERROR(INDEX('Work Orders'!$B$11:$B$1010,MATCH(A26,'Work Orders'!$AP$11:$AP$1010,0)),"")</f>
        <v/>
      </c>
      <c r="C26" s="43">
        <f>IF(B26="","",COUNTIFS('Work Orders'!$B$11:$B$1010,B26,'Work Orders'!$A$11:$A$1010,"&lt;&gt;"))</f>
        <v/>
      </c>
      <c r="D26" s="44">
        <f>IF(B26="","",SUMIFS('Work Orders'!$Z$11:$Z$1010,'Work Orders'!$B$11:$B$1010,B26))</f>
        <v/>
      </c>
      <c r="E26" s="44">
        <f>IF(B26="","",SUMIFS('Work Orders'!$J$11:$J$1010,'Work Orders'!$B$11:$B$1010,B26))</f>
        <v/>
      </c>
      <c r="F26" s="44">
        <f>IF(B26="","",SUMIFS('Work Orders'!$AE$11:$AE$1010,'Work Orders'!$B$11:$B$1010,B26))</f>
        <v/>
      </c>
      <c r="G26" s="44">
        <f>IF(B26="","",SUMIFS('Work Orders'!$AH$11:$AH$1010,'Work Orders'!$B$11:$B$1010,B26))</f>
        <v/>
      </c>
      <c r="H26" s="44">
        <f>IF(B26="","",SUMIFS('Work Orders'!$AH$11:$AH$1010,'Work Orders'!$B$11:$B$1010,B26,'Work Orders'!$AM$11:$AM$1010,"&gt;0"))</f>
        <v/>
      </c>
      <c r="I26" s="54">
        <f>IF(B26="","",COUNTIF(D$6:D$205,"&gt;"&amp;D26)+COUNTIF(D$6:D26,D26))</f>
        <v/>
      </c>
    </row>
    <row r="27">
      <c r="A27" s="54" t="n">
        <v>22</v>
      </c>
      <c r="B27" s="43">
        <f>IFERROR(INDEX('Work Orders'!$B$11:$B$1010,MATCH(A27,'Work Orders'!$AP$11:$AP$1010,0)),"")</f>
        <v/>
      </c>
      <c r="C27" s="43">
        <f>IF(B27="","",COUNTIFS('Work Orders'!$B$11:$B$1010,B27,'Work Orders'!$A$11:$A$1010,"&lt;&gt;"))</f>
        <v/>
      </c>
      <c r="D27" s="44">
        <f>IF(B27="","",SUMIFS('Work Orders'!$Z$11:$Z$1010,'Work Orders'!$B$11:$B$1010,B27))</f>
        <v/>
      </c>
      <c r="E27" s="44">
        <f>IF(B27="","",SUMIFS('Work Orders'!$J$11:$J$1010,'Work Orders'!$B$11:$B$1010,B27))</f>
        <v/>
      </c>
      <c r="F27" s="44">
        <f>IF(B27="","",SUMIFS('Work Orders'!$AE$11:$AE$1010,'Work Orders'!$B$11:$B$1010,B27))</f>
        <v/>
      </c>
      <c r="G27" s="44">
        <f>IF(B27="","",SUMIFS('Work Orders'!$AH$11:$AH$1010,'Work Orders'!$B$11:$B$1010,B27))</f>
        <v/>
      </c>
      <c r="H27" s="44">
        <f>IF(B27="","",SUMIFS('Work Orders'!$AH$11:$AH$1010,'Work Orders'!$B$11:$B$1010,B27,'Work Orders'!$AM$11:$AM$1010,"&gt;0"))</f>
        <v/>
      </c>
      <c r="I27" s="54">
        <f>IF(B27="","",COUNTIF(D$6:D$205,"&gt;"&amp;D27)+COUNTIF(D$6:D27,D27))</f>
        <v/>
      </c>
    </row>
    <row r="28">
      <c r="A28" s="54" t="n">
        <v>23</v>
      </c>
      <c r="B28" s="43">
        <f>IFERROR(INDEX('Work Orders'!$B$11:$B$1010,MATCH(A28,'Work Orders'!$AP$11:$AP$1010,0)),"")</f>
        <v/>
      </c>
      <c r="C28" s="43">
        <f>IF(B28="","",COUNTIFS('Work Orders'!$B$11:$B$1010,B28,'Work Orders'!$A$11:$A$1010,"&lt;&gt;"))</f>
        <v/>
      </c>
      <c r="D28" s="44">
        <f>IF(B28="","",SUMIFS('Work Orders'!$Z$11:$Z$1010,'Work Orders'!$B$11:$B$1010,B28))</f>
        <v/>
      </c>
      <c r="E28" s="44">
        <f>IF(B28="","",SUMIFS('Work Orders'!$J$11:$J$1010,'Work Orders'!$B$11:$B$1010,B28))</f>
        <v/>
      </c>
      <c r="F28" s="44">
        <f>IF(B28="","",SUMIFS('Work Orders'!$AE$11:$AE$1010,'Work Orders'!$B$11:$B$1010,B28))</f>
        <v/>
      </c>
      <c r="G28" s="44">
        <f>IF(B28="","",SUMIFS('Work Orders'!$AH$11:$AH$1010,'Work Orders'!$B$11:$B$1010,B28))</f>
        <v/>
      </c>
      <c r="H28" s="44">
        <f>IF(B28="","",SUMIFS('Work Orders'!$AH$11:$AH$1010,'Work Orders'!$B$11:$B$1010,B28,'Work Orders'!$AM$11:$AM$1010,"&gt;0"))</f>
        <v/>
      </c>
      <c r="I28" s="54">
        <f>IF(B28="","",COUNTIF(D$6:D$205,"&gt;"&amp;D28)+COUNTIF(D$6:D28,D28))</f>
        <v/>
      </c>
    </row>
    <row r="29">
      <c r="A29" s="54" t="n">
        <v>24</v>
      </c>
      <c r="B29" s="43">
        <f>IFERROR(INDEX('Work Orders'!$B$11:$B$1010,MATCH(A29,'Work Orders'!$AP$11:$AP$1010,0)),"")</f>
        <v/>
      </c>
      <c r="C29" s="43">
        <f>IF(B29="","",COUNTIFS('Work Orders'!$B$11:$B$1010,B29,'Work Orders'!$A$11:$A$1010,"&lt;&gt;"))</f>
        <v/>
      </c>
      <c r="D29" s="44">
        <f>IF(B29="","",SUMIFS('Work Orders'!$Z$11:$Z$1010,'Work Orders'!$B$11:$B$1010,B29))</f>
        <v/>
      </c>
      <c r="E29" s="44">
        <f>IF(B29="","",SUMIFS('Work Orders'!$J$11:$J$1010,'Work Orders'!$B$11:$B$1010,B29))</f>
        <v/>
      </c>
      <c r="F29" s="44">
        <f>IF(B29="","",SUMIFS('Work Orders'!$AE$11:$AE$1010,'Work Orders'!$B$11:$B$1010,B29))</f>
        <v/>
      </c>
      <c r="G29" s="44">
        <f>IF(B29="","",SUMIFS('Work Orders'!$AH$11:$AH$1010,'Work Orders'!$B$11:$B$1010,B29))</f>
        <v/>
      </c>
      <c r="H29" s="44">
        <f>IF(B29="","",SUMIFS('Work Orders'!$AH$11:$AH$1010,'Work Orders'!$B$11:$B$1010,B29,'Work Orders'!$AM$11:$AM$1010,"&gt;0"))</f>
        <v/>
      </c>
      <c r="I29" s="54">
        <f>IF(B29="","",COUNTIF(D$6:D$205,"&gt;"&amp;D29)+COUNTIF(D$6:D29,D29))</f>
        <v/>
      </c>
    </row>
    <row r="30">
      <c r="A30" s="54" t="n">
        <v>25</v>
      </c>
      <c r="B30" s="43">
        <f>IFERROR(INDEX('Work Orders'!$B$11:$B$1010,MATCH(A30,'Work Orders'!$AP$11:$AP$1010,0)),"")</f>
        <v/>
      </c>
      <c r="C30" s="43">
        <f>IF(B30="","",COUNTIFS('Work Orders'!$B$11:$B$1010,B30,'Work Orders'!$A$11:$A$1010,"&lt;&gt;"))</f>
        <v/>
      </c>
      <c r="D30" s="44">
        <f>IF(B30="","",SUMIFS('Work Orders'!$Z$11:$Z$1010,'Work Orders'!$B$11:$B$1010,B30))</f>
        <v/>
      </c>
      <c r="E30" s="44">
        <f>IF(B30="","",SUMIFS('Work Orders'!$J$11:$J$1010,'Work Orders'!$B$11:$B$1010,B30))</f>
        <v/>
      </c>
      <c r="F30" s="44">
        <f>IF(B30="","",SUMIFS('Work Orders'!$AE$11:$AE$1010,'Work Orders'!$B$11:$B$1010,B30))</f>
        <v/>
      </c>
      <c r="G30" s="44">
        <f>IF(B30="","",SUMIFS('Work Orders'!$AH$11:$AH$1010,'Work Orders'!$B$11:$B$1010,B30))</f>
        <v/>
      </c>
      <c r="H30" s="44">
        <f>IF(B30="","",SUMIFS('Work Orders'!$AH$11:$AH$1010,'Work Orders'!$B$11:$B$1010,B30,'Work Orders'!$AM$11:$AM$1010,"&gt;0"))</f>
        <v/>
      </c>
      <c r="I30" s="54">
        <f>IF(B30="","",COUNTIF(D$6:D$205,"&gt;"&amp;D30)+COUNTIF(D$6:D30,D30))</f>
        <v/>
      </c>
    </row>
    <row r="31">
      <c r="A31" s="54" t="n">
        <v>26</v>
      </c>
      <c r="B31" s="43">
        <f>IFERROR(INDEX('Work Orders'!$B$11:$B$1010,MATCH(A31,'Work Orders'!$AP$11:$AP$1010,0)),"")</f>
        <v/>
      </c>
      <c r="C31" s="43">
        <f>IF(B31="","",COUNTIFS('Work Orders'!$B$11:$B$1010,B31,'Work Orders'!$A$11:$A$1010,"&lt;&gt;"))</f>
        <v/>
      </c>
      <c r="D31" s="44">
        <f>IF(B31="","",SUMIFS('Work Orders'!$Z$11:$Z$1010,'Work Orders'!$B$11:$B$1010,B31))</f>
        <v/>
      </c>
      <c r="E31" s="44">
        <f>IF(B31="","",SUMIFS('Work Orders'!$J$11:$J$1010,'Work Orders'!$B$11:$B$1010,B31))</f>
        <v/>
      </c>
      <c r="F31" s="44">
        <f>IF(B31="","",SUMIFS('Work Orders'!$AE$11:$AE$1010,'Work Orders'!$B$11:$B$1010,B31))</f>
        <v/>
      </c>
      <c r="G31" s="44">
        <f>IF(B31="","",SUMIFS('Work Orders'!$AH$11:$AH$1010,'Work Orders'!$B$11:$B$1010,B31))</f>
        <v/>
      </c>
      <c r="H31" s="44">
        <f>IF(B31="","",SUMIFS('Work Orders'!$AH$11:$AH$1010,'Work Orders'!$B$11:$B$1010,B31,'Work Orders'!$AM$11:$AM$1010,"&gt;0"))</f>
        <v/>
      </c>
      <c r="I31" s="54">
        <f>IF(B31="","",COUNTIF(D$6:D$205,"&gt;"&amp;D31)+COUNTIF(D$6:D31,D31))</f>
        <v/>
      </c>
    </row>
    <row r="32">
      <c r="A32" s="54" t="n">
        <v>27</v>
      </c>
      <c r="B32" s="43">
        <f>IFERROR(INDEX('Work Orders'!$B$11:$B$1010,MATCH(A32,'Work Orders'!$AP$11:$AP$1010,0)),"")</f>
        <v/>
      </c>
      <c r="C32" s="43">
        <f>IF(B32="","",COUNTIFS('Work Orders'!$B$11:$B$1010,B32,'Work Orders'!$A$11:$A$1010,"&lt;&gt;"))</f>
        <v/>
      </c>
      <c r="D32" s="44">
        <f>IF(B32="","",SUMIFS('Work Orders'!$Z$11:$Z$1010,'Work Orders'!$B$11:$B$1010,B32))</f>
        <v/>
      </c>
      <c r="E32" s="44">
        <f>IF(B32="","",SUMIFS('Work Orders'!$J$11:$J$1010,'Work Orders'!$B$11:$B$1010,B32))</f>
        <v/>
      </c>
      <c r="F32" s="44">
        <f>IF(B32="","",SUMIFS('Work Orders'!$AE$11:$AE$1010,'Work Orders'!$B$11:$B$1010,B32))</f>
        <v/>
      </c>
      <c r="G32" s="44">
        <f>IF(B32="","",SUMIFS('Work Orders'!$AH$11:$AH$1010,'Work Orders'!$B$11:$B$1010,B32))</f>
        <v/>
      </c>
      <c r="H32" s="44">
        <f>IF(B32="","",SUMIFS('Work Orders'!$AH$11:$AH$1010,'Work Orders'!$B$11:$B$1010,B32,'Work Orders'!$AM$11:$AM$1010,"&gt;0"))</f>
        <v/>
      </c>
      <c r="I32" s="54">
        <f>IF(B32="","",COUNTIF(D$6:D$205,"&gt;"&amp;D32)+COUNTIF(D$6:D32,D32))</f>
        <v/>
      </c>
    </row>
    <row r="33">
      <c r="A33" s="54" t="n">
        <v>28</v>
      </c>
      <c r="B33" s="43">
        <f>IFERROR(INDEX('Work Orders'!$B$11:$B$1010,MATCH(A33,'Work Orders'!$AP$11:$AP$1010,0)),"")</f>
        <v/>
      </c>
      <c r="C33" s="43">
        <f>IF(B33="","",COUNTIFS('Work Orders'!$B$11:$B$1010,B33,'Work Orders'!$A$11:$A$1010,"&lt;&gt;"))</f>
        <v/>
      </c>
      <c r="D33" s="44">
        <f>IF(B33="","",SUMIFS('Work Orders'!$Z$11:$Z$1010,'Work Orders'!$B$11:$B$1010,B33))</f>
        <v/>
      </c>
      <c r="E33" s="44">
        <f>IF(B33="","",SUMIFS('Work Orders'!$J$11:$J$1010,'Work Orders'!$B$11:$B$1010,B33))</f>
        <v/>
      </c>
      <c r="F33" s="44">
        <f>IF(B33="","",SUMIFS('Work Orders'!$AE$11:$AE$1010,'Work Orders'!$B$11:$B$1010,B33))</f>
        <v/>
      </c>
      <c r="G33" s="44">
        <f>IF(B33="","",SUMIFS('Work Orders'!$AH$11:$AH$1010,'Work Orders'!$B$11:$B$1010,B33))</f>
        <v/>
      </c>
      <c r="H33" s="44">
        <f>IF(B33="","",SUMIFS('Work Orders'!$AH$11:$AH$1010,'Work Orders'!$B$11:$B$1010,B33,'Work Orders'!$AM$11:$AM$1010,"&gt;0"))</f>
        <v/>
      </c>
      <c r="I33" s="54">
        <f>IF(B33="","",COUNTIF(D$6:D$205,"&gt;"&amp;D33)+COUNTIF(D$6:D33,D33))</f>
        <v/>
      </c>
    </row>
    <row r="34">
      <c r="A34" s="54" t="n">
        <v>29</v>
      </c>
      <c r="B34" s="43">
        <f>IFERROR(INDEX('Work Orders'!$B$11:$B$1010,MATCH(A34,'Work Orders'!$AP$11:$AP$1010,0)),"")</f>
        <v/>
      </c>
      <c r="C34" s="43">
        <f>IF(B34="","",COUNTIFS('Work Orders'!$B$11:$B$1010,B34,'Work Orders'!$A$11:$A$1010,"&lt;&gt;"))</f>
        <v/>
      </c>
      <c r="D34" s="44">
        <f>IF(B34="","",SUMIFS('Work Orders'!$Z$11:$Z$1010,'Work Orders'!$B$11:$B$1010,B34))</f>
        <v/>
      </c>
      <c r="E34" s="44">
        <f>IF(B34="","",SUMIFS('Work Orders'!$J$11:$J$1010,'Work Orders'!$B$11:$B$1010,B34))</f>
        <v/>
      </c>
      <c r="F34" s="44">
        <f>IF(B34="","",SUMIFS('Work Orders'!$AE$11:$AE$1010,'Work Orders'!$B$11:$B$1010,B34))</f>
        <v/>
      </c>
      <c r="G34" s="44">
        <f>IF(B34="","",SUMIFS('Work Orders'!$AH$11:$AH$1010,'Work Orders'!$B$11:$B$1010,B34))</f>
        <v/>
      </c>
      <c r="H34" s="44">
        <f>IF(B34="","",SUMIFS('Work Orders'!$AH$11:$AH$1010,'Work Orders'!$B$11:$B$1010,B34,'Work Orders'!$AM$11:$AM$1010,"&gt;0"))</f>
        <v/>
      </c>
      <c r="I34" s="54">
        <f>IF(B34="","",COUNTIF(D$6:D$205,"&gt;"&amp;D34)+COUNTIF(D$6:D34,D34))</f>
        <v/>
      </c>
    </row>
    <row r="35">
      <c r="A35" s="54" t="n">
        <v>30</v>
      </c>
      <c r="B35" s="43">
        <f>IFERROR(INDEX('Work Orders'!$B$11:$B$1010,MATCH(A35,'Work Orders'!$AP$11:$AP$1010,0)),"")</f>
        <v/>
      </c>
      <c r="C35" s="43">
        <f>IF(B35="","",COUNTIFS('Work Orders'!$B$11:$B$1010,B35,'Work Orders'!$A$11:$A$1010,"&lt;&gt;"))</f>
        <v/>
      </c>
      <c r="D35" s="44">
        <f>IF(B35="","",SUMIFS('Work Orders'!$Z$11:$Z$1010,'Work Orders'!$B$11:$B$1010,B35))</f>
        <v/>
      </c>
      <c r="E35" s="44">
        <f>IF(B35="","",SUMIFS('Work Orders'!$J$11:$J$1010,'Work Orders'!$B$11:$B$1010,B35))</f>
        <v/>
      </c>
      <c r="F35" s="44">
        <f>IF(B35="","",SUMIFS('Work Orders'!$AE$11:$AE$1010,'Work Orders'!$B$11:$B$1010,B35))</f>
        <v/>
      </c>
      <c r="G35" s="44">
        <f>IF(B35="","",SUMIFS('Work Orders'!$AH$11:$AH$1010,'Work Orders'!$B$11:$B$1010,B35))</f>
        <v/>
      </c>
      <c r="H35" s="44">
        <f>IF(B35="","",SUMIFS('Work Orders'!$AH$11:$AH$1010,'Work Orders'!$B$11:$B$1010,B35,'Work Orders'!$AM$11:$AM$1010,"&gt;0"))</f>
        <v/>
      </c>
      <c r="I35" s="54">
        <f>IF(B35="","",COUNTIF(D$6:D$205,"&gt;"&amp;D35)+COUNTIF(D$6:D35,D35))</f>
        <v/>
      </c>
    </row>
    <row r="36">
      <c r="A36" s="54" t="n">
        <v>31</v>
      </c>
      <c r="B36" s="43">
        <f>IFERROR(INDEX('Work Orders'!$B$11:$B$1010,MATCH(A36,'Work Orders'!$AP$11:$AP$1010,0)),"")</f>
        <v/>
      </c>
      <c r="C36" s="43">
        <f>IF(B36="","",COUNTIFS('Work Orders'!$B$11:$B$1010,B36,'Work Orders'!$A$11:$A$1010,"&lt;&gt;"))</f>
        <v/>
      </c>
      <c r="D36" s="44">
        <f>IF(B36="","",SUMIFS('Work Orders'!$Z$11:$Z$1010,'Work Orders'!$B$11:$B$1010,B36))</f>
        <v/>
      </c>
      <c r="E36" s="44">
        <f>IF(B36="","",SUMIFS('Work Orders'!$J$11:$J$1010,'Work Orders'!$B$11:$B$1010,B36))</f>
        <v/>
      </c>
      <c r="F36" s="44">
        <f>IF(B36="","",SUMIFS('Work Orders'!$AE$11:$AE$1010,'Work Orders'!$B$11:$B$1010,B36))</f>
        <v/>
      </c>
      <c r="G36" s="44">
        <f>IF(B36="","",SUMIFS('Work Orders'!$AH$11:$AH$1010,'Work Orders'!$B$11:$B$1010,B36))</f>
        <v/>
      </c>
      <c r="H36" s="44">
        <f>IF(B36="","",SUMIFS('Work Orders'!$AH$11:$AH$1010,'Work Orders'!$B$11:$B$1010,B36,'Work Orders'!$AM$11:$AM$1010,"&gt;0"))</f>
        <v/>
      </c>
      <c r="I36" s="54">
        <f>IF(B36="","",COUNTIF(D$6:D$205,"&gt;"&amp;D36)+COUNTIF(D$6:D36,D36))</f>
        <v/>
      </c>
    </row>
    <row r="37">
      <c r="A37" s="54" t="n">
        <v>32</v>
      </c>
      <c r="B37" s="43">
        <f>IFERROR(INDEX('Work Orders'!$B$11:$B$1010,MATCH(A37,'Work Orders'!$AP$11:$AP$1010,0)),"")</f>
        <v/>
      </c>
      <c r="C37" s="43">
        <f>IF(B37="","",COUNTIFS('Work Orders'!$B$11:$B$1010,B37,'Work Orders'!$A$11:$A$1010,"&lt;&gt;"))</f>
        <v/>
      </c>
      <c r="D37" s="44">
        <f>IF(B37="","",SUMIFS('Work Orders'!$Z$11:$Z$1010,'Work Orders'!$B$11:$B$1010,B37))</f>
        <v/>
      </c>
      <c r="E37" s="44">
        <f>IF(B37="","",SUMIFS('Work Orders'!$J$11:$J$1010,'Work Orders'!$B$11:$B$1010,B37))</f>
        <v/>
      </c>
      <c r="F37" s="44">
        <f>IF(B37="","",SUMIFS('Work Orders'!$AE$11:$AE$1010,'Work Orders'!$B$11:$B$1010,B37))</f>
        <v/>
      </c>
      <c r="G37" s="44">
        <f>IF(B37="","",SUMIFS('Work Orders'!$AH$11:$AH$1010,'Work Orders'!$B$11:$B$1010,B37))</f>
        <v/>
      </c>
      <c r="H37" s="44">
        <f>IF(B37="","",SUMIFS('Work Orders'!$AH$11:$AH$1010,'Work Orders'!$B$11:$B$1010,B37,'Work Orders'!$AM$11:$AM$1010,"&gt;0"))</f>
        <v/>
      </c>
      <c r="I37" s="54">
        <f>IF(B37="","",COUNTIF(D$6:D$205,"&gt;"&amp;D37)+COUNTIF(D$6:D37,D37))</f>
        <v/>
      </c>
    </row>
    <row r="38">
      <c r="A38" s="54" t="n">
        <v>33</v>
      </c>
      <c r="B38" s="43">
        <f>IFERROR(INDEX('Work Orders'!$B$11:$B$1010,MATCH(A38,'Work Orders'!$AP$11:$AP$1010,0)),"")</f>
        <v/>
      </c>
      <c r="C38" s="43">
        <f>IF(B38="","",COUNTIFS('Work Orders'!$B$11:$B$1010,B38,'Work Orders'!$A$11:$A$1010,"&lt;&gt;"))</f>
        <v/>
      </c>
      <c r="D38" s="44">
        <f>IF(B38="","",SUMIFS('Work Orders'!$Z$11:$Z$1010,'Work Orders'!$B$11:$B$1010,B38))</f>
        <v/>
      </c>
      <c r="E38" s="44">
        <f>IF(B38="","",SUMIFS('Work Orders'!$J$11:$J$1010,'Work Orders'!$B$11:$B$1010,B38))</f>
        <v/>
      </c>
      <c r="F38" s="44">
        <f>IF(B38="","",SUMIFS('Work Orders'!$AE$11:$AE$1010,'Work Orders'!$B$11:$B$1010,B38))</f>
        <v/>
      </c>
      <c r="G38" s="44">
        <f>IF(B38="","",SUMIFS('Work Orders'!$AH$11:$AH$1010,'Work Orders'!$B$11:$B$1010,B38))</f>
        <v/>
      </c>
      <c r="H38" s="44">
        <f>IF(B38="","",SUMIFS('Work Orders'!$AH$11:$AH$1010,'Work Orders'!$B$11:$B$1010,B38,'Work Orders'!$AM$11:$AM$1010,"&gt;0"))</f>
        <v/>
      </c>
      <c r="I38" s="54">
        <f>IF(B38="","",COUNTIF(D$6:D$205,"&gt;"&amp;D38)+COUNTIF(D$6:D38,D38))</f>
        <v/>
      </c>
    </row>
    <row r="39">
      <c r="A39" s="54" t="n">
        <v>34</v>
      </c>
      <c r="B39" s="43">
        <f>IFERROR(INDEX('Work Orders'!$B$11:$B$1010,MATCH(A39,'Work Orders'!$AP$11:$AP$1010,0)),"")</f>
        <v/>
      </c>
      <c r="C39" s="43">
        <f>IF(B39="","",COUNTIFS('Work Orders'!$B$11:$B$1010,B39,'Work Orders'!$A$11:$A$1010,"&lt;&gt;"))</f>
        <v/>
      </c>
      <c r="D39" s="44">
        <f>IF(B39="","",SUMIFS('Work Orders'!$Z$11:$Z$1010,'Work Orders'!$B$11:$B$1010,B39))</f>
        <v/>
      </c>
      <c r="E39" s="44">
        <f>IF(B39="","",SUMIFS('Work Orders'!$J$11:$J$1010,'Work Orders'!$B$11:$B$1010,B39))</f>
        <v/>
      </c>
      <c r="F39" s="44">
        <f>IF(B39="","",SUMIFS('Work Orders'!$AE$11:$AE$1010,'Work Orders'!$B$11:$B$1010,B39))</f>
        <v/>
      </c>
      <c r="G39" s="44">
        <f>IF(B39="","",SUMIFS('Work Orders'!$AH$11:$AH$1010,'Work Orders'!$B$11:$B$1010,B39))</f>
        <v/>
      </c>
      <c r="H39" s="44">
        <f>IF(B39="","",SUMIFS('Work Orders'!$AH$11:$AH$1010,'Work Orders'!$B$11:$B$1010,B39,'Work Orders'!$AM$11:$AM$1010,"&gt;0"))</f>
        <v/>
      </c>
      <c r="I39" s="54">
        <f>IF(B39="","",COUNTIF(D$6:D$205,"&gt;"&amp;D39)+COUNTIF(D$6:D39,D39))</f>
        <v/>
      </c>
    </row>
    <row r="40">
      <c r="A40" s="54" t="n">
        <v>35</v>
      </c>
      <c r="B40" s="43">
        <f>IFERROR(INDEX('Work Orders'!$B$11:$B$1010,MATCH(A40,'Work Orders'!$AP$11:$AP$1010,0)),"")</f>
        <v/>
      </c>
      <c r="C40" s="43">
        <f>IF(B40="","",COUNTIFS('Work Orders'!$B$11:$B$1010,B40,'Work Orders'!$A$11:$A$1010,"&lt;&gt;"))</f>
        <v/>
      </c>
      <c r="D40" s="44">
        <f>IF(B40="","",SUMIFS('Work Orders'!$Z$11:$Z$1010,'Work Orders'!$B$11:$B$1010,B40))</f>
        <v/>
      </c>
      <c r="E40" s="44">
        <f>IF(B40="","",SUMIFS('Work Orders'!$J$11:$J$1010,'Work Orders'!$B$11:$B$1010,B40))</f>
        <v/>
      </c>
      <c r="F40" s="44">
        <f>IF(B40="","",SUMIFS('Work Orders'!$AE$11:$AE$1010,'Work Orders'!$B$11:$B$1010,B40))</f>
        <v/>
      </c>
      <c r="G40" s="44">
        <f>IF(B40="","",SUMIFS('Work Orders'!$AH$11:$AH$1010,'Work Orders'!$B$11:$B$1010,B40))</f>
        <v/>
      </c>
      <c r="H40" s="44">
        <f>IF(B40="","",SUMIFS('Work Orders'!$AH$11:$AH$1010,'Work Orders'!$B$11:$B$1010,B40,'Work Orders'!$AM$11:$AM$1010,"&gt;0"))</f>
        <v/>
      </c>
      <c r="I40" s="54">
        <f>IF(B40="","",COUNTIF(D$6:D$205,"&gt;"&amp;D40)+COUNTIF(D$6:D40,D40))</f>
        <v/>
      </c>
    </row>
    <row r="41">
      <c r="A41" s="54" t="n">
        <v>36</v>
      </c>
      <c r="B41" s="43">
        <f>IFERROR(INDEX('Work Orders'!$B$11:$B$1010,MATCH(A41,'Work Orders'!$AP$11:$AP$1010,0)),"")</f>
        <v/>
      </c>
      <c r="C41" s="43">
        <f>IF(B41="","",COUNTIFS('Work Orders'!$B$11:$B$1010,B41,'Work Orders'!$A$11:$A$1010,"&lt;&gt;"))</f>
        <v/>
      </c>
      <c r="D41" s="44">
        <f>IF(B41="","",SUMIFS('Work Orders'!$Z$11:$Z$1010,'Work Orders'!$B$11:$B$1010,B41))</f>
        <v/>
      </c>
      <c r="E41" s="44">
        <f>IF(B41="","",SUMIFS('Work Orders'!$J$11:$J$1010,'Work Orders'!$B$11:$B$1010,B41))</f>
        <v/>
      </c>
      <c r="F41" s="44">
        <f>IF(B41="","",SUMIFS('Work Orders'!$AE$11:$AE$1010,'Work Orders'!$B$11:$B$1010,B41))</f>
        <v/>
      </c>
      <c r="G41" s="44">
        <f>IF(B41="","",SUMIFS('Work Orders'!$AH$11:$AH$1010,'Work Orders'!$B$11:$B$1010,B41))</f>
        <v/>
      </c>
      <c r="H41" s="44">
        <f>IF(B41="","",SUMIFS('Work Orders'!$AH$11:$AH$1010,'Work Orders'!$B$11:$B$1010,B41,'Work Orders'!$AM$11:$AM$1010,"&gt;0"))</f>
        <v/>
      </c>
      <c r="I41" s="54">
        <f>IF(B41="","",COUNTIF(D$6:D$205,"&gt;"&amp;D41)+COUNTIF(D$6:D41,D41))</f>
        <v/>
      </c>
    </row>
    <row r="42">
      <c r="A42" s="54" t="n">
        <v>37</v>
      </c>
      <c r="B42" s="43">
        <f>IFERROR(INDEX('Work Orders'!$B$11:$B$1010,MATCH(A42,'Work Orders'!$AP$11:$AP$1010,0)),"")</f>
        <v/>
      </c>
      <c r="C42" s="43">
        <f>IF(B42="","",COUNTIFS('Work Orders'!$B$11:$B$1010,B42,'Work Orders'!$A$11:$A$1010,"&lt;&gt;"))</f>
        <v/>
      </c>
      <c r="D42" s="44">
        <f>IF(B42="","",SUMIFS('Work Orders'!$Z$11:$Z$1010,'Work Orders'!$B$11:$B$1010,B42))</f>
        <v/>
      </c>
      <c r="E42" s="44">
        <f>IF(B42="","",SUMIFS('Work Orders'!$J$11:$J$1010,'Work Orders'!$B$11:$B$1010,B42))</f>
        <v/>
      </c>
      <c r="F42" s="44">
        <f>IF(B42="","",SUMIFS('Work Orders'!$AE$11:$AE$1010,'Work Orders'!$B$11:$B$1010,B42))</f>
        <v/>
      </c>
      <c r="G42" s="44">
        <f>IF(B42="","",SUMIFS('Work Orders'!$AH$11:$AH$1010,'Work Orders'!$B$11:$B$1010,B42))</f>
        <v/>
      </c>
      <c r="H42" s="44">
        <f>IF(B42="","",SUMIFS('Work Orders'!$AH$11:$AH$1010,'Work Orders'!$B$11:$B$1010,B42,'Work Orders'!$AM$11:$AM$1010,"&gt;0"))</f>
        <v/>
      </c>
      <c r="I42" s="54">
        <f>IF(B42="","",COUNTIF(D$6:D$205,"&gt;"&amp;D42)+COUNTIF(D$6:D42,D42))</f>
        <v/>
      </c>
    </row>
    <row r="43">
      <c r="A43" s="54" t="n">
        <v>38</v>
      </c>
      <c r="B43" s="43">
        <f>IFERROR(INDEX('Work Orders'!$B$11:$B$1010,MATCH(A43,'Work Orders'!$AP$11:$AP$1010,0)),"")</f>
        <v/>
      </c>
      <c r="C43" s="43">
        <f>IF(B43="","",COUNTIFS('Work Orders'!$B$11:$B$1010,B43,'Work Orders'!$A$11:$A$1010,"&lt;&gt;"))</f>
        <v/>
      </c>
      <c r="D43" s="44">
        <f>IF(B43="","",SUMIFS('Work Orders'!$Z$11:$Z$1010,'Work Orders'!$B$11:$B$1010,B43))</f>
        <v/>
      </c>
      <c r="E43" s="44">
        <f>IF(B43="","",SUMIFS('Work Orders'!$J$11:$J$1010,'Work Orders'!$B$11:$B$1010,B43))</f>
        <v/>
      </c>
      <c r="F43" s="44">
        <f>IF(B43="","",SUMIFS('Work Orders'!$AE$11:$AE$1010,'Work Orders'!$B$11:$B$1010,B43))</f>
        <v/>
      </c>
      <c r="G43" s="44">
        <f>IF(B43="","",SUMIFS('Work Orders'!$AH$11:$AH$1010,'Work Orders'!$B$11:$B$1010,B43))</f>
        <v/>
      </c>
      <c r="H43" s="44">
        <f>IF(B43="","",SUMIFS('Work Orders'!$AH$11:$AH$1010,'Work Orders'!$B$11:$B$1010,B43,'Work Orders'!$AM$11:$AM$1010,"&gt;0"))</f>
        <v/>
      </c>
      <c r="I43" s="54">
        <f>IF(B43="","",COUNTIF(D$6:D$205,"&gt;"&amp;D43)+COUNTIF(D$6:D43,D43))</f>
        <v/>
      </c>
    </row>
    <row r="44">
      <c r="A44" s="54" t="n">
        <v>39</v>
      </c>
      <c r="B44" s="43">
        <f>IFERROR(INDEX('Work Orders'!$B$11:$B$1010,MATCH(A44,'Work Orders'!$AP$11:$AP$1010,0)),"")</f>
        <v/>
      </c>
      <c r="C44" s="43">
        <f>IF(B44="","",COUNTIFS('Work Orders'!$B$11:$B$1010,B44,'Work Orders'!$A$11:$A$1010,"&lt;&gt;"))</f>
        <v/>
      </c>
      <c r="D44" s="44">
        <f>IF(B44="","",SUMIFS('Work Orders'!$Z$11:$Z$1010,'Work Orders'!$B$11:$B$1010,B44))</f>
        <v/>
      </c>
      <c r="E44" s="44">
        <f>IF(B44="","",SUMIFS('Work Orders'!$J$11:$J$1010,'Work Orders'!$B$11:$B$1010,B44))</f>
        <v/>
      </c>
      <c r="F44" s="44">
        <f>IF(B44="","",SUMIFS('Work Orders'!$AE$11:$AE$1010,'Work Orders'!$B$11:$B$1010,B44))</f>
        <v/>
      </c>
      <c r="G44" s="44">
        <f>IF(B44="","",SUMIFS('Work Orders'!$AH$11:$AH$1010,'Work Orders'!$B$11:$B$1010,B44))</f>
        <v/>
      </c>
      <c r="H44" s="44">
        <f>IF(B44="","",SUMIFS('Work Orders'!$AH$11:$AH$1010,'Work Orders'!$B$11:$B$1010,B44,'Work Orders'!$AM$11:$AM$1010,"&gt;0"))</f>
        <v/>
      </c>
      <c r="I44" s="54">
        <f>IF(B44="","",COUNTIF(D$6:D$205,"&gt;"&amp;D44)+COUNTIF(D$6:D44,D44))</f>
        <v/>
      </c>
    </row>
    <row r="45">
      <c r="A45" s="54" t="n">
        <v>40</v>
      </c>
      <c r="B45" s="43">
        <f>IFERROR(INDEX('Work Orders'!$B$11:$B$1010,MATCH(A45,'Work Orders'!$AP$11:$AP$1010,0)),"")</f>
        <v/>
      </c>
      <c r="C45" s="43">
        <f>IF(B45="","",COUNTIFS('Work Orders'!$B$11:$B$1010,B45,'Work Orders'!$A$11:$A$1010,"&lt;&gt;"))</f>
        <v/>
      </c>
      <c r="D45" s="44">
        <f>IF(B45="","",SUMIFS('Work Orders'!$Z$11:$Z$1010,'Work Orders'!$B$11:$B$1010,B45))</f>
        <v/>
      </c>
      <c r="E45" s="44">
        <f>IF(B45="","",SUMIFS('Work Orders'!$J$11:$J$1010,'Work Orders'!$B$11:$B$1010,B45))</f>
        <v/>
      </c>
      <c r="F45" s="44">
        <f>IF(B45="","",SUMIFS('Work Orders'!$AE$11:$AE$1010,'Work Orders'!$B$11:$B$1010,B45))</f>
        <v/>
      </c>
      <c r="G45" s="44">
        <f>IF(B45="","",SUMIFS('Work Orders'!$AH$11:$AH$1010,'Work Orders'!$B$11:$B$1010,B45))</f>
        <v/>
      </c>
      <c r="H45" s="44">
        <f>IF(B45="","",SUMIFS('Work Orders'!$AH$11:$AH$1010,'Work Orders'!$B$11:$B$1010,B45,'Work Orders'!$AM$11:$AM$1010,"&gt;0"))</f>
        <v/>
      </c>
      <c r="I45" s="54">
        <f>IF(B45="","",COUNTIF(D$6:D$205,"&gt;"&amp;D45)+COUNTIF(D$6:D45,D45))</f>
        <v/>
      </c>
    </row>
    <row r="46">
      <c r="A46" s="54" t="n">
        <v>41</v>
      </c>
      <c r="B46" s="43">
        <f>IFERROR(INDEX('Work Orders'!$B$11:$B$1010,MATCH(A46,'Work Orders'!$AP$11:$AP$1010,0)),"")</f>
        <v/>
      </c>
      <c r="C46" s="43">
        <f>IF(B46="","",COUNTIFS('Work Orders'!$B$11:$B$1010,B46,'Work Orders'!$A$11:$A$1010,"&lt;&gt;"))</f>
        <v/>
      </c>
      <c r="D46" s="44">
        <f>IF(B46="","",SUMIFS('Work Orders'!$Z$11:$Z$1010,'Work Orders'!$B$11:$B$1010,B46))</f>
        <v/>
      </c>
      <c r="E46" s="44">
        <f>IF(B46="","",SUMIFS('Work Orders'!$J$11:$J$1010,'Work Orders'!$B$11:$B$1010,B46))</f>
        <v/>
      </c>
      <c r="F46" s="44">
        <f>IF(B46="","",SUMIFS('Work Orders'!$AE$11:$AE$1010,'Work Orders'!$B$11:$B$1010,B46))</f>
        <v/>
      </c>
      <c r="G46" s="44">
        <f>IF(B46="","",SUMIFS('Work Orders'!$AH$11:$AH$1010,'Work Orders'!$B$11:$B$1010,B46))</f>
        <v/>
      </c>
      <c r="H46" s="44">
        <f>IF(B46="","",SUMIFS('Work Orders'!$AH$11:$AH$1010,'Work Orders'!$B$11:$B$1010,B46,'Work Orders'!$AM$11:$AM$1010,"&gt;0"))</f>
        <v/>
      </c>
      <c r="I46" s="54">
        <f>IF(B46="","",COUNTIF(D$6:D$205,"&gt;"&amp;D46)+COUNTIF(D$6:D46,D46))</f>
        <v/>
      </c>
    </row>
    <row r="47">
      <c r="A47" s="54" t="n">
        <v>42</v>
      </c>
      <c r="B47" s="43">
        <f>IFERROR(INDEX('Work Orders'!$B$11:$B$1010,MATCH(A47,'Work Orders'!$AP$11:$AP$1010,0)),"")</f>
        <v/>
      </c>
      <c r="C47" s="43">
        <f>IF(B47="","",COUNTIFS('Work Orders'!$B$11:$B$1010,B47,'Work Orders'!$A$11:$A$1010,"&lt;&gt;"))</f>
        <v/>
      </c>
      <c r="D47" s="44">
        <f>IF(B47="","",SUMIFS('Work Orders'!$Z$11:$Z$1010,'Work Orders'!$B$11:$B$1010,B47))</f>
        <v/>
      </c>
      <c r="E47" s="44">
        <f>IF(B47="","",SUMIFS('Work Orders'!$J$11:$J$1010,'Work Orders'!$B$11:$B$1010,B47))</f>
        <v/>
      </c>
      <c r="F47" s="44">
        <f>IF(B47="","",SUMIFS('Work Orders'!$AE$11:$AE$1010,'Work Orders'!$B$11:$B$1010,B47))</f>
        <v/>
      </c>
      <c r="G47" s="44">
        <f>IF(B47="","",SUMIFS('Work Orders'!$AH$11:$AH$1010,'Work Orders'!$B$11:$B$1010,B47))</f>
        <v/>
      </c>
      <c r="H47" s="44">
        <f>IF(B47="","",SUMIFS('Work Orders'!$AH$11:$AH$1010,'Work Orders'!$B$11:$B$1010,B47,'Work Orders'!$AM$11:$AM$1010,"&gt;0"))</f>
        <v/>
      </c>
      <c r="I47" s="54">
        <f>IF(B47="","",COUNTIF(D$6:D$205,"&gt;"&amp;D47)+COUNTIF(D$6:D47,D47))</f>
        <v/>
      </c>
    </row>
    <row r="48">
      <c r="A48" s="54" t="n">
        <v>43</v>
      </c>
      <c r="B48" s="43">
        <f>IFERROR(INDEX('Work Orders'!$B$11:$B$1010,MATCH(A48,'Work Orders'!$AP$11:$AP$1010,0)),"")</f>
        <v/>
      </c>
      <c r="C48" s="43">
        <f>IF(B48="","",COUNTIFS('Work Orders'!$B$11:$B$1010,B48,'Work Orders'!$A$11:$A$1010,"&lt;&gt;"))</f>
        <v/>
      </c>
      <c r="D48" s="44">
        <f>IF(B48="","",SUMIFS('Work Orders'!$Z$11:$Z$1010,'Work Orders'!$B$11:$B$1010,B48))</f>
        <v/>
      </c>
      <c r="E48" s="44">
        <f>IF(B48="","",SUMIFS('Work Orders'!$J$11:$J$1010,'Work Orders'!$B$11:$B$1010,B48))</f>
        <v/>
      </c>
      <c r="F48" s="44">
        <f>IF(B48="","",SUMIFS('Work Orders'!$AE$11:$AE$1010,'Work Orders'!$B$11:$B$1010,B48))</f>
        <v/>
      </c>
      <c r="G48" s="44">
        <f>IF(B48="","",SUMIFS('Work Orders'!$AH$11:$AH$1010,'Work Orders'!$B$11:$B$1010,B48))</f>
        <v/>
      </c>
      <c r="H48" s="44">
        <f>IF(B48="","",SUMIFS('Work Orders'!$AH$11:$AH$1010,'Work Orders'!$B$11:$B$1010,B48,'Work Orders'!$AM$11:$AM$1010,"&gt;0"))</f>
        <v/>
      </c>
      <c r="I48" s="54">
        <f>IF(B48="","",COUNTIF(D$6:D$205,"&gt;"&amp;D48)+COUNTIF(D$6:D48,D48))</f>
        <v/>
      </c>
    </row>
    <row r="49">
      <c r="A49" s="54" t="n">
        <v>44</v>
      </c>
      <c r="B49" s="43">
        <f>IFERROR(INDEX('Work Orders'!$B$11:$B$1010,MATCH(A49,'Work Orders'!$AP$11:$AP$1010,0)),"")</f>
        <v/>
      </c>
      <c r="C49" s="43">
        <f>IF(B49="","",COUNTIFS('Work Orders'!$B$11:$B$1010,B49,'Work Orders'!$A$11:$A$1010,"&lt;&gt;"))</f>
        <v/>
      </c>
      <c r="D49" s="44">
        <f>IF(B49="","",SUMIFS('Work Orders'!$Z$11:$Z$1010,'Work Orders'!$B$11:$B$1010,B49))</f>
        <v/>
      </c>
      <c r="E49" s="44">
        <f>IF(B49="","",SUMIFS('Work Orders'!$J$11:$J$1010,'Work Orders'!$B$11:$B$1010,B49))</f>
        <v/>
      </c>
      <c r="F49" s="44">
        <f>IF(B49="","",SUMIFS('Work Orders'!$AE$11:$AE$1010,'Work Orders'!$B$11:$B$1010,B49))</f>
        <v/>
      </c>
      <c r="G49" s="44">
        <f>IF(B49="","",SUMIFS('Work Orders'!$AH$11:$AH$1010,'Work Orders'!$B$11:$B$1010,B49))</f>
        <v/>
      </c>
      <c r="H49" s="44">
        <f>IF(B49="","",SUMIFS('Work Orders'!$AH$11:$AH$1010,'Work Orders'!$B$11:$B$1010,B49,'Work Orders'!$AM$11:$AM$1010,"&gt;0"))</f>
        <v/>
      </c>
      <c r="I49" s="54">
        <f>IF(B49="","",COUNTIF(D$6:D$205,"&gt;"&amp;D49)+COUNTIF(D$6:D49,D49))</f>
        <v/>
      </c>
    </row>
    <row r="50">
      <c r="A50" s="54" t="n">
        <v>45</v>
      </c>
      <c r="B50" s="43">
        <f>IFERROR(INDEX('Work Orders'!$B$11:$B$1010,MATCH(A50,'Work Orders'!$AP$11:$AP$1010,0)),"")</f>
        <v/>
      </c>
      <c r="C50" s="43">
        <f>IF(B50="","",COUNTIFS('Work Orders'!$B$11:$B$1010,B50,'Work Orders'!$A$11:$A$1010,"&lt;&gt;"))</f>
        <v/>
      </c>
      <c r="D50" s="44">
        <f>IF(B50="","",SUMIFS('Work Orders'!$Z$11:$Z$1010,'Work Orders'!$B$11:$B$1010,B50))</f>
        <v/>
      </c>
      <c r="E50" s="44">
        <f>IF(B50="","",SUMIFS('Work Orders'!$J$11:$J$1010,'Work Orders'!$B$11:$B$1010,B50))</f>
        <v/>
      </c>
      <c r="F50" s="44">
        <f>IF(B50="","",SUMIFS('Work Orders'!$AE$11:$AE$1010,'Work Orders'!$B$11:$B$1010,B50))</f>
        <v/>
      </c>
      <c r="G50" s="44">
        <f>IF(B50="","",SUMIFS('Work Orders'!$AH$11:$AH$1010,'Work Orders'!$B$11:$B$1010,B50))</f>
        <v/>
      </c>
      <c r="H50" s="44">
        <f>IF(B50="","",SUMIFS('Work Orders'!$AH$11:$AH$1010,'Work Orders'!$B$11:$B$1010,B50,'Work Orders'!$AM$11:$AM$1010,"&gt;0"))</f>
        <v/>
      </c>
      <c r="I50" s="54">
        <f>IF(B50="","",COUNTIF(D$6:D$205,"&gt;"&amp;D50)+COUNTIF(D$6:D50,D50))</f>
        <v/>
      </c>
    </row>
    <row r="51">
      <c r="A51" s="54" t="n">
        <v>46</v>
      </c>
      <c r="B51" s="43">
        <f>IFERROR(INDEX('Work Orders'!$B$11:$B$1010,MATCH(A51,'Work Orders'!$AP$11:$AP$1010,0)),"")</f>
        <v/>
      </c>
      <c r="C51" s="43">
        <f>IF(B51="","",COUNTIFS('Work Orders'!$B$11:$B$1010,B51,'Work Orders'!$A$11:$A$1010,"&lt;&gt;"))</f>
        <v/>
      </c>
      <c r="D51" s="44">
        <f>IF(B51="","",SUMIFS('Work Orders'!$Z$11:$Z$1010,'Work Orders'!$B$11:$B$1010,B51))</f>
        <v/>
      </c>
      <c r="E51" s="44">
        <f>IF(B51="","",SUMIFS('Work Orders'!$J$11:$J$1010,'Work Orders'!$B$11:$B$1010,B51))</f>
        <v/>
      </c>
      <c r="F51" s="44">
        <f>IF(B51="","",SUMIFS('Work Orders'!$AE$11:$AE$1010,'Work Orders'!$B$11:$B$1010,B51))</f>
        <v/>
      </c>
      <c r="G51" s="44">
        <f>IF(B51="","",SUMIFS('Work Orders'!$AH$11:$AH$1010,'Work Orders'!$B$11:$B$1010,B51))</f>
        <v/>
      </c>
      <c r="H51" s="44">
        <f>IF(B51="","",SUMIFS('Work Orders'!$AH$11:$AH$1010,'Work Orders'!$B$11:$B$1010,B51,'Work Orders'!$AM$11:$AM$1010,"&gt;0"))</f>
        <v/>
      </c>
      <c r="I51" s="54">
        <f>IF(B51="","",COUNTIF(D$6:D$205,"&gt;"&amp;D51)+COUNTIF(D$6:D51,D51))</f>
        <v/>
      </c>
    </row>
    <row r="52">
      <c r="A52" s="54" t="n">
        <v>47</v>
      </c>
      <c r="B52" s="43">
        <f>IFERROR(INDEX('Work Orders'!$B$11:$B$1010,MATCH(A52,'Work Orders'!$AP$11:$AP$1010,0)),"")</f>
        <v/>
      </c>
      <c r="C52" s="43">
        <f>IF(B52="","",COUNTIFS('Work Orders'!$B$11:$B$1010,B52,'Work Orders'!$A$11:$A$1010,"&lt;&gt;"))</f>
        <v/>
      </c>
      <c r="D52" s="44">
        <f>IF(B52="","",SUMIFS('Work Orders'!$Z$11:$Z$1010,'Work Orders'!$B$11:$B$1010,B52))</f>
        <v/>
      </c>
      <c r="E52" s="44">
        <f>IF(B52="","",SUMIFS('Work Orders'!$J$11:$J$1010,'Work Orders'!$B$11:$B$1010,B52))</f>
        <v/>
      </c>
      <c r="F52" s="44">
        <f>IF(B52="","",SUMIFS('Work Orders'!$AE$11:$AE$1010,'Work Orders'!$B$11:$B$1010,B52))</f>
        <v/>
      </c>
      <c r="G52" s="44">
        <f>IF(B52="","",SUMIFS('Work Orders'!$AH$11:$AH$1010,'Work Orders'!$B$11:$B$1010,B52))</f>
        <v/>
      </c>
      <c r="H52" s="44">
        <f>IF(B52="","",SUMIFS('Work Orders'!$AH$11:$AH$1010,'Work Orders'!$B$11:$B$1010,B52,'Work Orders'!$AM$11:$AM$1010,"&gt;0"))</f>
        <v/>
      </c>
      <c r="I52" s="54">
        <f>IF(B52="","",COUNTIF(D$6:D$205,"&gt;"&amp;D52)+COUNTIF(D$6:D52,D52))</f>
        <v/>
      </c>
    </row>
    <row r="53">
      <c r="A53" s="54" t="n">
        <v>48</v>
      </c>
      <c r="B53" s="43">
        <f>IFERROR(INDEX('Work Orders'!$B$11:$B$1010,MATCH(A53,'Work Orders'!$AP$11:$AP$1010,0)),"")</f>
        <v/>
      </c>
      <c r="C53" s="43">
        <f>IF(B53="","",COUNTIFS('Work Orders'!$B$11:$B$1010,B53,'Work Orders'!$A$11:$A$1010,"&lt;&gt;"))</f>
        <v/>
      </c>
      <c r="D53" s="44">
        <f>IF(B53="","",SUMIFS('Work Orders'!$Z$11:$Z$1010,'Work Orders'!$B$11:$B$1010,B53))</f>
        <v/>
      </c>
      <c r="E53" s="44">
        <f>IF(B53="","",SUMIFS('Work Orders'!$J$11:$J$1010,'Work Orders'!$B$11:$B$1010,B53))</f>
        <v/>
      </c>
      <c r="F53" s="44">
        <f>IF(B53="","",SUMIFS('Work Orders'!$AE$11:$AE$1010,'Work Orders'!$B$11:$B$1010,B53))</f>
        <v/>
      </c>
      <c r="G53" s="44">
        <f>IF(B53="","",SUMIFS('Work Orders'!$AH$11:$AH$1010,'Work Orders'!$B$11:$B$1010,B53))</f>
        <v/>
      </c>
      <c r="H53" s="44">
        <f>IF(B53="","",SUMIFS('Work Orders'!$AH$11:$AH$1010,'Work Orders'!$B$11:$B$1010,B53,'Work Orders'!$AM$11:$AM$1010,"&gt;0"))</f>
        <v/>
      </c>
      <c r="I53" s="54">
        <f>IF(B53="","",COUNTIF(D$6:D$205,"&gt;"&amp;D53)+COUNTIF(D$6:D53,D53))</f>
        <v/>
      </c>
    </row>
    <row r="54">
      <c r="A54" s="54" t="n">
        <v>49</v>
      </c>
      <c r="B54" s="43">
        <f>IFERROR(INDEX('Work Orders'!$B$11:$B$1010,MATCH(A54,'Work Orders'!$AP$11:$AP$1010,0)),"")</f>
        <v/>
      </c>
      <c r="C54" s="43">
        <f>IF(B54="","",COUNTIFS('Work Orders'!$B$11:$B$1010,B54,'Work Orders'!$A$11:$A$1010,"&lt;&gt;"))</f>
        <v/>
      </c>
      <c r="D54" s="44">
        <f>IF(B54="","",SUMIFS('Work Orders'!$Z$11:$Z$1010,'Work Orders'!$B$11:$B$1010,B54))</f>
        <v/>
      </c>
      <c r="E54" s="44">
        <f>IF(B54="","",SUMIFS('Work Orders'!$J$11:$J$1010,'Work Orders'!$B$11:$B$1010,B54))</f>
        <v/>
      </c>
      <c r="F54" s="44">
        <f>IF(B54="","",SUMIFS('Work Orders'!$AE$11:$AE$1010,'Work Orders'!$B$11:$B$1010,B54))</f>
        <v/>
      </c>
      <c r="G54" s="44">
        <f>IF(B54="","",SUMIFS('Work Orders'!$AH$11:$AH$1010,'Work Orders'!$B$11:$B$1010,B54))</f>
        <v/>
      </c>
      <c r="H54" s="44">
        <f>IF(B54="","",SUMIFS('Work Orders'!$AH$11:$AH$1010,'Work Orders'!$B$11:$B$1010,B54,'Work Orders'!$AM$11:$AM$1010,"&gt;0"))</f>
        <v/>
      </c>
      <c r="I54" s="54">
        <f>IF(B54="","",COUNTIF(D$6:D$205,"&gt;"&amp;D54)+COUNTIF(D$6:D54,D54))</f>
        <v/>
      </c>
    </row>
    <row r="55">
      <c r="A55" s="54" t="n">
        <v>50</v>
      </c>
      <c r="B55" s="43">
        <f>IFERROR(INDEX('Work Orders'!$B$11:$B$1010,MATCH(A55,'Work Orders'!$AP$11:$AP$1010,0)),"")</f>
        <v/>
      </c>
      <c r="C55" s="43">
        <f>IF(B55="","",COUNTIFS('Work Orders'!$B$11:$B$1010,B55,'Work Orders'!$A$11:$A$1010,"&lt;&gt;"))</f>
        <v/>
      </c>
      <c r="D55" s="44">
        <f>IF(B55="","",SUMIFS('Work Orders'!$Z$11:$Z$1010,'Work Orders'!$B$11:$B$1010,B55))</f>
        <v/>
      </c>
      <c r="E55" s="44">
        <f>IF(B55="","",SUMIFS('Work Orders'!$J$11:$J$1010,'Work Orders'!$B$11:$B$1010,B55))</f>
        <v/>
      </c>
      <c r="F55" s="44">
        <f>IF(B55="","",SUMIFS('Work Orders'!$AE$11:$AE$1010,'Work Orders'!$B$11:$B$1010,B55))</f>
        <v/>
      </c>
      <c r="G55" s="44">
        <f>IF(B55="","",SUMIFS('Work Orders'!$AH$11:$AH$1010,'Work Orders'!$B$11:$B$1010,B55))</f>
        <v/>
      </c>
      <c r="H55" s="44">
        <f>IF(B55="","",SUMIFS('Work Orders'!$AH$11:$AH$1010,'Work Orders'!$B$11:$B$1010,B55,'Work Orders'!$AM$11:$AM$1010,"&gt;0"))</f>
        <v/>
      </c>
      <c r="I55" s="54">
        <f>IF(B55="","",COUNTIF(D$6:D$205,"&gt;"&amp;D55)+COUNTIF(D$6:D55,D55))</f>
        <v/>
      </c>
    </row>
    <row r="56">
      <c r="A56" s="54" t="n">
        <v>51</v>
      </c>
      <c r="B56" s="43">
        <f>IFERROR(INDEX('Work Orders'!$B$11:$B$1010,MATCH(A56,'Work Orders'!$AP$11:$AP$1010,0)),"")</f>
        <v/>
      </c>
      <c r="C56" s="43">
        <f>IF(B56="","",COUNTIFS('Work Orders'!$B$11:$B$1010,B56,'Work Orders'!$A$11:$A$1010,"&lt;&gt;"))</f>
        <v/>
      </c>
      <c r="D56" s="44">
        <f>IF(B56="","",SUMIFS('Work Orders'!$Z$11:$Z$1010,'Work Orders'!$B$11:$B$1010,B56))</f>
        <v/>
      </c>
      <c r="E56" s="44">
        <f>IF(B56="","",SUMIFS('Work Orders'!$J$11:$J$1010,'Work Orders'!$B$11:$B$1010,B56))</f>
        <v/>
      </c>
      <c r="F56" s="44">
        <f>IF(B56="","",SUMIFS('Work Orders'!$AE$11:$AE$1010,'Work Orders'!$B$11:$B$1010,B56))</f>
        <v/>
      </c>
      <c r="G56" s="44">
        <f>IF(B56="","",SUMIFS('Work Orders'!$AH$11:$AH$1010,'Work Orders'!$B$11:$B$1010,B56))</f>
        <v/>
      </c>
      <c r="H56" s="44">
        <f>IF(B56="","",SUMIFS('Work Orders'!$AH$11:$AH$1010,'Work Orders'!$B$11:$B$1010,B56,'Work Orders'!$AM$11:$AM$1010,"&gt;0"))</f>
        <v/>
      </c>
      <c r="I56" s="54">
        <f>IF(B56="","",COUNTIF(D$6:D$205,"&gt;"&amp;D56)+COUNTIF(D$6:D56,D56))</f>
        <v/>
      </c>
    </row>
    <row r="57">
      <c r="A57" s="54" t="n">
        <v>52</v>
      </c>
      <c r="B57" s="43">
        <f>IFERROR(INDEX('Work Orders'!$B$11:$B$1010,MATCH(A57,'Work Orders'!$AP$11:$AP$1010,0)),"")</f>
        <v/>
      </c>
      <c r="C57" s="43">
        <f>IF(B57="","",COUNTIFS('Work Orders'!$B$11:$B$1010,B57,'Work Orders'!$A$11:$A$1010,"&lt;&gt;"))</f>
        <v/>
      </c>
      <c r="D57" s="44">
        <f>IF(B57="","",SUMIFS('Work Orders'!$Z$11:$Z$1010,'Work Orders'!$B$11:$B$1010,B57))</f>
        <v/>
      </c>
      <c r="E57" s="44">
        <f>IF(B57="","",SUMIFS('Work Orders'!$J$11:$J$1010,'Work Orders'!$B$11:$B$1010,B57))</f>
        <v/>
      </c>
      <c r="F57" s="44">
        <f>IF(B57="","",SUMIFS('Work Orders'!$AE$11:$AE$1010,'Work Orders'!$B$11:$B$1010,B57))</f>
        <v/>
      </c>
      <c r="G57" s="44">
        <f>IF(B57="","",SUMIFS('Work Orders'!$AH$11:$AH$1010,'Work Orders'!$B$11:$B$1010,B57))</f>
        <v/>
      </c>
      <c r="H57" s="44">
        <f>IF(B57="","",SUMIFS('Work Orders'!$AH$11:$AH$1010,'Work Orders'!$B$11:$B$1010,B57,'Work Orders'!$AM$11:$AM$1010,"&gt;0"))</f>
        <v/>
      </c>
      <c r="I57" s="54">
        <f>IF(B57="","",COUNTIF(D$6:D$205,"&gt;"&amp;D57)+COUNTIF(D$6:D57,D57))</f>
        <v/>
      </c>
    </row>
    <row r="58">
      <c r="A58" s="54" t="n">
        <v>53</v>
      </c>
      <c r="B58" s="43">
        <f>IFERROR(INDEX('Work Orders'!$B$11:$B$1010,MATCH(A58,'Work Orders'!$AP$11:$AP$1010,0)),"")</f>
        <v/>
      </c>
      <c r="C58" s="43">
        <f>IF(B58="","",COUNTIFS('Work Orders'!$B$11:$B$1010,B58,'Work Orders'!$A$11:$A$1010,"&lt;&gt;"))</f>
        <v/>
      </c>
      <c r="D58" s="44">
        <f>IF(B58="","",SUMIFS('Work Orders'!$Z$11:$Z$1010,'Work Orders'!$B$11:$B$1010,B58))</f>
        <v/>
      </c>
      <c r="E58" s="44">
        <f>IF(B58="","",SUMIFS('Work Orders'!$J$11:$J$1010,'Work Orders'!$B$11:$B$1010,B58))</f>
        <v/>
      </c>
      <c r="F58" s="44">
        <f>IF(B58="","",SUMIFS('Work Orders'!$AE$11:$AE$1010,'Work Orders'!$B$11:$B$1010,B58))</f>
        <v/>
      </c>
      <c r="G58" s="44">
        <f>IF(B58="","",SUMIFS('Work Orders'!$AH$11:$AH$1010,'Work Orders'!$B$11:$B$1010,B58))</f>
        <v/>
      </c>
      <c r="H58" s="44">
        <f>IF(B58="","",SUMIFS('Work Orders'!$AH$11:$AH$1010,'Work Orders'!$B$11:$B$1010,B58,'Work Orders'!$AM$11:$AM$1010,"&gt;0"))</f>
        <v/>
      </c>
      <c r="I58" s="54">
        <f>IF(B58="","",COUNTIF(D$6:D$205,"&gt;"&amp;D58)+COUNTIF(D$6:D58,D58))</f>
        <v/>
      </c>
    </row>
    <row r="59">
      <c r="A59" s="54" t="n">
        <v>54</v>
      </c>
      <c r="B59" s="43">
        <f>IFERROR(INDEX('Work Orders'!$B$11:$B$1010,MATCH(A59,'Work Orders'!$AP$11:$AP$1010,0)),"")</f>
        <v/>
      </c>
      <c r="C59" s="43">
        <f>IF(B59="","",COUNTIFS('Work Orders'!$B$11:$B$1010,B59,'Work Orders'!$A$11:$A$1010,"&lt;&gt;"))</f>
        <v/>
      </c>
      <c r="D59" s="44">
        <f>IF(B59="","",SUMIFS('Work Orders'!$Z$11:$Z$1010,'Work Orders'!$B$11:$B$1010,B59))</f>
        <v/>
      </c>
      <c r="E59" s="44">
        <f>IF(B59="","",SUMIFS('Work Orders'!$J$11:$J$1010,'Work Orders'!$B$11:$B$1010,B59))</f>
        <v/>
      </c>
      <c r="F59" s="44">
        <f>IF(B59="","",SUMIFS('Work Orders'!$AE$11:$AE$1010,'Work Orders'!$B$11:$B$1010,B59))</f>
        <v/>
      </c>
      <c r="G59" s="44">
        <f>IF(B59="","",SUMIFS('Work Orders'!$AH$11:$AH$1010,'Work Orders'!$B$11:$B$1010,B59))</f>
        <v/>
      </c>
      <c r="H59" s="44">
        <f>IF(B59="","",SUMIFS('Work Orders'!$AH$11:$AH$1010,'Work Orders'!$B$11:$B$1010,B59,'Work Orders'!$AM$11:$AM$1010,"&gt;0"))</f>
        <v/>
      </c>
      <c r="I59" s="54">
        <f>IF(B59="","",COUNTIF(D$6:D$205,"&gt;"&amp;D59)+COUNTIF(D$6:D59,D59))</f>
        <v/>
      </c>
    </row>
    <row r="60">
      <c r="A60" s="54" t="n">
        <v>55</v>
      </c>
      <c r="B60" s="43">
        <f>IFERROR(INDEX('Work Orders'!$B$11:$B$1010,MATCH(A60,'Work Orders'!$AP$11:$AP$1010,0)),"")</f>
        <v/>
      </c>
      <c r="C60" s="43">
        <f>IF(B60="","",COUNTIFS('Work Orders'!$B$11:$B$1010,B60,'Work Orders'!$A$11:$A$1010,"&lt;&gt;"))</f>
        <v/>
      </c>
      <c r="D60" s="44">
        <f>IF(B60="","",SUMIFS('Work Orders'!$Z$11:$Z$1010,'Work Orders'!$B$11:$B$1010,B60))</f>
        <v/>
      </c>
      <c r="E60" s="44">
        <f>IF(B60="","",SUMIFS('Work Orders'!$J$11:$J$1010,'Work Orders'!$B$11:$B$1010,B60))</f>
        <v/>
      </c>
      <c r="F60" s="44">
        <f>IF(B60="","",SUMIFS('Work Orders'!$AE$11:$AE$1010,'Work Orders'!$B$11:$B$1010,B60))</f>
        <v/>
      </c>
      <c r="G60" s="44">
        <f>IF(B60="","",SUMIFS('Work Orders'!$AH$11:$AH$1010,'Work Orders'!$B$11:$B$1010,B60))</f>
        <v/>
      </c>
      <c r="H60" s="44">
        <f>IF(B60="","",SUMIFS('Work Orders'!$AH$11:$AH$1010,'Work Orders'!$B$11:$B$1010,B60,'Work Orders'!$AM$11:$AM$1010,"&gt;0"))</f>
        <v/>
      </c>
      <c r="I60" s="54">
        <f>IF(B60="","",COUNTIF(D$6:D$205,"&gt;"&amp;D60)+COUNTIF(D$6:D60,D60))</f>
        <v/>
      </c>
    </row>
    <row r="61">
      <c r="A61" s="54" t="n">
        <v>56</v>
      </c>
      <c r="B61" s="43">
        <f>IFERROR(INDEX('Work Orders'!$B$11:$B$1010,MATCH(A61,'Work Orders'!$AP$11:$AP$1010,0)),"")</f>
        <v/>
      </c>
      <c r="C61" s="43">
        <f>IF(B61="","",COUNTIFS('Work Orders'!$B$11:$B$1010,B61,'Work Orders'!$A$11:$A$1010,"&lt;&gt;"))</f>
        <v/>
      </c>
      <c r="D61" s="44">
        <f>IF(B61="","",SUMIFS('Work Orders'!$Z$11:$Z$1010,'Work Orders'!$B$11:$B$1010,B61))</f>
        <v/>
      </c>
      <c r="E61" s="44">
        <f>IF(B61="","",SUMIFS('Work Orders'!$J$11:$J$1010,'Work Orders'!$B$11:$B$1010,B61))</f>
        <v/>
      </c>
      <c r="F61" s="44">
        <f>IF(B61="","",SUMIFS('Work Orders'!$AE$11:$AE$1010,'Work Orders'!$B$11:$B$1010,B61))</f>
        <v/>
      </c>
      <c r="G61" s="44">
        <f>IF(B61="","",SUMIFS('Work Orders'!$AH$11:$AH$1010,'Work Orders'!$B$11:$B$1010,B61))</f>
        <v/>
      </c>
      <c r="H61" s="44">
        <f>IF(B61="","",SUMIFS('Work Orders'!$AH$11:$AH$1010,'Work Orders'!$B$11:$B$1010,B61,'Work Orders'!$AM$11:$AM$1010,"&gt;0"))</f>
        <v/>
      </c>
      <c r="I61" s="54">
        <f>IF(B61="","",COUNTIF(D$6:D$205,"&gt;"&amp;D61)+COUNTIF(D$6:D61,D61))</f>
        <v/>
      </c>
    </row>
    <row r="62">
      <c r="A62" s="54" t="n">
        <v>57</v>
      </c>
      <c r="B62" s="43">
        <f>IFERROR(INDEX('Work Orders'!$B$11:$B$1010,MATCH(A62,'Work Orders'!$AP$11:$AP$1010,0)),"")</f>
        <v/>
      </c>
      <c r="C62" s="43">
        <f>IF(B62="","",COUNTIFS('Work Orders'!$B$11:$B$1010,B62,'Work Orders'!$A$11:$A$1010,"&lt;&gt;"))</f>
        <v/>
      </c>
      <c r="D62" s="44">
        <f>IF(B62="","",SUMIFS('Work Orders'!$Z$11:$Z$1010,'Work Orders'!$B$11:$B$1010,B62))</f>
        <v/>
      </c>
      <c r="E62" s="44">
        <f>IF(B62="","",SUMIFS('Work Orders'!$J$11:$J$1010,'Work Orders'!$B$11:$B$1010,B62))</f>
        <v/>
      </c>
      <c r="F62" s="44">
        <f>IF(B62="","",SUMIFS('Work Orders'!$AE$11:$AE$1010,'Work Orders'!$B$11:$B$1010,B62))</f>
        <v/>
      </c>
      <c r="G62" s="44">
        <f>IF(B62="","",SUMIFS('Work Orders'!$AH$11:$AH$1010,'Work Orders'!$B$11:$B$1010,B62))</f>
        <v/>
      </c>
      <c r="H62" s="44">
        <f>IF(B62="","",SUMIFS('Work Orders'!$AH$11:$AH$1010,'Work Orders'!$B$11:$B$1010,B62,'Work Orders'!$AM$11:$AM$1010,"&gt;0"))</f>
        <v/>
      </c>
      <c r="I62" s="54">
        <f>IF(B62="","",COUNTIF(D$6:D$205,"&gt;"&amp;D62)+COUNTIF(D$6:D62,D62))</f>
        <v/>
      </c>
    </row>
    <row r="63">
      <c r="A63" s="54" t="n">
        <v>58</v>
      </c>
      <c r="B63" s="43">
        <f>IFERROR(INDEX('Work Orders'!$B$11:$B$1010,MATCH(A63,'Work Orders'!$AP$11:$AP$1010,0)),"")</f>
        <v/>
      </c>
      <c r="C63" s="43">
        <f>IF(B63="","",COUNTIFS('Work Orders'!$B$11:$B$1010,B63,'Work Orders'!$A$11:$A$1010,"&lt;&gt;"))</f>
        <v/>
      </c>
      <c r="D63" s="44">
        <f>IF(B63="","",SUMIFS('Work Orders'!$Z$11:$Z$1010,'Work Orders'!$B$11:$B$1010,B63))</f>
        <v/>
      </c>
      <c r="E63" s="44">
        <f>IF(B63="","",SUMIFS('Work Orders'!$J$11:$J$1010,'Work Orders'!$B$11:$B$1010,B63))</f>
        <v/>
      </c>
      <c r="F63" s="44">
        <f>IF(B63="","",SUMIFS('Work Orders'!$AE$11:$AE$1010,'Work Orders'!$B$11:$B$1010,B63))</f>
        <v/>
      </c>
      <c r="G63" s="44">
        <f>IF(B63="","",SUMIFS('Work Orders'!$AH$11:$AH$1010,'Work Orders'!$B$11:$B$1010,B63))</f>
        <v/>
      </c>
      <c r="H63" s="44">
        <f>IF(B63="","",SUMIFS('Work Orders'!$AH$11:$AH$1010,'Work Orders'!$B$11:$B$1010,B63,'Work Orders'!$AM$11:$AM$1010,"&gt;0"))</f>
        <v/>
      </c>
      <c r="I63" s="54">
        <f>IF(B63="","",COUNTIF(D$6:D$205,"&gt;"&amp;D63)+COUNTIF(D$6:D63,D63))</f>
        <v/>
      </c>
    </row>
    <row r="64">
      <c r="A64" s="54" t="n">
        <v>59</v>
      </c>
      <c r="B64" s="43">
        <f>IFERROR(INDEX('Work Orders'!$B$11:$B$1010,MATCH(A64,'Work Orders'!$AP$11:$AP$1010,0)),"")</f>
        <v/>
      </c>
      <c r="C64" s="43">
        <f>IF(B64="","",COUNTIFS('Work Orders'!$B$11:$B$1010,B64,'Work Orders'!$A$11:$A$1010,"&lt;&gt;"))</f>
        <v/>
      </c>
      <c r="D64" s="44">
        <f>IF(B64="","",SUMIFS('Work Orders'!$Z$11:$Z$1010,'Work Orders'!$B$11:$B$1010,B64))</f>
        <v/>
      </c>
      <c r="E64" s="44">
        <f>IF(B64="","",SUMIFS('Work Orders'!$J$11:$J$1010,'Work Orders'!$B$11:$B$1010,B64))</f>
        <v/>
      </c>
      <c r="F64" s="44">
        <f>IF(B64="","",SUMIFS('Work Orders'!$AE$11:$AE$1010,'Work Orders'!$B$11:$B$1010,B64))</f>
        <v/>
      </c>
      <c r="G64" s="44">
        <f>IF(B64="","",SUMIFS('Work Orders'!$AH$11:$AH$1010,'Work Orders'!$B$11:$B$1010,B64))</f>
        <v/>
      </c>
      <c r="H64" s="44">
        <f>IF(B64="","",SUMIFS('Work Orders'!$AH$11:$AH$1010,'Work Orders'!$B$11:$B$1010,B64,'Work Orders'!$AM$11:$AM$1010,"&gt;0"))</f>
        <v/>
      </c>
      <c r="I64" s="54">
        <f>IF(B64="","",COUNTIF(D$6:D$205,"&gt;"&amp;D64)+COUNTIF(D$6:D64,D64))</f>
        <v/>
      </c>
    </row>
    <row r="65">
      <c r="A65" s="54" t="n">
        <v>60</v>
      </c>
      <c r="B65" s="43">
        <f>IFERROR(INDEX('Work Orders'!$B$11:$B$1010,MATCH(A65,'Work Orders'!$AP$11:$AP$1010,0)),"")</f>
        <v/>
      </c>
      <c r="C65" s="43">
        <f>IF(B65="","",COUNTIFS('Work Orders'!$B$11:$B$1010,B65,'Work Orders'!$A$11:$A$1010,"&lt;&gt;"))</f>
        <v/>
      </c>
      <c r="D65" s="44">
        <f>IF(B65="","",SUMIFS('Work Orders'!$Z$11:$Z$1010,'Work Orders'!$B$11:$B$1010,B65))</f>
        <v/>
      </c>
      <c r="E65" s="44">
        <f>IF(B65="","",SUMIFS('Work Orders'!$J$11:$J$1010,'Work Orders'!$B$11:$B$1010,B65))</f>
        <v/>
      </c>
      <c r="F65" s="44">
        <f>IF(B65="","",SUMIFS('Work Orders'!$AE$11:$AE$1010,'Work Orders'!$B$11:$B$1010,B65))</f>
        <v/>
      </c>
      <c r="G65" s="44">
        <f>IF(B65="","",SUMIFS('Work Orders'!$AH$11:$AH$1010,'Work Orders'!$B$11:$B$1010,B65))</f>
        <v/>
      </c>
      <c r="H65" s="44">
        <f>IF(B65="","",SUMIFS('Work Orders'!$AH$11:$AH$1010,'Work Orders'!$B$11:$B$1010,B65,'Work Orders'!$AM$11:$AM$1010,"&gt;0"))</f>
        <v/>
      </c>
      <c r="I65" s="54">
        <f>IF(B65="","",COUNTIF(D$6:D$205,"&gt;"&amp;D65)+COUNTIF(D$6:D65,D65))</f>
        <v/>
      </c>
    </row>
    <row r="66">
      <c r="A66" s="54" t="n">
        <v>61</v>
      </c>
      <c r="B66" s="43">
        <f>IFERROR(INDEX('Work Orders'!$B$11:$B$1010,MATCH(A66,'Work Orders'!$AP$11:$AP$1010,0)),"")</f>
        <v/>
      </c>
      <c r="C66" s="43">
        <f>IF(B66="","",COUNTIFS('Work Orders'!$B$11:$B$1010,B66,'Work Orders'!$A$11:$A$1010,"&lt;&gt;"))</f>
        <v/>
      </c>
      <c r="D66" s="44">
        <f>IF(B66="","",SUMIFS('Work Orders'!$Z$11:$Z$1010,'Work Orders'!$B$11:$B$1010,B66))</f>
        <v/>
      </c>
      <c r="E66" s="44">
        <f>IF(B66="","",SUMIFS('Work Orders'!$J$11:$J$1010,'Work Orders'!$B$11:$B$1010,B66))</f>
        <v/>
      </c>
      <c r="F66" s="44">
        <f>IF(B66="","",SUMIFS('Work Orders'!$AE$11:$AE$1010,'Work Orders'!$B$11:$B$1010,B66))</f>
        <v/>
      </c>
      <c r="G66" s="44">
        <f>IF(B66="","",SUMIFS('Work Orders'!$AH$11:$AH$1010,'Work Orders'!$B$11:$B$1010,B66))</f>
        <v/>
      </c>
      <c r="H66" s="44">
        <f>IF(B66="","",SUMIFS('Work Orders'!$AH$11:$AH$1010,'Work Orders'!$B$11:$B$1010,B66,'Work Orders'!$AM$11:$AM$1010,"&gt;0"))</f>
        <v/>
      </c>
      <c r="I66" s="54">
        <f>IF(B66="","",COUNTIF(D$6:D$205,"&gt;"&amp;D66)+COUNTIF(D$6:D66,D66))</f>
        <v/>
      </c>
    </row>
    <row r="67">
      <c r="A67" s="54" t="n">
        <v>62</v>
      </c>
      <c r="B67" s="43">
        <f>IFERROR(INDEX('Work Orders'!$B$11:$B$1010,MATCH(A67,'Work Orders'!$AP$11:$AP$1010,0)),"")</f>
        <v/>
      </c>
      <c r="C67" s="43">
        <f>IF(B67="","",COUNTIFS('Work Orders'!$B$11:$B$1010,B67,'Work Orders'!$A$11:$A$1010,"&lt;&gt;"))</f>
        <v/>
      </c>
      <c r="D67" s="44">
        <f>IF(B67="","",SUMIFS('Work Orders'!$Z$11:$Z$1010,'Work Orders'!$B$11:$B$1010,B67))</f>
        <v/>
      </c>
      <c r="E67" s="44">
        <f>IF(B67="","",SUMIFS('Work Orders'!$J$11:$J$1010,'Work Orders'!$B$11:$B$1010,B67))</f>
        <v/>
      </c>
      <c r="F67" s="44">
        <f>IF(B67="","",SUMIFS('Work Orders'!$AE$11:$AE$1010,'Work Orders'!$B$11:$B$1010,B67))</f>
        <v/>
      </c>
      <c r="G67" s="44">
        <f>IF(B67="","",SUMIFS('Work Orders'!$AH$11:$AH$1010,'Work Orders'!$B$11:$B$1010,B67))</f>
        <v/>
      </c>
      <c r="H67" s="44">
        <f>IF(B67="","",SUMIFS('Work Orders'!$AH$11:$AH$1010,'Work Orders'!$B$11:$B$1010,B67,'Work Orders'!$AM$11:$AM$1010,"&gt;0"))</f>
        <v/>
      </c>
      <c r="I67" s="54">
        <f>IF(B67="","",COUNTIF(D$6:D$205,"&gt;"&amp;D67)+COUNTIF(D$6:D67,D67))</f>
        <v/>
      </c>
    </row>
    <row r="68">
      <c r="A68" s="54" t="n">
        <v>63</v>
      </c>
      <c r="B68" s="43">
        <f>IFERROR(INDEX('Work Orders'!$B$11:$B$1010,MATCH(A68,'Work Orders'!$AP$11:$AP$1010,0)),"")</f>
        <v/>
      </c>
      <c r="C68" s="43">
        <f>IF(B68="","",COUNTIFS('Work Orders'!$B$11:$B$1010,B68,'Work Orders'!$A$11:$A$1010,"&lt;&gt;"))</f>
        <v/>
      </c>
      <c r="D68" s="44">
        <f>IF(B68="","",SUMIFS('Work Orders'!$Z$11:$Z$1010,'Work Orders'!$B$11:$B$1010,B68))</f>
        <v/>
      </c>
      <c r="E68" s="44">
        <f>IF(B68="","",SUMIFS('Work Orders'!$J$11:$J$1010,'Work Orders'!$B$11:$B$1010,B68))</f>
        <v/>
      </c>
      <c r="F68" s="44">
        <f>IF(B68="","",SUMIFS('Work Orders'!$AE$11:$AE$1010,'Work Orders'!$B$11:$B$1010,B68))</f>
        <v/>
      </c>
      <c r="G68" s="44">
        <f>IF(B68="","",SUMIFS('Work Orders'!$AH$11:$AH$1010,'Work Orders'!$B$11:$B$1010,B68))</f>
        <v/>
      </c>
      <c r="H68" s="44">
        <f>IF(B68="","",SUMIFS('Work Orders'!$AH$11:$AH$1010,'Work Orders'!$B$11:$B$1010,B68,'Work Orders'!$AM$11:$AM$1010,"&gt;0"))</f>
        <v/>
      </c>
      <c r="I68" s="54">
        <f>IF(B68="","",COUNTIF(D$6:D$205,"&gt;"&amp;D68)+COUNTIF(D$6:D68,D68))</f>
        <v/>
      </c>
    </row>
    <row r="69">
      <c r="A69" s="54" t="n">
        <v>64</v>
      </c>
      <c r="B69" s="43">
        <f>IFERROR(INDEX('Work Orders'!$B$11:$B$1010,MATCH(A69,'Work Orders'!$AP$11:$AP$1010,0)),"")</f>
        <v/>
      </c>
      <c r="C69" s="43">
        <f>IF(B69="","",COUNTIFS('Work Orders'!$B$11:$B$1010,B69,'Work Orders'!$A$11:$A$1010,"&lt;&gt;"))</f>
        <v/>
      </c>
      <c r="D69" s="44">
        <f>IF(B69="","",SUMIFS('Work Orders'!$Z$11:$Z$1010,'Work Orders'!$B$11:$B$1010,B69))</f>
        <v/>
      </c>
      <c r="E69" s="44">
        <f>IF(B69="","",SUMIFS('Work Orders'!$J$11:$J$1010,'Work Orders'!$B$11:$B$1010,B69))</f>
        <v/>
      </c>
      <c r="F69" s="44">
        <f>IF(B69="","",SUMIFS('Work Orders'!$AE$11:$AE$1010,'Work Orders'!$B$11:$B$1010,B69))</f>
        <v/>
      </c>
      <c r="G69" s="44">
        <f>IF(B69="","",SUMIFS('Work Orders'!$AH$11:$AH$1010,'Work Orders'!$B$11:$B$1010,B69))</f>
        <v/>
      </c>
      <c r="H69" s="44">
        <f>IF(B69="","",SUMIFS('Work Orders'!$AH$11:$AH$1010,'Work Orders'!$B$11:$B$1010,B69,'Work Orders'!$AM$11:$AM$1010,"&gt;0"))</f>
        <v/>
      </c>
      <c r="I69" s="54">
        <f>IF(B69="","",COUNTIF(D$6:D$205,"&gt;"&amp;D69)+COUNTIF(D$6:D69,D69))</f>
        <v/>
      </c>
    </row>
    <row r="70">
      <c r="A70" s="54" t="n">
        <v>65</v>
      </c>
      <c r="B70" s="43">
        <f>IFERROR(INDEX('Work Orders'!$B$11:$B$1010,MATCH(A70,'Work Orders'!$AP$11:$AP$1010,0)),"")</f>
        <v/>
      </c>
      <c r="C70" s="43">
        <f>IF(B70="","",COUNTIFS('Work Orders'!$B$11:$B$1010,B70,'Work Orders'!$A$11:$A$1010,"&lt;&gt;"))</f>
        <v/>
      </c>
      <c r="D70" s="44">
        <f>IF(B70="","",SUMIFS('Work Orders'!$Z$11:$Z$1010,'Work Orders'!$B$11:$B$1010,B70))</f>
        <v/>
      </c>
      <c r="E70" s="44">
        <f>IF(B70="","",SUMIFS('Work Orders'!$J$11:$J$1010,'Work Orders'!$B$11:$B$1010,B70))</f>
        <v/>
      </c>
      <c r="F70" s="44">
        <f>IF(B70="","",SUMIFS('Work Orders'!$AE$11:$AE$1010,'Work Orders'!$B$11:$B$1010,B70))</f>
        <v/>
      </c>
      <c r="G70" s="44">
        <f>IF(B70="","",SUMIFS('Work Orders'!$AH$11:$AH$1010,'Work Orders'!$B$11:$B$1010,B70))</f>
        <v/>
      </c>
      <c r="H70" s="44">
        <f>IF(B70="","",SUMIFS('Work Orders'!$AH$11:$AH$1010,'Work Orders'!$B$11:$B$1010,B70,'Work Orders'!$AM$11:$AM$1010,"&gt;0"))</f>
        <v/>
      </c>
      <c r="I70" s="54">
        <f>IF(B70="","",COUNTIF(D$6:D$205,"&gt;"&amp;D70)+COUNTIF(D$6:D70,D70))</f>
        <v/>
      </c>
    </row>
    <row r="71">
      <c r="A71" s="54" t="n">
        <v>66</v>
      </c>
      <c r="B71" s="43">
        <f>IFERROR(INDEX('Work Orders'!$B$11:$B$1010,MATCH(A71,'Work Orders'!$AP$11:$AP$1010,0)),"")</f>
        <v/>
      </c>
      <c r="C71" s="43">
        <f>IF(B71="","",COUNTIFS('Work Orders'!$B$11:$B$1010,B71,'Work Orders'!$A$11:$A$1010,"&lt;&gt;"))</f>
        <v/>
      </c>
      <c r="D71" s="44">
        <f>IF(B71="","",SUMIFS('Work Orders'!$Z$11:$Z$1010,'Work Orders'!$B$11:$B$1010,B71))</f>
        <v/>
      </c>
      <c r="E71" s="44">
        <f>IF(B71="","",SUMIFS('Work Orders'!$J$11:$J$1010,'Work Orders'!$B$11:$B$1010,B71))</f>
        <v/>
      </c>
      <c r="F71" s="44">
        <f>IF(B71="","",SUMIFS('Work Orders'!$AE$11:$AE$1010,'Work Orders'!$B$11:$B$1010,B71))</f>
        <v/>
      </c>
      <c r="G71" s="44">
        <f>IF(B71="","",SUMIFS('Work Orders'!$AH$11:$AH$1010,'Work Orders'!$B$11:$B$1010,B71))</f>
        <v/>
      </c>
      <c r="H71" s="44">
        <f>IF(B71="","",SUMIFS('Work Orders'!$AH$11:$AH$1010,'Work Orders'!$B$11:$B$1010,B71,'Work Orders'!$AM$11:$AM$1010,"&gt;0"))</f>
        <v/>
      </c>
      <c r="I71" s="54">
        <f>IF(B71="","",COUNTIF(D$6:D$205,"&gt;"&amp;D71)+COUNTIF(D$6:D71,D71))</f>
        <v/>
      </c>
    </row>
    <row r="72">
      <c r="A72" s="54" t="n">
        <v>67</v>
      </c>
      <c r="B72" s="43">
        <f>IFERROR(INDEX('Work Orders'!$B$11:$B$1010,MATCH(A72,'Work Orders'!$AP$11:$AP$1010,0)),"")</f>
        <v/>
      </c>
      <c r="C72" s="43">
        <f>IF(B72="","",COUNTIFS('Work Orders'!$B$11:$B$1010,B72,'Work Orders'!$A$11:$A$1010,"&lt;&gt;"))</f>
        <v/>
      </c>
      <c r="D72" s="44">
        <f>IF(B72="","",SUMIFS('Work Orders'!$Z$11:$Z$1010,'Work Orders'!$B$11:$B$1010,B72))</f>
        <v/>
      </c>
      <c r="E72" s="44">
        <f>IF(B72="","",SUMIFS('Work Orders'!$J$11:$J$1010,'Work Orders'!$B$11:$B$1010,B72))</f>
        <v/>
      </c>
      <c r="F72" s="44">
        <f>IF(B72="","",SUMIFS('Work Orders'!$AE$11:$AE$1010,'Work Orders'!$B$11:$B$1010,B72))</f>
        <v/>
      </c>
      <c r="G72" s="44">
        <f>IF(B72="","",SUMIFS('Work Orders'!$AH$11:$AH$1010,'Work Orders'!$B$11:$B$1010,B72))</f>
        <v/>
      </c>
      <c r="H72" s="44">
        <f>IF(B72="","",SUMIFS('Work Orders'!$AH$11:$AH$1010,'Work Orders'!$B$11:$B$1010,B72,'Work Orders'!$AM$11:$AM$1010,"&gt;0"))</f>
        <v/>
      </c>
      <c r="I72" s="54">
        <f>IF(B72="","",COUNTIF(D$6:D$205,"&gt;"&amp;D72)+COUNTIF(D$6:D72,D72))</f>
        <v/>
      </c>
    </row>
    <row r="73">
      <c r="A73" s="54" t="n">
        <v>68</v>
      </c>
      <c r="B73" s="43">
        <f>IFERROR(INDEX('Work Orders'!$B$11:$B$1010,MATCH(A73,'Work Orders'!$AP$11:$AP$1010,0)),"")</f>
        <v/>
      </c>
      <c r="C73" s="43">
        <f>IF(B73="","",COUNTIFS('Work Orders'!$B$11:$B$1010,B73,'Work Orders'!$A$11:$A$1010,"&lt;&gt;"))</f>
        <v/>
      </c>
      <c r="D73" s="44">
        <f>IF(B73="","",SUMIFS('Work Orders'!$Z$11:$Z$1010,'Work Orders'!$B$11:$B$1010,B73))</f>
        <v/>
      </c>
      <c r="E73" s="44">
        <f>IF(B73="","",SUMIFS('Work Orders'!$J$11:$J$1010,'Work Orders'!$B$11:$B$1010,B73))</f>
        <v/>
      </c>
      <c r="F73" s="44">
        <f>IF(B73="","",SUMIFS('Work Orders'!$AE$11:$AE$1010,'Work Orders'!$B$11:$B$1010,B73))</f>
        <v/>
      </c>
      <c r="G73" s="44">
        <f>IF(B73="","",SUMIFS('Work Orders'!$AH$11:$AH$1010,'Work Orders'!$B$11:$B$1010,B73))</f>
        <v/>
      </c>
      <c r="H73" s="44">
        <f>IF(B73="","",SUMIFS('Work Orders'!$AH$11:$AH$1010,'Work Orders'!$B$11:$B$1010,B73,'Work Orders'!$AM$11:$AM$1010,"&gt;0"))</f>
        <v/>
      </c>
      <c r="I73" s="54">
        <f>IF(B73="","",COUNTIF(D$6:D$205,"&gt;"&amp;D73)+COUNTIF(D$6:D73,D73))</f>
        <v/>
      </c>
    </row>
    <row r="74">
      <c r="A74" s="54" t="n">
        <v>69</v>
      </c>
      <c r="B74" s="43">
        <f>IFERROR(INDEX('Work Orders'!$B$11:$B$1010,MATCH(A74,'Work Orders'!$AP$11:$AP$1010,0)),"")</f>
        <v/>
      </c>
      <c r="C74" s="43">
        <f>IF(B74="","",COUNTIFS('Work Orders'!$B$11:$B$1010,B74,'Work Orders'!$A$11:$A$1010,"&lt;&gt;"))</f>
        <v/>
      </c>
      <c r="D74" s="44">
        <f>IF(B74="","",SUMIFS('Work Orders'!$Z$11:$Z$1010,'Work Orders'!$B$11:$B$1010,B74))</f>
        <v/>
      </c>
      <c r="E74" s="44">
        <f>IF(B74="","",SUMIFS('Work Orders'!$J$11:$J$1010,'Work Orders'!$B$11:$B$1010,B74))</f>
        <v/>
      </c>
      <c r="F74" s="44">
        <f>IF(B74="","",SUMIFS('Work Orders'!$AE$11:$AE$1010,'Work Orders'!$B$11:$B$1010,B74))</f>
        <v/>
      </c>
      <c r="G74" s="44">
        <f>IF(B74="","",SUMIFS('Work Orders'!$AH$11:$AH$1010,'Work Orders'!$B$11:$B$1010,B74))</f>
        <v/>
      </c>
      <c r="H74" s="44">
        <f>IF(B74="","",SUMIFS('Work Orders'!$AH$11:$AH$1010,'Work Orders'!$B$11:$B$1010,B74,'Work Orders'!$AM$11:$AM$1010,"&gt;0"))</f>
        <v/>
      </c>
      <c r="I74" s="54">
        <f>IF(B74="","",COUNTIF(D$6:D$205,"&gt;"&amp;D74)+COUNTIF(D$6:D74,D74))</f>
        <v/>
      </c>
    </row>
    <row r="75">
      <c r="A75" s="54" t="n">
        <v>70</v>
      </c>
      <c r="B75" s="43">
        <f>IFERROR(INDEX('Work Orders'!$B$11:$B$1010,MATCH(A75,'Work Orders'!$AP$11:$AP$1010,0)),"")</f>
        <v/>
      </c>
      <c r="C75" s="43">
        <f>IF(B75="","",COUNTIFS('Work Orders'!$B$11:$B$1010,B75,'Work Orders'!$A$11:$A$1010,"&lt;&gt;"))</f>
        <v/>
      </c>
      <c r="D75" s="44">
        <f>IF(B75="","",SUMIFS('Work Orders'!$Z$11:$Z$1010,'Work Orders'!$B$11:$B$1010,B75))</f>
        <v/>
      </c>
      <c r="E75" s="44">
        <f>IF(B75="","",SUMIFS('Work Orders'!$J$11:$J$1010,'Work Orders'!$B$11:$B$1010,B75))</f>
        <v/>
      </c>
      <c r="F75" s="44">
        <f>IF(B75="","",SUMIFS('Work Orders'!$AE$11:$AE$1010,'Work Orders'!$B$11:$B$1010,B75))</f>
        <v/>
      </c>
      <c r="G75" s="44">
        <f>IF(B75="","",SUMIFS('Work Orders'!$AH$11:$AH$1010,'Work Orders'!$B$11:$B$1010,B75))</f>
        <v/>
      </c>
      <c r="H75" s="44">
        <f>IF(B75="","",SUMIFS('Work Orders'!$AH$11:$AH$1010,'Work Orders'!$B$11:$B$1010,B75,'Work Orders'!$AM$11:$AM$1010,"&gt;0"))</f>
        <v/>
      </c>
      <c r="I75" s="54">
        <f>IF(B75="","",COUNTIF(D$6:D$205,"&gt;"&amp;D75)+COUNTIF(D$6:D75,D75))</f>
        <v/>
      </c>
    </row>
    <row r="76">
      <c r="A76" s="54" t="n">
        <v>71</v>
      </c>
      <c r="B76" s="43">
        <f>IFERROR(INDEX('Work Orders'!$B$11:$B$1010,MATCH(A76,'Work Orders'!$AP$11:$AP$1010,0)),"")</f>
        <v/>
      </c>
      <c r="C76" s="43">
        <f>IF(B76="","",COUNTIFS('Work Orders'!$B$11:$B$1010,B76,'Work Orders'!$A$11:$A$1010,"&lt;&gt;"))</f>
        <v/>
      </c>
      <c r="D76" s="44">
        <f>IF(B76="","",SUMIFS('Work Orders'!$Z$11:$Z$1010,'Work Orders'!$B$11:$B$1010,B76))</f>
        <v/>
      </c>
      <c r="E76" s="44">
        <f>IF(B76="","",SUMIFS('Work Orders'!$J$11:$J$1010,'Work Orders'!$B$11:$B$1010,B76))</f>
        <v/>
      </c>
      <c r="F76" s="44">
        <f>IF(B76="","",SUMIFS('Work Orders'!$AE$11:$AE$1010,'Work Orders'!$B$11:$B$1010,B76))</f>
        <v/>
      </c>
      <c r="G76" s="44">
        <f>IF(B76="","",SUMIFS('Work Orders'!$AH$11:$AH$1010,'Work Orders'!$B$11:$B$1010,B76))</f>
        <v/>
      </c>
      <c r="H76" s="44">
        <f>IF(B76="","",SUMIFS('Work Orders'!$AH$11:$AH$1010,'Work Orders'!$B$11:$B$1010,B76,'Work Orders'!$AM$11:$AM$1010,"&gt;0"))</f>
        <v/>
      </c>
      <c r="I76" s="54">
        <f>IF(B76="","",COUNTIF(D$6:D$205,"&gt;"&amp;D76)+COUNTIF(D$6:D76,D76))</f>
        <v/>
      </c>
    </row>
    <row r="77">
      <c r="A77" s="54" t="n">
        <v>72</v>
      </c>
      <c r="B77" s="43">
        <f>IFERROR(INDEX('Work Orders'!$B$11:$B$1010,MATCH(A77,'Work Orders'!$AP$11:$AP$1010,0)),"")</f>
        <v/>
      </c>
      <c r="C77" s="43">
        <f>IF(B77="","",COUNTIFS('Work Orders'!$B$11:$B$1010,B77,'Work Orders'!$A$11:$A$1010,"&lt;&gt;"))</f>
        <v/>
      </c>
      <c r="D77" s="44">
        <f>IF(B77="","",SUMIFS('Work Orders'!$Z$11:$Z$1010,'Work Orders'!$B$11:$B$1010,B77))</f>
        <v/>
      </c>
      <c r="E77" s="44">
        <f>IF(B77="","",SUMIFS('Work Orders'!$J$11:$J$1010,'Work Orders'!$B$11:$B$1010,B77))</f>
        <v/>
      </c>
      <c r="F77" s="44">
        <f>IF(B77="","",SUMIFS('Work Orders'!$AE$11:$AE$1010,'Work Orders'!$B$11:$B$1010,B77))</f>
        <v/>
      </c>
      <c r="G77" s="44">
        <f>IF(B77="","",SUMIFS('Work Orders'!$AH$11:$AH$1010,'Work Orders'!$B$11:$B$1010,B77))</f>
        <v/>
      </c>
      <c r="H77" s="44">
        <f>IF(B77="","",SUMIFS('Work Orders'!$AH$11:$AH$1010,'Work Orders'!$B$11:$B$1010,B77,'Work Orders'!$AM$11:$AM$1010,"&gt;0"))</f>
        <v/>
      </c>
      <c r="I77" s="54">
        <f>IF(B77="","",COUNTIF(D$6:D$205,"&gt;"&amp;D77)+COUNTIF(D$6:D77,D77))</f>
        <v/>
      </c>
    </row>
    <row r="78">
      <c r="A78" s="54" t="n">
        <v>73</v>
      </c>
      <c r="B78" s="43">
        <f>IFERROR(INDEX('Work Orders'!$B$11:$B$1010,MATCH(A78,'Work Orders'!$AP$11:$AP$1010,0)),"")</f>
        <v/>
      </c>
      <c r="C78" s="43">
        <f>IF(B78="","",COUNTIFS('Work Orders'!$B$11:$B$1010,B78,'Work Orders'!$A$11:$A$1010,"&lt;&gt;"))</f>
        <v/>
      </c>
      <c r="D78" s="44">
        <f>IF(B78="","",SUMIFS('Work Orders'!$Z$11:$Z$1010,'Work Orders'!$B$11:$B$1010,B78))</f>
        <v/>
      </c>
      <c r="E78" s="44">
        <f>IF(B78="","",SUMIFS('Work Orders'!$J$11:$J$1010,'Work Orders'!$B$11:$B$1010,B78))</f>
        <v/>
      </c>
      <c r="F78" s="44">
        <f>IF(B78="","",SUMIFS('Work Orders'!$AE$11:$AE$1010,'Work Orders'!$B$11:$B$1010,B78))</f>
        <v/>
      </c>
      <c r="G78" s="44">
        <f>IF(B78="","",SUMIFS('Work Orders'!$AH$11:$AH$1010,'Work Orders'!$B$11:$B$1010,B78))</f>
        <v/>
      </c>
      <c r="H78" s="44">
        <f>IF(B78="","",SUMIFS('Work Orders'!$AH$11:$AH$1010,'Work Orders'!$B$11:$B$1010,B78,'Work Orders'!$AM$11:$AM$1010,"&gt;0"))</f>
        <v/>
      </c>
      <c r="I78" s="54">
        <f>IF(B78="","",COUNTIF(D$6:D$205,"&gt;"&amp;D78)+COUNTIF(D$6:D78,D78))</f>
        <v/>
      </c>
    </row>
    <row r="79">
      <c r="A79" s="54" t="n">
        <v>74</v>
      </c>
      <c r="B79" s="43">
        <f>IFERROR(INDEX('Work Orders'!$B$11:$B$1010,MATCH(A79,'Work Orders'!$AP$11:$AP$1010,0)),"")</f>
        <v/>
      </c>
      <c r="C79" s="43">
        <f>IF(B79="","",COUNTIFS('Work Orders'!$B$11:$B$1010,B79,'Work Orders'!$A$11:$A$1010,"&lt;&gt;"))</f>
        <v/>
      </c>
      <c r="D79" s="44">
        <f>IF(B79="","",SUMIFS('Work Orders'!$Z$11:$Z$1010,'Work Orders'!$B$11:$B$1010,B79))</f>
        <v/>
      </c>
      <c r="E79" s="44">
        <f>IF(B79="","",SUMIFS('Work Orders'!$J$11:$J$1010,'Work Orders'!$B$11:$B$1010,B79))</f>
        <v/>
      </c>
      <c r="F79" s="44">
        <f>IF(B79="","",SUMIFS('Work Orders'!$AE$11:$AE$1010,'Work Orders'!$B$11:$B$1010,B79))</f>
        <v/>
      </c>
      <c r="G79" s="44">
        <f>IF(B79="","",SUMIFS('Work Orders'!$AH$11:$AH$1010,'Work Orders'!$B$11:$B$1010,B79))</f>
        <v/>
      </c>
      <c r="H79" s="44">
        <f>IF(B79="","",SUMIFS('Work Orders'!$AH$11:$AH$1010,'Work Orders'!$B$11:$B$1010,B79,'Work Orders'!$AM$11:$AM$1010,"&gt;0"))</f>
        <v/>
      </c>
      <c r="I79" s="54">
        <f>IF(B79="","",COUNTIF(D$6:D$205,"&gt;"&amp;D79)+COUNTIF(D$6:D79,D79))</f>
        <v/>
      </c>
    </row>
    <row r="80">
      <c r="A80" s="54" t="n">
        <v>75</v>
      </c>
      <c r="B80" s="43">
        <f>IFERROR(INDEX('Work Orders'!$B$11:$B$1010,MATCH(A80,'Work Orders'!$AP$11:$AP$1010,0)),"")</f>
        <v/>
      </c>
      <c r="C80" s="43">
        <f>IF(B80="","",COUNTIFS('Work Orders'!$B$11:$B$1010,B80,'Work Orders'!$A$11:$A$1010,"&lt;&gt;"))</f>
        <v/>
      </c>
      <c r="D80" s="44">
        <f>IF(B80="","",SUMIFS('Work Orders'!$Z$11:$Z$1010,'Work Orders'!$B$11:$B$1010,B80))</f>
        <v/>
      </c>
      <c r="E80" s="44">
        <f>IF(B80="","",SUMIFS('Work Orders'!$J$11:$J$1010,'Work Orders'!$B$11:$B$1010,B80))</f>
        <v/>
      </c>
      <c r="F80" s="44">
        <f>IF(B80="","",SUMIFS('Work Orders'!$AE$11:$AE$1010,'Work Orders'!$B$11:$B$1010,B80))</f>
        <v/>
      </c>
      <c r="G80" s="44">
        <f>IF(B80="","",SUMIFS('Work Orders'!$AH$11:$AH$1010,'Work Orders'!$B$11:$B$1010,B80))</f>
        <v/>
      </c>
      <c r="H80" s="44">
        <f>IF(B80="","",SUMIFS('Work Orders'!$AH$11:$AH$1010,'Work Orders'!$B$11:$B$1010,B80,'Work Orders'!$AM$11:$AM$1010,"&gt;0"))</f>
        <v/>
      </c>
      <c r="I80" s="54">
        <f>IF(B80="","",COUNTIF(D$6:D$205,"&gt;"&amp;D80)+COUNTIF(D$6:D80,D80))</f>
        <v/>
      </c>
    </row>
    <row r="81">
      <c r="A81" s="54" t="n">
        <v>76</v>
      </c>
      <c r="B81" s="43">
        <f>IFERROR(INDEX('Work Orders'!$B$11:$B$1010,MATCH(A81,'Work Orders'!$AP$11:$AP$1010,0)),"")</f>
        <v/>
      </c>
      <c r="C81" s="43">
        <f>IF(B81="","",COUNTIFS('Work Orders'!$B$11:$B$1010,B81,'Work Orders'!$A$11:$A$1010,"&lt;&gt;"))</f>
        <v/>
      </c>
      <c r="D81" s="44">
        <f>IF(B81="","",SUMIFS('Work Orders'!$Z$11:$Z$1010,'Work Orders'!$B$11:$B$1010,B81))</f>
        <v/>
      </c>
      <c r="E81" s="44">
        <f>IF(B81="","",SUMIFS('Work Orders'!$J$11:$J$1010,'Work Orders'!$B$11:$B$1010,B81))</f>
        <v/>
      </c>
      <c r="F81" s="44">
        <f>IF(B81="","",SUMIFS('Work Orders'!$AE$11:$AE$1010,'Work Orders'!$B$11:$B$1010,B81))</f>
        <v/>
      </c>
      <c r="G81" s="44">
        <f>IF(B81="","",SUMIFS('Work Orders'!$AH$11:$AH$1010,'Work Orders'!$B$11:$B$1010,B81))</f>
        <v/>
      </c>
      <c r="H81" s="44">
        <f>IF(B81="","",SUMIFS('Work Orders'!$AH$11:$AH$1010,'Work Orders'!$B$11:$B$1010,B81,'Work Orders'!$AM$11:$AM$1010,"&gt;0"))</f>
        <v/>
      </c>
      <c r="I81" s="54">
        <f>IF(B81="","",COUNTIF(D$6:D$205,"&gt;"&amp;D81)+COUNTIF(D$6:D81,D81))</f>
        <v/>
      </c>
    </row>
    <row r="82">
      <c r="A82" s="54" t="n">
        <v>77</v>
      </c>
      <c r="B82" s="43">
        <f>IFERROR(INDEX('Work Orders'!$B$11:$B$1010,MATCH(A82,'Work Orders'!$AP$11:$AP$1010,0)),"")</f>
        <v/>
      </c>
      <c r="C82" s="43">
        <f>IF(B82="","",COUNTIFS('Work Orders'!$B$11:$B$1010,B82,'Work Orders'!$A$11:$A$1010,"&lt;&gt;"))</f>
        <v/>
      </c>
      <c r="D82" s="44">
        <f>IF(B82="","",SUMIFS('Work Orders'!$Z$11:$Z$1010,'Work Orders'!$B$11:$B$1010,B82))</f>
        <v/>
      </c>
      <c r="E82" s="44">
        <f>IF(B82="","",SUMIFS('Work Orders'!$J$11:$J$1010,'Work Orders'!$B$11:$B$1010,B82))</f>
        <v/>
      </c>
      <c r="F82" s="44">
        <f>IF(B82="","",SUMIFS('Work Orders'!$AE$11:$AE$1010,'Work Orders'!$B$11:$B$1010,B82))</f>
        <v/>
      </c>
      <c r="G82" s="44">
        <f>IF(B82="","",SUMIFS('Work Orders'!$AH$11:$AH$1010,'Work Orders'!$B$11:$B$1010,B82))</f>
        <v/>
      </c>
      <c r="H82" s="44">
        <f>IF(B82="","",SUMIFS('Work Orders'!$AH$11:$AH$1010,'Work Orders'!$B$11:$B$1010,B82,'Work Orders'!$AM$11:$AM$1010,"&gt;0"))</f>
        <v/>
      </c>
      <c r="I82" s="54">
        <f>IF(B82="","",COUNTIF(D$6:D$205,"&gt;"&amp;D82)+COUNTIF(D$6:D82,D82))</f>
        <v/>
      </c>
    </row>
    <row r="83">
      <c r="A83" s="54" t="n">
        <v>78</v>
      </c>
      <c r="B83" s="43">
        <f>IFERROR(INDEX('Work Orders'!$B$11:$B$1010,MATCH(A83,'Work Orders'!$AP$11:$AP$1010,0)),"")</f>
        <v/>
      </c>
      <c r="C83" s="43">
        <f>IF(B83="","",COUNTIFS('Work Orders'!$B$11:$B$1010,B83,'Work Orders'!$A$11:$A$1010,"&lt;&gt;"))</f>
        <v/>
      </c>
      <c r="D83" s="44">
        <f>IF(B83="","",SUMIFS('Work Orders'!$Z$11:$Z$1010,'Work Orders'!$B$11:$B$1010,B83))</f>
        <v/>
      </c>
      <c r="E83" s="44">
        <f>IF(B83="","",SUMIFS('Work Orders'!$J$11:$J$1010,'Work Orders'!$B$11:$B$1010,B83))</f>
        <v/>
      </c>
      <c r="F83" s="44">
        <f>IF(B83="","",SUMIFS('Work Orders'!$AE$11:$AE$1010,'Work Orders'!$B$11:$B$1010,B83))</f>
        <v/>
      </c>
      <c r="G83" s="44">
        <f>IF(B83="","",SUMIFS('Work Orders'!$AH$11:$AH$1010,'Work Orders'!$B$11:$B$1010,B83))</f>
        <v/>
      </c>
      <c r="H83" s="44">
        <f>IF(B83="","",SUMIFS('Work Orders'!$AH$11:$AH$1010,'Work Orders'!$B$11:$B$1010,B83,'Work Orders'!$AM$11:$AM$1010,"&gt;0"))</f>
        <v/>
      </c>
      <c r="I83" s="54">
        <f>IF(B83="","",COUNTIF(D$6:D$205,"&gt;"&amp;D83)+COUNTIF(D$6:D83,D83))</f>
        <v/>
      </c>
    </row>
    <row r="84">
      <c r="A84" s="54" t="n">
        <v>79</v>
      </c>
      <c r="B84" s="43">
        <f>IFERROR(INDEX('Work Orders'!$B$11:$B$1010,MATCH(A84,'Work Orders'!$AP$11:$AP$1010,0)),"")</f>
        <v/>
      </c>
      <c r="C84" s="43">
        <f>IF(B84="","",COUNTIFS('Work Orders'!$B$11:$B$1010,B84,'Work Orders'!$A$11:$A$1010,"&lt;&gt;"))</f>
        <v/>
      </c>
      <c r="D84" s="44">
        <f>IF(B84="","",SUMIFS('Work Orders'!$Z$11:$Z$1010,'Work Orders'!$B$11:$B$1010,B84))</f>
        <v/>
      </c>
      <c r="E84" s="44">
        <f>IF(B84="","",SUMIFS('Work Orders'!$J$11:$J$1010,'Work Orders'!$B$11:$B$1010,B84))</f>
        <v/>
      </c>
      <c r="F84" s="44">
        <f>IF(B84="","",SUMIFS('Work Orders'!$AE$11:$AE$1010,'Work Orders'!$B$11:$B$1010,B84))</f>
        <v/>
      </c>
      <c r="G84" s="44">
        <f>IF(B84="","",SUMIFS('Work Orders'!$AH$11:$AH$1010,'Work Orders'!$B$11:$B$1010,B84))</f>
        <v/>
      </c>
      <c r="H84" s="44">
        <f>IF(B84="","",SUMIFS('Work Orders'!$AH$11:$AH$1010,'Work Orders'!$B$11:$B$1010,B84,'Work Orders'!$AM$11:$AM$1010,"&gt;0"))</f>
        <v/>
      </c>
      <c r="I84" s="54">
        <f>IF(B84="","",COUNTIF(D$6:D$205,"&gt;"&amp;D84)+COUNTIF(D$6:D84,D84))</f>
        <v/>
      </c>
    </row>
    <row r="85">
      <c r="A85" s="54" t="n">
        <v>80</v>
      </c>
      <c r="B85" s="43">
        <f>IFERROR(INDEX('Work Orders'!$B$11:$B$1010,MATCH(A85,'Work Orders'!$AP$11:$AP$1010,0)),"")</f>
        <v/>
      </c>
      <c r="C85" s="43">
        <f>IF(B85="","",COUNTIFS('Work Orders'!$B$11:$B$1010,B85,'Work Orders'!$A$11:$A$1010,"&lt;&gt;"))</f>
        <v/>
      </c>
      <c r="D85" s="44">
        <f>IF(B85="","",SUMIFS('Work Orders'!$Z$11:$Z$1010,'Work Orders'!$B$11:$B$1010,B85))</f>
        <v/>
      </c>
      <c r="E85" s="44">
        <f>IF(B85="","",SUMIFS('Work Orders'!$J$11:$J$1010,'Work Orders'!$B$11:$B$1010,B85))</f>
        <v/>
      </c>
      <c r="F85" s="44">
        <f>IF(B85="","",SUMIFS('Work Orders'!$AE$11:$AE$1010,'Work Orders'!$B$11:$B$1010,B85))</f>
        <v/>
      </c>
      <c r="G85" s="44">
        <f>IF(B85="","",SUMIFS('Work Orders'!$AH$11:$AH$1010,'Work Orders'!$B$11:$B$1010,B85))</f>
        <v/>
      </c>
      <c r="H85" s="44">
        <f>IF(B85="","",SUMIFS('Work Orders'!$AH$11:$AH$1010,'Work Orders'!$B$11:$B$1010,B85,'Work Orders'!$AM$11:$AM$1010,"&gt;0"))</f>
        <v/>
      </c>
      <c r="I85" s="54">
        <f>IF(B85="","",COUNTIF(D$6:D$205,"&gt;"&amp;D85)+COUNTIF(D$6:D85,D85))</f>
        <v/>
      </c>
    </row>
    <row r="86">
      <c r="A86" s="54" t="n">
        <v>81</v>
      </c>
      <c r="B86" s="43">
        <f>IFERROR(INDEX('Work Orders'!$B$11:$B$1010,MATCH(A86,'Work Orders'!$AP$11:$AP$1010,0)),"")</f>
        <v/>
      </c>
      <c r="C86" s="43">
        <f>IF(B86="","",COUNTIFS('Work Orders'!$B$11:$B$1010,B86,'Work Orders'!$A$11:$A$1010,"&lt;&gt;"))</f>
        <v/>
      </c>
      <c r="D86" s="44">
        <f>IF(B86="","",SUMIFS('Work Orders'!$Z$11:$Z$1010,'Work Orders'!$B$11:$B$1010,B86))</f>
        <v/>
      </c>
      <c r="E86" s="44">
        <f>IF(B86="","",SUMIFS('Work Orders'!$J$11:$J$1010,'Work Orders'!$B$11:$B$1010,B86))</f>
        <v/>
      </c>
      <c r="F86" s="44">
        <f>IF(B86="","",SUMIFS('Work Orders'!$AE$11:$AE$1010,'Work Orders'!$B$11:$B$1010,B86))</f>
        <v/>
      </c>
      <c r="G86" s="44">
        <f>IF(B86="","",SUMIFS('Work Orders'!$AH$11:$AH$1010,'Work Orders'!$B$11:$B$1010,B86))</f>
        <v/>
      </c>
      <c r="H86" s="44">
        <f>IF(B86="","",SUMIFS('Work Orders'!$AH$11:$AH$1010,'Work Orders'!$B$11:$B$1010,B86,'Work Orders'!$AM$11:$AM$1010,"&gt;0"))</f>
        <v/>
      </c>
      <c r="I86" s="54">
        <f>IF(B86="","",COUNTIF(D$6:D$205,"&gt;"&amp;D86)+COUNTIF(D$6:D86,D86))</f>
        <v/>
      </c>
    </row>
    <row r="87">
      <c r="A87" s="54" t="n">
        <v>82</v>
      </c>
      <c r="B87" s="43">
        <f>IFERROR(INDEX('Work Orders'!$B$11:$B$1010,MATCH(A87,'Work Orders'!$AP$11:$AP$1010,0)),"")</f>
        <v/>
      </c>
      <c r="C87" s="43">
        <f>IF(B87="","",COUNTIFS('Work Orders'!$B$11:$B$1010,B87,'Work Orders'!$A$11:$A$1010,"&lt;&gt;"))</f>
        <v/>
      </c>
      <c r="D87" s="44">
        <f>IF(B87="","",SUMIFS('Work Orders'!$Z$11:$Z$1010,'Work Orders'!$B$11:$B$1010,B87))</f>
        <v/>
      </c>
      <c r="E87" s="44">
        <f>IF(B87="","",SUMIFS('Work Orders'!$J$11:$J$1010,'Work Orders'!$B$11:$B$1010,B87))</f>
        <v/>
      </c>
      <c r="F87" s="44">
        <f>IF(B87="","",SUMIFS('Work Orders'!$AE$11:$AE$1010,'Work Orders'!$B$11:$B$1010,B87))</f>
        <v/>
      </c>
      <c r="G87" s="44">
        <f>IF(B87="","",SUMIFS('Work Orders'!$AH$11:$AH$1010,'Work Orders'!$B$11:$B$1010,B87))</f>
        <v/>
      </c>
      <c r="H87" s="44">
        <f>IF(B87="","",SUMIFS('Work Orders'!$AH$11:$AH$1010,'Work Orders'!$B$11:$B$1010,B87,'Work Orders'!$AM$11:$AM$1010,"&gt;0"))</f>
        <v/>
      </c>
      <c r="I87" s="54">
        <f>IF(B87="","",COUNTIF(D$6:D$205,"&gt;"&amp;D87)+COUNTIF(D$6:D87,D87))</f>
        <v/>
      </c>
    </row>
    <row r="88">
      <c r="A88" s="54" t="n">
        <v>83</v>
      </c>
      <c r="B88" s="43">
        <f>IFERROR(INDEX('Work Orders'!$B$11:$B$1010,MATCH(A88,'Work Orders'!$AP$11:$AP$1010,0)),"")</f>
        <v/>
      </c>
      <c r="C88" s="43">
        <f>IF(B88="","",COUNTIFS('Work Orders'!$B$11:$B$1010,B88,'Work Orders'!$A$11:$A$1010,"&lt;&gt;"))</f>
        <v/>
      </c>
      <c r="D88" s="44">
        <f>IF(B88="","",SUMIFS('Work Orders'!$Z$11:$Z$1010,'Work Orders'!$B$11:$B$1010,B88))</f>
        <v/>
      </c>
      <c r="E88" s="44">
        <f>IF(B88="","",SUMIFS('Work Orders'!$J$11:$J$1010,'Work Orders'!$B$11:$B$1010,B88))</f>
        <v/>
      </c>
      <c r="F88" s="44">
        <f>IF(B88="","",SUMIFS('Work Orders'!$AE$11:$AE$1010,'Work Orders'!$B$11:$B$1010,B88))</f>
        <v/>
      </c>
      <c r="G88" s="44">
        <f>IF(B88="","",SUMIFS('Work Orders'!$AH$11:$AH$1010,'Work Orders'!$B$11:$B$1010,B88))</f>
        <v/>
      </c>
      <c r="H88" s="44">
        <f>IF(B88="","",SUMIFS('Work Orders'!$AH$11:$AH$1010,'Work Orders'!$B$11:$B$1010,B88,'Work Orders'!$AM$11:$AM$1010,"&gt;0"))</f>
        <v/>
      </c>
      <c r="I88" s="54">
        <f>IF(B88="","",COUNTIF(D$6:D$205,"&gt;"&amp;D88)+COUNTIF(D$6:D88,D88))</f>
        <v/>
      </c>
    </row>
    <row r="89">
      <c r="A89" s="54" t="n">
        <v>84</v>
      </c>
      <c r="B89" s="43">
        <f>IFERROR(INDEX('Work Orders'!$B$11:$B$1010,MATCH(A89,'Work Orders'!$AP$11:$AP$1010,0)),"")</f>
        <v/>
      </c>
      <c r="C89" s="43">
        <f>IF(B89="","",COUNTIFS('Work Orders'!$B$11:$B$1010,B89,'Work Orders'!$A$11:$A$1010,"&lt;&gt;"))</f>
        <v/>
      </c>
      <c r="D89" s="44">
        <f>IF(B89="","",SUMIFS('Work Orders'!$Z$11:$Z$1010,'Work Orders'!$B$11:$B$1010,B89))</f>
        <v/>
      </c>
      <c r="E89" s="44">
        <f>IF(B89="","",SUMIFS('Work Orders'!$J$11:$J$1010,'Work Orders'!$B$11:$B$1010,B89))</f>
        <v/>
      </c>
      <c r="F89" s="44">
        <f>IF(B89="","",SUMIFS('Work Orders'!$AE$11:$AE$1010,'Work Orders'!$B$11:$B$1010,B89))</f>
        <v/>
      </c>
      <c r="G89" s="44">
        <f>IF(B89="","",SUMIFS('Work Orders'!$AH$11:$AH$1010,'Work Orders'!$B$11:$B$1010,B89))</f>
        <v/>
      </c>
      <c r="H89" s="44">
        <f>IF(B89="","",SUMIFS('Work Orders'!$AH$11:$AH$1010,'Work Orders'!$B$11:$B$1010,B89,'Work Orders'!$AM$11:$AM$1010,"&gt;0"))</f>
        <v/>
      </c>
      <c r="I89" s="54">
        <f>IF(B89="","",COUNTIF(D$6:D$205,"&gt;"&amp;D89)+COUNTIF(D$6:D89,D89))</f>
        <v/>
      </c>
    </row>
    <row r="90">
      <c r="A90" s="54" t="n">
        <v>85</v>
      </c>
      <c r="B90" s="43">
        <f>IFERROR(INDEX('Work Orders'!$B$11:$B$1010,MATCH(A90,'Work Orders'!$AP$11:$AP$1010,0)),"")</f>
        <v/>
      </c>
      <c r="C90" s="43">
        <f>IF(B90="","",COUNTIFS('Work Orders'!$B$11:$B$1010,B90,'Work Orders'!$A$11:$A$1010,"&lt;&gt;"))</f>
        <v/>
      </c>
      <c r="D90" s="44">
        <f>IF(B90="","",SUMIFS('Work Orders'!$Z$11:$Z$1010,'Work Orders'!$B$11:$B$1010,B90))</f>
        <v/>
      </c>
      <c r="E90" s="44">
        <f>IF(B90="","",SUMIFS('Work Orders'!$J$11:$J$1010,'Work Orders'!$B$11:$B$1010,B90))</f>
        <v/>
      </c>
      <c r="F90" s="44">
        <f>IF(B90="","",SUMIFS('Work Orders'!$AE$11:$AE$1010,'Work Orders'!$B$11:$B$1010,B90))</f>
        <v/>
      </c>
      <c r="G90" s="44">
        <f>IF(B90="","",SUMIFS('Work Orders'!$AH$11:$AH$1010,'Work Orders'!$B$11:$B$1010,B90))</f>
        <v/>
      </c>
      <c r="H90" s="44">
        <f>IF(B90="","",SUMIFS('Work Orders'!$AH$11:$AH$1010,'Work Orders'!$B$11:$B$1010,B90,'Work Orders'!$AM$11:$AM$1010,"&gt;0"))</f>
        <v/>
      </c>
      <c r="I90" s="54">
        <f>IF(B90="","",COUNTIF(D$6:D$205,"&gt;"&amp;D90)+COUNTIF(D$6:D90,D90))</f>
        <v/>
      </c>
    </row>
    <row r="91">
      <c r="A91" s="54" t="n">
        <v>86</v>
      </c>
      <c r="B91" s="43">
        <f>IFERROR(INDEX('Work Orders'!$B$11:$B$1010,MATCH(A91,'Work Orders'!$AP$11:$AP$1010,0)),"")</f>
        <v/>
      </c>
      <c r="C91" s="43">
        <f>IF(B91="","",COUNTIFS('Work Orders'!$B$11:$B$1010,B91,'Work Orders'!$A$11:$A$1010,"&lt;&gt;"))</f>
        <v/>
      </c>
      <c r="D91" s="44">
        <f>IF(B91="","",SUMIFS('Work Orders'!$Z$11:$Z$1010,'Work Orders'!$B$11:$B$1010,B91))</f>
        <v/>
      </c>
      <c r="E91" s="44">
        <f>IF(B91="","",SUMIFS('Work Orders'!$J$11:$J$1010,'Work Orders'!$B$11:$B$1010,B91))</f>
        <v/>
      </c>
      <c r="F91" s="44">
        <f>IF(B91="","",SUMIFS('Work Orders'!$AE$11:$AE$1010,'Work Orders'!$B$11:$B$1010,B91))</f>
        <v/>
      </c>
      <c r="G91" s="44">
        <f>IF(B91="","",SUMIFS('Work Orders'!$AH$11:$AH$1010,'Work Orders'!$B$11:$B$1010,B91))</f>
        <v/>
      </c>
      <c r="H91" s="44">
        <f>IF(B91="","",SUMIFS('Work Orders'!$AH$11:$AH$1010,'Work Orders'!$B$11:$B$1010,B91,'Work Orders'!$AM$11:$AM$1010,"&gt;0"))</f>
        <v/>
      </c>
      <c r="I91" s="54">
        <f>IF(B91="","",COUNTIF(D$6:D$205,"&gt;"&amp;D91)+COUNTIF(D$6:D91,D91))</f>
        <v/>
      </c>
    </row>
    <row r="92">
      <c r="A92" s="54" t="n">
        <v>87</v>
      </c>
      <c r="B92" s="43">
        <f>IFERROR(INDEX('Work Orders'!$B$11:$B$1010,MATCH(A92,'Work Orders'!$AP$11:$AP$1010,0)),"")</f>
        <v/>
      </c>
      <c r="C92" s="43">
        <f>IF(B92="","",COUNTIFS('Work Orders'!$B$11:$B$1010,B92,'Work Orders'!$A$11:$A$1010,"&lt;&gt;"))</f>
        <v/>
      </c>
      <c r="D92" s="44">
        <f>IF(B92="","",SUMIFS('Work Orders'!$Z$11:$Z$1010,'Work Orders'!$B$11:$B$1010,B92))</f>
        <v/>
      </c>
      <c r="E92" s="44">
        <f>IF(B92="","",SUMIFS('Work Orders'!$J$11:$J$1010,'Work Orders'!$B$11:$B$1010,B92))</f>
        <v/>
      </c>
      <c r="F92" s="44">
        <f>IF(B92="","",SUMIFS('Work Orders'!$AE$11:$AE$1010,'Work Orders'!$B$11:$B$1010,B92))</f>
        <v/>
      </c>
      <c r="G92" s="44">
        <f>IF(B92="","",SUMIFS('Work Orders'!$AH$11:$AH$1010,'Work Orders'!$B$11:$B$1010,B92))</f>
        <v/>
      </c>
      <c r="H92" s="44">
        <f>IF(B92="","",SUMIFS('Work Orders'!$AH$11:$AH$1010,'Work Orders'!$B$11:$B$1010,B92,'Work Orders'!$AM$11:$AM$1010,"&gt;0"))</f>
        <v/>
      </c>
      <c r="I92" s="54">
        <f>IF(B92="","",COUNTIF(D$6:D$205,"&gt;"&amp;D92)+COUNTIF(D$6:D92,D92))</f>
        <v/>
      </c>
    </row>
    <row r="93">
      <c r="A93" s="54" t="n">
        <v>88</v>
      </c>
      <c r="B93" s="43">
        <f>IFERROR(INDEX('Work Orders'!$B$11:$B$1010,MATCH(A93,'Work Orders'!$AP$11:$AP$1010,0)),"")</f>
        <v/>
      </c>
      <c r="C93" s="43">
        <f>IF(B93="","",COUNTIFS('Work Orders'!$B$11:$B$1010,B93,'Work Orders'!$A$11:$A$1010,"&lt;&gt;"))</f>
        <v/>
      </c>
      <c r="D93" s="44">
        <f>IF(B93="","",SUMIFS('Work Orders'!$Z$11:$Z$1010,'Work Orders'!$B$11:$B$1010,B93))</f>
        <v/>
      </c>
      <c r="E93" s="44">
        <f>IF(B93="","",SUMIFS('Work Orders'!$J$11:$J$1010,'Work Orders'!$B$11:$B$1010,B93))</f>
        <v/>
      </c>
      <c r="F93" s="44">
        <f>IF(B93="","",SUMIFS('Work Orders'!$AE$11:$AE$1010,'Work Orders'!$B$11:$B$1010,B93))</f>
        <v/>
      </c>
      <c r="G93" s="44">
        <f>IF(B93="","",SUMIFS('Work Orders'!$AH$11:$AH$1010,'Work Orders'!$B$11:$B$1010,B93))</f>
        <v/>
      </c>
      <c r="H93" s="44">
        <f>IF(B93="","",SUMIFS('Work Orders'!$AH$11:$AH$1010,'Work Orders'!$B$11:$B$1010,B93,'Work Orders'!$AM$11:$AM$1010,"&gt;0"))</f>
        <v/>
      </c>
      <c r="I93" s="54">
        <f>IF(B93="","",COUNTIF(D$6:D$205,"&gt;"&amp;D93)+COUNTIF(D$6:D93,D93))</f>
        <v/>
      </c>
    </row>
    <row r="94">
      <c r="A94" s="54" t="n">
        <v>89</v>
      </c>
      <c r="B94" s="43">
        <f>IFERROR(INDEX('Work Orders'!$B$11:$B$1010,MATCH(A94,'Work Orders'!$AP$11:$AP$1010,0)),"")</f>
        <v/>
      </c>
      <c r="C94" s="43">
        <f>IF(B94="","",COUNTIFS('Work Orders'!$B$11:$B$1010,B94,'Work Orders'!$A$11:$A$1010,"&lt;&gt;"))</f>
        <v/>
      </c>
      <c r="D94" s="44">
        <f>IF(B94="","",SUMIFS('Work Orders'!$Z$11:$Z$1010,'Work Orders'!$B$11:$B$1010,B94))</f>
        <v/>
      </c>
      <c r="E94" s="44">
        <f>IF(B94="","",SUMIFS('Work Orders'!$J$11:$J$1010,'Work Orders'!$B$11:$B$1010,B94))</f>
        <v/>
      </c>
      <c r="F94" s="44">
        <f>IF(B94="","",SUMIFS('Work Orders'!$AE$11:$AE$1010,'Work Orders'!$B$11:$B$1010,B94))</f>
        <v/>
      </c>
      <c r="G94" s="44">
        <f>IF(B94="","",SUMIFS('Work Orders'!$AH$11:$AH$1010,'Work Orders'!$B$11:$B$1010,B94))</f>
        <v/>
      </c>
      <c r="H94" s="44">
        <f>IF(B94="","",SUMIFS('Work Orders'!$AH$11:$AH$1010,'Work Orders'!$B$11:$B$1010,B94,'Work Orders'!$AM$11:$AM$1010,"&gt;0"))</f>
        <v/>
      </c>
      <c r="I94" s="54">
        <f>IF(B94="","",COUNTIF(D$6:D$205,"&gt;"&amp;D94)+COUNTIF(D$6:D94,D94))</f>
        <v/>
      </c>
    </row>
    <row r="95">
      <c r="A95" s="54" t="n">
        <v>90</v>
      </c>
      <c r="B95" s="43">
        <f>IFERROR(INDEX('Work Orders'!$B$11:$B$1010,MATCH(A95,'Work Orders'!$AP$11:$AP$1010,0)),"")</f>
        <v/>
      </c>
      <c r="C95" s="43">
        <f>IF(B95="","",COUNTIFS('Work Orders'!$B$11:$B$1010,B95,'Work Orders'!$A$11:$A$1010,"&lt;&gt;"))</f>
        <v/>
      </c>
      <c r="D95" s="44">
        <f>IF(B95="","",SUMIFS('Work Orders'!$Z$11:$Z$1010,'Work Orders'!$B$11:$B$1010,B95))</f>
        <v/>
      </c>
      <c r="E95" s="44">
        <f>IF(B95="","",SUMIFS('Work Orders'!$J$11:$J$1010,'Work Orders'!$B$11:$B$1010,B95))</f>
        <v/>
      </c>
      <c r="F95" s="44">
        <f>IF(B95="","",SUMIFS('Work Orders'!$AE$11:$AE$1010,'Work Orders'!$B$11:$B$1010,B95))</f>
        <v/>
      </c>
      <c r="G95" s="44">
        <f>IF(B95="","",SUMIFS('Work Orders'!$AH$11:$AH$1010,'Work Orders'!$B$11:$B$1010,B95))</f>
        <v/>
      </c>
      <c r="H95" s="44">
        <f>IF(B95="","",SUMIFS('Work Orders'!$AH$11:$AH$1010,'Work Orders'!$B$11:$B$1010,B95,'Work Orders'!$AM$11:$AM$1010,"&gt;0"))</f>
        <v/>
      </c>
      <c r="I95" s="54">
        <f>IF(B95="","",COUNTIF(D$6:D$205,"&gt;"&amp;D95)+COUNTIF(D$6:D95,D95))</f>
        <v/>
      </c>
    </row>
    <row r="96">
      <c r="A96" s="54" t="n">
        <v>91</v>
      </c>
      <c r="B96" s="43">
        <f>IFERROR(INDEX('Work Orders'!$B$11:$B$1010,MATCH(A96,'Work Orders'!$AP$11:$AP$1010,0)),"")</f>
        <v/>
      </c>
      <c r="C96" s="43">
        <f>IF(B96="","",COUNTIFS('Work Orders'!$B$11:$B$1010,B96,'Work Orders'!$A$11:$A$1010,"&lt;&gt;"))</f>
        <v/>
      </c>
      <c r="D96" s="44">
        <f>IF(B96="","",SUMIFS('Work Orders'!$Z$11:$Z$1010,'Work Orders'!$B$11:$B$1010,B96))</f>
        <v/>
      </c>
      <c r="E96" s="44">
        <f>IF(B96="","",SUMIFS('Work Orders'!$J$11:$J$1010,'Work Orders'!$B$11:$B$1010,B96))</f>
        <v/>
      </c>
      <c r="F96" s="44">
        <f>IF(B96="","",SUMIFS('Work Orders'!$AE$11:$AE$1010,'Work Orders'!$B$11:$B$1010,B96))</f>
        <v/>
      </c>
      <c r="G96" s="44">
        <f>IF(B96="","",SUMIFS('Work Orders'!$AH$11:$AH$1010,'Work Orders'!$B$11:$B$1010,B96))</f>
        <v/>
      </c>
      <c r="H96" s="44">
        <f>IF(B96="","",SUMIFS('Work Orders'!$AH$11:$AH$1010,'Work Orders'!$B$11:$B$1010,B96,'Work Orders'!$AM$11:$AM$1010,"&gt;0"))</f>
        <v/>
      </c>
      <c r="I96" s="54">
        <f>IF(B96="","",COUNTIF(D$6:D$205,"&gt;"&amp;D96)+COUNTIF(D$6:D96,D96))</f>
        <v/>
      </c>
    </row>
    <row r="97">
      <c r="A97" s="54" t="n">
        <v>92</v>
      </c>
      <c r="B97" s="43">
        <f>IFERROR(INDEX('Work Orders'!$B$11:$B$1010,MATCH(A97,'Work Orders'!$AP$11:$AP$1010,0)),"")</f>
        <v/>
      </c>
      <c r="C97" s="43">
        <f>IF(B97="","",COUNTIFS('Work Orders'!$B$11:$B$1010,B97,'Work Orders'!$A$11:$A$1010,"&lt;&gt;"))</f>
        <v/>
      </c>
      <c r="D97" s="44">
        <f>IF(B97="","",SUMIFS('Work Orders'!$Z$11:$Z$1010,'Work Orders'!$B$11:$B$1010,B97))</f>
        <v/>
      </c>
      <c r="E97" s="44">
        <f>IF(B97="","",SUMIFS('Work Orders'!$J$11:$J$1010,'Work Orders'!$B$11:$B$1010,B97))</f>
        <v/>
      </c>
      <c r="F97" s="44">
        <f>IF(B97="","",SUMIFS('Work Orders'!$AE$11:$AE$1010,'Work Orders'!$B$11:$B$1010,B97))</f>
        <v/>
      </c>
      <c r="G97" s="44">
        <f>IF(B97="","",SUMIFS('Work Orders'!$AH$11:$AH$1010,'Work Orders'!$B$11:$B$1010,B97))</f>
        <v/>
      </c>
      <c r="H97" s="44">
        <f>IF(B97="","",SUMIFS('Work Orders'!$AH$11:$AH$1010,'Work Orders'!$B$11:$B$1010,B97,'Work Orders'!$AM$11:$AM$1010,"&gt;0"))</f>
        <v/>
      </c>
      <c r="I97" s="54">
        <f>IF(B97="","",COUNTIF(D$6:D$205,"&gt;"&amp;D97)+COUNTIF(D$6:D97,D97))</f>
        <v/>
      </c>
    </row>
    <row r="98">
      <c r="A98" s="54" t="n">
        <v>93</v>
      </c>
      <c r="B98" s="43">
        <f>IFERROR(INDEX('Work Orders'!$B$11:$B$1010,MATCH(A98,'Work Orders'!$AP$11:$AP$1010,0)),"")</f>
        <v/>
      </c>
      <c r="C98" s="43">
        <f>IF(B98="","",COUNTIFS('Work Orders'!$B$11:$B$1010,B98,'Work Orders'!$A$11:$A$1010,"&lt;&gt;"))</f>
        <v/>
      </c>
      <c r="D98" s="44">
        <f>IF(B98="","",SUMIFS('Work Orders'!$Z$11:$Z$1010,'Work Orders'!$B$11:$B$1010,B98))</f>
        <v/>
      </c>
      <c r="E98" s="44">
        <f>IF(B98="","",SUMIFS('Work Orders'!$J$11:$J$1010,'Work Orders'!$B$11:$B$1010,B98))</f>
        <v/>
      </c>
      <c r="F98" s="44">
        <f>IF(B98="","",SUMIFS('Work Orders'!$AE$11:$AE$1010,'Work Orders'!$B$11:$B$1010,B98))</f>
        <v/>
      </c>
      <c r="G98" s="44">
        <f>IF(B98="","",SUMIFS('Work Orders'!$AH$11:$AH$1010,'Work Orders'!$B$11:$B$1010,B98))</f>
        <v/>
      </c>
      <c r="H98" s="44">
        <f>IF(B98="","",SUMIFS('Work Orders'!$AH$11:$AH$1010,'Work Orders'!$B$11:$B$1010,B98,'Work Orders'!$AM$11:$AM$1010,"&gt;0"))</f>
        <v/>
      </c>
      <c r="I98" s="54">
        <f>IF(B98="","",COUNTIF(D$6:D$205,"&gt;"&amp;D98)+COUNTIF(D$6:D98,D98))</f>
        <v/>
      </c>
    </row>
    <row r="99">
      <c r="A99" s="54" t="n">
        <v>94</v>
      </c>
      <c r="B99" s="43">
        <f>IFERROR(INDEX('Work Orders'!$B$11:$B$1010,MATCH(A99,'Work Orders'!$AP$11:$AP$1010,0)),"")</f>
        <v/>
      </c>
      <c r="C99" s="43">
        <f>IF(B99="","",COUNTIFS('Work Orders'!$B$11:$B$1010,B99,'Work Orders'!$A$11:$A$1010,"&lt;&gt;"))</f>
        <v/>
      </c>
      <c r="D99" s="44">
        <f>IF(B99="","",SUMIFS('Work Orders'!$Z$11:$Z$1010,'Work Orders'!$B$11:$B$1010,B99))</f>
        <v/>
      </c>
      <c r="E99" s="44">
        <f>IF(B99="","",SUMIFS('Work Orders'!$J$11:$J$1010,'Work Orders'!$B$11:$B$1010,B99))</f>
        <v/>
      </c>
      <c r="F99" s="44">
        <f>IF(B99="","",SUMIFS('Work Orders'!$AE$11:$AE$1010,'Work Orders'!$B$11:$B$1010,B99))</f>
        <v/>
      </c>
      <c r="G99" s="44">
        <f>IF(B99="","",SUMIFS('Work Orders'!$AH$11:$AH$1010,'Work Orders'!$B$11:$B$1010,B99))</f>
        <v/>
      </c>
      <c r="H99" s="44">
        <f>IF(B99="","",SUMIFS('Work Orders'!$AH$11:$AH$1010,'Work Orders'!$B$11:$B$1010,B99,'Work Orders'!$AM$11:$AM$1010,"&gt;0"))</f>
        <v/>
      </c>
      <c r="I99" s="54">
        <f>IF(B99="","",COUNTIF(D$6:D$205,"&gt;"&amp;D99)+COUNTIF(D$6:D99,D99))</f>
        <v/>
      </c>
    </row>
    <row r="100">
      <c r="A100" s="54" t="n">
        <v>95</v>
      </c>
      <c r="B100" s="43">
        <f>IFERROR(INDEX('Work Orders'!$B$11:$B$1010,MATCH(A100,'Work Orders'!$AP$11:$AP$1010,0)),"")</f>
        <v/>
      </c>
      <c r="C100" s="43">
        <f>IF(B100="","",COUNTIFS('Work Orders'!$B$11:$B$1010,B100,'Work Orders'!$A$11:$A$1010,"&lt;&gt;"))</f>
        <v/>
      </c>
      <c r="D100" s="44">
        <f>IF(B100="","",SUMIFS('Work Orders'!$Z$11:$Z$1010,'Work Orders'!$B$11:$B$1010,B100))</f>
        <v/>
      </c>
      <c r="E100" s="44">
        <f>IF(B100="","",SUMIFS('Work Orders'!$J$11:$J$1010,'Work Orders'!$B$11:$B$1010,B100))</f>
        <v/>
      </c>
      <c r="F100" s="44">
        <f>IF(B100="","",SUMIFS('Work Orders'!$AE$11:$AE$1010,'Work Orders'!$B$11:$B$1010,B100))</f>
        <v/>
      </c>
      <c r="G100" s="44">
        <f>IF(B100="","",SUMIFS('Work Orders'!$AH$11:$AH$1010,'Work Orders'!$B$11:$B$1010,B100))</f>
        <v/>
      </c>
      <c r="H100" s="44">
        <f>IF(B100="","",SUMIFS('Work Orders'!$AH$11:$AH$1010,'Work Orders'!$B$11:$B$1010,B100,'Work Orders'!$AM$11:$AM$1010,"&gt;0"))</f>
        <v/>
      </c>
      <c r="I100" s="54">
        <f>IF(B100="","",COUNTIF(D$6:D$205,"&gt;"&amp;D100)+COUNTIF(D$6:D100,D100))</f>
        <v/>
      </c>
    </row>
    <row r="101">
      <c r="A101" s="54" t="n">
        <v>96</v>
      </c>
      <c r="B101" s="43">
        <f>IFERROR(INDEX('Work Orders'!$B$11:$B$1010,MATCH(A101,'Work Orders'!$AP$11:$AP$1010,0)),"")</f>
        <v/>
      </c>
      <c r="C101" s="43">
        <f>IF(B101="","",COUNTIFS('Work Orders'!$B$11:$B$1010,B101,'Work Orders'!$A$11:$A$1010,"&lt;&gt;"))</f>
        <v/>
      </c>
      <c r="D101" s="44">
        <f>IF(B101="","",SUMIFS('Work Orders'!$Z$11:$Z$1010,'Work Orders'!$B$11:$B$1010,B101))</f>
        <v/>
      </c>
      <c r="E101" s="44">
        <f>IF(B101="","",SUMIFS('Work Orders'!$J$11:$J$1010,'Work Orders'!$B$11:$B$1010,B101))</f>
        <v/>
      </c>
      <c r="F101" s="44">
        <f>IF(B101="","",SUMIFS('Work Orders'!$AE$11:$AE$1010,'Work Orders'!$B$11:$B$1010,B101))</f>
        <v/>
      </c>
      <c r="G101" s="44">
        <f>IF(B101="","",SUMIFS('Work Orders'!$AH$11:$AH$1010,'Work Orders'!$B$11:$B$1010,B101))</f>
        <v/>
      </c>
      <c r="H101" s="44">
        <f>IF(B101="","",SUMIFS('Work Orders'!$AH$11:$AH$1010,'Work Orders'!$B$11:$B$1010,B101,'Work Orders'!$AM$11:$AM$1010,"&gt;0"))</f>
        <v/>
      </c>
      <c r="I101" s="54">
        <f>IF(B101="","",COUNTIF(D$6:D$205,"&gt;"&amp;D101)+COUNTIF(D$6:D101,D101))</f>
        <v/>
      </c>
    </row>
    <row r="102">
      <c r="A102" s="54" t="n">
        <v>97</v>
      </c>
      <c r="B102" s="43">
        <f>IFERROR(INDEX('Work Orders'!$B$11:$B$1010,MATCH(A102,'Work Orders'!$AP$11:$AP$1010,0)),"")</f>
        <v/>
      </c>
      <c r="C102" s="43">
        <f>IF(B102="","",COUNTIFS('Work Orders'!$B$11:$B$1010,B102,'Work Orders'!$A$11:$A$1010,"&lt;&gt;"))</f>
        <v/>
      </c>
      <c r="D102" s="44">
        <f>IF(B102="","",SUMIFS('Work Orders'!$Z$11:$Z$1010,'Work Orders'!$B$11:$B$1010,B102))</f>
        <v/>
      </c>
      <c r="E102" s="44">
        <f>IF(B102="","",SUMIFS('Work Orders'!$J$11:$J$1010,'Work Orders'!$B$11:$B$1010,B102))</f>
        <v/>
      </c>
      <c r="F102" s="44">
        <f>IF(B102="","",SUMIFS('Work Orders'!$AE$11:$AE$1010,'Work Orders'!$B$11:$B$1010,B102))</f>
        <v/>
      </c>
      <c r="G102" s="44">
        <f>IF(B102="","",SUMIFS('Work Orders'!$AH$11:$AH$1010,'Work Orders'!$B$11:$B$1010,B102))</f>
        <v/>
      </c>
      <c r="H102" s="44">
        <f>IF(B102="","",SUMIFS('Work Orders'!$AH$11:$AH$1010,'Work Orders'!$B$11:$B$1010,B102,'Work Orders'!$AM$11:$AM$1010,"&gt;0"))</f>
        <v/>
      </c>
      <c r="I102" s="54">
        <f>IF(B102="","",COUNTIF(D$6:D$205,"&gt;"&amp;D102)+COUNTIF(D$6:D102,D102))</f>
        <v/>
      </c>
    </row>
    <row r="103">
      <c r="A103" s="54" t="n">
        <v>98</v>
      </c>
      <c r="B103" s="43">
        <f>IFERROR(INDEX('Work Orders'!$B$11:$B$1010,MATCH(A103,'Work Orders'!$AP$11:$AP$1010,0)),"")</f>
        <v/>
      </c>
      <c r="C103" s="43">
        <f>IF(B103="","",COUNTIFS('Work Orders'!$B$11:$B$1010,B103,'Work Orders'!$A$11:$A$1010,"&lt;&gt;"))</f>
        <v/>
      </c>
      <c r="D103" s="44">
        <f>IF(B103="","",SUMIFS('Work Orders'!$Z$11:$Z$1010,'Work Orders'!$B$11:$B$1010,B103))</f>
        <v/>
      </c>
      <c r="E103" s="44">
        <f>IF(B103="","",SUMIFS('Work Orders'!$J$11:$J$1010,'Work Orders'!$B$11:$B$1010,B103))</f>
        <v/>
      </c>
      <c r="F103" s="44">
        <f>IF(B103="","",SUMIFS('Work Orders'!$AE$11:$AE$1010,'Work Orders'!$B$11:$B$1010,B103))</f>
        <v/>
      </c>
      <c r="G103" s="44">
        <f>IF(B103="","",SUMIFS('Work Orders'!$AH$11:$AH$1010,'Work Orders'!$B$11:$B$1010,B103))</f>
        <v/>
      </c>
      <c r="H103" s="44">
        <f>IF(B103="","",SUMIFS('Work Orders'!$AH$11:$AH$1010,'Work Orders'!$B$11:$B$1010,B103,'Work Orders'!$AM$11:$AM$1010,"&gt;0"))</f>
        <v/>
      </c>
      <c r="I103" s="54">
        <f>IF(B103="","",COUNTIF(D$6:D$205,"&gt;"&amp;D103)+COUNTIF(D$6:D103,D103))</f>
        <v/>
      </c>
    </row>
    <row r="104">
      <c r="A104" s="54" t="n">
        <v>99</v>
      </c>
      <c r="B104" s="43">
        <f>IFERROR(INDEX('Work Orders'!$B$11:$B$1010,MATCH(A104,'Work Orders'!$AP$11:$AP$1010,0)),"")</f>
        <v/>
      </c>
      <c r="C104" s="43">
        <f>IF(B104="","",COUNTIFS('Work Orders'!$B$11:$B$1010,B104,'Work Orders'!$A$11:$A$1010,"&lt;&gt;"))</f>
        <v/>
      </c>
      <c r="D104" s="44">
        <f>IF(B104="","",SUMIFS('Work Orders'!$Z$11:$Z$1010,'Work Orders'!$B$11:$B$1010,B104))</f>
        <v/>
      </c>
      <c r="E104" s="44">
        <f>IF(B104="","",SUMIFS('Work Orders'!$J$11:$J$1010,'Work Orders'!$B$11:$B$1010,B104))</f>
        <v/>
      </c>
      <c r="F104" s="44">
        <f>IF(B104="","",SUMIFS('Work Orders'!$AE$11:$AE$1010,'Work Orders'!$B$11:$B$1010,B104))</f>
        <v/>
      </c>
      <c r="G104" s="44">
        <f>IF(B104="","",SUMIFS('Work Orders'!$AH$11:$AH$1010,'Work Orders'!$B$11:$B$1010,B104))</f>
        <v/>
      </c>
      <c r="H104" s="44">
        <f>IF(B104="","",SUMIFS('Work Orders'!$AH$11:$AH$1010,'Work Orders'!$B$11:$B$1010,B104,'Work Orders'!$AM$11:$AM$1010,"&gt;0"))</f>
        <v/>
      </c>
      <c r="I104" s="54">
        <f>IF(B104="","",COUNTIF(D$6:D$205,"&gt;"&amp;D104)+COUNTIF(D$6:D104,D104))</f>
        <v/>
      </c>
    </row>
    <row r="105">
      <c r="A105" s="54" t="n">
        <v>100</v>
      </c>
      <c r="B105" s="43">
        <f>IFERROR(INDEX('Work Orders'!$B$11:$B$1010,MATCH(A105,'Work Orders'!$AP$11:$AP$1010,0)),"")</f>
        <v/>
      </c>
      <c r="C105" s="43">
        <f>IF(B105="","",COUNTIFS('Work Orders'!$B$11:$B$1010,B105,'Work Orders'!$A$11:$A$1010,"&lt;&gt;"))</f>
        <v/>
      </c>
      <c r="D105" s="44">
        <f>IF(B105="","",SUMIFS('Work Orders'!$Z$11:$Z$1010,'Work Orders'!$B$11:$B$1010,B105))</f>
        <v/>
      </c>
      <c r="E105" s="44">
        <f>IF(B105="","",SUMIFS('Work Orders'!$J$11:$J$1010,'Work Orders'!$B$11:$B$1010,B105))</f>
        <v/>
      </c>
      <c r="F105" s="44">
        <f>IF(B105="","",SUMIFS('Work Orders'!$AE$11:$AE$1010,'Work Orders'!$B$11:$B$1010,B105))</f>
        <v/>
      </c>
      <c r="G105" s="44">
        <f>IF(B105="","",SUMIFS('Work Orders'!$AH$11:$AH$1010,'Work Orders'!$B$11:$B$1010,B105))</f>
        <v/>
      </c>
      <c r="H105" s="44">
        <f>IF(B105="","",SUMIFS('Work Orders'!$AH$11:$AH$1010,'Work Orders'!$B$11:$B$1010,B105,'Work Orders'!$AM$11:$AM$1010,"&gt;0"))</f>
        <v/>
      </c>
      <c r="I105" s="54">
        <f>IF(B105="","",COUNTIF(D$6:D$205,"&gt;"&amp;D105)+COUNTIF(D$6:D105,D105))</f>
        <v/>
      </c>
    </row>
    <row r="106">
      <c r="A106" s="54" t="n">
        <v>101</v>
      </c>
      <c r="B106" s="43">
        <f>IFERROR(INDEX('Work Orders'!$B$11:$B$1010,MATCH(A106,'Work Orders'!$AP$11:$AP$1010,0)),"")</f>
        <v/>
      </c>
      <c r="C106" s="43">
        <f>IF(B106="","",COUNTIFS('Work Orders'!$B$11:$B$1010,B106,'Work Orders'!$A$11:$A$1010,"&lt;&gt;"))</f>
        <v/>
      </c>
      <c r="D106" s="44">
        <f>IF(B106="","",SUMIFS('Work Orders'!$Z$11:$Z$1010,'Work Orders'!$B$11:$B$1010,B106))</f>
        <v/>
      </c>
      <c r="E106" s="44">
        <f>IF(B106="","",SUMIFS('Work Orders'!$J$11:$J$1010,'Work Orders'!$B$11:$B$1010,B106))</f>
        <v/>
      </c>
      <c r="F106" s="44">
        <f>IF(B106="","",SUMIFS('Work Orders'!$AE$11:$AE$1010,'Work Orders'!$B$11:$B$1010,B106))</f>
        <v/>
      </c>
      <c r="G106" s="44">
        <f>IF(B106="","",SUMIFS('Work Orders'!$AH$11:$AH$1010,'Work Orders'!$B$11:$B$1010,B106))</f>
        <v/>
      </c>
      <c r="H106" s="44">
        <f>IF(B106="","",SUMIFS('Work Orders'!$AH$11:$AH$1010,'Work Orders'!$B$11:$B$1010,B106,'Work Orders'!$AM$11:$AM$1010,"&gt;0"))</f>
        <v/>
      </c>
      <c r="I106" s="54">
        <f>IF(B106="","",COUNTIF(D$6:D$205,"&gt;"&amp;D106)+COUNTIF(D$6:D106,D106))</f>
        <v/>
      </c>
    </row>
    <row r="107">
      <c r="A107" s="54" t="n">
        <v>102</v>
      </c>
      <c r="B107" s="43">
        <f>IFERROR(INDEX('Work Orders'!$B$11:$B$1010,MATCH(A107,'Work Orders'!$AP$11:$AP$1010,0)),"")</f>
        <v/>
      </c>
      <c r="C107" s="43">
        <f>IF(B107="","",COUNTIFS('Work Orders'!$B$11:$B$1010,B107,'Work Orders'!$A$11:$A$1010,"&lt;&gt;"))</f>
        <v/>
      </c>
      <c r="D107" s="44">
        <f>IF(B107="","",SUMIFS('Work Orders'!$Z$11:$Z$1010,'Work Orders'!$B$11:$B$1010,B107))</f>
        <v/>
      </c>
      <c r="E107" s="44">
        <f>IF(B107="","",SUMIFS('Work Orders'!$J$11:$J$1010,'Work Orders'!$B$11:$B$1010,B107))</f>
        <v/>
      </c>
      <c r="F107" s="44">
        <f>IF(B107="","",SUMIFS('Work Orders'!$AE$11:$AE$1010,'Work Orders'!$B$11:$B$1010,B107))</f>
        <v/>
      </c>
      <c r="G107" s="44">
        <f>IF(B107="","",SUMIFS('Work Orders'!$AH$11:$AH$1010,'Work Orders'!$B$11:$B$1010,B107))</f>
        <v/>
      </c>
      <c r="H107" s="44">
        <f>IF(B107="","",SUMIFS('Work Orders'!$AH$11:$AH$1010,'Work Orders'!$B$11:$B$1010,B107,'Work Orders'!$AM$11:$AM$1010,"&gt;0"))</f>
        <v/>
      </c>
      <c r="I107" s="54">
        <f>IF(B107="","",COUNTIF(D$6:D$205,"&gt;"&amp;D107)+COUNTIF(D$6:D107,D107))</f>
        <v/>
      </c>
    </row>
    <row r="108">
      <c r="A108" s="54" t="n">
        <v>103</v>
      </c>
      <c r="B108" s="43">
        <f>IFERROR(INDEX('Work Orders'!$B$11:$B$1010,MATCH(A108,'Work Orders'!$AP$11:$AP$1010,0)),"")</f>
        <v/>
      </c>
      <c r="C108" s="43">
        <f>IF(B108="","",COUNTIFS('Work Orders'!$B$11:$B$1010,B108,'Work Orders'!$A$11:$A$1010,"&lt;&gt;"))</f>
        <v/>
      </c>
      <c r="D108" s="44">
        <f>IF(B108="","",SUMIFS('Work Orders'!$Z$11:$Z$1010,'Work Orders'!$B$11:$B$1010,B108))</f>
        <v/>
      </c>
      <c r="E108" s="44">
        <f>IF(B108="","",SUMIFS('Work Orders'!$J$11:$J$1010,'Work Orders'!$B$11:$B$1010,B108))</f>
        <v/>
      </c>
      <c r="F108" s="44">
        <f>IF(B108="","",SUMIFS('Work Orders'!$AE$11:$AE$1010,'Work Orders'!$B$11:$B$1010,B108))</f>
        <v/>
      </c>
      <c r="G108" s="44">
        <f>IF(B108="","",SUMIFS('Work Orders'!$AH$11:$AH$1010,'Work Orders'!$B$11:$B$1010,B108))</f>
        <v/>
      </c>
      <c r="H108" s="44">
        <f>IF(B108="","",SUMIFS('Work Orders'!$AH$11:$AH$1010,'Work Orders'!$B$11:$B$1010,B108,'Work Orders'!$AM$11:$AM$1010,"&gt;0"))</f>
        <v/>
      </c>
      <c r="I108" s="54">
        <f>IF(B108="","",COUNTIF(D$6:D$205,"&gt;"&amp;D108)+COUNTIF(D$6:D108,D108))</f>
        <v/>
      </c>
    </row>
    <row r="109">
      <c r="A109" s="54" t="n">
        <v>104</v>
      </c>
      <c r="B109" s="43">
        <f>IFERROR(INDEX('Work Orders'!$B$11:$B$1010,MATCH(A109,'Work Orders'!$AP$11:$AP$1010,0)),"")</f>
        <v/>
      </c>
      <c r="C109" s="43">
        <f>IF(B109="","",COUNTIFS('Work Orders'!$B$11:$B$1010,B109,'Work Orders'!$A$11:$A$1010,"&lt;&gt;"))</f>
        <v/>
      </c>
      <c r="D109" s="44">
        <f>IF(B109="","",SUMIFS('Work Orders'!$Z$11:$Z$1010,'Work Orders'!$B$11:$B$1010,B109))</f>
        <v/>
      </c>
      <c r="E109" s="44">
        <f>IF(B109="","",SUMIFS('Work Orders'!$J$11:$J$1010,'Work Orders'!$B$11:$B$1010,B109))</f>
        <v/>
      </c>
      <c r="F109" s="44">
        <f>IF(B109="","",SUMIFS('Work Orders'!$AE$11:$AE$1010,'Work Orders'!$B$11:$B$1010,B109))</f>
        <v/>
      </c>
      <c r="G109" s="44">
        <f>IF(B109="","",SUMIFS('Work Orders'!$AH$11:$AH$1010,'Work Orders'!$B$11:$B$1010,B109))</f>
        <v/>
      </c>
      <c r="H109" s="44">
        <f>IF(B109="","",SUMIFS('Work Orders'!$AH$11:$AH$1010,'Work Orders'!$B$11:$B$1010,B109,'Work Orders'!$AM$11:$AM$1010,"&gt;0"))</f>
        <v/>
      </c>
      <c r="I109" s="54">
        <f>IF(B109="","",COUNTIF(D$6:D$205,"&gt;"&amp;D109)+COUNTIF(D$6:D109,D109))</f>
        <v/>
      </c>
    </row>
    <row r="110">
      <c r="A110" s="54" t="n">
        <v>105</v>
      </c>
      <c r="B110" s="43">
        <f>IFERROR(INDEX('Work Orders'!$B$11:$B$1010,MATCH(A110,'Work Orders'!$AP$11:$AP$1010,0)),"")</f>
        <v/>
      </c>
      <c r="C110" s="43">
        <f>IF(B110="","",COUNTIFS('Work Orders'!$B$11:$B$1010,B110,'Work Orders'!$A$11:$A$1010,"&lt;&gt;"))</f>
        <v/>
      </c>
      <c r="D110" s="44">
        <f>IF(B110="","",SUMIFS('Work Orders'!$Z$11:$Z$1010,'Work Orders'!$B$11:$B$1010,B110))</f>
        <v/>
      </c>
      <c r="E110" s="44">
        <f>IF(B110="","",SUMIFS('Work Orders'!$J$11:$J$1010,'Work Orders'!$B$11:$B$1010,B110))</f>
        <v/>
      </c>
      <c r="F110" s="44">
        <f>IF(B110="","",SUMIFS('Work Orders'!$AE$11:$AE$1010,'Work Orders'!$B$11:$B$1010,B110))</f>
        <v/>
      </c>
      <c r="G110" s="44">
        <f>IF(B110="","",SUMIFS('Work Orders'!$AH$11:$AH$1010,'Work Orders'!$B$11:$B$1010,B110))</f>
        <v/>
      </c>
      <c r="H110" s="44">
        <f>IF(B110="","",SUMIFS('Work Orders'!$AH$11:$AH$1010,'Work Orders'!$B$11:$B$1010,B110,'Work Orders'!$AM$11:$AM$1010,"&gt;0"))</f>
        <v/>
      </c>
      <c r="I110" s="54">
        <f>IF(B110="","",COUNTIF(D$6:D$205,"&gt;"&amp;D110)+COUNTIF(D$6:D110,D110))</f>
        <v/>
      </c>
    </row>
    <row r="111">
      <c r="A111" s="54" t="n">
        <v>106</v>
      </c>
      <c r="B111" s="43">
        <f>IFERROR(INDEX('Work Orders'!$B$11:$B$1010,MATCH(A111,'Work Orders'!$AP$11:$AP$1010,0)),"")</f>
        <v/>
      </c>
      <c r="C111" s="43">
        <f>IF(B111="","",COUNTIFS('Work Orders'!$B$11:$B$1010,B111,'Work Orders'!$A$11:$A$1010,"&lt;&gt;"))</f>
        <v/>
      </c>
      <c r="D111" s="44">
        <f>IF(B111="","",SUMIFS('Work Orders'!$Z$11:$Z$1010,'Work Orders'!$B$11:$B$1010,B111))</f>
        <v/>
      </c>
      <c r="E111" s="44">
        <f>IF(B111="","",SUMIFS('Work Orders'!$J$11:$J$1010,'Work Orders'!$B$11:$B$1010,B111))</f>
        <v/>
      </c>
      <c r="F111" s="44">
        <f>IF(B111="","",SUMIFS('Work Orders'!$AE$11:$AE$1010,'Work Orders'!$B$11:$B$1010,B111))</f>
        <v/>
      </c>
      <c r="G111" s="44">
        <f>IF(B111="","",SUMIFS('Work Orders'!$AH$11:$AH$1010,'Work Orders'!$B$11:$B$1010,B111))</f>
        <v/>
      </c>
      <c r="H111" s="44">
        <f>IF(B111="","",SUMIFS('Work Orders'!$AH$11:$AH$1010,'Work Orders'!$B$11:$B$1010,B111,'Work Orders'!$AM$11:$AM$1010,"&gt;0"))</f>
        <v/>
      </c>
      <c r="I111" s="54">
        <f>IF(B111="","",COUNTIF(D$6:D$205,"&gt;"&amp;D111)+COUNTIF(D$6:D111,D111))</f>
        <v/>
      </c>
    </row>
    <row r="112">
      <c r="A112" s="54" t="n">
        <v>107</v>
      </c>
      <c r="B112" s="43">
        <f>IFERROR(INDEX('Work Orders'!$B$11:$B$1010,MATCH(A112,'Work Orders'!$AP$11:$AP$1010,0)),"")</f>
        <v/>
      </c>
      <c r="C112" s="43">
        <f>IF(B112="","",COUNTIFS('Work Orders'!$B$11:$B$1010,B112,'Work Orders'!$A$11:$A$1010,"&lt;&gt;"))</f>
        <v/>
      </c>
      <c r="D112" s="44">
        <f>IF(B112="","",SUMIFS('Work Orders'!$Z$11:$Z$1010,'Work Orders'!$B$11:$B$1010,B112))</f>
        <v/>
      </c>
      <c r="E112" s="44">
        <f>IF(B112="","",SUMIFS('Work Orders'!$J$11:$J$1010,'Work Orders'!$B$11:$B$1010,B112))</f>
        <v/>
      </c>
      <c r="F112" s="44">
        <f>IF(B112="","",SUMIFS('Work Orders'!$AE$11:$AE$1010,'Work Orders'!$B$11:$B$1010,B112))</f>
        <v/>
      </c>
      <c r="G112" s="44">
        <f>IF(B112="","",SUMIFS('Work Orders'!$AH$11:$AH$1010,'Work Orders'!$B$11:$B$1010,B112))</f>
        <v/>
      </c>
      <c r="H112" s="44">
        <f>IF(B112="","",SUMIFS('Work Orders'!$AH$11:$AH$1010,'Work Orders'!$B$11:$B$1010,B112,'Work Orders'!$AM$11:$AM$1010,"&gt;0"))</f>
        <v/>
      </c>
      <c r="I112" s="54">
        <f>IF(B112="","",COUNTIF(D$6:D$205,"&gt;"&amp;D112)+COUNTIF(D$6:D112,D112))</f>
        <v/>
      </c>
    </row>
    <row r="113">
      <c r="A113" s="54" t="n">
        <v>108</v>
      </c>
      <c r="B113" s="43">
        <f>IFERROR(INDEX('Work Orders'!$B$11:$B$1010,MATCH(A113,'Work Orders'!$AP$11:$AP$1010,0)),"")</f>
        <v/>
      </c>
      <c r="C113" s="43">
        <f>IF(B113="","",COUNTIFS('Work Orders'!$B$11:$B$1010,B113,'Work Orders'!$A$11:$A$1010,"&lt;&gt;"))</f>
        <v/>
      </c>
      <c r="D113" s="44">
        <f>IF(B113="","",SUMIFS('Work Orders'!$Z$11:$Z$1010,'Work Orders'!$B$11:$B$1010,B113))</f>
        <v/>
      </c>
      <c r="E113" s="44">
        <f>IF(B113="","",SUMIFS('Work Orders'!$J$11:$J$1010,'Work Orders'!$B$11:$B$1010,B113))</f>
        <v/>
      </c>
      <c r="F113" s="44">
        <f>IF(B113="","",SUMIFS('Work Orders'!$AE$11:$AE$1010,'Work Orders'!$B$11:$B$1010,B113))</f>
        <v/>
      </c>
      <c r="G113" s="44">
        <f>IF(B113="","",SUMIFS('Work Orders'!$AH$11:$AH$1010,'Work Orders'!$B$11:$B$1010,B113))</f>
        <v/>
      </c>
      <c r="H113" s="44">
        <f>IF(B113="","",SUMIFS('Work Orders'!$AH$11:$AH$1010,'Work Orders'!$B$11:$B$1010,B113,'Work Orders'!$AM$11:$AM$1010,"&gt;0"))</f>
        <v/>
      </c>
      <c r="I113" s="54">
        <f>IF(B113="","",COUNTIF(D$6:D$205,"&gt;"&amp;D113)+COUNTIF(D$6:D113,D113))</f>
        <v/>
      </c>
    </row>
    <row r="114">
      <c r="A114" s="54" t="n">
        <v>109</v>
      </c>
      <c r="B114" s="43">
        <f>IFERROR(INDEX('Work Orders'!$B$11:$B$1010,MATCH(A114,'Work Orders'!$AP$11:$AP$1010,0)),"")</f>
        <v/>
      </c>
      <c r="C114" s="43">
        <f>IF(B114="","",COUNTIFS('Work Orders'!$B$11:$B$1010,B114,'Work Orders'!$A$11:$A$1010,"&lt;&gt;"))</f>
        <v/>
      </c>
      <c r="D114" s="44">
        <f>IF(B114="","",SUMIFS('Work Orders'!$Z$11:$Z$1010,'Work Orders'!$B$11:$B$1010,B114))</f>
        <v/>
      </c>
      <c r="E114" s="44">
        <f>IF(B114="","",SUMIFS('Work Orders'!$J$11:$J$1010,'Work Orders'!$B$11:$B$1010,B114))</f>
        <v/>
      </c>
      <c r="F114" s="44">
        <f>IF(B114="","",SUMIFS('Work Orders'!$AE$11:$AE$1010,'Work Orders'!$B$11:$B$1010,B114))</f>
        <v/>
      </c>
      <c r="G114" s="44">
        <f>IF(B114="","",SUMIFS('Work Orders'!$AH$11:$AH$1010,'Work Orders'!$B$11:$B$1010,B114))</f>
        <v/>
      </c>
      <c r="H114" s="44">
        <f>IF(B114="","",SUMIFS('Work Orders'!$AH$11:$AH$1010,'Work Orders'!$B$11:$B$1010,B114,'Work Orders'!$AM$11:$AM$1010,"&gt;0"))</f>
        <v/>
      </c>
      <c r="I114" s="54">
        <f>IF(B114="","",COUNTIF(D$6:D$205,"&gt;"&amp;D114)+COUNTIF(D$6:D114,D114))</f>
        <v/>
      </c>
    </row>
    <row r="115">
      <c r="A115" s="54" t="n">
        <v>110</v>
      </c>
      <c r="B115" s="43">
        <f>IFERROR(INDEX('Work Orders'!$B$11:$B$1010,MATCH(A115,'Work Orders'!$AP$11:$AP$1010,0)),"")</f>
        <v/>
      </c>
      <c r="C115" s="43">
        <f>IF(B115="","",COUNTIFS('Work Orders'!$B$11:$B$1010,B115,'Work Orders'!$A$11:$A$1010,"&lt;&gt;"))</f>
        <v/>
      </c>
      <c r="D115" s="44">
        <f>IF(B115="","",SUMIFS('Work Orders'!$Z$11:$Z$1010,'Work Orders'!$B$11:$B$1010,B115))</f>
        <v/>
      </c>
      <c r="E115" s="44">
        <f>IF(B115="","",SUMIFS('Work Orders'!$J$11:$J$1010,'Work Orders'!$B$11:$B$1010,B115))</f>
        <v/>
      </c>
      <c r="F115" s="44">
        <f>IF(B115="","",SUMIFS('Work Orders'!$AE$11:$AE$1010,'Work Orders'!$B$11:$B$1010,B115))</f>
        <v/>
      </c>
      <c r="G115" s="44">
        <f>IF(B115="","",SUMIFS('Work Orders'!$AH$11:$AH$1010,'Work Orders'!$B$11:$B$1010,B115))</f>
        <v/>
      </c>
      <c r="H115" s="44">
        <f>IF(B115="","",SUMIFS('Work Orders'!$AH$11:$AH$1010,'Work Orders'!$B$11:$B$1010,B115,'Work Orders'!$AM$11:$AM$1010,"&gt;0"))</f>
        <v/>
      </c>
      <c r="I115" s="54">
        <f>IF(B115="","",COUNTIF(D$6:D$205,"&gt;"&amp;D115)+COUNTIF(D$6:D115,D115))</f>
        <v/>
      </c>
    </row>
    <row r="116">
      <c r="A116" s="54" t="n">
        <v>111</v>
      </c>
      <c r="B116" s="43">
        <f>IFERROR(INDEX('Work Orders'!$B$11:$B$1010,MATCH(A116,'Work Orders'!$AP$11:$AP$1010,0)),"")</f>
        <v/>
      </c>
      <c r="C116" s="43">
        <f>IF(B116="","",COUNTIFS('Work Orders'!$B$11:$B$1010,B116,'Work Orders'!$A$11:$A$1010,"&lt;&gt;"))</f>
        <v/>
      </c>
      <c r="D116" s="44">
        <f>IF(B116="","",SUMIFS('Work Orders'!$Z$11:$Z$1010,'Work Orders'!$B$11:$B$1010,B116))</f>
        <v/>
      </c>
      <c r="E116" s="44">
        <f>IF(B116="","",SUMIFS('Work Orders'!$J$11:$J$1010,'Work Orders'!$B$11:$B$1010,B116))</f>
        <v/>
      </c>
      <c r="F116" s="44">
        <f>IF(B116="","",SUMIFS('Work Orders'!$AE$11:$AE$1010,'Work Orders'!$B$11:$B$1010,B116))</f>
        <v/>
      </c>
      <c r="G116" s="44">
        <f>IF(B116="","",SUMIFS('Work Orders'!$AH$11:$AH$1010,'Work Orders'!$B$11:$B$1010,B116))</f>
        <v/>
      </c>
      <c r="H116" s="44">
        <f>IF(B116="","",SUMIFS('Work Orders'!$AH$11:$AH$1010,'Work Orders'!$B$11:$B$1010,B116,'Work Orders'!$AM$11:$AM$1010,"&gt;0"))</f>
        <v/>
      </c>
      <c r="I116" s="54">
        <f>IF(B116="","",COUNTIF(D$6:D$205,"&gt;"&amp;D116)+COUNTIF(D$6:D116,D116))</f>
        <v/>
      </c>
    </row>
    <row r="117">
      <c r="A117" s="54" t="n">
        <v>112</v>
      </c>
      <c r="B117" s="43">
        <f>IFERROR(INDEX('Work Orders'!$B$11:$B$1010,MATCH(A117,'Work Orders'!$AP$11:$AP$1010,0)),"")</f>
        <v/>
      </c>
      <c r="C117" s="43">
        <f>IF(B117="","",COUNTIFS('Work Orders'!$B$11:$B$1010,B117,'Work Orders'!$A$11:$A$1010,"&lt;&gt;"))</f>
        <v/>
      </c>
      <c r="D117" s="44">
        <f>IF(B117="","",SUMIFS('Work Orders'!$Z$11:$Z$1010,'Work Orders'!$B$11:$B$1010,B117))</f>
        <v/>
      </c>
      <c r="E117" s="44">
        <f>IF(B117="","",SUMIFS('Work Orders'!$J$11:$J$1010,'Work Orders'!$B$11:$B$1010,B117))</f>
        <v/>
      </c>
      <c r="F117" s="44">
        <f>IF(B117="","",SUMIFS('Work Orders'!$AE$11:$AE$1010,'Work Orders'!$B$11:$B$1010,B117))</f>
        <v/>
      </c>
      <c r="G117" s="44">
        <f>IF(B117="","",SUMIFS('Work Orders'!$AH$11:$AH$1010,'Work Orders'!$B$11:$B$1010,B117))</f>
        <v/>
      </c>
      <c r="H117" s="44">
        <f>IF(B117="","",SUMIFS('Work Orders'!$AH$11:$AH$1010,'Work Orders'!$B$11:$B$1010,B117,'Work Orders'!$AM$11:$AM$1010,"&gt;0"))</f>
        <v/>
      </c>
      <c r="I117" s="54">
        <f>IF(B117="","",COUNTIF(D$6:D$205,"&gt;"&amp;D117)+COUNTIF(D$6:D117,D117))</f>
        <v/>
      </c>
    </row>
    <row r="118">
      <c r="A118" s="54" t="n">
        <v>113</v>
      </c>
      <c r="B118" s="43">
        <f>IFERROR(INDEX('Work Orders'!$B$11:$B$1010,MATCH(A118,'Work Orders'!$AP$11:$AP$1010,0)),"")</f>
        <v/>
      </c>
      <c r="C118" s="43">
        <f>IF(B118="","",COUNTIFS('Work Orders'!$B$11:$B$1010,B118,'Work Orders'!$A$11:$A$1010,"&lt;&gt;"))</f>
        <v/>
      </c>
      <c r="D118" s="44">
        <f>IF(B118="","",SUMIFS('Work Orders'!$Z$11:$Z$1010,'Work Orders'!$B$11:$B$1010,B118))</f>
        <v/>
      </c>
      <c r="E118" s="44">
        <f>IF(B118="","",SUMIFS('Work Orders'!$J$11:$J$1010,'Work Orders'!$B$11:$B$1010,B118))</f>
        <v/>
      </c>
      <c r="F118" s="44">
        <f>IF(B118="","",SUMIFS('Work Orders'!$AE$11:$AE$1010,'Work Orders'!$B$11:$B$1010,B118))</f>
        <v/>
      </c>
      <c r="G118" s="44">
        <f>IF(B118="","",SUMIFS('Work Orders'!$AH$11:$AH$1010,'Work Orders'!$B$11:$B$1010,B118))</f>
        <v/>
      </c>
      <c r="H118" s="44">
        <f>IF(B118="","",SUMIFS('Work Orders'!$AH$11:$AH$1010,'Work Orders'!$B$11:$B$1010,B118,'Work Orders'!$AM$11:$AM$1010,"&gt;0"))</f>
        <v/>
      </c>
      <c r="I118" s="54">
        <f>IF(B118="","",COUNTIF(D$6:D$205,"&gt;"&amp;D118)+COUNTIF(D$6:D118,D118))</f>
        <v/>
      </c>
    </row>
    <row r="119">
      <c r="A119" s="54" t="n">
        <v>114</v>
      </c>
      <c r="B119" s="43">
        <f>IFERROR(INDEX('Work Orders'!$B$11:$B$1010,MATCH(A119,'Work Orders'!$AP$11:$AP$1010,0)),"")</f>
        <v/>
      </c>
      <c r="C119" s="43">
        <f>IF(B119="","",COUNTIFS('Work Orders'!$B$11:$B$1010,B119,'Work Orders'!$A$11:$A$1010,"&lt;&gt;"))</f>
        <v/>
      </c>
      <c r="D119" s="44">
        <f>IF(B119="","",SUMIFS('Work Orders'!$Z$11:$Z$1010,'Work Orders'!$B$11:$B$1010,B119))</f>
        <v/>
      </c>
      <c r="E119" s="44">
        <f>IF(B119="","",SUMIFS('Work Orders'!$J$11:$J$1010,'Work Orders'!$B$11:$B$1010,B119))</f>
        <v/>
      </c>
      <c r="F119" s="44">
        <f>IF(B119="","",SUMIFS('Work Orders'!$AE$11:$AE$1010,'Work Orders'!$B$11:$B$1010,B119))</f>
        <v/>
      </c>
      <c r="G119" s="44">
        <f>IF(B119="","",SUMIFS('Work Orders'!$AH$11:$AH$1010,'Work Orders'!$B$11:$B$1010,B119))</f>
        <v/>
      </c>
      <c r="H119" s="44">
        <f>IF(B119="","",SUMIFS('Work Orders'!$AH$11:$AH$1010,'Work Orders'!$B$11:$B$1010,B119,'Work Orders'!$AM$11:$AM$1010,"&gt;0"))</f>
        <v/>
      </c>
      <c r="I119" s="54">
        <f>IF(B119="","",COUNTIF(D$6:D$205,"&gt;"&amp;D119)+COUNTIF(D$6:D119,D119))</f>
        <v/>
      </c>
    </row>
    <row r="120">
      <c r="A120" s="54" t="n">
        <v>115</v>
      </c>
      <c r="B120" s="43">
        <f>IFERROR(INDEX('Work Orders'!$B$11:$B$1010,MATCH(A120,'Work Orders'!$AP$11:$AP$1010,0)),"")</f>
        <v/>
      </c>
      <c r="C120" s="43">
        <f>IF(B120="","",COUNTIFS('Work Orders'!$B$11:$B$1010,B120,'Work Orders'!$A$11:$A$1010,"&lt;&gt;"))</f>
        <v/>
      </c>
      <c r="D120" s="44">
        <f>IF(B120="","",SUMIFS('Work Orders'!$Z$11:$Z$1010,'Work Orders'!$B$11:$B$1010,B120))</f>
        <v/>
      </c>
      <c r="E120" s="44">
        <f>IF(B120="","",SUMIFS('Work Orders'!$J$11:$J$1010,'Work Orders'!$B$11:$B$1010,B120))</f>
        <v/>
      </c>
      <c r="F120" s="44">
        <f>IF(B120="","",SUMIFS('Work Orders'!$AE$11:$AE$1010,'Work Orders'!$B$11:$B$1010,B120))</f>
        <v/>
      </c>
      <c r="G120" s="44">
        <f>IF(B120="","",SUMIFS('Work Orders'!$AH$11:$AH$1010,'Work Orders'!$B$11:$B$1010,B120))</f>
        <v/>
      </c>
      <c r="H120" s="44">
        <f>IF(B120="","",SUMIFS('Work Orders'!$AH$11:$AH$1010,'Work Orders'!$B$11:$B$1010,B120,'Work Orders'!$AM$11:$AM$1010,"&gt;0"))</f>
        <v/>
      </c>
      <c r="I120" s="54">
        <f>IF(B120="","",COUNTIF(D$6:D$205,"&gt;"&amp;D120)+COUNTIF(D$6:D120,D120))</f>
        <v/>
      </c>
    </row>
    <row r="121">
      <c r="A121" s="54" t="n">
        <v>116</v>
      </c>
      <c r="B121" s="43">
        <f>IFERROR(INDEX('Work Orders'!$B$11:$B$1010,MATCH(A121,'Work Orders'!$AP$11:$AP$1010,0)),"")</f>
        <v/>
      </c>
      <c r="C121" s="43">
        <f>IF(B121="","",COUNTIFS('Work Orders'!$B$11:$B$1010,B121,'Work Orders'!$A$11:$A$1010,"&lt;&gt;"))</f>
        <v/>
      </c>
      <c r="D121" s="44">
        <f>IF(B121="","",SUMIFS('Work Orders'!$Z$11:$Z$1010,'Work Orders'!$B$11:$B$1010,B121))</f>
        <v/>
      </c>
      <c r="E121" s="44">
        <f>IF(B121="","",SUMIFS('Work Orders'!$J$11:$J$1010,'Work Orders'!$B$11:$B$1010,B121))</f>
        <v/>
      </c>
      <c r="F121" s="44">
        <f>IF(B121="","",SUMIFS('Work Orders'!$AE$11:$AE$1010,'Work Orders'!$B$11:$B$1010,B121))</f>
        <v/>
      </c>
      <c r="G121" s="44">
        <f>IF(B121="","",SUMIFS('Work Orders'!$AH$11:$AH$1010,'Work Orders'!$B$11:$B$1010,B121))</f>
        <v/>
      </c>
      <c r="H121" s="44">
        <f>IF(B121="","",SUMIFS('Work Orders'!$AH$11:$AH$1010,'Work Orders'!$B$11:$B$1010,B121,'Work Orders'!$AM$11:$AM$1010,"&gt;0"))</f>
        <v/>
      </c>
      <c r="I121" s="54">
        <f>IF(B121="","",COUNTIF(D$6:D$205,"&gt;"&amp;D121)+COUNTIF(D$6:D121,D121))</f>
        <v/>
      </c>
    </row>
    <row r="122">
      <c r="A122" s="54" t="n">
        <v>117</v>
      </c>
      <c r="B122" s="43">
        <f>IFERROR(INDEX('Work Orders'!$B$11:$B$1010,MATCH(A122,'Work Orders'!$AP$11:$AP$1010,0)),"")</f>
        <v/>
      </c>
      <c r="C122" s="43">
        <f>IF(B122="","",COUNTIFS('Work Orders'!$B$11:$B$1010,B122,'Work Orders'!$A$11:$A$1010,"&lt;&gt;"))</f>
        <v/>
      </c>
      <c r="D122" s="44">
        <f>IF(B122="","",SUMIFS('Work Orders'!$Z$11:$Z$1010,'Work Orders'!$B$11:$B$1010,B122))</f>
        <v/>
      </c>
      <c r="E122" s="44">
        <f>IF(B122="","",SUMIFS('Work Orders'!$J$11:$J$1010,'Work Orders'!$B$11:$B$1010,B122))</f>
        <v/>
      </c>
      <c r="F122" s="44">
        <f>IF(B122="","",SUMIFS('Work Orders'!$AE$11:$AE$1010,'Work Orders'!$B$11:$B$1010,B122))</f>
        <v/>
      </c>
      <c r="G122" s="44">
        <f>IF(B122="","",SUMIFS('Work Orders'!$AH$11:$AH$1010,'Work Orders'!$B$11:$B$1010,B122))</f>
        <v/>
      </c>
      <c r="H122" s="44">
        <f>IF(B122="","",SUMIFS('Work Orders'!$AH$11:$AH$1010,'Work Orders'!$B$11:$B$1010,B122,'Work Orders'!$AM$11:$AM$1010,"&gt;0"))</f>
        <v/>
      </c>
      <c r="I122" s="54">
        <f>IF(B122="","",COUNTIF(D$6:D$205,"&gt;"&amp;D122)+COUNTIF(D$6:D122,D122))</f>
        <v/>
      </c>
    </row>
    <row r="123">
      <c r="A123" s="54" t="n">
        <v>118</v>
      </c>
      <c r="B123" s="43">
        <f>IFERROR(INDEX('Work Orders'!$B$11:$B$1010,MATCH(A123,'Work Orders'!$AP$11:$AP$1010,0)),"")</f>
        <v/>
      </c>
      <c r="C123" s="43">
        <f>IF(B123="","",COUNTIFS('Work Orders'!$B$11:$B$1010,B123,'Work Orders'!$A$11:$A$1010,"&lt;&gt;"))</f>
        <v/>
      </c>
      <c r="D123" s="44">
        <f>IF(B123="","",SUMIFS('Work Orders'!$Z$11:$Z$1010,'Work Orders'!$B$11:$B$1010,B123))</f>
        <v/>
      </c>
      <c r="E123" s="44">
        <f>IF(B123="","",SUMIFS('Work Orders'!$J$11:$J$1010,'Work Orders'!$B$11:$B$1010,B123))</f>
        <v/>
      </c>
      <c r="F123" s="44">
        <f>IF(B123="","",SUMIFS('Work Orders'!$AE$11:$AE$1010,'Work Orders'!$B$11:$B$1010,B123))</f>
        <v/>
      </c>
      <c r="G123" s="44">
        <f>IF(B123="","",SUMIFS('Work Orders'!$AH$11:$AH$1010,'Work Orders'!$B$11:$B$1010,B123))</f>
        <v/>
      </c>
      <c r="H123" s="44">
        <f>IF(B123="","",SUMIFS('Work Orders'!$AH$11:$AH$1010,'Work Orders'!$B$11:$B$1010,B123,'Work Orders'!$AM$11:$AM$1010,"&gt;0"))</f>
        <v/>
      </c>
      <c r="I123" s="54">
        <f>IF(B123="","",COUNTIF(D$6:D$205,"&gt;"&amp;D123)+COUNTIF(D$6:D123,D123))</f>
        <v/>
      </c>
    </row>
    <row r="124">
      <c r="A124" s="54" t="n">
        <v>119</v>
      </c>
      <c r="B124" s="43">
        <f>IFERROR(INDEX('Work Orders'!$B$11:$B$1010,MATCH(A124,'Work Orders'!$AP$11:$AP$1010,0)),"")</f>
        <v/>
      </c>
      <c r="C124" s="43">
        <f>IF(B124="","",COUNTIFS('Work Orders'!$B$11:$B$1010,B124,'Work Orders'!$A$11:$A$1010,"&lt;&gt;"))</f>
        <v/>
      </c>
      <c r="D124" s="44">
        <f>IF(B124="","",SUMIFS('Work Orders'!$Z$11:$Z$1010,'Work Orders'!$B$11:$B$1010,B124))</f>
        <v/>
      </c>
      <c r="E124" s="44">
        <f>IF(B124="","",SUMIFS('Work Orders'!$J$11:$J$1010,'Work Orders'!$B$11:$B$1010,B124))</f>
        <v/>
      </c>
      <c r="F124" s="44">
        <f>IF(B124="","",SUMIFS('Work Orders'!$AE$11:$AE$1010,'Work Orders'!$B$11:$B$1010,B124))</f>
        <v/>
      </c>
      <c r="G124" s="44">
        <f>IF(B124="","",SUMIFS('Work Orders'!$AH$11:$AH$1010,'Work Orders'!$B$11:$B$1010,B124))</f>
        <v/>
      </c>
      <c r="H124" s="44">
        <f>IF(B124="","",SUMIFS('Work Orders'!$AH$11:$AH$1010,'Work Orders'!$B$11:$B$1010,B124,'Work Orders'!$AM$11:$AM$1010,"&gt;0"))</f>
        <v/>
      </c>
      <c r="I124" s="54">
        <f>IF(B124="","",COUNTIF(D$6:D$205,"&gt;"&amp;D124)+COUNTIF(D$6:D124,D124))</f>
        <v/>
      </c>
    </row>
    <row r="125">
      <c r="A125" s="54" t="n">
        <v>120</v>
      </c>
      <c r="B125" s="43">
        <f>IFERROR(INDEX('Work Orders'!$B$11:$B$1010,MATCH(A125,'Work Orders'!$AP$11:$AP$1010,0)),"")</f>
        <v/>
      </c>
      <c r="C125" s="43">
        <f>IF(B125="","",COUNTIFS('Work Orders'!$B$11:$B$1010,B125,'Work Orders'!$A$11:$A$1010,"&lt;&gt;"))</f>
        <v/>
      </c>
      <c r="D125" s="44">
        <f>IF(B125="","",SUMIFS('Work Orders'!$Z$11:$Z$1010,'Work Orders'!$B$11:$B$1010,B125))</f>
        <v/>
      </c>
      <c r="E125" s="44">
        <f>IF(B125="","",SUMIFS('Work Orders'!$J$11:$J$1010,'Work Orders'!$B$11:$B$1010,B125))</f>
        <v/>
      </c>
      <c r="F125" s="44">
        <f>IF(B125="","",SUMIFS('Work Orders'!$AE$11:$AE$1010,'Work Orders'!$B$11:$B$1010,B125))</f>
        <v/>
      </c>
      <c r="G125" s="44">
        <f>IF(B125="","",SUMIFS('Work Orders'!$AH$11:$AH$1010,'Work Orders'!$B$11:$B$1010,B125))</f>
        <v/>
      </c>
      <c r="H125" s="44">
        <f>IF(B125="","",SUMIFS('Work Orders'!$AH$11:$AH$1010,'Work Orders'!$B$11:$B$1010,B125,'Work Orders'!$AM$11:$AM$1010,"&gt;0"))</f>
        <v/>
      </c>
      <c r="I125" s="54">
        <f>IF(B125="","",COUNTIF(D$6:D$205,"&gt;"&amp;D125)+COUNTIF(D$6:D125,D125))</f>
        <v/>
      </c>
    </row>
    <row r="126">
      <c r="A126" s="54" t="n">
        <v>121</v>
      </c>
      <c r="B126" s="43">
        <f>IFERROR(INDEX('Work Orders'!$B$11:$B$1010,MATCH(A126,'Work Orders'!$AP$11:$AP$1010,0)),"")</f>
        <v/>
      </c>
      <c r="C126" s="43">
        <f>IF(B126="","",COUNTIFS('Work Orders'!$B$11:$B$1010,B126,'Work Orders'!$A$11:$A$1010,"&lt;&gt;"))</f>
        <v/>
      </c>
      <c r="D126" s="44">
        <f>IF(B126="","",SUMIFS('Work Orders'!$Z$11:$Z$1010,'Work Orders'!$B$11:$B$1010,B126))</f>
        <v/>
      </c>
      <c r="E126" s="44">
        <f>IF(B126="","",SUMIFS('Work Orders'!$J$11:$J$1010,'Work Orders'!$B$11:$B$1010,B126))</f>
        <v/>
      </c>
      <c r="F126" s="44">
        <f>IF(B126="","",SUMIFS('Work Orders'!$AE$11:$AE$1010,'Work Orders'!$B$11:$B$1010,B126))</f>
        <v/>
      </c>
      <c r="G126" s="44">
        <f>IF(B126="","",SUMIFS('Work Orders'!$AH$11:$AH$1010,'Work Orders'!$B$11:$B$1010,B126))</f>
        <v/>
      </c>
      <c r="H126" s="44">
        <f>IF(B126="","",SUMIFS('Work Orders'!$AH$11:$AH$1010,'Work Orders'!$B$11:$B$1010,B126,'Work Orders'!$AM$11:$AM$1010,"&gt;0"))</f>
        <v/>
      </c>
      <c r="I126" s="54">
        <f>IF(B126="","",COUNTIF(D$6:D$205,"&gt;"&amp;D126)+COUNTIF(D$6:D126,D126))</f>
        <v/>
      </c>
    </row>
    <row r="127">
      <c r="A127" s="54" t="n">
        <v>122</v>
      </c>
      <c r="B127" s="43">
        <f>IFERROR(INDEX('Work Orders'!$B$11:$B$1010,MATCH(A127,'Work Orders'!$AP$11:$AP$1010,0)),"")</f>
        <v/>
      </c>
      <c r="C127" s="43">
        <f>IF(B127="","",COUNTIFS('Work Orders'!$B$11:$B$1010,B127,'Work Orders'!$A$11:$A$1010,"&lt;&gt;"))</f>
        <v/>
      </c>
      <c r="D127" s="44">
        <f>IF(B127="","",SUMIFS('Work Orders'!$Z$11:$Z$1010,'Work Orders'!$B$11:$B$1010,B127))</f>
        <v/>
      </c>
      <c r="E127" s="44">
        <f>IF(B127="","",SUMIFS('Work Orders'!$J$11:$J$1010,'Work Orders'!$B$11:$B$1010,B127))</f>
        <v/>
      </c>
      <c r="F127" s="44">
        <f>IF(B127="","",SUMIFS('Work Orders'!$AE$11:$AE$1010,'Work Orders'!$B$11:$B$1010,B127))</f>
        <v/>
      </c>
      <c r="G127" s="44">
        <f>IF(B127="","",SUMIFS('Work Orders'!$AH$11:$AH$1010,'Work Orders'!$B$11:$B$1010,B127))</f>
        <v/>
      </c>
      <c r="H127" s="44">
        <f>IF(B127="","",SUMIFS('Work Orders'!$AH$11:$AH$1010,'Work Orders'!$B$11:$B$1010,B127,'Work Orders'!$AM$11:$AM$1010,"&gt;0"))</f>
        <v/>
      </c>
      <c r="I127" s="54">
        <f>IF(B127="","",COUNTIF(D$6:D$205,"&gt;"&amp;D127)+COUNTIF(D$6:D127,D127))</f>
        <v/>
      </c>
    </row>
    <row r="128">
      <c r="A128" s="54" t="n">
        <v>123</v>
      </c>
      <c r="B128" s="43">
        <f>IFERROR(INDEX('Work Orders'!$B$11:$B$1010,MATCH(A128,'Work Orders'!$AP$11:$AP$1010,0)),"")</f>
        <v/>
      </c>
      <c r="C128" s="43">
        <f>IF(B128="","",COUNTIFS('Work Orders'!$B$11:$B$1010,B128,'Work Orders'!$A$11:$A$1010,"&lt;&gt;"))</f>
        <v/>
      </c>
      <c r="D128" s="44">
        <f>IF(B128="","",SUMIFS('Work Orders'!$Z$11:$Z$1010,'Work Orders'!$B$11:$B$1010,B128))</f>
        <v/>
      </c>
      <c r="E128" s="44">
        <f>IF(B128="","",SUMIFS('Work Orders'!$J$11:$J$1010,'Work Orders'!$B$11:$B$1010,B128))</f>
        <v/>
      </c>
      <c r="F128" s="44">
        <f>IF(B128="","",SUMIFS('Work Orders'!$AE$11:$AE$1010,'Work Orders'!$B$11:$B$1010,B128))</f>
        <v/>
      </c>
      <c r="G128" s="44">
        <f>IF(B128="","",SUMIFS('Work Orders'!$AH$11:$AH$1010,'Work Orders'!$B$11:$B$1010,B128))</f>
        <v/>
      </c>
      <c r="H128" s="44">
        <f>IF(B128="","",SUMIFS('Work Orders'!$AH$11:$AH$1010,'Work Orders'!$B$11:$B$1010,B128,'Work Orders'!$AM$11:$AM$1010,"&gt;0"))</f>
        <v/>
      </c>
      <c r="I128" s="54">
        <f>IF(B128="","",COUNTIF(D$6:D$205,"&gt;"&amp;D128)+COUNTIF(D$6:D128,D128))</f>
        <v/>
      </c>
    </row>
    <row r="129">
      <c r="A129" s="54" t="n">
        <v>124</v>
      </c>
      <c r="B129" s="43">
        <f>IFERROR(INDEX('Work Orders'!$B$11:$B$1010,MATCH(A129,'Work Orders'!$AP$11:$AP$1010,0)),"")</f>
        <v/>
      </c>
      <c r="C129" s="43">
        <f>IF(B129="","",COUNTIFS('Work Orders'!$B$11:$B$1010,B129,'Work Orders'!$A$11:$A$1010,"&lt;&gt;"))</f>
        <v/>
      </c>
      <c r="D129" s="44">
        <f>IF(B129="","",SUMIFS('Work Orders'!$Z$11:$Z$1010,'Work Orders'!$B$11:$B$1010,B129))</f>
        <v/>
      </c>
      <c r="E129" s="44">
        <f>IF(B129="","",SUMIFS('Work Orders'!$J$11:$J$1010,'Work Orders'!$B$11:$B$1010,B129))</f>
        <v/>
      </c>
      <c r="F129" s="44">
        <f>IF(B129="","",SUMIFS('Work Orders'!$AE$11:$AE$1010,'Work Orders'!$B$11:$B$1010,B129))</f>
        <v/>
      </c>
      <c r="G129" s="44">
        <f>IF(B129="","",SUMIFS('Work Orders'!$AH$11:$AH$1010,'Work Orders'!$B$11:$B$1010,B129))</f>
        <v/>
      </c>
      <c r="H129" s="44">
        <f>IF(B129="","",SUMIFS('Work Orders'!$AH$11:$AH$1010,'Work Orders'!$B$11:$B$1010,B129,'Work Orders'!$AM$11:$AM$1010,"&gt;0"))</f>
        <v/>
      </c>
      <c r="I129" s="54">
        <f>IF(B129="","",COUNTIF(D$6:D$205,"&gt;"&amp;D129)+COUNTIF(D$6:D129,D129))</f>
        <v/>
      </c>
    </row>
    <row r="130">
      <c r="A130" s="54" t="n">
        <v>125</v>
      </c>
      <c r="B130" s="43">
        <f>IFERROR(INDEX('Work Orders'!$B$11:$B$1010,MATCH(A130,'Work Orders'!$AP$11:$AP$1010,0)),"")</f>
        <v/>
      </c>
      <c r="C130" s="43">
        <f>IF(B130="","",COUNTIFS('Work Orders'!$B$11:$B$1010,B130,'Work Orders'!$A$11:$A$1010,"&lt;&gt;"))</f>
        <v/>
      </c>
      <c r="D130" s="44">
        <f>IF(B130="","",SUMIFS('Work Orders'!$Z$11:$Z$1010,'Work Orders'!$B$11:$B$1010,B130))</f>
        <v/>
      </c>
      <c r="E130" s="44">
        <f>IF(B130="","",SUMIFS('Work Orders'!$J$11:$J$1010,'Work Orders'!$B$11:$B$1010,B130))</f>
        <v/>
      </c>
      <c r="F130" s="44">
        <f>IF(B130="","",SUMIFS('Work Orders'!$AE$11:$AE$1010,'Work Orders'!$B$11:$B$1010,B130))</f>
        <v/>
      </c>
      <c r="G130" s="44">
        <f>IF(B130="","",SUMIFS('Work Orders'!$AH$11:$AH$1010,'Work Orders'!$B$11:$B$1010,B130))</f>
        <v/>
      </c>
      <c r="H130" s="44">
        <f>IF(B130="","",SUMIFS('Work Orders'!$AH$11:$AH$1010,'Work Orders'!$B$11:$B$1010,B130,'Work Orders'!$AM$11:$AM$1010,"&gt;0"))</f>
        <v/>
      </c>
      <c r="I130" s="54">
        <f>IF(B130="","",COUNTIF(D$6:D$205,"&gt;"&amp;D130)+COUNTIF(D$6:D130,D130))</f>
        <v/>
      </c>
    </row>
    <row r="131">
      <c r="A131" s="54" t="n">
        <v>126</v>
      </c>
      <c r="B131" s="43">
        <f>IFERROR(INDEX('Work Orders'!$B$11:$B$1010,MATCH(A131,'Work Orders'!$AP$11:$AP$1010,0)),"")</f>
        <v/>
      </c>
      <c r="C131" s="43">
        <f>IF(B131="","",COUNTIFS('Work Orders'!$B$11:$B$1010,B131,'Work Orders'!$A$11:$A$1010,"&lt;&gt;"))</f>
        <v/>
      </c>
      <c r="D131" s="44">
        <f>IF(B131="","",SUMIFS('Work Orders'!$Z$11:$Z$1010,'Work Orders'!$B$11:$B$1010,B131))</f>
        <v/>
      </c>
      <c r="E131" s="44">
        <f>IF(B131="","",SUMIFS('Work Orders'!$J$11:$J$1010,'Work Orders'!$B$11:$B$1010,B131))</f>
        <v/>
      </c>
      <c r="F131" s="44">
        <f>IF(B131="","",SUMIFS('Work Orders'!$AE$11:$AE$1010,'Work Orders'!$B$11:$B$1010,B131))</f>
        <v/>
      </c>
      <c r="G131" s="44">
        <f>IF(B131="","",SUMIFS('Work Orders'!$AH$11:$AH$1010,'Work Orders'!$B$11:$B$1010,B131))</f>
        <v/>
      </c>
      <c r="H131" s="44">
        <f>IF(B131="","",SUMIFS('Work Orders'!$AH$11:$AH$1010,'Work Orders'!$B$11:$B$1010,B131,'Work Orders'!$AM$11:$AM$1010,"&gt;0"))</f>
        <v/>
      </c>
      <c r="I131" s="54">
        <f>IF(B131="","",COUNTIF(D$6:D$205,"&gt;"&amp;D131)+COUNTIF(D$6:D131,D131))</f>
        <v/>
      </c>
    </row>
    <row r="132">
      <c r="A132" s="54" t="n">
        <v>127</v>
      </c>
      <c r="B132" s="43">
        <f>IFERROR(INDEX('Work Orders'!$B$11:$B$1010,MATCH(A132,'Work Orders'!$AP$11:$AP$1010,0)),"")</f>
        <v/>
      </c>
      <c r="C132" s="43">
        <f>IF(B132="","",COUNTIFS('Work Orders'!$B$11:$B$1010,B132,'Work Orders'!$A$11:$A$1010,"&lt;&gt;"))</f>
        <v/>
      </c>
      <c r="D132" s="44">
        <f>IF(B132="","",SUMIFS('Work Orders'!$Z$11:$Z$1010,'Work Orders'!$B$11:$B$1010,B132))</f>
        <v/>
      </c>
      <c r="E132" s="44">
        <f>IF(B132="","",SUMIFS('Work Orders'!$J$11:$J$1010,'Work Orders'!$B$11:$B$1010,B132))</f>
        <v/>
      </c>
      <c r="F132" s="44">
        <f>IF(B132="","",SUMIFS('Work Orders'!$AE$11:$AE$1010,'Work Orders'!$B$11:$B$1010,B132))</f>
        <v/>
      </c>
      <c r="G132" s="44">
        <f>IF(B132="","",SUMIFS('Work Orders'!$AH$11:$AH$1010,'Work Orders'!$B$11:$B$1010,B132))</f>
        <v/>
      </c>
      <c r="H132" s="44">
        <f>IF(B132="","",SUMIFS('Work Orders'!$AH$11:$AH$1010,'Work Orders'!$B$11:$B$1010,B132,'Work Orders'!$AM$11:$AM$1010,"&gt;0"))</f>
        <v/>
      </c>
      <c r="I132" s="54">
        <f>IF(B132="","",COUNTIF(D$6:D$205,"&gt;"&amp;D132)+COUNTIF(D$6:D132,D132))</f>
        <v/>
      </c>
    </row>
    <row r="133">
      <c r="A133" s="54" t="n">
        <v>128</v>
      </c>
      <c r="B133" s="43">
        <f>IFERROR(INDEX('Work Orders'!$B$11:$B$1010,MATCH(A133,'Work Orders'!$AP$11:$AP$1010,0)),"")</f>
        <v/>
      </c>
      <c r="C133" s="43">
        <f>IF(B133="","",COUNTIFS('Work Orders'!$B$11:$B$1010,B133,'Work Orders'!$A$11:$A$1010,"&lt;&gt;"))</f>
        <v/>
      </c>
      <c r="D133" s="44">
        <f>IF(B133="","",SUMIFS('Work Orders'!$Z$11:$Z$1010,'Work Orders'!$B$11:$B$1010,B133))</f>
        <v/>
      </c>
      <c r="E133" s="44">
        <f>IF(B133="","",SUMIFS('Work Orders'!$J$11:$J$1010,'Work Orders'!$B$11:$B$1010,B133))</f>
        <v/>
      </c>
      <c r="F133" s="44">
        <f>IF(B133="","",SUMIFS('Work Orders'!$AE$11:$AE$1010,'Work Orders'!$B$11:$B$1010,B133))</f>
        <v/>
      </c>
      <c r="G133" s="44">
        <f>IF(B133="","",SUMIFS('Work Orders'!$AH$11:$AH$1010,'Work Orders'!$B$11:$B$1010,B133))</f>
        <v/>
      </c>
      <c r="H133" s="44">
        <f>IF(B133="","",SUMIFS('Work Orders'!$AH$11:$AH$1010,'Work Orders'!$B$11:$B$1010,B133,'Work Orders'!$AM$11:$AM$1010,"&gt;0"))</f>
        <v/>
      </c>
      <c r="I133" s="54">
        <f>IF(B133="","",COUNTIF(D$6:D$205,"&gt;"&amp;D133)+COUNTIF(D$6:D133,D133))</f>
        <v/>
      </c>
    </row>
    <row r="134">
      <c r="A134" s="54" t="n">
        <v>129</v>
      </c>
      <c r="B134" s="43">
        <f>IFERROR(INDEX('Work Orders'!$B$11:$B$1010,MATCH(A134,'Work Orders'!$AP$11:$AP$1010,0)),"")</f>
        <v/>
      </c>
      <c r="C134" s="43">
        <f>IF(B134="","",COUNTIFS('Work Orders'!$B$11:$B$1010,B134,'Work Orders'!$A$11:$A$1010,"&lt;&gt;"))</f>
        <v/>
      </c>
      <c r="D134" s="44">
        <f>IF(B134="","",SUMIFS('Work Orders'!$Z$11:$Z$1010,'Work Orders'!$B$11:$B$1010,B134))</f>
        <v/>
      </c>
      <c r="E134" s="44">
        <f>IF(B134="","",SUMIFS('Work Orders'!$J$11:$J$1010,'Work Orders'!$B$11:$B$1010,B134))</f>
        <v/>
      </c>
      <c r="F134" s="44">
        <f>IF(B134="","",SUMIFS('Work Orders'!$AE$11:$AE$1010,'Work Orders'!$B$11:$B$1010,B134))</f>
        <v/>
      </c>
      <c r="G134" s="44">
        <f>IF(B134="","",SUMIFS('Work Orders'!$AH$11:$AH$1010,'Work Orders'!$B$11:$B$1010,B134))</f>
        <v/>
      </c>
      <c r="H134" s="44">
        <f>IF(B134="","",SUMIFS('Work Orders'!$AH$11:$AH$1010,'Work Orders'!$B$11:$B$1010,B134,'Work Orders'!$AM$11:$AM$1010,"&gt;0"))</f>
        <v/>
      </c>
      <c r="I134" s="54">
        <f>IF(B134="","",COUNTIF(D$6:D$205,"&gt;"&amp;D134)+COUNTIF(D$6:D134,D134))</f>
        <v/>
      </c>
    </row>
    <row r="135">
      <c r="A135" s="54" t="n">
        <v>130</v>
      </c>
      <c r="B135" s="43">
        <f>IFERROR(INDEX('Work Orders'!$B$11:$B$1010,MATCH(A135,'Work Orders'!$AP$11:$AP$1010,0)),"")</f>
        <v/>
      </c>
      <c r="C135" s="43">
        <f>IF(B135="","",COUNTIFS('Work Orders'!$B$11:$B$1010,B135,'Work Orders'!$A$11:$A$1010,"&lt;&gt;"))</f>
        <v/>
      </c>
      <c r="D135" s="44">
        <f>IF(B135="","",SUMIFS('Work Orders'!$Z$11:$Z$1010,'Work Orders'!$B$11:$B$1010,B135))</f>
        <v/>
      </c>
      <c r="E135" s="44">
        <f>IF(B135="","",SUMIFS('Work Orders'!$J$11:$J$1010,'Work Orders'!$B$11:$B$1010,B135))</f>
        <v/>
      </c>
      <c r="F135" s="44">
        <f>IF(B135="","",SUMIFS('Work Orders'!$AE$11:$AE$1010,'Work Orders'!$B$11:$B$1010,B135))</f>
        <v/>
      </c>
      <c r="G135" s="44">
        <f>IF(B135="","",SUMIFS('Work Orders'!$AH$11:$AH$1010,'Work Orders'!$B$11:$B$1010,B135))</f>
        <v/>
      </c>
      <c r="H135" s="44">
        <f>IF(B135="","",SUMIFS('Work Orders'!$AH$11:$AH$1010,'Work Orders'!$B$11:$B$1010,B135,'Work Orders'!$AM$11:$AM$1010,"&gt;0"))</f>
        <v/>
      </c>
      <c r="I135" s="54">
        <f>IF(B135="","",COUNTIF(D$6:D$205,"&gt;"&amp;D135)+COUNTIF(D$6:D135,D135))</f>
        <v/>
      </c>
    </row>
    <row r="136">
      <c r="A136" s="54" t="n">
        <v>131</v>
      </c>
      <c r="B136" s="43">
        <f>IFERROR(INDEX('Work Orders'!$B$11:$B$1010,MATCH(A136,'Work Orders'!$AP$11:$AP$1010,0)),"")</f>
        <v/>
      </c>
      <c r="C136" s="43">
        <f>IF(B136="","",COUNTIFS('Work Orders'!$B$11:$B$1010,B136,'Work Orders'!$A$11:$A$1010,"&lt;&gt;"))</f>
        <v/>
      </c>
      <c r="D136" s="44">
        <f>IF(B136="","",SUMIFS('Work Orders'!$Z$11:$Z$1010,'Work Orders'!$B$11:$B$1010,B136))</f>
        <v/>
      </c>
      <c r="E136" s="44">
        <f>IF(B136="","",SUMIFS('Work Orders'!$J$11:$J$1010,'Work Orders'!$B$11:$B$1010,B136))</f>
        <v/>
      </c>
      <c r="F136" s="44">
        <f>IF(B136="","",SUMIFS('Work Orders'!$AE$11:$AE$1010,'Work Orders'!$B$11:$B$1010,B136))</f>
        <v/>
      </c>
      <c r="G136" s="44">
        <f>IF(B136="","",SUMIFS('Work Orders'!$AH$11:$AH$1010,'Work Orders'!$B$11:$B$1010,B136))</f>
        <v/>
      </c>
      <c r="H136" s="44">
        <f>IF(B136="","",SUMIFS('Work Orders'!$AH$11:$AH$1010,'Work Orders'!$B$11:$B$1010,B136,'Work Orders'!$AM$11:$AM$1010,"&gt;0"))</f>
        <v/>
      </c>
      <c r="I136" s="54">
        <f>IF(B136="","",COUNTIF(D$6:D$205,"&gt;"&amp;D136)+COUNTIF(D$6:D136,D136))</f>
        <v/>
      </c>
    </row>
    <row r="137">
      <c r="A137" s="54" t="n">
        <v>132</v>
      </c>
      <c r="B137" s="43">
        <f>IFERROR(INDEX('Work Orders'!$B$11:$B$1010,MATCH(A137,'Work Orders'!$AP$11:$AP$1010,0)),"")</f>
        <v/>
      </c>
      <c r="C137" s="43">
        <f>IF(B137="","",COUNTIFS('Work Orders'!$B$11:$B$1010,B137,'Work Orders'!$A$11:$A$1010,"&lt;&gt;"))</f>
        <v/>
      </c>
      <c r="D137" s="44">
        <f>IF(B137="","",SUMIFS('Work Orders'!$Z$11:$Z$1010,'Work Orders'!$B$11:$B$1010,B137))</f>
        <v/>
      </c>
      <c r="E137" s="44">
        <f>IF(B137="","",SUMIFS('Work Orders'!$J$11:$J$1010,'Work Orders'!$B$11:$B$1010,B137))</f>
        <v/>
      </c>
      <c r="F137" s="44">
        <f>IF(B137="","",SUMIFS('Work Orders'!$AE$11:$AE$1010,'Work Orders'!$B$11:$B$1010,B137))</f>
        <v/>
      </c>
      <c r="G137" s="44">
        <f>IF(B137="","",SUMIFS('Work Orders'!$AH$11:$AH$1010,'Work Orders'!$B$11:$B$1010,B137))</f>
        <v/>
      </c>
      <c r="H137" s="44">
        <f>IF(B137="","",SUMIFS('Work Orders'!$AH$11:$AH$1010,'Work Orders'!$B$11:$B$1010,B137,'Work Orders'!$AM$11:$AM$1010,"&gt;0"))</f>
        <v/>
      </c>
      <c r="I137" s="54">
        <f>IF(B137="","",COUNTIF(D$6:D$205,"&gt;"&amp;D137)+COUNTIF(D$6:D137,D137))</f>
        <v/>
      </c>
    </row>
    <row r="138">
      <c r="A138" s="54" t="n">
        <v>133</v>
      </c>
      <c r="B138" s="43">
        <f>IFERROR(INDEX('Work Orders'!$B$11:$B$1010,MATCH(A138,'Work Orders'!$AP$11:$AP$1010,0)),"")</f>
        <v/>
      </c>
      <c r="C138" s="43">
        <f>IF(B138="","",COUNTIFS('Work Orders'!$B$11:$B$1010,B138,'Work Orders'!$A$11:$A$1010,"&lt;&gt;"))</f>
        <v/>
      </c>
      <c r="D138" s="44">
        <f>IF(B138="","",SUMIFS('Work Orders'!$Z$11:$Z$1010,'Work Orders'!$B$11:$B$1010,B138))</f>
        <v/>
      </c>
      <c r="E138" s="44">
        <f>IF(B138="","",SUMIFS('Work Orders'!$J$11:$J$1010,'Work Orders'!$B$11:$B$1010,B138))</f>
        <v/>
      </c>
      <c r="F138" s="44">
        <f>IF(B138="","",SUMIFS('Work Orders'!$AE$11:$AE$1010,'Work Orders'!$B$11:$B$1010,B138))</f>
        <v/>
      </c>
      <c r="G138" s="44">
        <f>IF(B138="","",SUMIFS('Work Orders'!$AH$11:$AH$1010,'Work Orders'!$B$11:$B$1010,B138))</f>
        <v/>
      </c>
      <c r="H138" s="44">
        <f>IF(B138="","",SUMIFS('Work Orders'!$AH$11:$AH$1010,'Work Orders'!$B$11:$B$1010,B138,'Work Orders'!$AM$11:$AM$1010,"&gt;0"))</f>
        <v/>
      </c>
      <c r="I138" s="54">
        <f>IF(B138="","",COUNTIF(D$6:D$205,"&gt;"&amp;D138)+COUNTIF(D$6:D138,D138))</f>
        <v/>
      </c>
    </row>
    <row r="139">
      <c r="A139" s="54" t="n">
        <v>134</v>
      </c>
      <c r="B139" s="43">
        <f>IFERROR(INDEX('Work Orders'!$B$11:$B$1010,MATCH(A139,'Work Orders'!$AP$11:$AP$1010,0)),"")</f>
        <v/>
      </c>
      <c r="C139" s="43">
        <f>IF(B139="","",COUNTIFS('Work Orders'!$B$11:$B$1010,B139,'Work Orders'!$A$11:$A$1010,"&lt;&gt;"))</f>
        <v/>
      </c>
      <c r="D139" s="44">
        <f>IF(B139="","",SUMIFS('Work Orders'!$Z$11:$Z$1010,'Work Orders'!$B$11:$B$1010,B139))</f>
        <v/>
      </c>
      <c r="E139" s="44">
        <f>IF(B139="","",SUMIFS('Work Orders'!$J$11:$J$1010,'Work Orders'!$B$11:$B$1010,B139))</f>
        <v/>
      </c>
      <c r="F139" s="44">
        <f>IF(B139="","",SUMIFS('Work Orders'!$AE$11:$AE$1010,'Work Orders'!$B$11:$B$1010,B139))</f>
        <v/>
      </c>
      <c r="G139" s="44">
        <f>IF(B139="","",SUMIFS('Work Orders'!$AH$11:$AH$1010,'Work Orders'!$B$11:$B$1010,B139))</f>
        <v/>
      </c>
      <c r="H139" s="44">
        <f>IF(B139="","",SUMIFS('Work Orders'!$AH$11:$AH$1010,'Work Orders'!$B$11:$B$1010,B139,'Work Orders'!$AM$11:$AM$1010,"&gt;0"))</f>
        <v/>
      </c>
      <c r="I139" s="54">
        <f>IF(B139="","",COUNTIF(D$6:D$205,"&gt;"&amp;D139)+COUNTIF(D$6:D139,D139))</f>
        <v/>
      </c>
    </row>
    <row r="140">
      <c r="A140" s="54" t="n">
        <v>135</v>
      </c>
      <c r="B140" s="43">
        <f>IFERROR(INDEX('Work Orders'!$B$11:$B$1010,MATCH(A140,'Work Orders'!$AP$11:$AP$1010,0)),"")</f>
        <v/>
      </c>
      <c r="C140" s="43">
        <f>IF(B140="","",COUNTIFS('Work Orders'!$B$11:$B$1010,B140,'Work Orders'!$A$11:$A$1010,"&lt;&gt;"))</f>
        <v/>
      </c>
      <c r="D140" s="44">
        <f>IF(B140="","",SUMIFS('Work Orders'!$Z$11:$Z$1010,'Work Orders'!$B$11:$B$1010,B140))</f>
        <v/>
      </c>
      <c r="E140" s="44">
        <f>IF(B140="","",SUMIFS('Work Orders'!$J$11:$J$1010,'Work Orders'!$B$11:$B$1010,B140))</f>
        <v/>
      </c>
      <c r="F140" s="44">
        <f>IF(B140="","",SUMIFS('Work Orders'!$AE$11:$AE$1010,'Work Orders'!$B$11:$B$1010,B140))</f>
        <v/>
      </c>
      <c r="G140" s="44">
        <f>IF(B140="","",SUMIFS('Work Orders'!$AH$11:$AH$1010,'Work Orders'!$B$11:$B$1010,B140))</f>
        <v/>
      </c>
      <c r="H140" s="44">
        <f>IF(B140="","",SUMIFS('Work Orders'!$AH$11:$AH$1010,'Work Orders'!$B$11:$B$1010,B140,'Work Orders'!$AM$11:$AM$1010,"&gt;0"))</f>
        <v/>
      </c>
      <c r="I140" s="54">
        <f>IF(B140="","",COUNTIF(D$6:D$205,"&gt;"&amp;D140)+COUNTIF(D$6:D140,D140))</f>
        <v/>
      </c>
    </row>
    <row r="141">
      <c r="A141" s="54" t="n">
        <v>136</v>
      </c>
      <c r="B141" s="43">
        <f>IFERROR(INDEX('Work Orders'!$B$11:$B$1010,MATCH(A141,'Work Orders'!$AP$11:$AP$1010,0)),"")</f>
        <v/>
      </c>
      <c r="C141" s="43">
        <f>IF(B141="","",COUNTIFS('Work Orders'!$B$11:$B$1010,B141,'Work Orders'!$A$11:$A$1010,"&lt;&gt;"))</f>
        <v/>
      </c>
      <c r="D141" s="44">
        <f>IF(B141="","",SUMIFS('Work Orders'!$Z$11:$Z$1010,'Work Orders'!$B$11:$B$1010,B141))</f>
        <v/>
      </c>
      <c r="E141" s="44">
        <f>IF(B141="","",SUMIFS('Work Orders'!$J$11:$J$1010,'Work Orders'!$B$11:$B$1010,B141))</f>
        <v/>
      </c>
      <c r="F141" s="44">
        <f>IF(B141="","",SUMIFS('Work Orders'!$AE$11:$AE$1010,'Work Orders'!$B$11:$B$1010,B141))</f>
        <v/>
      </c>
      <c r="G141" s="44">
        <f>IF(B141="","",SUMIFS('Work Orders'!$AH$11:$AH$1010,'Work Orders'!$B$11:$B$1010,B141))</f>
        <v/>
      </c>
      <c r="H141" s="44">
        <f>IF(B141="","",SUMIFS('Work Orders'!$AH$11:$AH$1010,'Work Orders'!$B$11:$B$1010,B141,'Work Orders'!$AM$11:$AM$1010,"&gt;0"))</f>
        <v/>
      </c>
      <c r="I141" s="54">
        <f>IF(B141="","",COUNTIF(D$6:D$205,"&gt;"&amp;D141)+COUNTIF(D$6:D141,D141))</f>
        <v/>
      </c>
    </row>
    <row r="142">
      <c r="A142" s="54" t="n">
        <v>137</v>
      </c>
      <c r="B142" s="43">
        <f>IFERROR(INDEX('Work Orders'!$B$11:$B$1010,MATCH(A142,'Work Orders'!$AP$11:$AP$1010,0)),"")</f>
        <v/>
      </c>
      <c r="C142" s="43">
        <f>IF(B142="","",COUNTIFS('Work Orders'!$B$11:$B$1010,B142,'Work Orders'!$A$11:$A$1010,"&lt;&gt;"))</f>
        <v/>
      </c>
      <c r="D142" s="44">
        <f>IF(B142="","",SUMIFS('Work Orders'!$Z$11:$Z$1010,'Work Orders'!$B$11:$B$1010,B142))</f>
        <v/>
      </c>
      <c r="E142" s="44">
        <f>IF(B142="","",SUMIFS('Work Orders'!$J$11:$J$1010,'Work Orders'!$B$11:$B$1010,B142))</f>
        <v/>
      </c>
      <c r="F142" s="44">
        <f>IF(B142="","",SUMIFS('Work Orders'!$AE$11:$AE$1010,'Work Orders'!$B$11:$B$1010,B142))</f>
        <v/>
      </c>
      <c r="G142" s="44">
        <f>IF(B142="","",SUMIFS('Work Orders'!$AH$11:$AH$1010,'Work Orders'!$B$11:$B$1010,B142))</f>
        <v/>
      </c>
      <c r="H142" s="44">
        <f>IF(B142="","",SUMIFS('Work Orders'!$AH$11:$AH$1010,'Work Orders'!$B$11:$B$1010,B142,'Work Orders'!$AM$11:$AM$1010,"&gt;0"))</f>
        <v/>
      </c>
      <c r="I142" s="54">
        <f>IF(B142="","",COUNTIF(D$6:D$205,"&gt;"&amp;D142)+COUNTIF(D$6:D142,D142))</f>
        <v/>
      </c>
    </row>
    <row r="143">
      <c r="A143" s="54" t="n">
        <v>138</v>
      </c>
      <c r="B143" s="43">
        <f>IFERROR(INDEX('Work Orders'!$B$11:$B$1010,MATCH(A143,'Work Orders'!$AP$11:$AP$1010,0)),"")</f>
        <v/>
      </c>
      <c r="C143" s="43">
        <f>IF(B143="","",COUNTIFS('Work Orders'!$B$11:$B$1010,B143,'Work Orders'!$A$11:$A$1010,"&lt;&gt;"))</f>
        <v/>
      </c>
      <c r="D143" s="44">
        <f>IF(B143="","",SUMIFS('Work Orders'!$Z$11:$Z$1010,'Work Orders'!$B$11:$B$1010,B143))</f>
        <v/>
      </c>
      <c r="E143" s="44">
        <f>IF(B143="","",SUMIFS('Work Orders'!$J$11:$J$1010,'Work Orders'!$B$11:$B$1010,B143))</f>
        <v/>
      </c>
      <c r="F143" s="44">
        <f>IF(B143="","",SUMIFS('Work Orders'!$AE$11:$AE$1010,'Work Orders'!$B$11:$B$1010,B143))</f>
        <v/>
      </c>
      <c r="G143" s="44">
        <f>IF(B143="","",SUMIFS('Work Orders'!$AH$11:$AH$1010,'Work Orders'!$B$11:$B$1010,B143))</f>
        <v/>
      </c>
      <c r="H143" s="44">
        <f>IF(B143="","",SUMIFS('Work Orders'!$AH$11:$AH$1010,'Work Orders'!$B$11:$B$1010,B143,'Work Orders'!$AM$11:$AM$1010,"&gt;0"))</f>
        <v/>
      </c>
      <c r="I143" s="54">
        <f>IF(B143="","",COUNTIF(D$6:D$205,"&gt;"&amp;D143)+COUNTIF(D$6:D143,D143))</f>
        <v/>
      </c>
    </row>
    <row r="144">
      <c r="A144" s="54" t="n">
        <v>139</v>
      </c>
      <c r="B144" s="43">
        <f>IFERROR(INDEX('Work Orders'!$B$11:$B$1010,MATCH(A144,'Work Orders'!$AP$11:$AP$1010,0)),"")</f>
        <v/>
      </c>
      <c r="C144" s="43">
        <f>IF(B144="","",COUNTIFS('Work Orders'!$B$11:$B$1010,B144,'Work Orders'!$A$11:$A$1010,"&lt;&gt;"))</f>
        <v/>
      </c>
      <c r="D144" s="44">
        <f>IF(B144="","",SUMIFS('Work Orders'!$Z$11:$Z$1010,'Work Orders'!$B$11:$B$1010,B144))</f>
        <v/>
      </c>
      <c r="E144" s="44">
        <f>IF(B144="","",SUMIFS('Work Orders'!$J$11:$J$1010,'Work Orders'!$B$11:$B$1010,B144))</f>
        <v/>
      </c>
      <c r="F144" s="44">
        <f>IF(B144="","",SUMIFS('Work Orders'!$AE$11:$AE$1010,'Work Orders'!$B$11:$B$1010,B144))</f>
        <v/>
      </c>
      <c r="G144" s="44">
        <f>IF(B144="","",SUMIFS('Work Orders'!$AH$11:$AH$1010,'Work Orders'!$B$11:$B$1010,B144))</f>
        <v/>
      </c>
      <c r="H144" s="44">
        <f>IF(B144="","",SUMIFS('Work Orders'!$AH$11:$AH$1010,'Work Orders'!$B$11:$B$1010,B144,'Work Orders'!$AM$11:$AM$1010,"&gt;0"))</f>
        <v/>
      </c>
      <c r="I144" s="54">
        <f>IF(B144="","",COUNTIF(D$6:D$205,"&gt;"&amp;D144)+COUNTIF(D$6:D144,D144))</f>
        <v/>
      </c>
    </row>
    <row r="145">
      <c r="A145" s="54" t="n">
        <v>140</v>
      </c>
      <c r="B145" s="43">
        <f>IFERROR(INDEX('Work Orders'!$B$11:$B$1010,MATCH(A145,'Work Orders'!$AP$11:$AP$1010,0)),"")</f>
        <v/>
      </c>
      <c r="C145" s="43">
        <f>IF(B145="","",COUNTIFS('Work Orders'!$B$11:$B$1010,B145,'Work Orders'!$A$11:$A$1010,"&lt;&gt;"))</f>
        <v/>
      </c>
      <c r="D145" s="44">
        <f>IF(B145="","",SUMIFS('Work Orders'!$Z$11:$Z$1010,'Work Orders'!$B$11:$B$1010,B145))</f>
        <v/>
      </c>
      <c r="E145" s="44">
        <f>IF(B145="","",SUMIFS('Work Orders'!$J$11:$J$1010,'Work Orders'!$B$11:$B$1010,B145))</f>
        <v/>
      </c>
      <c r="F145" s="44">
        <f>IF(B145="","",SUMIFS('Work Orders'!$AE$11:$AE$1010,'Work Orders'!$B$11:$B$1010,B145))</f>
        <v/>
      </c>
      <c r="G145" s="44">
        <f>IF(B145="","",SUMIFS('Work Orders'!$AH$11:$AH$1010,'Work Orders'!$B$11:$B$1010,B145))</f>
        <v/>
      </c>
      <c r="H145" s="44">
        <f>IF(B145="","",SUMIFS('Work Orders'!$AH$11:$AH$1010,'Work Orders'!$B$11:$B$1010,B145,'Work Orders'!$AM$11:$AM$1010,"&gt;0"))</f>
        <v/>
      </c>
      <c r="I145" s="54">
        <f>IF(B145="","",COUNTIF(D$6:D$205,"&gt;"&amp;D145)+COUNTIF(D$6:D145,D145))</f>
        <v/>
      </c>
    </row>
    <row r="146">
      <c r="A146" s="54" t="n">
        <v>141</v>
      </c>
      <c r="B146" s="43">
        <f>IFERROR(INDEX('Work Orders'!$B$11:$B$1010,MATCH(A146,'Work Orders'!$AP$11:$AP$1010,0)),"")</f>
        <v/>
      </c>
      <c r="C146" s="43">
        <f>IF(B146="","",COUNTIFS('Work Orders'!$B$11:$B$1010,B146,'Work Orders'!$A$11:$A$1010,"&lt;&gt;"))</f>
        <v/>
      </c>
      <c r="D146" s="44">
        <f>IF(B146="","",SUMIFS('Work Orders'!$Z$11:$Z$1010,'Work Orders'!$B$11:$B$1010,B146))</f>
        <v/>
      </c>
      <c r="E146" s="44">
        <f>IF(B146="","",SUMIFS('Work Orders'!$J$11:$J$1010,'Work Orders'!$B$11:$B$1010,B146))</f>
        <v/>
      </c>
      <c r="F146" s="44">
        <f>IF(B146="","",SUMIFS('Work Orders'!$AE$11:$AE$1010,'Work Orders'!$B$11:$B$1010,B146))</f>
        <v/>
      </c>
      <c r="G146" s="44">
        <f>IF(B146="","",SUMIFS('Work Orders'!$AH$11:$AH$1010,'Work Orders'!$B$11:$B$1010,B146))</f>
        <v/>
      </c>
      <c r="H146" s="44">
        <f>IF(B146="","",SUMIFS('Work Orders'!$AH$11:$AH$1010,'Work Orders'!$B$11:$B$1010,B146,'Work Orders'!$AM$11:$AM$1010,"&gt;0"))</f>
        <v/>
      </c>
      <c r="I146" s="54">
        <f>IF(B146="","",COUNTIF(D$6:D$205,"&gt;"&amp;D146)+COUNTIF(D$6:D146,D146))</f>
        <v/>
      </c>
    </row>
    <row r="147">
      <c r="A147" s="54" t="n">
        <v>142</v>
      </c>
      <c r="B147" s="43">
        <f>IFERROR(INDEX('Work Orders'!$B$11:$B$1010,MATCH(A147,'Work Orders'!$AP$11:$AP$1010,0)),"")</f>
        <v/>
      </c>
      <c r="C147" s="43">
        <f>IF(B147="","",COUNTIFS('Work Orders'!$B$11:$B$1010,B147,'Work Orders'!$A$11:$A$1010,"&lt;&gt;"))</f>
        <v/>
      </c>
      <c r="D147" s="44">
        <f>IF(B147="","",SUMIFS('Work Orders'!$Z$11:$Z$1010,'Work Orders'!$B$11:$B$1010,B147))</f>
        <v/>
      </c>
      <c r="E147" s="44">
        <f>IF(B147="","",SUMIFS('Work Orders'!$J$11:$J$1010,'Work Orders'!$B$11:$B$1010,B147))</f>
        <v/>
      </c>
      <c r="F147" s="44">
        <f>IF(B147="","",SUMIFS('Work Orders'!$AE$11:$AE$1010,'Work Orders'!$B$11:$B$1010,B147))</f>
        <v/>
      </c>
      <c r="G147" s="44">
        <f>IF(B147="","",SUMIFS('Work Orders'!$AH$11:$AH$1010,'Work Orders'!$B$11:$B$1010,B147))</f>
        <v/>
      </c>
      <c r="H147" s="44">
        <f>IF(B147="","",SUMIFS('Work Orders'!$AH$11:$AH$1010,'Work Orders'!$B$11:$B$1010,B147,'Work Orders'!$AM$11:$AM$1010,"&gt;0"))</f>
        <v/>
      </c>
      <c r="I147" s="54">
        <f>IF(B147="","",COUNTIF(D$6:D$205,"&gt;"&amp;D147)+COUNTIF(D$6:D147,D147))</f>
        <v/>
      </c>
    </row>
    <row r="148">
      <c r="A148" s="54" t="n">
        <v>143</v>
      </c>
      <c r="B148" s="43">
        <f>IFERROR(INDEX('Work Orders'!$B$11:$B$1010,MATCH(A148,'Work Orders'!$AP$11:$AP$1010,0)),"")</f>
        <v/>
      </c>
      <c r="C148" s="43">
        <f>IF(B148="","",COUNTIFS('Work Orders'!$B$11:$B$1010,B148,'Work Orders'!$A$11:$A$1010,"&lt;&gt;"))</f>
        <v/>
      </c>
      <c r="D148" s="44">
        <f>IF(B148="","",SUMIFS('Work Orders'!$Z$11:$Z$1010,'Work Orders'!$B$11:$B$1010,B148))</f>
        <v/>
      </c>
      <c r="E148" s="44">
        <f>IF(B148="","",SUMIFS('Work Orders'!$J$11:$J$1010,'Work Orders'!$B$11:$B$1010,B148))</f>
        <v/>
      </c>
      <c r="F148" s="44">
        <f>IF(B148="","",SUMIFS('Work Orders'!$AE$11:$AE$1010,'Work Orders'!$B$11:$B$1010,B148))</f>
        <v/>
      </c>
      <c r="G148" s="44">
        <f>IF(B148="","",SUMIFS('Work Orders'!$AH$11:$AH$1010,'Work Orders'!$B$11:$B$1010,B148))</f>
        <v/>
      </c>
      <c r="H148" s="44">
        <f>IF(B148="","",SUMIFS('Work Orders'!$AH$11:$AH$1010,'Work Orders'!$B$11:$B$1010,B148,'Work Orders'!$AM$11:$AM$1010,"&gt;0"))</f>
        <v/>
      </c>
      <c r="I148" s="54">
        <f>IF(B148="","",COUNTIF(D$6:D$205,"&gt;"&amp;D148)+COUNTIF(D$6:D148,D148))</f>
        <v/>
      </c>
    </row>
    <row r="149">
      <c r="A149" s="54" t="n">
        <v>144</v>
      </c>
      <c r="B149" s="43">
        <f>IFERROR(INDEX('Work Orders'!$B$11:$B$1010,MATCH(A149,'Work Orders'!$AP$11:$AP$1010,0)),"")</f>
        <v/>
      </c>
      <c r="C149" s="43">
        <f>IF(B149="","",COUNTIFS('Work Orders'!$B$11:$B$1010,B149,'Work Orders'!$A$11:$A$1010,"&lt;&gt;"))</f>
        <v/>
      </c>
      <c r="D149" s="44">
        <f>IF(B149="","",SUMIFS('Work Orders'!$Z$11:$Z$1010,'Work Orders'!$B$11:$B$1010,B149))</f>
        <v/>
      </c>
      <c r="E149" s="44">
        <f>IF(B149="","",SUMIFS('Work Orders'!$J$11:$J$1010,'Work Orders'!$B$11:$B$1010,B149))</f>
        <v/>
      </c>
      <c r="F149" s="44">
        <f>IF(B149="","",SUMIFS('Work Orders'!$AE$11:$AE$1010,'Work Orders'!$B$11:$B$1010,B149))</f>
        <v/>
      </c>
      <c r="G149" s="44">
        <f>IF(B149="","",SUMIFS('Work Orders'!$AH$11:$AH$1010,'Work Orders'!$B$11:$B$1010,B149))</f>
        <v/>
      </c>
      <c r="H149" s="44">
        <f>IF(B149="","",SUMIFS('Work Orders'!$AH$11:$AH$1010,'Work Orders'!$B$11:$B$1010,B149,'Work Orders'!$AM$11:$AM$1010,"&gt;0"))</f>
        <v/>
      </c>
      <c r="I149" s="54">
        <f>IF(B149="","",COUNTIF(D$6:D$205,"&gt;"&amp;D149)+COUNTIF(D$6:D149,D149))</f>
        <v/>
      </c>
    </row>
    <row r="150">
      <c r="A150" s="54" t="n">
        <v>145</v>
      </c>
      <c r="B150" s="43">
        <f>IFERROR(INDEX('Work Orders'!$B$11:$B$1010,MATCH(A150,'Work Orders'!$AP$11:$AP$1010,0)),"")</f>
        <v/>
      </c>
      <c r="C150" s="43">
        <f>IF(B150="","",COUNTIFS('Work Orders'!$B$11:$B$1010,B150,'Work Orders'!$A$11:$A$1010,"&lt;&gt;"))</f>
        <v/>
      </c>
      <c r="D150" s="44">
        <f>IF(B150="","",SUMIFS('Work Orders'!$Z$11:$Z$1010,'Work Orders'!$B$11:$B$1010,B150))</f>
        <v/>
      </c>
      <c r="E150" s="44">
        <f>IF(B150="","",SUMIFS('Work Orders'!$J$11:$J$1010,'Work Orders'!$B$11:$B$1010,B150))</f>
        <v/>
      </c>
      <c r="F150" s="44">
        <f>IF(B150="","",SUMIFS('Work Orders'!$AE$11:$AE$1010,'Work Orders'!$B$11:$B$1010,B150))</f>
        <v/>
      </c>
      <c r="G150" s="44">
        <f>IF(B150="","",SUMIFS('Work Orders'!$AH$11:$AH$1010,'Work Orders'!$B$11:$B$1010,B150))</f>
        <v/>
      </c>
      <c r="H150" s="44">
        <f>IF(B150="","",SUMIFS('Work Orders'!$AH$11:$AH$1010,'Work Orders'!$B$11:$B$1010,B150,'Work Orders'!$AM$11:$AM$1010,"&gt;0"))</f>
        <v/>
      </c>
      <c r="I150" s="54">
        <f>IF(B150="","",COUNTIF(D$6:D$205,"&gt;"&amp;D150)+COUNTIF(D$6:D150,D150))</f>
        <v/>
      </c>
    </row>
    <row r="151">
      <c r="A151" s="54" t="n">
        <v>146</v>
      </c>
      <c r="B151" s="43">
        <f>IFERROR(INDEX('Work Orders'!$B$11:$B$1010,MATCH(A151,'Work Orders'!$AP$11:$AP$1010,0)),"")</f>
        <v/>
      </c>
      <c r="C151" s="43">
        <f>IF(B151="","",COUNTIFS('Work Orders'!$B$11:$B$1010,B151,'Work Orders'!$A$11:$A$1010,"&lt;&gt;"))</f>
        <v/>
      </c>
      <c r="D151" s="44">
        <f>IF(B151="","",SUMIFS('Work Orders'!$Z$11:$Z$1010,'Work Orders'!$B$11:$B$1010,B151))</f>
        <v/>
      </c>
      <c r="E151" s="44">
        <f>IF(B151="","",SUMIFS('Work Orders'!$J$11:$J$1010,'Work Orders'!$B$11:$B$1010,B151))</f>
        <v/>
      </c>
      <c r="F151" s="44">
        <f>IF(B151="","",SUMIFS('Work Orders'!$AE$11:$AE$1010,'Work Orders'!$B$11:$B$1010,B151))</f>
        <v/>
      </c>
      <c r="G151" s="44">
        <f>IF(B151="","",SUMIFS('Work Orders'!$AH$11:$AH$1010,'Work Orders'!$B$11:$B$1010,B151))</f>
        <v/>
      </c>
      <c r="H151" s="44">
        <f>IF(B151="","",SUMIFS('Work Orders'!$AH$11:$AH$1010,'Work Orders'!$B$11:$B$1010,B151,'Work Orders'!$AM$11:$AM$1010,"&gt;0"))</f>
        <v/>
      </c>
      <c r="I151" s="54">
        <f>IF(B151="","",COUNTIF(D$6:D$205,"&gt;"&amp;D151)+COUNTIF(D$6:D151,D151))</f>
        <v/>
      </c>
    </row>
    <row r="152">
      <c r="A152" s="54" t="n">
        <v>147</v>
      </c>
      <c r="B152" s="43">
        <f>IFERROR(INDEX('Work Orders'!$B$11:$B$1010,MATCH(A152,'Work Orders'!$AP$11:$AP$1010,0)),"")</f>
        <v/>
      </c>
      <c r="C152" s="43">
        <f>IF(B152="","",COUNTIFS('Work Orders'!$B$11:$B$1010,B152,'Work Orders'!$A$11:$A$1010,"&lt;&gt;"))</f>
        <v/>
      </c>
      <c r="D152" s="44">
        <f>IF(B152="","",SUMIFS('Work Orders'!$Z$11:$Z$1010,'Work Orders'!$B$11:$B$1010,B152))</f>
        <v/>
      </c>
      <c r="E152" s="44">
        <f>IF(B152="","",SUMIFS('Work Orders'!$J$11:$J$1010,'Work Orders'!$B$11:$B$1010,B152))</f>
        <v/>
      </c>
      <c r="F152" s="44">
        <f>IF(B152="","",SUMIFS('Work Orders'!$AE$11:$AE$1010,'Work Orders'!$B$11:$B$1010,B152))</f>
        <v/>
      </c>
      <c r="G152" s="44">
        <f>IF(B152="","",SUMIFS('Work Orders'!$AH$11:$AH$1010,'Work Orders'!$B$11:$B$1010,B152))</f>
        <v/>
      </c>
      <c r="H152" s="44">
        <f>IF(B152="","",SUMIFS('Work Orders'!$AH$11:$AH$1010,'Work Orders'!$B$11:$B$1010,B152,'Work Orders'!$AM$11:$AM$1010,"&gt;0"))</f>
        <v/>
      </c>
      <c r="I152" s="54">
        <f>IF(B152="","",COUNTIF(D$6:D$205,"&gt;"&amp;D152)+COUNTIF(D$6:D152,D152))</f>
        <v/>
      </c>
    </row>
    <row r="153">
      <c r="A153" s="54" t="n">
        <v>148</v>
      </c>
      <c r="B153" s="43">
        <f>IFERROR(INDEX('Work Orders'!$B$11:$B$1010,MATCH(A153,'Work Orders'!$AP$11:$AP$1010,0)),"")</f>
        <v/>
      </c>
      <c r="C153" s="43">
        <f>IF(B153="","",COUNTIFS('Work Orders'!$B$11:$B$1010,B153,'Work Orders'!$A$11:$A$1010,"&lt;&gt;"))</f>
        <v/>
      </c>
      <c r="D153" s="44">
        <f>IF(B153="","",SUMIFS('Work Orders'!$Z$11:$Z$1010,'Work Orders'!$B$11:$B$1010,B153))</f>
        <v/>
      </c>
      <c r="E153" s="44">
        <f>IF(B153="","",SUMIFS('Work Orders'!$J$11:$J$1010,'Work Orders'!$B$11:$B$1010,B153))</f>
        <v/>
      </c>
      <c r="F153" s="44">
        <f>IF(B153="","",SUMIFS('Work Orders'!$AE$11:$AE$1010,'Work Orders'!$B$11:$B$1010,B153))</f>
        <v/>
      </c>
      <c r="G153" s="44">
        <f>IF(B153="","",SUMIFS('Work Orders'!$AH$11:$AH$1010,'Work Orders'!$B$11:$B$1010,B153))</f>
        <v/>
      </c>
      <c r="H153" s="44">
        <f>IF(B153="","",SUMIFS('Work Orders'!$AH$11:$AH$1010,'Work Orders'!$B$11:$B$1010,B153,'Work Orders'!$AM$11:$AM$1010,"&gt;0"))</f>
        <v/>
      </c>
      <c r="I153" s="54">
        <f>IF(B153="","",COUNTIF(D$6:D$205,"&gt;"&amp;D153)+COUNTIF(D$6:D153,D153))</f>
        <v/>
      </c>
    </row>
    <row r="154">
      <c r="A154" s="54" t="n">
        <v>149</v>
      </c>
      <c r="B154" s="43">
        <f>IFERROR(INDEX('Work Orders'!$B$11:$B$1010,MATCH(A154,'Work Orders'!$AP$11:$AP$1010,0)),"")</f>
        <v/>
      </c>
      <c r="C154" s="43">
        <f>IF(B154="","",COUNTIFS('Work Orders'!$B$11:$B$1010,B154,'Work Orders'!$A$11:$A$1010,"&lt;&gt;"))</f>
        <v/>
      </c>
      <c r="D154" s="44">
        <f>IF(B154="","",SUMIFS('Work Orders'!$Z$11:$Z$1010,'Work Orders'!$B$11:$B$1010,B154))</f>
        <v/>
      </c>
      <c r="E154" s="44">
        <f>IF(B154="","",SUMIFS('Work Orders'!$J$11:$J$1010,'Work Orders'!$B$11:$B$1010,B154))</f>
        <v/>
      </c>
      <c r="F154" s="44">
        <f>IF(B154="","",SUMIFS('Work Orders'!$AE$11:$AE$1010,'Work Orders'!$B$11:$B$1010,B154))</f>
        <v/>
      </c>
      <c r="G154" s="44">
        <f>IF(B154="","",SUMIFS('Work Orders'!$AH$11:$AH$1010,'Work Orders'!$B$11:$B$1010,B154))</f>
        <v/>
      </c>
      <c r="H154" s="44">
        <f>IF(B154="","",SUMIFS('Work Orders'!$AH$11:$AH$1010,'Work Orders'!$B$11:$B$1010,B154,'Work Orders'!$AM$11:$AM$1010,"&gt;0"))</f>
        <v/>
      </c>
      <c r="I154" s="54">
        <f>IF(B154="","",COUNTIF(D$6:D$205,"&gt;"&amp;D154)+COUNTIF(D$6:D154,D154))</f>
        <v/>
      </c>
    </row>
    <row r="155">
      <c r="A155" s="54" t="n">
        <v>150</v>
      </c>
      <c r="B155" s="43">
        <f>IFERROR(INDEX('Work Orders'!$B$11:$B$1010,MATCH(A155,'Work Orders'!$AP$11:$AP$1010,0)),"")</f>
        <v/>
      </c>
      <c r="C155" s="43">
        <f>IF(B155="","",COUNTIFS('Work Orders'!$B$11:$B$1010,B155,'Work Orders'!$A$11:$A$1010,"&lt;&gt;"))</f>
        <v/>
      </c>
      <c r="D155" s="44">
        <f>IF(B155="","",SUMIFS('Work Orders'!$Z$11:$Z$1010,'Work Orders'!$B$11:$B$1010,B155))</f>
        <v/>
      </c>
      <c r="E155" s="44">
        <f>IF(B155="","",SUMIFS('Work Orders'!$J$11:$J$1010,'Work Orders'!$B$11:$B$1010,B155))</f>
        <v/>
      </c>
      <c r="F155" s="44">
        <f>IF(B155="","",SUMIFS('Work Orders'!$AE$11:$AE$1010,'Work Orders'!$B$11:$B$1010,B155))</f>
        <v/>
      </c>
      <c r="G155" s="44">
        <f>IF(B155="","",SUMIFS('Work Orders'!$AH$11:$AH$1010,'Work Orders'!$B$11:$B$1010,B155))</f>
        <v/>
      </c>
      <c r="H155" s="44">
        <f>IF(B155="","",SUMIFS('Work Orders'!$AH$11:$AH$1010,'Work Orders'!$B$11:$B$1010,B155,'Work Orders'!$AM$11:$AM$1010,"&gt;0"))</f>
        <v/>
      </c>
      <c r="I155" s="54">
        <f>IF(B155="","",COUNTIF(D$6:D$205,"&gt;"&amp;D155)+COUNTIF(D$6:D155,D155))</f>
        <v/>
      </c>
    </row>
    <row r="156">
      <c r="A156" s="54" t="n">
        <v>151</v>
      </c>
      <c r="B156" s="43">
        <f>IFERROR(INDEX('Work Orders'!$B$11:$B$1010,MATCH(A156,'Work Orders'!$AP$11:$AP$1010,0)),"")</f>
        <v/>
      </c>
      <c r="C156" s="43">
        <f>IF(B156="","",COUNTIFS('Work Orders'!$B$11:$B$1010,B156,'Work Orders'!$A$11:$A$1010,"&lt;&gt;"))</f>
        <v/>
      </c>
      <c r="D156" s="44">
        <f>IF(B156="","",SUMIFS('Work Orders'!$Z$11:$Z$1010,'Work Orders'!$B$11:$B$1010,B156))</f>
        <v/>
      </c>
      <c r="E156" s="44">
        <f>IF(B156="","",SUMIFS('Work Orders'!$J$11:$J$1010,'Work Orders'!$B$11:$B$1010,B156))</f>
        <v/>
      </c>
      <c r="F156" s="44">
        <f>IF(B156="","",SUMIFS('Work Orders'!$AE$11:$AE$1010,'Work Orders'!$B$11:$B$1010,B156))</f>
        <v/>
      </c>
      <c r="G156" s="44">
        <f>IF(B156="","",SUMIFS('Work Orders'!$AH$11:$AH$1010,'Work Orders'!$B$11:$B$1010,B156))</f>
        <v/>
      </c>
      <c r="H156" s="44">
        <f>IF(B156="","",SUMIFS('Work Orders'!$AH$11:$AH$1010,'Work Orders'!$B$11:$B$1010,B156,'Work Orders'!$AM$11:$AM$1010,"&gt;0"))</f>
        <v/>
      </c>
      <c r="I156" s="54">
        <f>IF(B156="","",COUNTIF(D$6:D$205,"&gt;"&amp;D156)+COUNTIF(D$6:D156,D156))</f>
        <v/>
      </c>
    </row>
    <row r="157">
      <c r="A157" s="54" t="n">
        <v>152</v>
      </c>
      <c r="B157" s="43">
        <f>IFERROR(INDEX('Work Orders'!$B$11:$B$1010,MATCH(A157,'Work Orders'!$AP$11:$AP$1010,0)),"")</f>
        <v/>
      </c>
      <c r="C157" s="43">
        <f>IF(B157="","",COUNTIFS('Work Orders'!$B$11:$B$1010,B157,'Work Orders'!$A$11:$A$1010,"&lt;&gt;"))</f>
        <v/>
      </c>
      <c r="D157" s="44">
        <f>IF(B157="","",SUMIFS('Work Orders'!$Z$11:$Z$1010,'Work Orders'!$B$11:$B$1010,B157))</f>
        <v/>
      </c>
      <c r="E157" s="44">
        <f>IF(B157="","",SUMIFS('Work Orders'!$J$11:$J$1010,'Work Orders'!$B$11:$B$1010,B157))</f>
        <v/>
      </c>
      <c r="F157" s="44">
        <f>IF(B157="","",SUMIFS('Work Orders'!$AE$11:$AE$1010,'Work Orders'!$B$11:$B$1010,B157))</f>
        <v/>
      </c>
      <c r="G157" s="44">
        <f>IF(B157="","",SUMIFS('Work Orders'!$AH$11:$AH$1010,'Work Orders'!$B$11:$B$1010,B157))</f>
        <v/>
      </c>
      <c r="H157" s="44">
        <f>IF(B157="","",SUMIFS('Work Orders'!$AH$11:$AH$1010,'Work Orders'!$B$11:$B$1010,B157,'Work Orders'!$AM$11:$AM$1010,"&gt;0"))</f>
        <v/>
      </c>
      <c r="I157" s="54">
        <f>IF(B157="","",COUNTIF(D$6:D$205,"&gt;"&amp;D157)+COUNTIF(D$6:D157,D157))</f>
        <v/>
      </c>
    </row>
    <row r="158">
      <c r="A158" s="54" t="n">
        <v>153</v>
      </c>
      <c r="B158" s="43">
        <f>IFERROR(INDEX('Work Orders'!$B$11:$B$1010,MATCH(A158,'Work Orders'!$AP$11:$AP$1010,0)),"")</f>
        <v/>
      </c>
      <c r="C158" s="43">
        <f>IF(B158="","",COUNTIFS('Work Orders'!$B$11:$B$1010,B158,'Work Orders'!$A$11:$A$1010,"&lt;&gt;"))</f>
        <v/>
      </c>
      <c r="D158" s="44">
        <f>IF(B158="","",SUMIFS('Work Orders'!$Z$11:$Z$1010,'Work Orders'!$B$11:$B$1010,B158))</f>
        <v/>
      </c>
      <c r="E158" s="44">
        <f>IF(B158="","",SUMIFS('Work Orders'!$J$11:$J$1010,'Work Orders'!$B$11:$B$1010,B158))</f>
        <v/>
      </c>
      <c r="F158" s="44">
        <f>IF(B158="","",SUMIFS('Work Orders'!$AE$11:$AE$1010,'Work Orders'!$B$11:$B$1010,B158))</f>
        <v/>
      </c>
      <c r="G158" s="44">
        <f>IF(B158="","",SUMIFS('Work Orders'!$AH$11:$AH$1010,'Work Orders'!$B$11:$B$1010,B158))</f>
        <v/>
      </c>
      <c r="H158" s="44">
        <f>IF(B158="","",SUMIFS('Work Orders'!$AH$11:$AH$1010,'Work Orders'!$B$11:$B$1010,B158,'Work Orders'!$AM$11:$AM$1010,"&gt;0"))</f>
        <v/>
      </c>
      <c r="I158" s="54">
        <f>IF(B158="","",COUNTIF(D$6:D$205,"&gt;"&amp;D158)+COUNTIF(D$6:D158,D158))</f>
        <v/>
      </c>
    </row>
    <row r="159">
      <c r="A159" s="54" t="n">
        <v>154</v>
      </c>
      <c r="B159" s="43">
        <f>IFERROR(INDEX('Work Orders'!$B$11:$B$1010,MATCH(A159,'Work Orders'!$AP$11:$AP$1010,0)),"")</f>
        <v/>
      </c>
      <c r="C159" s="43">
        <f>IF(B159="","",COUNTIFS('Work Orders'!$B$11:$B$1010,B159,'Work Orders'!$A$11:$A$1010,"&lt;&gt;"))</f>
        <v/>
      </c>
      <c r="D159" s="44">
        <f>IF(B159="","",SUMIFS('Work Orders'!$Z$11:$Z$1010,'Work Orders'!$B$11:$B$1010,B159))</f>
        <v/>
      </c>
      <c r="E159" s="44">
        <f>IF(B159="","",SUMIFS('Work Orders'!$J$11:$J$1010,'Work Orders'!$B$11:$B$1010,B159))</f>
        <v/>
      </c>
      <c r="F159" s="44">
        <f>IF(B159="","",SUMIFS('Work Orders'!$AE$11:$AE$1010,'Work Orders'!$B$11:$B$1010,B159))</f>
        <v/>
      </c>
      <c r="G159" s="44">
        <f>IF(B159="","",SUMIFS('Work Orders'!$AH$11:$AH$1010,'Work Orders'!$B$11:$B$1010,B159))</f>
        <v/>
      </c>
      <c r="H159" s="44">
        <f>IF(B159="","",SUMIFS('Work Orders'!$AH$11:$AH$1010,'Work Orders'!$B$11:$B$1010,B159,'Work Orders'!$AM$11:$AM$1010,"&gt;0"))</f>
        <v/>
      </c>
      <c r="I159" s="54">
        <f>IF(B159="","",COUNTIF(D$6:D$205,"&gt;"&amp;D159)+COUNTIF(D$6:D159,D159))</f>
        <v/>
      </c>
    </row>
    <row r="160">
      <c r="A160" s="54" t="n">
        <v>155</v>
      </c>
      <c r="B160" s="43">
        <f>IFERROR(INDEX('Work Orders'!$B$11:$B$1010,MATCH(A160,'Work Orders'!$AP$11:$AP$1010,0)),"")</f>
        <v/>
      </c>
      <c r="C160" s="43">
        <f>IF(B160="","",COUNTIFS('Work Orders'!$B$11:$B$1010,B160,'Work Orders'!$A$11:$A$1010,"&lt;&gt;"))</f>
        <v/>
      </c>
      <c r="D160" s="44">
        <f>IF(B160="","",SUMIFS('Work Orders'!$Z$11:$Z$1010,'Work Orders'!$B$11:$B$1010,B160))</f>
        <v/>
      </c>
      <c r="E160" s="44">
        <f>IF(B160="","",SUMIFS('Work Orders'!$J$11:$J$1010,'Work Orders'!$B$11:$B$1010,B160))</f>
        <v/>
      </c>
      <c r="F160" s="44">
        <f>IF(B160="","",SUMIFS('Work Orders'!$AE$11:$AE$1010,'Work Orders'!$B$11:$B$1010,B160))</f>
        <v/>
      </c>
      <c r="G160" s="44">
        <f>IF(B160="","",SUMIFS('Work Orders'!$AH$11:$AH$1010,'Work Orders'!$B$11:$B$1010,B160))</f>
        <v/>
      </c>
      <c r="H160" s="44">
        <f>IF(B160="","",SUMIFS('Work Orders'!$AH$11:$AH$1010,'Work Orders'!$B$11:$B$1010,B160,'Work Orders'!$AM$11:$AM$1010,"&gt;0"))</f>
        <v/>
      </c>
      <c r="I160" s="54">
        <f>IF(B160="","",COUNTIF(D$6:D$205,"&gt;"&amp;D160)+COUNTIF(D$6:D160,D160))</f>
        <v/>
      </c>
    </row>
    <row r="161">
      <c r="A161" s="54" t="n">
        <v>156</v>
      </c>
      <c r="B161" s="43">
        <f>IFERROR(INDEX('Work Orders'!$B$11:$B$1010,MATCH(A161,'Work Orders'!$AP$11:$AP$1010,0)),"")</f>
        <v/>
      </c>
      <c r="C161" s="43">
        <f>IF(B161="","",COUNTIFS('Work Orders'!$B$11:$B$1010,B161,'Work Orders'!$A$11:$A$1010,"&lt;&gt;"))</f>
        <v/>
      </c>
      <c r="D161" s="44">
        <f>IF(B161="","",SUMIFS('Work Orders'!$Z$11:$Z$1010,'Work Orders'!$B$11:$B$1010,B161))</f>
        <v/>
      </c>
      <c r="E161" s="44">
        <f>IF(B161="","",SUMIFS('Work Orders'!$J$11:$J$1010,'Work Orders'!$B$11:$B$1010,B161))</f>
        <v/>
      </c>
      <c r="F161" s="44">
        <f>IF(B161="","",SUMIFS('Work Orders'!$AE$11:$AE$1010,'Work Orders'!$B$11:$B$1010,B161))</f>
        <v/>
      </c>
      <c r="G161" s="44">
        <f>IF(B161="","",SUMIFS('Work Orders'!$AH$11:$AH$1010,'Work Orders'!$B$11:$B$1010,B161))</f>
        <v/>
      </c>
      <c r="H161" s="44">
        <f>IF(B161="","",SUMIFS('Work Orders'!$AH$11:$AH$1010,'Work Orders'!$B$11:$B$1010,B161,'Work Orders'!$AM$11:$AM$1010,"&gt;0"))</f>
        <v/>
      </c>
      <c r="I161" s="54">
        <f>IF(B161="","",COUNTIF(D$6:D$205,"&gt;"&amp;D161)+COUNTIF(D$6:D161,D161))</f>
        <v/>
      </c>
    </row>
    <row r="162">
      <c r="A162" s="54" t="n">
        <v>157</v>
      </c>
      <c r="B162" s="43">
        <f>IFERROR(INDEX('Work Orders'!$B$11:$B$1010,MATCH(A162,'Work Orders'!$AP$11:$AP$1010,0)),"")</f>
        <v/>
      </c>
      <c r="C162" s="43">
        <f>IF(B162="","",COUNTIFS('Work Orders'!$B$11:$B$1010,B162,'Work Orders'!$A$11:$A$1010,"&lt;&gt;"))</f>
        <v/>
      </c>
      <c r="D162" s="44">
        <f>IF(B162="","",SUMIFS('Work Orders'!$Z$11:$Z$1010,'Work Orders'!$B$11:$B$1010,B162))</f>
        <v/>
      </c>
      <c r="E162" s="44">
        <f>IF(B162="","",SUMIFS('Work Orders'!$J$11:$J$1010,'Work Orders'!$B$11:$B$1010,B162))</f>
        <v/>
      </c>
      <c r="F162" s="44">
        <f>IF(B162="","",SUMIFS('Work Orders'!$AE$11:$AE$1010,'Work Orders'!$B$11:$B$1010,B162))</f>
        <v/>
      </c>
      <c r="G162" s="44">
        <f>IF(B162="","",SUMIFS('Work Orders'!$AH$11:$AH$1010,'Work Orders'!$B$11:$B$1010,B162))</f>
        <v/>
      </c>
      <c r="H162" s="44">
        <f>IF(B162="","",SUMIFS('Work Orders'!$AH$11:$AH$1010,'Work Orders'!$B$11:$B$1010,B162,'Work Orders'!$AM$11:$AM$1010,"&gt;0"))</f>
        <v/>
      </c>
      <c r="I162" s="54">
        <f>IF(B162="","",COUNTIF(D$6:D$205,"&gt;"&amp;D162)+COUNTIF(D$6:D162,D162))</f>
        <v/>
      </c>
    </row>
    <row r="163">
      <c r="A163" s="54" t="n">
        <v>158</v>
      </c>
      <c r="B163" s="43">
        <f>IFERROR(INDEX('Work Orders'!$B$11:$B$1010,MATCH(A163,'Work Orders'!$AP$11:$AP$1010,0)),"")</f>
        <v/>
      </c>
      <c r="C163" s="43">
        <f>IF(B163="","",COUNTIFS('Work Orders'!$B$11:$B$1010,B163,'Work Orders'!$A$11:$A$1010,"&lt;&gt;"))</f>
        <v/>
      </c>
      <c r="D163" s="44">
        <f>IF(B163="","",SUMIFS('Work Orders'!$Z$11:$Z$1010,'Work Orders'!$B$11:$B$1010,B163))</f>
        <v/>
      </c>
      <c r="E163" s="44">
        <f>IF(B163="","",SUMIFS('Work Orders'!$J$11:$J$1010,'Work Orders'!$B$11:$B$1010,B163))</f>
        <v/>
      </c>
      <c r="F163" s="44">
        <f>IF(B163="","",SUMIFS('Work Orders'!$AE$11:$AE$1010,'Work Orders'!$B$11:$B$1010,B163))</f>
        <v/>
      </c>
      <c r="G163" s="44">
        <f>IF(B163="","",SUMIFS('Work Orders'!$AH$11:$AH$1010,'Work Orders'!$B$11:$B$1010,B163))</f>
        <v/>
      </c>
      <c r="H163" s="44">
        <f>IF(B163="","",SUMIFS('Work Orders'!$AH$11:$AH$1010,'Work Orders'!$B$11:$B$1010,B163,'Work Orders'!$AM$11:$AM$1010,"&gt;0"))</f>
        <v/>
      </c>
      <c r="I163" s="54">
        <f>IF(B163="","",COUNTIF(D$6:D$205,"&gt;"&amp;D163)+COUNTIF(D$6:D163,D163))</f>
        <v/>
      </c>
    </row>
    <row r="164">
      <c r="A164" s="54" t="n">
        <v>159</v>
      </c>
      <c r="B164" s="43">
        <f>IFERROR(INDEX('Work Orders'!$B$11:$B$1010,MATCH(A164,'Work Orders'!$AP$11:$AP$1010,0)),"")</f>
        <v/>
      </c>
      <c r="C164" s="43">
        <f>IF(B164="","",COUNTIFS('Work Orders'!$B$11:$B$1010,B164,'Work Orders'!$A$11:$A$1010,"&lt;&gt;"))</f>
        <v/>
      </c>
      <c r="D164" s="44">
        <f>IF(B164="","",SUMIFS('Work Orders'!$Z$11:$Z$1010,'Work Orders'!$B$11:$B$1010,B164))</f>
        <v/>
      </c>
      <c r="E164" s="44">
        <f>IF(B164="","",SUMIFS('Work Orders'!$J$11:$J$1010,'Work Orders'!$B$11:$B$1010,B164))</f>
        <v/>
      </c>
      <c r="F164" s="44">
        <f>IF(B164="","",SUMIFS('Work Orders'!$AE$11:$AE$1010,'Work Orders'!$B$11:$B$1010,B164))</f>
        <v/>
      </c>
      <c r="G164" s="44">
        <f>IF(B164="","",SUMIFS('Work Orders'!$AH$11:$AH$1010,'Work Orders'!$B$11:$B$1010,B164))</f>
        <v/>
      </c>
      <c r="H164" s="44">
        <f>IF(B164="","",SUMIFS('Work Orders'!$AH$11:$AH$1010,'Work Orders'!$B$11:$B$1010,B164,'Work Orders'!$AM$11:$AM$1010,"&gt;0"))</f>
        <v/>
      </c>
      <c r="I164" s="54">
        <f>IF(B164="","",COUNTIF(D$6:D$205,"&gt;"&amp;D164)+COUNTIF(D$6:D164,D164))</f>
        <v/>
      </c>
    </row>
    <row r="165">
      <c r="A165" s="54" t="n">
        <v>160</v>
      </c>
      <c r="B165" s="43">
        <f>IFERROR(INDEX('Work Orders'!$B$11:$B$1010,MATCH(A165,'Work Orders'!$AP$11:$AP$1010,0)),"")</f>
        <v/>
      </c>
      <c r="C165" s="43">
        <f>IF(B165="","",COUNTIFS('Work Orders'!$B$11:$B$1010,B165,'Work Orders'!$A$11:$A$1010,"&lt;&gt;"))</f>
        <v/>
      </c>
      <c r="D165" s="44">
        <f>IF(B165="","",SUMIFS('Work Orders'!$Z$11:$Z$1010,'Work Orders'!$B$11:$B$1010,B165))</f>
        <v/>
      </c>
      <c r="E165" s="44">
        <f>IF(B165="","",SUMIFS('Work Orders'!$J$11:$J$1010,'Work Orders'!$B$11:$B$1010,B165))</f>
        <v/>
      </c>
      <c r="F165" s="44">
        <f>IF(B165="","",SUMIFS('Work Orders'!$AE$11:$AE$1010,'Work Orders'!$B$11:$B$1010,B165))</f>
        <v/>
      </c>
      <c r="G165" s="44">
        <f>IF(B165="","",SUMIFS('Work Orders'!$AH$11:$AH$1010,'Work Orders'!$B$11:$B$1010,B165))</f>
        <v/>
      </c>
      <c r="H165" s="44">
        <f>IF(B165="","",SUMIFS('Work Orders'!$AH$11:$AH$1010,'Work Orders'!$B$11:$B$1010,B165,'Work Orders'!$AM$11:$AM$1010,"&gt;0"))</f>
        <v/>
      </c>
      <c r="I165" s="54">
        <f>IF(B165="","",COUNTIF(D$6:D$205,"&gt;"&amp;D165)+COUNTIF(D$6:D165,D165))</f>
        <v/>
      </c>
    </row>
    <row r="166">
      <c r="A166" s="54" t="n">
        <v>161</v>
      </c>
      <c r="B166" s="43">
        <f>IFERROR(INDEX('Work Orders'!$B$11:$B$1010,MATCH(A166,'Work Orders'!$AP$11:$AP$1010,0)),"")</f>
        <v/>
      </c>
      <c r="C166" s="43">
        <f>IF(B166="","",COUNTIFS('Work Orders'!$B$11:$B$1010,B166,'Work Orders'!$A$11:$A$1010,"&lt;&gt;"))</f>
        <v/>
      </c>
      <c r="D166" s="44">
        <f>IF(B166="","",SUMIFS('Work Orders'!$Z$11:$Z$1010,'Work Orders'!$B$11:$B$1010,B166))</f>
        <v/>
      </c>
      <c r="E166" s="44">
        <f>IF(B166="","",SUMIFS('Work Orders'!$J$11:$J$1010,'Work Orders'!$B$11:$B$1010,B166))</f>
        <v/>
      </c>
      <c r="F166" s="44">
        <f>IF(B166="","",SUMIFS('Work Orders'!$AE$11:$AE$1010,'Work Orders'!$B$11:$B$1010,B166))</f>
        <v/>
      </c>
      <c r="G166" s="44">
        <f>IF(B166="","",SUMIFS('Work Orders'!$AH$11:$AH$1010,'Work Orders'!$B$11:$B$1010,B166))</f>
        <v/>
      </c>
      <c r="H166" s="44">
        <f>IF(B166="","",SUMIFS('Work Orders'!$AH$11:$AH$1010,'Work Orders'!$B$11:$B$1010,B166,'Work Orders'!$AM$11:$AM$1010,"&gt;0"))</f>
        <v/>
      </c>
      <c r="I166" s="54">
        <f>IF(B166="","",COUNTIF(D$6:D$205,"&gt;"&amp;D166)+COUNTIF(D$6:D166,D166))</f>
        <v/>
      </c>
    </row>
    <row r="167">
      <c r="A167" s="54" t="n">
        <v>162</v>
      </c>
      <c r="B167" s="43">
        <f>IFERROR(INDEX('Work Orders'!$B$11:$B$1010,MATCH(A167,'Work Orders'!$AP$11:$AP$1010,0)),"")</f>
        <v/>
      </c>
      <c r="C167" s="43">
        <f>IF(B167="","",COUNTIFS('Work Orders'!$B$11:$B$1010,B167,'Work Orders'!$A$11:$A$1010,"&lt;&gt;"))</f>
        <v/>
      </c>
      <c r="D167" s="44">
        <f>IF(B167="","",SUMIFS('Work Orders'!$Z$11:$Z$1010,'Work Orders'!$B$11:$B$1010,B167))</f>
        <v/>
      </c>
      <c r="E167" s="44">
        <f>IF(B167="","",SUMIFS('Work Orders'!$J$11:$J$1010,'Work Orders'!$B$11:$B$1010,B167))</f>
        <v/>
      </c>
      <c r="F167" s="44">
        <f>IF(B167="","",SUMIFS('Work Orders'!$AE$11:$AE$1010,'Work Orders'!$B$11:$B$1010,B167))</f>
        <v/>
      </c>
      <c r="G167" s="44">
        <f>IF(B167="","",SUMIFS('Work Orders'!$AH$11:$AH$1010,'Work Orders'!$B$11:$B$1010,B167))</f>
        <v/>
      </c>
      <c r="H167" s="44">
        <f>IF(B167="","",SUMIFS('Work Orders'!$AH$11:$AH$1010,'Work Orders'!$B$11:$B$1010,B167,'Work Orders'!$AM$11:$AM$1010,"&gt;0"))</f>
        <v/>
      </c>
      <c r="I167" s="54">
        <f>IF(B167="","",COUNTIF(D$6:D$205,"&gt;"&amp;D167)+COUNTIF(D$6:D167,D167))</f>
        <v/>
      </c>
    </row>
    <row r="168">
      <c r="A168" s="54" t="n">
        <v>163</v>
      </c>
      <c r="B168" s="43">
        <f>IFERROR(INDEX('Work Orders'!$B$11:$B$1010,MATCH(A168,'Work Orders'!$AP$11:$AP$1010,0)),"")</f>
        <v/>
      </c>
      <c r="C168" s="43">
        <f>IF(B168="","",COUNTIFS('Work Orders'!$B$11:$B$1010,B168,'Work Orders'!$A$11:$A$1010,"&lt;&gt;"))</f>
        <v/>
      </c>
      <c r="D168" s="44">
        <f>IF(B168="","",SUMIFS('Work Orders'!$Z$11:$Z$1010,'Work Orders'!$B$11:$B$1010,B168))</f>
        <v/>
      </c>
      <c r="E168" s="44">
        <f>IF(B168="","",SUMIFS('Work Orders'!$J$11:$J$1010,'Work Orders'!$B$11:$B$1010,B168))</f>
        <v/>
      </c>
      <c r="F168" s="44">
        <f>IF(B168="","",SUMIFS('Work Orders'!$AE$11:$AE$1010,'Work Orders'!$B$11:$B$1010,B168))</f>
        <v/>
      </c>
      <c r="G168" s="44">
        <f>IF(B168="","",SUMIFS('Work Orders'!$AH$11:$AH$1010,'Work Orders'!$B$11:$B$1010,B168))</f>
        <v/>
      </c>
      <c r="H168" s="44">
        <f>IF(B168="","",SUMIFS('Work Orders'!$AH$11:$AH$1010,'Work Orders'!$B$11:$B$1010,B168,'Work Orders'!$AM$11:$AM$1010,"&gt;0"))</f>
        <v/>
      </c>
      <c r="I168" s="54">
        <f>IF(B168="","",COUNTIF(D$6:D$205,"&gt;"&amp;D168)+COUNTIF(D$6:D168,D168))</f>
        <v/>
      </c>
    </row>
    <row r="169">
      <c r="A169" s="54" t="n">
        <v>164</v>
      </c>
      <c r="B169" s="43">
        <f>IFERROR(INDEX('Work Orders'!$B$11:$B$1010,MATCH(A169,'Work Orders'!$AP$11:$AP$1010,0)),"")</f>
        <v/>
      </c>
      <c r="C169" s="43">
        <f>IF(B169="","",COUNTIFS('Work Orders'!$B$11:$B$1010,B169,'Work Orders'!$A$11:$A$1010,"&lt;&gt;"))</f>
        <v/>
      </c>
      <c r="D169" s="44">
        <f>IF(B169="","",SUMIFS('Work Orders'!$Z$11:$Z$1010,'Work Orders'!$B$11:$B$1010,B169))</f>
        <v/>
      </c>
      <c r="E169" s="44">
        <f>IF(B169="","",SUMIFS('Work Orders'!$J$11:$J$1010,'Work Orders'!$B$11:$B$1010,B169))</f>
        <v/>
      </c>
      <c r="F169" s="44">
        <f>IF(B169="","",SUMIFS('Work Orders'!$AE$11:$AE$1010,'Work Orders'!$B$11:$B$1010,B169))</f>
        <v/>
      </c>
      <c r="G169" s="44">
        <f>IF(B169="","",SUMIFS('Work Orders'!$AH$11:$AH$1010,'Work Orders'!$B$11:$B$1010,B169))</f>
        <v/>
      </c>
      <c r="H169" s="44">
        <f>IF(B169="","",SUMIFS('Work Orders'!$AH$11:$AH$1010,'Work Orders'!$B$11:$B$1010,B169,'Work Orders'!$AM$11:$AM$1010,"&gt;0"))</f>
        <v/>
      </c>
      <c r="I169" s="54">
        <f>IF(B169="","",COUNTIF(D$6:D$205,"&gt;"&amp;D169)+COUNTIF(D$6:D169,D169))</f>
        <v/>
      </c>
    </row>
    <row r="170">
      <c r="A170" s="54" t="n">
        <v>165</v>
      </c>
      <c r="B170" s="43">
        <f>IFERROR(INDEX('Work Orders'!$B$11:$B$1010,MATCH(A170,'Work Orders'!$AP$11:$AP$1010,0)),"")</f>
        <v/>
      </c>
      <c r="C170" s="43">
        <f>IF(B170="","",COUNTIFS('Work Orders'!$B$11:$B$1010,B170,'Work Orders'!$A$11:$A$1010,"&lt;&gt;"))</f>
        <v/>
      </c>
      <c r="D170" s="44">
        <f>IF(B170="","",SUMIFS('Work Orders'!$Z$11:$Z$1010,'Work Orders'!$B$11:$B$1010,B170))</f>
        <v/>
      </c>
      <c r="E170" s="44">
        <f>IF(B170="","",SUMIFS('Work Orders'!$J$11:$J$1010,'Work Orders'!$B$11:$B$1010,B170))</f>
        <v/>
      </c>
      <c r="F170" s="44">
        <f>IF(B170="","",SUMIFS('Work Orders'!$AE$11:$AE$1010,'Work Orders'!$B$11:$B$1010,B170))</f>
        <v/>
      </c>
      <c r="G170" s="44">
        <f>IF(B170="","",SUMIFS('Work Orders'!$AH$11:$AH$1010,'Work Orders'!$B$11:$B$1010,B170))</f>
        <v/>
      </c>
      <c r="H170" s="44">
        <f>IF(B170="","",SUMIFS('Work Orders'!$AH$11:$AH$1010,'Work Orders'!$B$11:$B$1010,B170,'Work Orders'!$AM$11:$AM$1010,"&gt;0"))</f>
        <v/>
      </c>
      <c r="I170" s="54">
        <f>IF(B170="","",COUNTIF(D$6:D$205,"&gt;"&amp;D170)+COUNTIF(D$6:D170,D170))</f>
        <v/>
      </c>
    </row>
    <row r="171">
      <c r="A171" s="54" t="n">
        <v>166</v>
      </c>
      <c r="B171" s="43">
        <f>IFERROR(INDEX('Work Orders'!$B$11:$B$1010,MATCH(A171,'Work Orders'!$AP$11:$AP$1010,0)),"")</f>
        <v/>
      </c>
      <c r="C171" s="43">
        <f>IF(B171="","",COUNTIFS('Work Orders'!$B$11:$B$1010,B171,'Work Orders'!$A$11:$A$1010,"&lt;&gt;"))</f>
        <v/>
      </c>
      <c r="D171" s="44">
        <f>IF(B171="","",SUMIFS('Work Orders'!$Z$11:$Z$1010,'Work Orders'!$B$11:$B$1010,B171))</f>
        <v/>
      </c>
      <c r="E171" s="44">
        <f>IF(B171="","",SUMIFS('Work Orders'!$J$11:$J$1010,'Work Orders'!$B$11:$B$1010,B171))</f>
        <v/>
      </c>
      <c r="F171" s="44">
        <f>IF(B171="","",SUMIFS('Work Orders'!$AE$11:$AE$1010,'Work Orders'!$B$11:$B$1010,B171))</f>
        <v/>
      </c>
      <c r="G171" s="44">
        <f>IF(B171="","",SUMIFS('Work Orders'!$AH$11:$AH$1010,'Work Orders'!$B$11:$B$1010,B171))</f>
        <v/>
      </c>
      <c r="H171" s="44">
        <f>IF(B171="","",SUMIFS('Work Orders'!$AH$11:$AH$1010,'Work Orders'!$B$11:$B$1010,B171,'Work Orders'!$AM$11:$AM$1010,"&gt;0"))</f>
        <v/>
      </c>
      <c r="I171" s="54">
        <f>IF(B171="","",COUNTIF(D$6:D$205,"&gt;"&amp;D171)+COUNTIF(D$6:D171,D171))</f>
        <v/>
      </c>
    </row>
    <row r="172">
      <c r="A172" s="54" t="n">
        <v>167</v>
      </c>
      <c r="B172" s="43">
        <f>IFERROR(INDEX('Work Orders'!$B$11:$B$1010,MATCH(A172,'Work Orders'!$AP$11:$AP$1010,0)),"")</f>
        <v/>
      </c>
      <c r="C172" s="43">
        <f>IF(B172="","",COUNTIFS('Work Orders'!$B$11:$B$1010,B172,'Work Orders'!$A$11:$A$1010,"&lt;&gt;"))</f>
        <v/>
      </c>
      <c r="D172" s="44">
        <f>IF(B172="","",SUMIFS('Work Orders'!$Z$11:$Z$1010,'Work Orders'!$B$11:$B$1010,B172))</f>
        <v/>
      </c>
      <c r="E172" s="44">
        <f>IF(B172="","",SUMIFS('Work Orders'!$J$11:$J$1010,'Work Orders'!$B$11:$B$1010,B172))</f>
        <v/>
      </c>
      <c r="F172" s="44">
        <f>IF(B172="","",SUMIFS('Work Orders'!$AE$11:$AE$1010,'Work Orders'!$B$11:$B$1010,B172))</f>
        <v/>
      </c>
      <c r="G172" s="44">
        <f>IF(B172="","",SUMIFS('Work Orders'!$AH$11:$AH$1010,'Work Orders'!$B$11:$B$1010,B172))</f>
        <v/>
      </c>
      <c r="H172" s="44">
        <f>IF(B172="","",SUMIFS('Work Orders'!$AH$11:$AH$1010,'Work Orders'!$B$11:$B$1010,B172,'Work Orders'!$AM$11:$AM$1010,"&gt;0"))</f>
        <v/>
      </c>
      <c r="I172" s="54">
        <f>IF(B172="","",COUNTIF(D$6:D$205,"&gt;"&amp;D172)+COUNTIF(D$6:D172,D172))</f>
        <v/>
      </c>
    </row>
    <row r="173">
      <c r="A173" s="54" t="n">
        <v>168</v>
      </c>
      <c r="B173" s="43">
        <f>IFERROR(INDEX('Work Orders'!$B$11:$B$1010,MATCH(A173,'Work Orders'!$AP$11:$AP$1010,0)),"")</f>
        <v/>
      </c>
      <c r="C173" s="43">
        <f>IF(B173="","",COUNTIFS('Work Orders'!$B$11:$B$1010,B173,'Work Orders'!$A$11:$A$1010,"&lt;&gt;"))</f>
        <v/>
      </c>
      <c r="D173" s="44">
        <f>IF(B173="","",SUMIFS('Work Orders'!$Z$11:$Z$1010,'Work Orders'!$B$11:$B$1010,B173))</f>
        <v/>
      </c>
      <c r="E173" s="44">
        <f>IF(B173="","",SUMIFS('Work Orders'!$J$11:$J$1010,'Work Orders'!$B$11:$B$1010,B173))</f>
        <v/>
      </c>
      <c r="F173" s="44">
        <f>IF(B173="","",SUMIFS('Work Orders'!$AE$11:$AE$1010,'Work Orders'!$B$11:$B$1010,B173))</f>
        <v/>
      </c>
      <c r="G173" s="44">
        <f>IF(B173="","",SUMIFS('Work Orders'!$AH$11:$AH$1010,'Work Orders'!$B$11:$B$1010,B173))</f>
        <v/>
      </c>
      <c r="H173" s="44">
        <f>IF(B173="","",SUMIFS('Work Orders'!$AH$11:$AH$1010,'Work Orders'!$B$11:$B$1010,B173,'Work Orders'!$AM$11:$AM$1010,"&gt;0"))</f>
        <v/>
      </c>
      <c r="I173" s="54">
        <f>IF(B173="","",COUNTIF(D$6:D$205,"&gt;"&amp;D173)+COUNTIF(D$6:D173,D173))</f>
        <v/>
      </c>
    </row>
    <row r="174">
      <c r="A174" s="54" t="n">
        <v>169</v>
      </c>
      <c r="B174" s="43">
        <f>IFERROR(INDEX('Work Orders'!$B$11:$B$1010,MATCH(A174,'Work Orders'!$AP$11:$AP$1010,0)),"")</f>
        <v/>
      </c>
      <c r="C174" s="43">
        <f>IF(B174="","",COUNTIFS('Work Orders'!$B$11:$B$1010,B174,'Work Orders'!$A$11:$A$1010,"&lt;&gt;"))</f>
        <v/>
      </c>
      <c r="D174" s="44">
        <f>IF(B174="","",SUMIFS('Work Orders'!$Z$11:$Z$1010,'Work Orders'!$B$11:$B$1010,B174))</f>
        <v/>
      </c>
      <c r="E174" s="44">
        <f>IF(B174="","",SUMIFS('Work Orders'!$J$11:$J$1010,'Work Orders'!$B$11:$B$1010,B174))</f>
        <v/>
      </c>
      <c r="F174" s="44">
        <f>IF(B174="","",SUMIFS('Work Orders'!$AE$11:$AE$1010,'Work Orders'!$B$11:$B$1010,B174))</f>
        <v/>
      </c>
      <c r="G174" s="44">
        <f>IF(B174="","",SUMIFS('Work Orders'!$AH$11:$AH$1010,'Work Orders'!$B$11:$B$1010,B174))</f>
        <v/>
      </c>
      <c r="H174" s="44">
        <f>IF(B174="","",SUMIFS('Work Orders'!$AH$11:$AH$1010,'Work Orders'!$B$11:$B$1010,B174,'Work Orders'!$AM$11:$AM$1010,"&gt;0"))</f>
        <v/>
      </c>
      <c r="I174" s="54">
        <f>IF(B174="","",COUNTIF(D$6:D$205,"&gt;"&amp;D174)+COUNTIF(D$6:D174,D174))</f>
        <v/>
      </c>
    </row>
    <row r="175">
      <c r="A175" s="54" t="n">
        <v>170</v>
      </c>
      <c r="B175" s="43">
        <f>IFERROR(INDEX('Work Orders'!$B$11:$B$1010,MATCH(A175,'Work Orders'!$AP$11:$AP$1010,0)),"")</f>
        <v/>
      </c>
      <c r="C175" s="43">
        <f>IF(B175="","",COUNTIFS('Work Orders'!$B$11:$B$1010,B175,'Work Orders'!$A$11:$A$1010,"&lt;&gt;"))</f>
        <v/>
      </c>
      <c r="D175" s="44">
        <f>IF(B175="","",SUMIFS('Work Orders'!$Z$11:$Z$1010,'Work Orders'!$B$11:$B$1010,B175))</f>
        <v/>
      </c>
      <c r="E175" s="44">
        <f>IF(B175="","",SUMIFS('Work Orders'!$J$11:$J$1010,'Work Orders'!$B$11:$B$1010,B175))</f>
        <v/>
      </c>
      <c r="F175" s="44">
        <f>IF(B175="","",SUMIFS('Work Orders'!$AE$11:$AE$1010,'Work Orders'!$B$11:$B$1010,B175))</f>
        <v/>
      </c>
      <c r="G175" s="44">
        <f>IF(B175="","",SUMIFS('Work Orders'!$AH$11:$AH$1010,'Work Orders'!$B$11:$B$1010,B175))</f>
        <v/>
      </c>
      <c r="H175" s="44">
        <f>IF(B175="","",SUMIFS('Work Orders'!$AH$11:$AH$1010,'Work Orders'!$B$11:$B$1010,B175,'Work Orders'!$AM$11:$AM$1010,"&gt;0"))</f>
        <v/>
      </c>
      <c r="I175" s="54">
        <f>IF(B175="","",COUNTIF(D$6:D$205,"&gt;"&amp;D175)+COUNTIF(D$6:D175,D175))</f>
        <v/>
      </c>
    </row>
    <row r="176">
      <c r="A176" s="54" t="n">
        <v>171</v>
      </c>
      <c r="B176" s="43">
        <f>IFERROR(INDEX('Work Orders'!$B$11:$B$1010,MATCH(A176,'Work Orders'!$AP$11:$AP$1010,0)),"")</f>
        <v/>
      </c>
      <c r="C176" s="43">
        <f>IF(B176="","",COUNTIFS('Work Orders'!$B$11:$B$1010,B176,'Work Orders'!$A$11:$A$1010,"&lt;&gt;"))</f>
        <v/>
      </c>
      <c r="D176" s="44">
        <f>IF(B176="","",SUMIFS('Work Orders'!$Z$11:$Z$1010,'Work Orders'!$B$11:$B$1010,B176))</f>
        <v/>
      </c>
      <c r="E176" s="44">
        <f>IF(B176="","",SUMIFS('Work Orders'!$J$11:$J$1010,'Work Orders'!$B$11:$B$1010,B176))</f>
        <v/>
      </c>
      <c r="F176" s="44">
        <f>IF(B176="","",SUMIFS('Work Orders'!$AE$11:$AE$1010,'Work Orders'!$B$11:$B$1010,B176))</f>
        <v/>
      </c>
      <c r="G176" s="44">
        <f>IF(B176="","",SUMIFS('Work Orders'!$AH$11:$AH$1010,'Work Orders'!$B$11:$B$1010,B176))</f>
        <v/>
      </c>
      <c r="H176" s="44">
        <f>IF(B176="","",SUMIFS('Work Orders'!$AH$11:$AH$1010,'Work Orders'!$B$11:$B$1010,B176,'Work Orders'!$AM$11:$AM$1010,"&gt;0"))</f>
        <v/>
      </c>
      <c r="I176" s="54">
        <f>IF(B176="","",COUNTIF(D$6:D$205,"&gt;"&amp;D176)+COUNTIF(D$6:D176,D176))</f>
        <v/>
      </c>
    </row>
    <row r="177">
      <c r="A177" s="54" t="n">
        <v>172</v>
      </c>
      <c r="B177" s="43">
        <f>IFERROR(INDEX('Work Orders'!$B$11:$B$1010,MATCH(A177,'Work Orders'!$AP$11:$AP$1010,0)),"")</f>
        <v/>
      </c>
      <c r="C177" s="43">
        <f>IF(B177="","",COUNTIFS('Work Orders'!$B$11:$B$1010,B177,'Work Orders'!$A$11:$A$1010,"&lt;&gt;"))</f>
        <v/>
      </c>
      <c r="D177" s="44">
        <f>IF(B177="","",SUMIFS('Work Orders'!$Z$11:$Z$1010,'Work Orders'!$B$11:$B$1010,B177))</f>
        <v/>
      </c>
      <c r="E177" s="44">
        <f>IF(B177="","",SUMIFS('Work Orders'!$J$11:$J$1010,'Work Orders'!$B$11:$B$1010,B177))</f>
        <v/>
      </c>
      <c r="F177" s="44">
        <f>IF(B177="","",SUMIFS('Work Orders'!$AE$11:$AE$1010,'Work Orders'!$B$11:$B$1010,B177))</f>
        <v/>
      </c>
      <c r="G177" s="44">
        <f>IF(B177="","",SUMIFS('Work Orders'!$AH$11:$AH$1010,'Work Orders'!$B$11:$B$1010,B177))</f>
        <v/>
      </c>
      <c r="H177" s="44">
        <f>IF(B177="","",SUMIFS('Work Orders'!$AH$11:$AH$1010,'Work Orders'!$B$11:$B$1010,B177,'Work Orders'!$AM$11:$AM$1010,"&gt;0"))</f>
        <v/>
      </c>
      <c r="I177" s="54">
        <f>IF(B177="","",COUNTIF(D$6:D$205,"&gt;"&amp;D177)+COUNTIF(D$6:D177,D177))</f>
        <v/>
      </c>
    </row>
    <row r="178">
      <c r="A178" s="54" t="n">
        <v>173</v>
      </c>
      <c r="B178" s="43">
        <f>IFERROR(INDEX('Work Orders'!$B$11:$B$1010,MATCH(A178,'Work Orders'!$AP$11:$AP$1010,0)),"")</f>
        <v/>
      </c>
      <c r="C178" s="43">
        <f>IF(B178="","",COUNTIFS('Work Orders'!$B$11:$B$1010,B178,'Work Orders'!$A$11:$A$1010,"&lt;&gt;"))</f>
        <v/>
      </c>
      <c r="D178" s="44">
        <f>IF(B178="","",SUMIFS('Work Orders'!$Z$11:$Z$1010,'Work Orders'!$B$11:$B$1010,B178))</f>
        <v/>
      </c>
      <c r="E178" s="44">
        <f>IF(B178="","",SUMIFS('Work Orders'!$J$11:$J$1010,'Work Orders'!$B$11:$B$1010,B178))</f>
        <v/>
      </c>
      <c r="F178" s="44">
        <f>IF(B178="","",SUMIFS('Work Orders'!$AE$11:$AE$1010,'Work Orders'!$B$11:$B$1010,B178))</f>
        <v/>
      </c>
      <c r="G178" s="44">
        <f>IF(B178="","",SUMIFS('Work Orders'!$AH$11:$AH$1010,'Work Orders'!$B$11:$B$1010,B178))</f>
        <v/>
      </c>
      <c r="H178" s="44">
        <f>IF(B178="","",SUMIFS('Work Orders'!$AH$11:$AH$1010,'Work Orders'!$B$11:$B$1010,B178,'Work Orders'!$AM$11:$AM$1010,"&gt;0"))</f>
        <v/>
      </c>
      <c r="I178" s="54">
        <f>IF(B178="","",COUNTIF(D$6:D$205,"&gt;"&amp;D178)+COUNTIF(D$6:D178,D178))</f>
        <v/>
      </c>
    </row>
    <row r="179">
      <c r="A179" s="54" t="n">
        <v>174</v>
      </c>
      <c r="B179" s="43">
        <f>IFERROR(INDEX('Work Orders'!$B$11:$B$1010,MATCH(A179,'Work Orders'!$AP$11:$AP$1010,0)),"")</f>
        <v/>
      </c>
      <c r="C179" s="43">
        <f>IF(B179="","",COUNTIFS('Work Orders'!$B$11:$B$1010,B179,'Work Orders'!$A$11:$A$1010,"&lt;&gt;"))</f>
        <v/>
      </c>
      <c r="D179" s="44">
        <f>IF(B179="","",SUMIFS('Work Orders'!$Z$11:$Z$1010,'Work Orders'!$B$11:$B$1010,B179))</f>
        <v/>
      </c>
      <c r="E179" s="44">
        <f>IF(B179="","",SUMIFS('Work Orders'!$J$11:$J$1010,'Work Orders'!$B$11:$B$1010,B179))</f>
        <v/>
      </c>
      <c r="F179" s="44">
        <f>IF(B179="","",SUMIFS('Work Orders'!$AE$11:$AE$1010,'Work Orders'!$B$11:$B$1010,B179))</f>
        <v/>
      </c>
      <c r="G179" s="44">
        <f>IF(B179="","",SUMIFS('Work Orders'!$AH$11:$AH$1010,'Work Orders'!$B$11:$B$1010,B179))</f>
        <v/>
      </c>
      <c r="H179" s="44">
        <f>IF(B179="","",SUMIFS('Work Orders'!$AH$11:$AH$1010,'Work Orders'!$B$11:$B$1010,B179,'Work Orders'!$AM$11:$AM$1010,"&gt;0"))</f>
        <v/>
      </c>
      <c r="I179" s="54">
        <f>IF(B179="","",COUNTIF(D$6:D$205,"&gt;"&amp;D179)+COUNTIF(D$6:D179,D179))</f>
        <v/>
      </c>
    </row>
    <row r="180">
      <c r="A180" s="54" t="n">
        <v>175</v>
      </c>
      <c r="B180" s="43">
        <f>IFERROR(INDEX('Work Orders'!$B$11:$B$1010,MATCH(A180,'Work Orders'!$AP$11:$AP$1010,0)),"")</f>
        <v/>
      </c>
      <c r="C180" s="43">
        <f>IF(B180="","",COUNTIFS('Work Orders'!$B$11:$B$1010,B180,'Work Orders'!$A$11:$A$1010,"&lt;&gt;"))</f>
        <v/>
      </c>
      <c r="D180" s="44">
        <f>IF(B180="","",SUMIFS('Work Orders'!$Z$11:$Z$1010,'Work Orders'!$B$11:$B$1010,B180))</f>
        <v/>
      </c>
      <c r="E180" s="44">
        <f>IF(B180="","",SUMIFS('Work Orders'!$J$11:$J$1010,'Work Orders'!$B$11:$B$1010,B180))</f>
        <v/>
      </c>
      <c r="F180" s="44">
        <f>IF(B180="","",SUMIFS('Work Orders'!$AE$11:$AE$1010,'Work Orders'!$B$11:$B$1010,B180))</f>
        <v/>
      </c>
      <c r="G180" s="44">
        <f>IF(B180="","",SUMIFS('Work Orders'!$AH$11:$AH$1010,'Work Orders'!$B$11:$B$1010,B180))</f>
        <v/>
      </c>
      <c r="H180" s="44">
        <f>IF(B180="","",SUMIFS('Work Orders'!$AH$11:$AH$1010,'Work Orders'!$B$11:$B$1010,B180,'Work Orders'!$AM$11:$AM$1010,"&gt;0"))</f>
        <v/>
      </c>
      <c r="I180" s="54">
        <f>IF(B180="","",COUNTIF(D$6:D$205,"&gt;"&amp;D180)+COUNTIF(D$6:D180,D180))</f>
        <v/>
      </c>
    </row>
    <row r="181">
      <c r="A181" s="54" t="n">
        <v>176</v>
      </c>
      <c r="B181" s="43">
        <f>IFERROR(INDEX('Work Orders'!$B$11:$B$1010,MATCH(A181,'Work Orders'!$AP$11:$AP$1010,0)),"")</f>
        <v/>
      </c>
      <c r="C181" s="43">
        <f>IF(B181="","",COUNTIFS('Work Orders'!$B$11:$B$1010,B181,'Work Orders'!$A$11:$A$1010,"&lt;&gt;"))</f>
        <v/>
      </c>
      <c r="D181" s="44">
        <f>IF(B181="","",SUMIFS('Work Orders'!$Z$11:$Z$1010,'Work Orders'!$B$11:$B$1010,B181))</f>
        <v/>
      </c>
      <c r="E181" s="44">
        <f>IF(B181="","",SUMIFS('Work Orders'!$J$11:$J$1010,'Work Orders'!$B$11:$B$1010,B181))</f>
        <v/>
      </c>
      <c r="F181" s="44">
        <f>IF(B181="","",SUMIFS('Work Orders'!$AE$11:$AE$1010,'Work Orders'!$B$11:$B$1010,B181))</f>
        <v/>
      </c>
      <c r="G181" s="44">
        <f>IF(B181="","",SUMIFS('Work Orders'!$AH$11:$AH$1010,'Work Orders'!$B$11:$B$1010,B181))</f>
        <v/>
      </c>
      <c r="H181" s="44">
        <f>IF(B181="","",SUMIFS('Work Orders'!$AH$11:$AH$1010,'Work Orders'!$B$11:$B$1010,B181,'Work Orders'!$AM$11:$AM$1010,"&gt;0"))</f>
        <v/>
      </c>
      <c r="I181" s="54">
        <f>IF(B181="","",COUNTIF(D$6:D$205,"&gt;"&amp;D181)+COUNTIF(D$6:D181,D181))</f>
        <v/>
      </c>
    </row>
    <row r="182">
      <c r="A182" s="54" t="n">
        <v>177</v>
      </c>
      <c r="B182" s="43">
        <f>IFERROR(INDEX('Work Orders'!$B$11:$B$1010,MATCH(A182,'Work Orders'!$AP$11:$AP$1010,0)),"")</f>
        <v/>
      </c>
      <c r="C182" s="43">
        <f>IF(B182="","",COUNTIFS('Work Orders'!$B$11:$B$1010,B182,'Work Orders'!$A$11:$A$1010,"&lt;&gt;"))</f>
        <v/>
      </c>
      <c r="D182" s="44">
        <f>IF(B182="","",SUMIFS('Work Orders'!$Z$11:$Z$1010,'Work Orders'!$B$11:$B$1010,B182))</f>
        <v/>
      </c>
      <c r="E182" s="44">
        <f>IF(B182="","",SUMIFS('Work Orders'!$J$11:$J$1010,'Work Orders'!$B$11:$B$1010,B182))</f>
        <v/>
      </c>
      <c r="F182" s="44">
        <f>IF(B182="","",SUMIFS('Work Orders'!$AE$11:$AE$1010,'Work Orders'!$B$11:$B$1010,B182))</f>
        <v/>
      </c>
      <c r="G182" s="44">
        <f>IF(B182="","",SUMIFS('Work Orders'!$AH$11:$AH$1010,'Work Orders'!$B$11:$B$1010,B182))</f>
        <v/>
      </c>
      <c r="H182" s="44">
        <f>IF(B182="","",SUMIFS('Work Orders'!$AH$11:$AH$1010,'Work Orders'!$B$11:$B$1010,B182,'Work Orders'!$AM$11:$AM$1010,"&gt;0"))</f>
        <v/>
      </c>
      <c r="I182" s="54">
        <f>IF(B182="","",COUNTIF(D$6:D$205,"&gt;"&amp;D182)+COUNTIF(D$6:D182,D182))</f>
        <v/>
      </c>
    </row>
    <row r="183">
      <c r="A183" s="54" t="n">
        <v>178</v>
      </c>
      <c r="B183" s="43">
        <f>IFERROR(INDEX('Work Orders'!$B$11:$B$1010,MATCH(A183,'Work Orders'!$AP$11:$AP$1010,0)),"")</f>
        <v/>
      </c>
      <c r="C183" s="43">
        <f>IF(B183="","",COUNTIFS('Work Orders'!$B$11:$B$1010,B183,'Work Orders'!$A$11:$A$1010,"&lt;&gt;"))</f>
        <v/>
      </c>
      <c r="D183" s="44">
        <f>IF(B183="","",SUMIFS('Work Orders'!$Z$11:$Z$1010,'Work Orders'!$B$11:$B$1010,B183))</f>
        <v/>
      </c>
      <c r="E183" s="44">
        <f>IF(B183="","",SUMIFS('Work Orders'!$J$11:$J$1010,'Work Orders'!$B$11:$B$1010,B183))</f>
        <v/>
      </c>
      <c r="F183" s="44">
        <f>IF(B183="","",SUMIFS('Work Orders'!$AE$11:$AE$1010,'Work Orders'!$B$11:$B$1010,B183))</f>
        <v/>
      </c>
      <c r="G183" s="44">
        <f>IF(B183="","",SUMIFS('Work Orders'!$AH$11:$AH$1010,'Work Orders'!$B$11:$B$1010,B183))</f>
        <v/>
      </c>
      <c r="H183" s="44">
        <f>IF(B183="","",SUMIFS('Work Orders'!$AH$11:$AH$1010,'Work Orders'!$B$11:$B$1010,B183,'Work Orders'!$AM$11:$AM$1010,"&gt;0"))</f>
        <v/>
      </c>
      <c r="I183" s="54">
        <f>IF(B183="","",COUNTIF(D$6:D$205,"&gt;"&amp;D183)+COUNTIF(D$6:D183,D183))</f>
        <v/>
      </c>
    </row>
    <row r="184">
      <c r="A184" s="54" t="n">
        <v>179</v>
      </c>
      <c r="B184" s="43">
        <f>IFERROR(INDEX('Work Orders'!$B$11:$B$1010,MATCH(A184,'Work Orders'!$AP$11:$AP$1010,0)),"")</f>
        <v/>
      </c>
      <c r="C184" s="43">
        <f>IF(B184="","",COUNTIFS('Work Orders'!$B$11:$B$1010,B184,'Work Orders'!$A$11:$A$1010,"&lt;&gt;"))</f>
        <v/>
      </c>
      <c r="D184" s="44">
        <f>IF(B184="","",SUMIFS('Work Orders'!$Z$11:$Z$1010,'Work Orders'!$B$11:$B$1010,B184))</f>
        <v/>
      </c>
      <c r="E184" s="44">
        <f>IF(B184="","",SUMIFS('Work Orders'!$J$11:$J$1010,'Work Orders'!$B$11:$B$1010,B184))</f>
        <v/>
      </c>
      <c r="F184" s="44">
        <f>IF(B184="","",SUMIFS('Work Orders'!$AE$11:$AE$1010,'Work Orders'!$B$11:$B$1010,B184))</f>
        <v/>
      </c>
      <c r="G184" s="44">
        <f>IF(B184="","",SUMIFS('Work Orders'!$AH$11:$AH$1010,'Work Orders'!$B$11:$B$1010,B184))</f>
        <v/>
      </c>
      <c r="H184" s="44">
        <f>IF(B184="","",SUMIFS('Work Orders'!$AH$11:$AH$1010,'Work Orders'!$B$11:$B$1010,B184,'Work Orders'!$AM$11:$AM$1010,"&gt;0"))</f>
        <v/>
      </c>
      <c r="I184" s="54">
        <f>IF(B184="","",COUNTIF(D$6:D$205,"&gt;"&amp;D184)+COUNTIF(D$6:D184,D184))</f>
        <v/>
      </c>
    </row>
    <row r="185">
      <c r="A185" s="54" t="n">
        <v>180</v>
      </c>
      <c r="B185" s="43">
        <f>IFERROR(INDEX('Work Orders'!$B$11:$B$1010,MATCH(A185,'Work Orders'!$AP$11:$AP$1010,0)),"")</f>
        <v/>
      </c>
      <c r="C185" s="43">
        <f>IF(B185="","",COUNTIFS('Work Orders'!$B$11:$B$1010,B185,'Work Orders'!$A$11:$A$1010,"&lt;&gt;"))</f>
        <v/>
      </c>
      <c r="D185" s="44">
        <f>IF(B185="","",SUMIFS('Work Orders'!$Z$11:$Z$1010,'Work Orders'!$B$11:$B$1010,B185))</f>
        <v/>
      </c>
      <c r="E185" s="44">
        <f>IF(B185="","",SUMIFS('Work Orders'!$J$11:$J$1010,'Work Orders'!$B$11:$B$1010,B185))</f>
        <v/>
      </c>
      <c r="F185" s="44">
        <f>IF(B185="","",SUMIFS('Work Orders'!$AE$11:$AE$1010,'Work Orders'!$B$11:$B$1010,B185))</f>
        <v/>
      </c>
      <c r="G185" s="44">
        <f>IF(B185="","",SUMIFS('Work Orders'!$AH$11:$AH$1010,'Work Orders'!$B$11:$B$1010,B185))</f>
        <v/>
      </c>
      <c r="H185" s="44">
        <f>IF(B185="","",SUMIFS('Work Orders'!$AH$11:$AH$1010,'Work Orders'!$B$11:$B$1010,B185,'Work Orders'!$AM$11:$AM$1010,"&gt;0"))</f>
        <v/>
      </c>
      <c r="I185" s="54">
        <f>IF(B185="","",COUNTIF(D$6:D$205,"&gt;"&amp;D185)+COUNTIF(D$6:D185,D185))</f>
        <v/>
      </c>
    </row>
    <row r="186">
      <c r="A186" s="54" t="n">
        <v>181</v>
      </c>
      <c r="B186" s="43">
        <f>IFERROR(INDEX('Work Orders'!$B$11:$B$1010,MATCH(A186,'Work Orders'!$AP$11:$AP$1010,0)),"")</f>
        <v/>
      </c>
      <c r="C186" s="43">
        <f>IF(B186="","",COUNTIFS('Work Orders'!$B$11:$B$1010,B186,'Work Orders'!$A$11:$A$1010,"&lt;&gt;"))</f>
        <v/>
      </c>
      <c r="D186" s="44">
        <f>IF(B186="","",SUMIFS('Work Orders'!$Z$11:$Z$1010,'Work Orders'!$B$11:$B$1010,B186))</f>
        <v/>
      </c>
      <c r="E186" s="44">
        <f>IF(B186="","",SUMIFS('Work Orders'!$J$11:$J$1010,'Work Orders'!$B$11:$B$1010,B186))</f>
        <v/>
      </c>
      <c r="F186" s="44">
        <f>IF(B186="","",SUMIFS('Work Orders'!$AE$11:$AE$1010,'Work Orders'!$B$11:$B$1010,B186))</f>
        <v/>
      </c>
      <c r="G186" s="44">
        <f>IF(B186="","",SUMIFS('Work Orders'!$AH$11:$AH$1010,'Work Orders'!$B$11:$B$1010,B186))</f>
        <v/>
      </c>
      <c r="H186" s="44">
        <f>IF(B186="","",SUMIFS('Work Orders'!$AH$11:$AH$1010,'Work Orders'!$B$11:$B$1010,B186,'Work Orders'!$AM$11:$AM$1010,"&gt;0"))</f>
        <v/>
      </c>
      <c r="I186" s="54">
        <f>IF(B186="","",COUNTIF(D$6:D$205,"&gt;"&amp;D186)+COUNTIF(D$6:D186,D186))</f>
        <v/>
      </c>
    </row>
    <row r="187">
      <c r="A187" s="54" t="n">
        <v>182</v>
      </c>
      <c r="B187" s="43">
        <f>IFERROR(INDEX('Work Orders'!$B$11:$B$1010,MATCH(A187,'Work Orders'!$AP$11:$AP$1010,0)),"")</f>
        <v/>
      </c>
      <c r="C187" s="43">
        <f>IF(B187="","",COUNTIFS('Work Orders'!$B$11:$B$1010,B187,'Work Orders'!$A$11:$A$1010,"&lt;&gt;"))</f>
        <v/>
      </c>
      <c r="D187" s="44">
        <f>IF(B187="","",SUMIFS('Work Orders'!$Z$11:$Z$1010,'Work Orders'!$B$11:$B$1010,B187))</f>
        <v/>
      </c>
      <c r="E187" s="44">
        <f>IF(B187="","",SUMIFS('Work Orders'!$J$11:$J$1010,'Work Orders'!$B$11:$B$1010,B187))</f>
        <v/>
      </c>
      <c r="F187" s="44">
        <f>IF(B187="","",SUMIFS('Work Orders'!$AE$11:$AE$1010,'Work Orders'!$B$11:$B$1010,B187))</f>
        <v/>
      </c>
      <c r="G187" s="44">
        <f>IF(B187="","",SUMIFS('Work Orders'!$AH$11:$AH$1010,'Work Orders'!$B$11:$B$1010,B187))</f>
        <v/>
      </c>
      <c r="H187" s="44">
        <f>IF(B187="","",SUMIFS('Work Orders'!$AH$11:$AH$1010,'Work Orders'!$B$11:$B$1010,B187,'Work Orders'!$AM$11:$AM$1010,"&gt;0"))</f>
        <v/>
      </c>
      <c r="I187" s="54">
        <f>IF(B187="","",COUNTIF(D$6:D$205,"&gt;"&amp;D187)+COUNTIF(D$6:D187,D187))</f>
        <v/>
      </c>
    </row>
    <row r="188">
      <c r="A188" s="54" t="n">
        <v>183</v>
      </c>
      <c r="B188" s="43">
        <f>IFERROR(INDEX('Work Orders'!$B$11:$B$1010,MATCH(A188,'Work Orders'!$AP$11:$AP$1010,0)),"")</f>
        <v/>
      </c>
      <c r="C188" s="43">
        <f>IF(B188="","",COUNTIFS('Work Orders'!$B$11:$B$1010,B188,'Work Orders'!$A$11:$A$1010,"&lt;&gt;"))</f>
        <v/>
      </c>
      <c r="D188" s="44">
        <f>IF(B188="","",SUMIFS('Work Orders'!$Z$11:$Z$1010,'Work Orders'!$B$11:$B$1010,B188))</f>
        <v/>
      </c>
      <c r="E188" s="44">
        <f>IF(B188="","",SUMIFS('Work Orders'!$J$11:$J$1010,'Work Orders'!$B$11:$B$1010,B188))</f>
        <v/>
      </c>
      <c r="F188" s="44">
        <f>IF(B188="","",SUMIFS('Work Orders'!$AE$11:$AE$1010,'Work Orders'!$B$11:$B$1010,B188))</f>
        <v/>
      </c>
      <c r="G188" s="44">
        <f>IF(B188="","",SUMIFS('Work Orders'!$AH$11:$AH$1010,'Work Orders'!$B$11:$B$1010,B188))</f>
        <v/>
      </c>
      <c r="H188" s="44">
        <f>IF(B188="","",SUMIFS('Work Orders'!$AH$11:$AH$1010,'Work Orders'!$B$11:$B$1010,B188,'Work Orders'!$AM$11:$AM$1010,"&gt;0"))</f>
        <v/>
      </c>
      <c r="I188" s="54">
        <f>IF(B188="","",COUNTIF(D$6:D$205,"&gt;"&amp;D188)+COUNTIF(D$6:D188,D188))</f>
        <v/>
      </c>
    </row>
    <row r="189">
      <c r="A189" s="54" t="n">
        <v>184</v>
      </c>
      <c r="B189" s="43">
        <f>IFERROR(INDEX('Work Orders'!$B$11:$B$1010,MATCH(A189,'Work Orders'!$AP$11:$AP$1010,0)),"")</f>
        <v/>
      </c>
      <c r="C189" s="43">
        <f>IF(B189="","",COUNTIFS('Work Orders'!$B$11:$B$1010,B189,'Work Orders'!$A$11:$A$1010,"&lt;&gt;"))</f>
        <v/>
      </c>
      <c r="D189" s="44">
        <f>IF(B189="","",SUMIFS('Work Orders'!$Z$11:$Z$1010,'Work Orders'!$B$11:$B$1010,B189))</f>
        <v/>
      </c>
      <c r="E189" s="44">
        <f>IF(B189="","",SUMIFS('Work Orders'!$J$11:$J$1010,'Work Orders'!$B$11:$B$1010,B189))</f>
        <v/>
      </c>
      <c r="F189" s="44">
        <f>IF(B189="","",SUMIFS('Work Orders'!$AE$11:$AE$1010,'Work Orders'!$B$11:$B$1010,B189))</f>
        <v/>
      </c>
      <c r="G189" s="44">
        <f>IF(B189="","",SUMIFS('Work Orders'!$AH$11:$AH$1010,'Work Orders'!$B$11:$B$1010,B189))</f>
        <v/>
      </c>
      <c r="H189" s="44">
        <f>IF(B189="","",SUMIFS('Work Orders'!$AH$11:$AH$1010,'Work Orders'!$B$11:$B$1010,B189,'Work Orders'!$AM$11:$AM$1010,"&gt;0"))</f>
        <v/>
      </c>
      <c r="I189" s="54">
        <f>IF(B189="","",COUNTIF(D$6:D$205,"&gt;"&amp;D189)+COUNTIF(D$6:D189,D189))</f>
        <v/>
      </c>
    </row>
    <row r="190">
      <c r="A190" s="54" t="n">
        <v>185</v>
      </c>
      <c r="B190" s="43">
        <f>IFERROR(INDEX('Work Orders'!$B$11:$B$1010,MATCH(A190,'Work Orders'!$AP$11:$AP$1010,0)),"")</f>
        <v/>
      </c>
      <c r="C190" s="43">
        <f>IF(B190="","",COUNTIFS('Work Orders'!$B$11:$B$1010,B190,'Work Orders'!$A$11:$A$1010,"&lt;&gt;"))</f>
        <v/>
      </c>
      <c r="D190" s="44">
        <f>IF(B190="","",SUMIFS('Work Orders'!$Z$11:$Z$1010,'Work Orders'!$B$11:$B$1010,B190))</f>
        <v/>
      </c>
      <c r="E190" s="44">
        <f>IF(B190="","",SUMIFS('Work Orders'!$J$11:$J$1010,'Work Orders'!$B$11:$B$1010,B190))</f>
        <v/>
      </c>
      <c r="F190" s="44">
        <f>IF(B190="","",SUMIFS('Work Orders'!$AE$11:$AE$1010,'Work Orders'!$B$11:$B$1010,B190))</f>
        <v/>
      </c>
      <c r="G190" s="44">
        <f>IF(B190="","",SUMIFS('Work Orders'!$AH$11:$AH$1010,'Work Orders'!$B$11:$B$1010,B190))</f>
        <v/>
      </c>
      <c r="H190" s="44">
        <f>IF(B190="","",SUMIFS('Work Orders'!$AH$11:$AH$1010,'Work Orders'!$B$11:$B$1010,B190,'Work Orders'!$AM$11:$AM$1010,"&gt;0"))</f>
        <v/>
      </c>
      <c r="I190" s="54">
        <f>IF(B190="","",COUNTIF(D$6:D$205,"&gt;"&amp;D190)+COUNTIF(D$6:D190,D190))</f>
        <v/>
      </c>
    </row>
    <row r="191">
      <c r="A191" s="54" t="n">
        <v>186</v>
      </c>
      <c r="B191" s="43">
        <f>IFERROR(INDEX('Work Orders'!$B$11:$B$1010,MATCH(A191,'Work Orders'!$AP$11:$AP$1010,0)),"")</f>
        <v/>
      </c>
      <c r="C191" s="43">
        <f>IF(B191="","",COUNTIFS('Work Orders'!$B$11:$B$1010,B191,'Work Orders'!$A$11:$A$1010,"&lt;&gt;"))</f>
        <v/>
      </c>
      <c r="D191" s="44">
        <f>IF(B191="","",SUMIFS('Work Orders'!$Z$11:$Z$1010,'Work Orders'!$B$11:$B$1010,B191))</f>
        <v/>
      </c>
      <c r="E191" s="44">
        <f>IF(B191="","",SUMIFS('Work Orders'!$J$11:$J$1010,'Work Orders'!$B$11:$B$1010,B191))</f>
        <v/>
      </c>
      <c r="F191" s="44">
        <f>IF(B191="","",SUMIFS('Work Orders'!$AE$11:$AE$1010,'Work Orders'!$B$11:$B$1010,B191))</f>
        <v/>
      </c>
      <c r="G191" s="44">
        <f>IF(B191="","",SUMIFS('Work Orders'!$AH$11:$AH$1010,'Work Orders'!$B$11:$B$1010,B191))</f>
        <v/>
      </c>
      <c r="H191" s="44">
        <f>IF(B191="","",SUMIFS('Work Orders'!$AH$11:$AH$1010,'Work Orders'!$B$11:$B$1010,B191,'Work Orders'!$AM$11:$AM$1010,"&gt;0"))</f>
        <v/>
      </c>
      <c r="I191" s="54">
        <f>IF(B191="","",COUNTIF(D$6:D$205,"&gt;"&amp;D191)+COUNTIF(D$6:D191,D191))</f>
        <v/>
      </c>
    </row>
    <row r="192">
      <c r="A192" s="54" t="n">
        <v>187</v>
      </c>
      <c r="B192" s="43">
        <f>IFERROR(INDEX('Work Orders'!$B$11:$B$1010,MATCH(A192,'Work Orders'!$AP$11:$AP$1010,0)),"")</f>
        <v/>
      </c>
      <c r="C192" s="43">
        <f>IF(B192="","",COUNTIFS('Work Orders'!$B$11:$B$1010,B192,'Work Orders'!$A$11:$A$1010,"&lt;&gt;"))</f>
        <v/>
      </c>
      <c r="D192" s="44">
        <f>IF(B192="","",SUMIFS('Work Orders'!$Z$11:$Z$1010,'Work Orders'!$B$11:$B$1010,B192))</f>
        <v/>
      </c>
      <c r="E192" s="44">
        <f>IF(B192="","",SUMIFS('Work Orders'!$J$11:$J$1010,'Work Orders'!$B$11:$B$1010,B192))</f>
        <v/>
      </c>
      <c r="F192" s="44">
        <f>IF(B192="","",SUMIFS('Work Orders'!$AE$11:$AE$1010,'Work Orders'!$B$11:$B$1010,B192))</f>
        <v/>
      </c>
      <c r="G192" s="44">
        <f>IF(B192="","",SUMIFS('Work Orders'!$AH$11:$AH$1010,'Work Orders'!$B$11:$B$1010,B192))</f>
        <v/>
      </c>
      <c r="H192" s="44">
        <f>IF(B192="","",SUMIFS('Work Orders'!$AH$11:$AH$1010,'Work Orders'!$B$11:$B$1010,B192,'Work Orders'!$AM$11:$AM$1010,"&gt;0"))</f>
        <v/>
      </c>
      <c r="I192" s="54">
        <f>IF(B192="","",COUNTIF(D$6:D$205,"&gt;"&amp;D192)+COUNTIF(D$6:D192,D192))</f>
        <v/>
      </c>
    </row>
    <row r="193">
      <c r="A193" s="54" t="n">
        <v>188</v>
      </c>
      <c r="B193" s="43">
        <f>IFERROR(INDEX('Work Orders'!$B$11:$B$1010,MATCH(A193,'Work Orders'!$AP$11:$AP$1010,0)),"")</f>
        <v/>
      </c>
      <c r="C193" s="43">
        <f>IF(B193="","",COUNTIFS('Work Orders'!$B$11:$B$1010,B193,'Work Orders'!$A$11:$A$1010,"&lt;&gt;"))</f>
        <v/>
      </c>
      <c r="D193" s="44">
        <f>IF(B193="","",SUMIFS('Work Orders'!$Z$11:$Z$1010,'Work Orders'!$B$11:$B$1010,B193))</f>
        <v/>
      </c>
      <c r="E193" s="44">
        <f>IF(B193="","",SUMIFS('Work Orders'!$J$11:$J$1010,'Work Orders'!$B$11:$B$1010,B193))</f>
        <v/>
      </c>
      <c r="F193" s="44">
        <f>IF(B193="","",SUMIFS('Work Orders'!$AE$11:$AE$1010,'Work Orders'!$B$11:$B$1010,B193))</f>
        <v/>
      </c>
      <c r="G193" s="44">
        <f>IF(B193="","",SUMIFS('Work Orders'!$AH$11:$AH$1010,'Work Orders'!$B$11:$B$1010,B193))</f>
        <v/>
      </c>
      <c r="H193" s="44">
        <f>IF(B193="","",SUMIFS('Work Orders'!$AH$11:$AH$1010,'Work Orders'!$B$11:$B$1010,B193,'Work Orders'!$AM$11:$AM$1010,"&gt;0"))</f>
        <v/>
      </c>
      <c r="I193" s="54">
        <f>IF(B193="","",COUNTIF(D$6:D$205,"&gt;"&amp;D193)+COUNTIF(D$6:D193,D193))</f>
        <v/>
      </c>
    </row>
    <row r="194">
      <c r="A194" s="54" t="n">
        <v>189</v>
      </c>
      <c r="B194" s="43">
        <f>IFERROR(INDEX('Work Orders'!$B$11:$B$1010,MATCH(A194,'Work Orders'!$AP$11:$AP$1010,0)),"")</f>
        <v/>
      </c>
      <c r="C194" s="43">
        <f>IF(B194="","",COUNTIFS('Work Orders'!$B$11:$B$1010,B194,'Work Orders'!$A$11:$A$1010,"&lt;&gt;"))</f>
        <v/>
      </c>
      <c r="D194" s="44">
        <f>IF(B194="","",SUMIFS('Work Orders'!$Z$11:$Z$1010,'Work Orders'!$B$11:$B$1010,B194))</f>
        <v/>
      </c>
      <c r="E194" s="44">
        <f>IF(B194="","",SUMIFS('Work Orders'!$J$11:$J$1010,'Work Orders'!$B$11:$B$1010,B194))</f>
        <v/>
      </c>
      <c r="F194" s="44">
        <f>IF(B194="","",SUMIFS('Work Orders'!$AE$11:$AE$1010,'Work Orders'!$B$11:$B$1010,B194))</f>
        <v/>
      </c>
      <c r="G194" s="44">
        <f>IF(B194="","",SUMIFS('Work Orders'!$AH$11:$AH$1010,'Work Orders'!$B$11:$B$1010,B194))</f>
        <v/>
      </c>
      <c r="H194" s="44">
        <f>IF(B194="","",SUMIFS('Work Orders'!$AH$11:$AH$1010,'Work Orders'!$B$11:$B$1010,B194,'Work Orders'!$AM$11:$AM$1010,"&gt;0"))</f>
        <v/>
      </c>
      <c r="I194" s="54">
        <f>IF(B194="","",COUNTIF(D$6:D$205,"&gt;"&amp;D194)+COUNTIF(D$6:D194,D194))</f>
        <v/>
      </c>
    </row>
    <row r="195">
      <c r="A195" s="54" t="n">
        <v>190</v>
      </c>
      <c r="B195" s="43">
        <f>IFERROR(INDEX('Work Orders'!$B$11:$B$1010,MATCH(A195,'Work Orders'!$AP$11:$AP$1010,0)),"")</f>
        <v/>
      </c>
      <c r="C195" s="43">
        <f>IF(B195="","",COUNTIFS('Work Orders'!$B$11:$B$1010,B195,'Work Orders'!$A$11:$A$1010,"&lt;&gt;"))</f>
        <v/>
      </c>
      <c r="D195" s="44">
        <f>IF(B195="","",SUMIFS('Work Orders'!$Z$11:$Z$1010,'Work Orders'!$B$11:$B$1010,B195))</f>
        <v/>
      </c>
      <c r="E195" s="44">
        <f>IF(B195="","",SUMIFS('Work Orders'!$J$11:$J$1010,'Work Orders'!$B$11:$B$1010,B195))</f>
        <v/>
      </c>
      <c r="F195" s="44">
        <f>IF(B195="","",SUMIFS('Work Orders'!$AE$11:$AE$1010,'Work Orders'!$B$11:$B$1010,B195))</f>
        <v/>
      </c>
      <c r="G195" s="44">
        <f>IF(B195="","",SUMIFS('Work Orders'!$AH$11:$AH$1010,'Work Orders'!$B$11:$B$1010,B195))</f>
        <v/>
      </c>
      <c r="H195" s="44">
        <f>IF(B195="","",SUMIFS('Work Orders'!$AH$11:$AH$1010,'Work Orders'!$B$11:$B$1010,B195,'Work Orders'!$AM$11:$AM$1010,"&gt;0"))</f>
        <v/>
      </c>
      <c r="I195" s="54">
        <f>IF(B195="","",COUNTIF(D$6:D$205,"&gt;"&amp;D195)+COUNTIF(D$6:D195,D195))</f>
        <v/>
      </c>
    </row>
    <row r="196">
      <c r="A196" s="54" t="n">
        <v>191</v>
      </c>
      <c r="B196" s="43">
        <f>IFERROR(INDEX('Work Orders'!$B$11:$B$1010,MATCH(A196,'Work Orders'!$AP$11:$AP$1010,0)),"")</f>
        <v/>
      </c>
      <c r="C196" s="43">
        <f>IF(B196="","",COUNTIFS('Work Orders'!$B$11:$B$1010,B196,'Work Orders'!$A$11:$A$1010,"&lt;&gt;"))</f>
        <v/>
      </c>
      <c r="D196" s="44">
        <f>IF(B196="","",SUMIFS('Work Orders'!$Z$11:$Z$1010,'Work Orders'!$B$11:$B$1010,B196))</f>
        <v/>
      </c>
      <c r="E196" s="44">
        <f>IF(B196="","",SUMIFS('Work Orders'!$J$11:$J$1010,'Work Orders'!$B$11:$B$1010,B196))</f>
        <v/>
      </c>
      <c r="F196" s="44">
        <f>IF(B196="","",SUMIFS('Work Orders'!$AE$11:$AE$1010,'Work Orders'!$B$11:$B$1010,B196))</f>
        <v/>
      </c>
      <c r="G196" s="44">
        <f>IF(B196="","",SUMIFS('Work Orders'!$AH$11:$AH$1010,'Work Orders'!$B$11:$B$1010,B196))</f>
        <v/>
      </c>
      <c r="H196" s="44">
        <f>IF(B196="","",SUMIFS('Work Orders'!$AH$11:$AH$1010,'Work Orders'!$B$11:$B$1010,B196,'Work Orders'!$AM$11:$AM$1010,"&gt;0"))</f>
        <v/>
      </c>
      <c r="I196" s="54">
        <f>IF(B196="","",COUNTIF(D$6:D$205,"&gt;"&amp;D196)+COUNTIF(D$6:D196,D196))</f>
        <v/>
      </c>
    </row>
    <row r="197">
      <c r="A197" s="54" t="n">
        <v>192</v>
      </c>
      <c r="B197" s="43">
        <f>IFERROR(INDEX('Work Orders'!$B$11:$B$1010,MATCH(A197,'Work Orders'!$AP$11:$AP$1010,0)),"")</f>
        <v/>
      </c>
      <c r="C197" s="43">
        <f>IF(B197="","",COUNTIFS('Work Orders'!$B$11:$B$1010,B197,'Work Orders'!$A$11:$A$1010,"&lt;&gt;"))</f>
        <v/>
      </c>
      <c r="D197" s="44">
        <f>IF(B197="","",SUMIFS('Work Orders'!$Z$11:$Z$1010,'Work Orders'!$B$11:$B$1010,B197))</f>
        <v/>
      </c>
      <c r="E197" s="44">
        <f>IF(B197="","",SUMIFS('Work Orders'!$J$11:$J$1010,'Work Orders'!$B$11:$B$1010,B197))</f>
        <v/>
      </c>
      <c r="F197" s="44">
        <f>IF(B197="","",SUMIFS('Work Orders'!$AE$11:$AE$1010,'Work Orders'!$B$11:$B$1010,B197))</f>
        <v/>
      </c>
      <c r="G197" s="44">
        <f>IF(B197="","",SUMIFS('Work Orders'!$AH$11:$AH$1010,'Work Orders'!$B$11:$B$1010,B197))</f>
        <v/>
      </c>
      <c r="H197" s="44">
        <f>IF(B197="","",SUMIFS('Work Orders'!$AH$11:$AH$1010,'Work Orders'!$B$11:$B$1010,B197,'Work Orders'!$AM$11:$AM$1010,"&gt;0"))</f>
        <v/>
      </c>
      <c r="I197" s="54">
        <f>IF(B197="","",COUNTIF(D$6:D$205,"&gt;"&amp;D197)+COUNTIF(D$6:D197,D197))</f>
        <v/>
      </c>
    </row>
    <row r="198">
      <c r="A198" s="54" t="n">
        <v>193</v>
      </c>
      <c r="B198" s="43">
        <f>IFERROR(INDEX('Work Orders'!$B$11:$B$1010,MATCH(A198,'Work Orders'!$AP$11:$AP$1010,0)),"")</f>
        <v/>
      </c>
      <c r="C198" s="43">
        <f>IF(B198="","",COUNTIFS('Work Orders'!$B$11:$B$1010,B198,'Work Orders'!$A$11:$A$1010,"&lt;&gt;"))</f>
        <v/>
      </c>
      <c r="D198" s="44">
        <f>IF(B198="","",SUMIFS('Work Orders'!$Z$11:$Z$1010,'Work Orders'!$B$11:$B$1010,B198))</f>
        <v/>
      </c>
      <c r="E198" s="44">
        <f>IF(B198="","",SUMIFS('Work Orders'!$J$11:$J$1010,'Work Orders'!$B$11:$B$1010,B198))</f>
        <v/>
      </c>
      <c r="F198" s="44">
        <f>IF(B198="","",SUMIFS('Work Orders'!$AE$11:$AE$1010,'Work Orders'!$B$11:$B$1010,B198))</f>
        <v/>
      </c>
      <c r="G198" s="44">
        <f>IF(B198="","",SUMIFS('Work Orders'!$AH$11:$AH$1010,'Work Orders'!$B$11:$B$1010,B198))</f>
        <v/>
      </c>
      <c r="H198" s="44">
        <f>IF(B198="","",SUMIFS('Work Orders'!$AH$11:$AH$1010,'Work Orders'!$B$11:$B$1010,B198,'Work Orders'!$AM$11:$AM$1010,"&gt;0"))</f>
        <v/>
      </c>
      <c r="I198" s="54">
        <f>IF(B198="","",COUNTIF(D$6:D$205,"&gt;"&amp;D198)+COUNTIF(D$6:D198,D198))</f>
        <v/>
      </c>
    </row>
    <row r="199">
      <c r="A199" s="54" t="n">
        <v>194</v>
      </c>
      <c r="B199" s="43">
        <f>IFERROR(INDEX('Work Orders'!$B$11:$B$1010,MATCH(A199,'Work Orders'!$AP$11:$AP$1010,0)),"")</f>
        <v/>
      </c>
      <c r="C199" s="43">
        <f>IF(B199="","",COUNTIFS('Work Orders'!$B$11:$B$1010,B199,'Work Orders'!$A$11:$A$1010,"&lt;&gt;"))</f>
        <v/>
      </c>
      <c r="D199" s="44">
        <f>IF(B199="","",SUMIFS('Work Orders'!$Z$11:$Z$1010,'Work Orders'!$B$11:$B$1010,B199))</f>
        <v/>
      </c>
      <c r="E199" s="44">
        <f>IF(B199="","",SUMIFS('Work Orders'!$J$11:$J$1010,'Work Orders'!$B$11:$B$1010,B199))</f>
        <v/>
      </c>
      <c r="F199" s="44">
        <f>IF(B199="","",SUMIFS('Work Orders'!$AE$11:$AE$1010,'Work Orders'!$B$11:$B$1010,B199))</f>
        <v/>
      </c>
      <c r="G199" s="44">
        <f>IF(B199="","",SUMIFS('Work Orders'!$AH$11:$AH$1010,'Work Orders'!$B$11:$B$1010,B199))</f>
        <v/>
      </c>
      <c r="H199" s="44">
        <f>IF(B199="","",SUMIFS('Work Orders'!$AH$11:$AH$1010,'Work Orders'!$B$11:$B$1010,B199,'Work Orders'!$AM$11:$AM$1010,"&gt;0"))</f>
        <v/>
      </c>
      <c r="I199" s="54">
        <f>IF(B199="","",COUNTIF(D$6:D$205,"&gt;"&amp;D199)+COUNTIF(D$6:D199,D199))</f>
        <v/>
      </c>
    </row>
    <row r="200">
      <c r="A200" s="54" t="n">
        <v>195</v>
      </c>
      <c r="B200" s="43">
        <f>IFERROR(INDEX('Work Orders'!$B$11:$B$1010,MATCH(A200,'Work Orders'!$AP$11:$AP$1010,0)),"")</f>
        <v/>
      </c>
      <c r="C200" s="43">
        <f>IF(B200="","",COUNTIFS('Work Orders'!$B$11:$B$1010,B200,'Work Orders'!$A$11:$A$1010,"&lt;&gt;"))</f>
        <v/>
      </c>
      <c r="D200" s="44">
        <f>IF(B200="","",SUMIFS('Work Orders'!$Z$11:$Z$1010,'Work Orders'!$B$11:$B$1010,B200))</f>
        <v/>
      </c>
      <c r="E200" s="44">
        <f>IF(B200="","",SUMIFS('Work Orders'!$J$11:$J$1010,'Work Orders'!$B$11:$B$1010,B200))</f>
        <v/>
      </c>
      <c r="F200" s="44">
        <f>IF(B200="","",SUMIFS('Work Orders'!$AE$11:$AE$1010,'Work Orders'!$B$11:$B$1010,B200))</f>
        <v/>
      </c>
      <c r="G200" s="44">
        <f>IF(B200="","",SUMIFS('Work Orders'!$AH$11:$AH$1010,'Work Orders'!$B$11:$B$1010,B200))</f>
        <v/>
      </c>
      <c r="H200" s="44">
        <f>IF(B200="","",SUMIFS('Work Orders'!$AH$11:$AH$1010,'Work Orders'!$B$11:$B$1010,B200,'Work Orders'!$AM$11:$AM$1010,"&gt;0"))</f>
        <v/>
      </c>
      <c r="I200" s="54">
        <f>IF(B200="","",COUNTIF(D$6:D$205,"&gt;"&amp;D200)+COUNTIF(D$6:D200,D200))</f>
        <v/>
      </c>
    </row>
    <row r="201">
      <c r="A201" s="54" t="n">
        <v>196</v>
      </c>
      <c r="B201" s="43">
        <f>IFERROR(INDEX('Work Orders'!$B$11:$B$1010,MATCH(A201,'Work Orders'!$AP$11:$AP$1010,0)),"")</f>
        <v/>
      </c>
      <c r="C201" s="43">
        <f>IF(B201="","",COUNTIFS('Work Orders'!$B$11:$B$1010,B201,'Work Orders'!$A$11:$A$1010,"&lt;&gt;"))</f>
        <v/>
      </c>
      <c r="D201" s="44">
        <f>IF(B201="","",SUMIFS('Work Orders'!$Z$11:$Z$1010,'Work Orders'!$B$11:$B$1010,B201))</f>
        <v/>
      </c>
      <c r="E201" s="44">
        <f>IF(B201="","",SUMIFS('Work Orders'!$J$11:$J$1010,'Work Orders'!$B$11:$B$1010,B201))</f>
        <v/>
      </c>
      <c r="F201" s="44">
        <f>IF(B201="","",SUMIFS('Work Orders'!$AE$11:$AE$1010,'Work Orders'!$B$11:$B$1010,B201))</f>
        <v/>
      </c>
      <c r="G201" s="44">
        <f>IF(B201="","",SUMIFS('Work Orders'!$AH$11:$AH$1010,'Work Orders'!$B$11:$B$1010,B201))</f>
        <v/>
      </c>
      <c r="H201" s="44">
        <f>IF(B201="","",SUMIFS('Work Orders'!$AH$11:$AH$1010,'Work Orders'!$B$11:$B$1010,B201,'Work Orders'!$AM$11:$AM$1010,"&gt;0"))</f>
        <v/>
      </c>
      <c r="I201" s="54">
        <f>IF(B201="","",COUNTIF(D$6:D$205,"&gt;"&amp;D201)+COUNTIF(D$6:D201,D201))</f>
        <v/>
      </c>
    </row>
    <row r="202">
      <c r="A202" s="54" t="n">
        <v>197</v>
      </c>
      <c r="B202" s="43">
        <f>IFERROR(INDEX('Work Orders'!$B$11:$B$1010,MATCH(A202,'Work Orders'!$AP$11:$AP$1010,0)),"")</f>
        <v/>
      </c>
      <c r="C202" s="43">
        <f>IF(B202="","",COUNTIFS('Work Orders'!$B$11:$B$1010,B202,'Work Orders'!$A$11:$A$1010,"&lt;&gt;"))</f>
        <v/>
      </c>
      <c r="D202" s="44">
        <f>IF(B202="","",SUMIFS('Work Orders'!$Z$11:$Z$1010,'Work Orders'!$B$11:$B$1010,B202))</f>
        <v/>
      </c>
      <c r="E202" s="44">
        <f>IF(B202="","",SUMIFS('Work Orders'!$J$11:$J$1010,'Work Orders'!$B$11:$B$1010,B202))</f>
        <v/>
      </c>
      <c r="F202" s="44">
        <f>IF(B202="","",SUMIFS('Work Orders'!$AE$11:$AE$1010,'Work Orders'!$B$11:$B$1010,B202))</f>
        <v/>
      </c>
      <c r="G202" s="44">
        <f>IF(B202="","",SUMIFS('Work Orders'!$AH$11:$AH$1010,'Work Orders'!$B$11:$B$1010,B202))</f>
        <v/>
      </c>
      <c r="H202" s="44">
        <f>IF(B202="","",SUMIFS('Work Orders'!$AH$11:$AH$1010,'Work Orders'!$B$11:$B$1010,B202,'Work Orders'!$AM$11:$AM$1010,"&gt;0"))</f>
        <v/>
      </c>
      <c r="I202" s="54">
        <f>IF(B202="","",COUNTIF(D$6:D$205,"&gt;"&amp;D202)+COUNTIF(D$6:D202,D202))</f>
        <v/>
      </c>
    </row>
    <row r="203">
      <c r="A203" s="54" t="n">
        <v>198</v>
      </c>
      <c r="B203" s="43">
        <f>IFERROR(INDEX('Work Orders'!$B$11:$B$1010,MATCH(A203,'Work Orders'!$AP$11:$AP$1010,0)),"")</f>
        <v/>
      </c>
      <c r="C203" s="43">
        <f>IF(B203="","",COUNTIFS('Work Orders'!$B$11:$B$1010,B203,'Work Orders'!$A$11:$A$1010,"&lt;&gt;"))</f>
        <v/>
      </c>
      <c r="D203" s="44">
        <f>IF(B203="","",SUMIFS('Work Orders'!$Z$11:$Z$1010,'Work Orders'!$B$11:$B$1010,B203))</f>
        <v/>
      </c>
      <c r="E203" s="44">
        <f>IF(B203="","",SUMIFS('Work Orders'!$J$11:$J$1010,'Work Orders'!$B$11:$B$1010,B203))</f>
        <v/>
      </c>
      <c r="F203" s="44">
        <f>IF(B203="","",SUMIFS('Work Orders'!$AE$11:$AE$1010,'Work Orders'!$B$11:$B$1010,B203))</f>
        <v/>
      </c>
      <c r="G203" s="44">
        <f>IF(B203="","",SUMIFS('Work Orders'!$AH$11:$AH$1010,'Work Orders'!$B$11:$B$1010,B203))</f>
        <v/>
      </c>
      <c r="H203" s="44">
        <f>IF(B203="","",SUMIFS('Work Orders'!$AH$11:$AH$1010,'Work Orders'!$B$11:$B$1010,B203,'Work Orders'!$AM$11:$AM$1010,"&gt;0"))</f>
        <v/>
      </c>
      <c r="I203" s="54">
        <f>IF(B203="","",COUNTIF(D$6:D$205,"&gt;"&amp;D203)+COUNTIF(D$6:D203,D203))</f>
        <v/>
      </c>
    </row>
    <row r="204">
      <c r="A204" s="54" t="n">
        <v>199</v>
      </c>
      <c r="B204" s="43">
        <f>IFERROR(INDEX('Work Orders'!$B$11:$B$1010,MATCH(A204,'Work Orders'!$AP$11:$AP$1010,0)),"")</f>
        <v/>
      </c>
      <c r="C204" s="43">
        <f>IF(B204="","",COUNTIFS('Work Orders'!$B$11:$B$1010,B204,'Work Orders'!$A$11:$A$1010,"&lt;&gt;"))</f>
        <v/>
      </c>
      <c r="D204" s="44">
        <f>IF(B204="","",SUMIFS('Work Orders'!$Z$11:$Z$1010,'Work Orders'!$B$11:$B$1010,B204))</f>
        <v/>
      </c>
      <c r="E204" s="44">
        <f>IF(B204="","",SUMIFS('Work Orders'!$J$11:$J$1010,'Work Orders'!$B$11:$B$1010,B204))</f>
        <v/>
      </c>
      <c r="F204" s="44">
        <f>IF(B204="","",SUMIFS('Work Orders'!$AE$11:$AE$1010,'Work Orders'!$B$11:$B$1010,B204))</f>
        <v/>
      </c>
      <c r="G204" s="44">
        <f>IF(B204="","",SUMIFS('Work Orders'!$AH$11:$AH$1010,'Work Orders'!$B$11:$B$1010,B204))</f>
        <v/>
      </c>
      <c r="H204" s="44">
        <f>IF(B204="","",SUMIFS('Work Orders'!$AH$11:$AH$1010,'Work Orders'!$B$11:$B$1010,B204,'Work Orders'!$AM$11:$AM$1010,"&gt;0"))</f>
        <v/>
      </c>
      <c r="I204" s="54">
        <f>IF(B204="","",COUNTIF(D$6:D$205,"&gt;"&amp;D204)+COUNTIF(D$6:D204,D204))</f>
        <v/>
      </c>
    </row>
    <row r="205">
      <c r="A205" s="54" t="n">
        <v>200</v>
      </c>
      <c r="B205" s="43">
        <f>IFERROR(INDEX('Work Orders'!$B$11:$B$1010,MATCH(A205,'Work Orders'!$AP$11:$AP$1010,0)),"")</f>
        <v/>
      </c>
      <c r="C205" s="43">
        <f>IF(B205="","",COUNTIFS('Work Orders'!$B$11:$B$1010,B205,'Work Orders'!$A$11:$A$1010,"&lt;&gt;"))</f>
        <v/>
      </c>
      <c r="D205" s="44">
        <f>IF(B205="","",SUMIFS('Work Orders'!$Z$11:$Z$1010,'Work Orders'!$B$11:$B$1010,B205))</f>
        <v/>
      </c>
      <c r="E205" s="44">
        <f>IF(B205="","",SUMIFS('Work Orders'!$J$11:$J$1010,'Work Orders'!$B$11:$B$1010,B205))</f>
        <v/>
      </c>
      <c r="F205" s="44">
        <f>IF(B205="","",SUMIFS('Work Orders'!$AE$11:$AE$1010,'Work Orders'!$B$11:$B$1010,B205))</f>
        <v/>
      </c>
      <c r="G205" s="44">
        <f>IF(B205="","",SUMIFS('Work Orders'!$AH$11:$AH$1010,'Work Orders'!$B$11:$B$1010,B205))</f>
        <v/>
      </c>
      <c r="H205" s="44">
        <f>IF(B205="","",SUMIFS('Work Orders'!$AH$11:$AH$1010,'Work Orders'!$B$11:$B$1010,B205,'Work Orders'!$AM$11:$AM$1010,"&gt;0"))</f>
        <v/>
      </c>
      <c r="I205" s="54">
        <f>IF(B205="","",COUNTIF(D$6:D$205,"&gt;"&amp;D205)+COUNTIF(D$6:D205,D205))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A96A3"/>
    <outlinePr summaryBelow="1" summaryRight="1"/>
    <pageSetUpPr/>
  </sheetPr>
  <dimension ref="A1:B40"/>
  <sheetViews>
    <sheetView showGridLines="0" tabSelected="0" workbookViewId="0">
      <selection activeCell="B36" sqref="B36"/>
    </sheetView>
  </sheetViews>
  <sheetFormatPr baseColWidth="8" defaultRowHeight="14"/>
  <cols>
    <col width="30" customWidth="1" min="1" max="1"/>
    <col width="112" customWidth="1" min="2" max="2"/>
  </cols>
  <sheetData>
    <row r="1">
      <c r="A1" s="1" t="n"/>
      <c r="B1" s="1" t="n"/>
    </row>
    <row r="2" ht="20" customHeight="1">
      <c r="A2" s="2" t="inlineStr">
        <is>
          <t>Mintresponse LLC — Guide and Example</t>
        </is>
      </c>
      <c r="B2" s="1" t="n"/>
    </row>
    <row r="3">
      <c r="A3" s="1" t="n"/>
      <c r="B3" s="1" t="n"/>
    </row>
    <row r="4" ht="32" customHeight="1">
      <c r="A4" s="22" t="inlineStr">
        <is>
          <t>How to use</t>
        </is>
      </c>
      <c r="B4" s="23" t="inlineStr">
        <is>
          <t>Enter one work order per row, starting at row 11. Enter a WO # before financial calculations appear.</t>
        </is>
      </c>
    </row>
    <row r="5" ht="32" customHeight="1">
      <c r="A5" s="22" t="inlineStr">
        <is>
          <t>Input cells</t>
        </is>
      </c>
      <c r="B5" s="23" t="inlineStr">
        <is>
          <t>Yellow cells are editable. Use numeric amounts and real dates. Enter a markup such as 40%, not 40.</t>
        </is>
      </c>
    </row>
    <row r="6" ht="32" customHeight="1">
      <c r="A6" s="22" t="inlineStr">
        <is>
          <t>Direct cost (H)</t>
        </is>
      </c>
      <c r="B6" s="23" t="inlineStr">
        <is>
          <t>Enter total labor, subcontractor, material, travel and other direct job costs. Include parts cost here only once.</t>
        </is>
      </c>
    </row>
    <row r="7" ht="32" customHeight="1">
      <c r="A7" s="22" t="inlineStr">
        <is>
          <t>Parts ordered (G)</t>
        </is>
      </c>
      <c r="B7" s="23" t="inlineStr">
        <is>
          <t>Use for parts details or ordering status. This text field does not add to direct cost automatically.</t>
        </is>
      </c>
    </row>
    <row r="8" ht="32" customHeight="1">
      <c r="A8" s="22" t="inlineStr">
        <is>
          <t>Approved NTE (I)</t>
        </is>
      </c>
      <c r="B8" s="23" t="inlineStr">
        <is>
          <t>Client-approved maximum charge. It is not revenue. The NTE check flags a quote or invoice above this limit.</t>
        </is>
      </c>
    </row>
    <row r="9" ht="32" customHeight="1">
      <c r="A9" s="22" t="inlineStr">
        <is>
          <t>Quote (L)</t>
        </is>
      </c>
      <c r="B9" s="23" t="inlineStr">
        <is>
          <t>Direct cost × (1 + target markup %). The target markup in Y is applied to cost.</t>
        </is>
      </c>
    </row>
    <row r="10" ht="32" customHeight="1">
      <c r="A10" s="22" t="inlineStr">
        <is>
          <t>Invoice revenue (Z)</t>
        </is>
      </c>
      <c r="B10" s="23" t="inlineStr">
        <is>
          <t>Enter the actual invoice amount excluding sales tax, after discounts or credits. Do not enter NTE as revenue.</t>
        </is>
      </c>
    </row>
    <row r="11" ht="32" customHeight="1">
      <c r="A11" s="22" t="inlineStr">
        <is>
          <t>Gross profit (J)</t>
        </is>
      </c>
      <c r="B11" s="23" t="inlineStr">
        <is>
          <t>Invoice revenue − direct cost. Gross margin (K) = gross profit ÷ invoice revenue.</t>
        </is>
      </c>
    </row>
    <row r="12" ht="32" customHeight="1">
      <c r="A12" s="22" t="inlineStr">
        <is>
          <t>Actual markup (AA)</t>
        </is>
      </c>
      <c r="B12" s="23" t="inlineStr">
        <is>
          <t>Gross profit ÷ direct cost. Markup uses cost as its denominator; margin uses revenue.</t>
        </is>
      </c>
    </row>
    <row r="13" ht="32" customHeight="1">
      <c r="A13" s="22" t="inlineStr">
        <is>
          <t>Net profit (AE)</t>
        </is>
      </c>
      <c r="B13" s="23" t="inlineStr">
        <is>
          <t>Gross profit − allocated overhead − payment/admin fees − other expenses/tax.</t>
        </is>
      </c>
    </row>
    <row r="14" ht="32" customHeight="1">
      <c r="A14" s="22" t="inlineStr">
        <is>
          <t>Expense inputs (AB:AD)</t>
        </is>
      </c>
      <c r="B14" s="23" t="inlineStr">
        <is>
          <t>Enter all three amounts; use 0 when none. Include allocated taxes in AD if calculating profit after tax.</t>
        </is>
      </c>
    </row>
    <row r="15" ht="32" customHeight="1">
      <c r="A15" s="22" t="inlineStr">
        <is>
          <t>Net margin (AF)</t>
        </is>
      </c>
      <c r="B15" s="23" t="inlineStr">
        <is>
          <t>Net profit ÷ invoice revenue. This is job-level profit after entered allocations, not company-wide net income.</t>
        </is>
      </c>
    </row>
    <row r="16" ht="32" customHeight="1">
      <c r="A16" s="22" t="inlineStr">
        <is>
          <t>Payment tracking</t>
        </is>
      </c>
      <c r="B16" s="23" t="inlineStr">
        <is>
          <t>Enter payment terms in AI. Due date = invoice sent date + terms. Enter 0 received if unpaid.</t>
        </is>
      </c>
    </row>
    <row r="17" ht="32" customHeight="1">
      <c r="A17" s="22" t="inlineStr">
        <is>
          <t>Balance due (AH)</t>
        </is>
      </c>
      <c r="B17" s="23" t="inlineStr">
        <is>
          <t>Invoice revenue − amount received, both excluding sales tax. A negative balance indicates an overpayment.</t>
        </is>
      </c>
    </row>
    <row r="18" ht="32" customHeight="1">
      <c r="A18" s="22" t="inlineStr">
        <is>
          <t>Missing inputs</t>
        </is>
      </c>
      <c r="B18" s="23" t="inlineStr">
        <is>
          <t>Financial results remain blank until required inputs are entered. Rates display n.a. if their denominator is zero.</t>
        </is>
      </c>
    </row>
    <row r="19" ht="32" customHeight="1">
      <c r="A19" s="22" t="inlineStr">
        <is>
          <t>Totals and status</t>
        </is>
      </c>
      <c r="B19" s="23" t="inlineStr">
        <is>
          <t>Profit/balance totals sum calculated rows only. Resolve all “Enter…” statuses before relying on profit totals.</t>
        </is>
      </c>
    </row>
    <row r="20" ht="32" customHeight="1">
      <c r="A20" s="22" t="inlineStr">
        <is>
          <t>Filtering and capacity</t>
        </is>
      </c>
      <c r="B20" s="23" t="inlineStr">
        <is>
          <t>Header filters sort/filter the whole table. Top totals include all 1,000 rows regardless of filters.</t>
        </is>
      </c>
    </row>
    <row r="21" ht="32" customHeight="1">
      <c r="A21" s="22" t="inlineStr">
        <is>
          <t>More work orders</t>
        </is>
      </c>
      <c r="B21" s="23" t="inlineStr">
        <is>
          <t>Beyond row 1010, extend the table, copy formulas/validation from the prior row and extend summary ranges.</t>
        </is>
      </c>
    </row>
    <row r="22" ht="32" customHeight="1">
      <c r="A22" s="22" t="inlineStr">
        <is>
          <t>Template source</t>
        </is>
      </c>
      <c r="B22" s="23" t="inlineStr">
        <is>
          <t>Based on the Active Work Orders layout in Simplify WO list (1).xlsx. This is a new, empty Mintresponse tracker.</t>
        </is>
      </c>
    </row>
    <row r="23">
      <c r="A23" s="1" t="n"/>
      <c r="B23" s="1" t="n"/>
    </row>
    <row r="24" ht="26" customHeight="1">
      <c r="A24" s="3" t="inlineStr">
        <is>
          <t>Worked example</t>
        </is>
      </c>
      <c r="B24" s="3" t="inlineStr">
        <is>
          <t>Illustration only — not included in Work Orders totals</t>
        </is>
      </c>
    </row>
    <row r="25" ht="24" customHeight="1">
      <c r="A25" s="1" t="inlineStr">
        <is>
          <t>Direct cost</t>
        </is>
      </c>
      <c r="B25" s="5" t="n">
        <v>1000</v>
      </c>
    </row>
    <row r="26" ht="24" customHeight="1">
      <c r="A26" s="1" t="inlineStr">
        <is>
          <t>Target markup</t>
        </is>
      </c>
      <c r="B26" s="25" t="n">
        <v>0.4</v>
      </c>
    </row>
    <row r="27" ht="24" customHeight="1">
      <c r="A27" s="1" t="inlineStr">
        <is>
          <t>Quoted price</t>
        </is>
      </c>
      <c r="B27" s="24">
        <f>ROUND(B25*(1+B26),2)</f>
        <v/>
      </c>
    </row>
    <row r="28" ht="24" customHeight="1">
      <c r="A28" s="1" t="inlineStr">
        <is>
          <t>Invoice revenue</t>
        </is>
      </c>
      <c r="B28" s="5" t="n">
        <v>1400</v>
      </c>
    </row>
    <row r="29" ht="24" customHeight="1">
      <c r="A29" s="1" t="inlineStr">
        <is>
          <t>Gross profit</t>
        </is>
      </c>
      <c r="B29" s="24">
        <f>B28-B25</f>
        <v/>
      </c>
    </row>
    <row r="30" ht="24" customHeight="1">
      <c r="A30" s="1" t="inlineStr">
        <is>
          <t>Gross margin</t>
        </is>
      </c>
      <c r="B30" s="26">
        <f>B29/B28</f>
        <v/>
      </c>
    </row>
    <row r="31" ht="24" customHeight="1">
      <c r="A31" s="1" t="inlineStr">
        <is>
          <t>Actual markup</t>
        </is>
      </c>
      <c r="B31" s="26">
        <f>B29/B25</f>
        <v/>
      </c>
    </row>
    <row r="32" ht="24" customHeight="1">
      <c r="A32" s="1" t="inlineStr">
        <is>
          <t>Allocated overhead</t>
        </is>
      </c>
      <c r="B32" s="5" t="n">
        <v>100</v>
      </c>
    </row>
    <row r="33" ht="24" customHeight="1">
      <c r="A33" s="1" t="inlineStr">
        <is>
          <t>Payment/admin fees</t>
        </is>
      </c>
      <c r="B33" s="5" t="n">
        <v>30</v>
      </c>
    </row>
    <row r="34" ht="24" customHeight="1">
      <c r="A34" s="1" t="inlineStr">
        <is>
          <t>Other expenses/tax</t>
        </is>
      </c>
      <c r="B34" s="5" t="n">
        <v>20</v>
      </c>
    </row>
    <row r="35" ht="24" customHeight="1">
      <c r="A35" s="1" t="inlineStr">
        <is>
          <t>Net profit</t>
        </is>
      </c>
      <c r="B35" s="24">
        <f>B29-SUM(B32:B34)</f>
        <v/>
      </c>
    </row>
    <row r="36" ht="24" customHeight="1">
      <c r="A36" s="1" t="inlineStr">
        <is>
          <t>Net margin</t>
        </is>
      </c>
      <c r="B36" s="26">
        <f>B35/B28</f>
        <v/>
      </c>
    </row>
    <row r="37">
      <c r="A37" s="1" t="n"/>
      <c r="B37" s="1" t="n"/>
    </row>
    <row r="38">
      <c r="A38" s="1" t="n"/>
      <c r="B38" s="1" t="n"/>
    </row>
    <row r="39">
      <c r="A39" s="1" t="n"/>
      <c r="B39" s="1" t="n"/>
    </row>
    <row r="40">
      <c r="A40" s="1" t="n"/>
      <c r="B4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2026-10-09T19:35:03Z</dcterms:created>
  <dcterms:modified xmlns:dcterms="http://purl.org/dc/terms/" xmlns:xsi="http://www.w3.org/2001/XMLSchema-instance" xsi:type="dcterms:W3CDTF">2026-10-09T19:35:04Z</dcterms:modified>
  <cp:lastModifiedBy>edy aoun</cp:lastModifiedBy>
</cp:coreProperties>
</file>